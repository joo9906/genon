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표지" sheetId="1" r:id="rId4"/>
    <sheet state="visible" name="재개정이력" sheetId="2" r:id="rId5"/>
    <sheet state="visible" name="요구사항 요약" sheetId="3" r:id="rId6"/>
    <sheet state="visible" name="기능" sheetId="4" r:id="rId7"/>
    <sheet state="visible" name="성능" sheetId="5" r:id="rId8"/>
    <sheet state="visible" name="시스템장비" sheetId="6" r:id="rId9"/>
    <sheet state="visible" name="인터페이스" sheetId="7" r:id="rId10"/>
    <sheet state="visible" name="데이터" sheetId="8" r:id="rId11"/>
    <sheet state="visible" name="테스트" sheetId="9" r:id="rId12"/>
    <sheet state="visible" name="보안" sheetId="10" r:id="rId13"/>
    <sheet state="visible" name="품질" sheetId="11" r:id="rId14"/>
    <sheet state="visible" name="제약" sheetId="12" r:id="rId15"/>
    <sheet state="visible" name="프로젝트관리" sheetId="13" r:id="rId16"/>
    <sheet state="visible" name="프로젝트지원" sheetId="14" r:id="rId17"/>
    <sheet state="visible" name="컨설팅" sheetId="15" r:id="rId18"/>
  </sheets>
  <definedNames>
    <definedName hidden="1" localSheetId="3" name="_xlnm._FilterDatabase">'기능'!$A$5:$T$451</definedName>
  </definedNames>
  <calcPr/>
  <extLst>
    <ext uri="GoogleSheetsCustomDataVersion2">
      <go:sheetsCustomData xmlns:go="http://customooxmlschemas.google.com/" r:id="rId19" roundtripDataChecksum="XmcLdCbPcpIGXXC8cJBbUFuaADvIo43YTGUWQ4qyyb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362">
      <text>
        <t xml:space="preserve">======
ID#AAACGHkfa4w
kyle park    (2026-08-27 06:16:05)
SFR-021에서 구축하는 기관명 약칭사전·정규화 로직을 SFR-022의 기관명 인식에 공유·재사용하는 구조를 희망</t>
      </text>
    </comment>
  </commentList>
  <extLst>
    <ext uri="GoogleSheetsCustomDataVersion2">
      <go:sheetsCustomData xmlns:go="http://customooxmlschemas.google.com/" r:id="rId1" roundtripDataSignature="AMtx7mg9xIabI4ti3h4ki8FHchV1BdbunQ=="/>
    </ext>
  </extLst>
</comments>
</file>

<file path=xl/sharedStrings.xml><?xml version="1.0" encoding="utf-8"?>
<sst xmlns="http://schemas.openxmlformats.org/spreadsheetml/2006/main" count="9824" uniqueCount="3918">
  <si>
    <t>제개정 이력</t>
  </si>
  <si>
    <t>요구사항(기능, 비기능) 총괄 현황</t>
  </si>
  <si>
    <t>번호</t>
  </si>
  <si>
    <t>버전</t>
  </si>
  <si>
    <t>작성일</t>
  </si>
  <si>
    <t>변경내용</t>
  </si>
  <si>
    <t>작성자</t>
  </si>
  <si>
    <t>검토/승인자</t>
  </si>
  <si>
    <t>v.0.5</t>
  </si>
  <si>
    <t>2026.05.12</t>
  </si>
  <si>
    <t>최초 작성</t>
  </si>
  <si>
    <t>권성식</t>
  </si>
  <si>
    <t>-</t>
  </si>
  <si>
    <t>v.0.6</t>
  </si>
  <si>
    <t>2026.05.13</t>
  </si>
  <si>
    <t>요구사항별 수행방안 작성 및 보완</t>
  </si>
  <si>
    <t>구분</t>
  </si>
  <si>
    <t>요구사항정의서-기능</t>
  </si>
  <si>
    <t>v.0.7</t>
  </si>
  <si>
    <t>2026.05.14</t>
  </si>
  <si>
    <t>요구사항범위</t>
  </si>
  <si>
    <t>요구사항정의서 서식 변경</t>
  </si>
  <si>
    <t>분석</t>
  </si>
  <si>
    <t>신용회복위원회 통합 AI 플랫폼 구축</t>
  </si>
  <si>
    <t>v.0.8</t>
  </si>
  <si>
    <t>2026.05.18</t>
  </si>
  <si>
    <t>요구사항정의서 취합, 내용 수정 및 보완</t>
  </si>
  <si>
    <t>담당
수행사</t>
  </si>
  <si>
    <t>설계</t>
  </si>
  <si>
    <t>v.0.9</t>
  </si>
  <si>
    <t>2026.07.21</t>
  </si>
  <si>
    <t>구현/테스트/전개/종료</t>
  </si>
  <si>
    <t>최종 검토 반영: 수행사 표기 및 담당 역할 정정, 최종본 확정</t>
  </si>
  <si>
    <t>김현근</t>
  </si>
  <si>
    <t>비고</t>
  </si>
  <si>
    <t>v.0.99</t>
  </si>
  <si>
    <t>2026.08.20</t>
  </si>
  <si>
    <t>위원회 검토 의견에 따른 수행사 의견 반영</t>
  </si>
  <si>
    <t>사업명</t>
  </si>
  <si>
    <t>요구사항정의서 - 기능·비기능(최종본)</t>
  </si>
  <si>
    <t>제안요청서</t>
  </si>
  <si>
    <t>요구사항명</t>
  </si>
  <si>
    <t>요구사항수</t>
  </si>
  <si>
    <t>v.0.999</t>
  </si>
  <si>
    <t>2026.08.24</t>
  </si>
  <si>
    <t>3차 위원회 검토 의견에 따른 수행사 의견 반영</t>
  </si>
  <si>
    <t>기본</t>
  </si>
  <si>
    <t>신용회복위원회 통합 AI 플랫폼 구축 사업</t>
  </si>
  <si>
    <t>추가</t>
  </si>
  <si>
    <t>합계</t>
  </si>
  <si>
    <t>업무 구분</t>
  </si>
  <si>
    <t>기능 요구사항</t>
  </si>
  <si>
    <t>CCRS-REQ-02-01(요구사항정의서-기능, 비기능)</t>
  </si>
  <si>
    <t>기능</t>
  </si>
  <si>
    <t>단계</t>
  </si>
  <si>
    <t>요구분석, 설계, 구현, 테스트, 전개</t>
  </si>
  <si>
    <t>작성일자</t>
  </si>
  <si>
    <t>SFR-001</t>
  </si>
  <si>
    <t>AI 통합 포털 기능 구현</t>
  </si>
  <si>
    <t>Q</t>
  </si>
  <si>
    <t>제논</t>
  </si>
  <si>
    <t>요구사항 분류</t>
  </si>
  <si>
    <t>요구사항 고유번호</t>
  </si>
  <si>
    <t>요구사항 명</t>
  </si>
  <si>
    <t>정의</t>
  </si>
  <si>
    <t>상세요구사항ID</t>
  </si>
  <si>
    <t>상세요구사항명</t>
  </si>
  <si>
    <t>상세요구사항 설명</t>
  </si>
  <si>
    <t>요구사항 출처</t>
  </si>
  <si>
    <t>담당 수행사</t>
  </si>
  <si>
    <t>제약사항 및 처리(수행)방안</t>
  </si>
  <si>
    <t>위원회 검토 의견</t>
  </si>
  <si>
    <t>산출정보(RFP 기준)</t>
  </si>
  <si>
    <t>산출물(방법론 테일러링 결과서)</t>
  </si>
  <si>
    <t>요구사항 상태</t>
  </si>
  <si>
    <t>중요도</t>
  </si>
  <si>
    <t>SFR-002</t>
  </si>
  <si>
    <t>담당자</t>
  </si>
  <si>
    <t>문서 파싱·청킹 및 전처리 기능</t>
  </si>
  <si>
    <t>완료여부</t>
  </si>
  <si>
    <t>수행사 수용 여부</t>
  </si>
  <si>
    <t>위원회 수용 여부</t>
  </si>
  <si>
    <t>비고(변경처리내역 등)</t>
  </si>
  <si>
    <t>[포털] AI 통합 포털, 인증·세션, 알림·공지, 법규 준수, 폐쇄망 운영 기능 제공</t>
  </si>
  <si>
    <t>SFR-001-01-01</t>
  </si>
  <si>
    <t>단일 포털 진입점 및 메뉴 통합</t>
  </si>
  <si>
    <t>시스템은 AI 서비스, MLOps 운영, 플랫폼 관리 기능 전체를 단일 웹 UI에서 접근할 수 있는 통합 포털 제공하여야 한다.</t>
  </si>
  <si>
    <t>SFR-003</t>
  </si>
  <si>
    <t>RFP</t>
  </si>
  <si>
    <t>지식화 파이프라인·분류·시점관리 및 벡터 인덱스</t>
  </si>
  <si>
    <t>플랫폼 통합 포털, 메뉴 통합, IAM 권한 기능 적용</t>
  </si>
  <si>
    <t>· 화면설계서
 · 사용자 매뉴얼
 · 관리자 매뉴얼</t>
  </si>
  <si>
    <t>㈜제논</t>
  </si>
  <si>
    <t>완료</t>
  </si>
  <si>
    <t>수용</t>
  </si>
  <si>
    <t>SFR-001-01-02</t>
  </si>
  <si>
    <t>시스템은 (통합 메뉴) 서비스 허브, 모니터링, 정책변경, 보안, 감사/로그 등 하위 메뉴 통합 제공하여야 한다.</t>
  </si>
  <si>
    <t xml:space="preserve">[Before]
서비스 허브는 AI 통합 포털 서비스로 구현하고, 모니터링, 정책 변경, 보안, 감사/로그는 GenOS 플랫폼 기능 적용
[After]
서비스 허브는 어드바이저, 어시스턴트 서비스로 구현하고, 모니터링, 정책 변경, 보안 감사/로그는 GenOS 플랫폼(AI 포탈) 기능 적용
</t>
  </si>
  <si>
    <t>SFR-004</t>
  </si>
  <si>
    <t>J열은 서비스 허브(AI 통합 포털)와 관리 기능(GenOS 플랫폼)을 상이한 시스템으로 기재하고 있어, SFR-001-01-01의 '단일 웹 UI 접근' 요건 충족 여부가 불명확함. 사용자가 두 시스템을 별도 화면·별도 주소로 이용하게 되는지, 단일 포털 내 메뉴로 통합되는지 화면 설계서로 확인 요망.</t>
  </si>
  <si>
    <t>검색 최적화 및 질의 처리 기능</t>
  </si>
  <si>
    <t>SFR-001-01-03</t>
  </si>
  <si>
    <t>(권한별 접근) 사용자 권한(운영자/권한을 부여받은 사용자/일반 사용자)에 따라 접근 가능 기능 영역 구분</t>
  </si>
  <si>
    <t>플랫폼 IAM 기능과 SSO 연동을 통해 기능 구현</t>
  </si>
  <si>
    <t>SFR-005</t>
  </si>
  <si>
    <t>컨텍스트 구성 및 답변 신뢰성·출처 검증 기능</t>
  </si>
  <si>
    <t>SFR-001-01-04</t>
  </si>
  <si>
    <t>(단일 세션) 포털 내 모든 영역 간 전환 시 재인증 없이 단일 세션 유지</t>
  </si>
  <si>
    <t>[Before]
JSON Web Token으로 구현</t>
  </si>
  <si>
    <t>JWT 적용만으로는 SFR-001-01-02의 이원 구성(AI 통합 포털 ↔ GenOS 플랫폼) 간 재인증 없는 전환이 보장되는지 확인 어려울 것으로 예상. 두 영역 간 세션 연계 방식, 토큰 유효기간·갱신 정책, 로그아웃 시 토큰 무효화 처리방안에 대해 추가 수행방안 요청</t>
  </si>
  <si>
    <t>SFR-001-02-01</t>
  </si>
  <si>
    <t>사용자 인증 및 세션 관리</t>
  </si>
  <si>
    <t>시스템은 로그인·로그아웃·비밀번호 변경 등 사용자 인증 기능 및 세션 관리 기능 제공하여야 한다.</t>
  </si>
  <si>
    <t>- 반디의 로그인 화면 이용
- 로그아웃 시 실제로 업무 시스템이 로그아웃 되는 것이 아닌 창 닫기는 것으로 정의
- 비밀번호 변경 기능은 제공하지 않음</t>
  </si>
  <si>
    <t>SFR-006</t>
  </si>
  <si>
    <t>표준 서식 템플릿 매핑 및 HWPX 변환 기능</t>
  </si>
  <si>
    <t>SFR-001-02-02</t>
  </si>
  <si>
    <t>(SSO 연동) SSO 연동을 지원하며, 연동 방식 및 대상 시스템은 위원회와 협의</t>
  </si>
  <si>
    <t>신복위 SSO 정책에 따라 적용하며 대상 시스템은 위원회 협의에 따라 적용</t>
  </si>
  <si>
    <t>SFR-007</t>
  </si>
  <si>
    <t>대화 관리 및 프롬프트 라이브러리 기능</t>
  </si>
  <si>
    <t>SFR-001-02-03</t>
  </si>
  <si>
    <t>(권한 관리) 역할 기반 접근 제어(RBAC) 적용, 기존 위원회 인사체계 준용</t>
  </si>
  <si>
    <t>신복위 인사체계를 준용하여 RBAC 기반 플랫폼 IAM 기능 적용</t>
  </si>
  <si>
    <t>SFR-008</t>
  </si>
  <si>
    <t>피드백 기반 품질 개선 및 골든셋 평가 기능</t>
  </si>
  <si>
    <t>SFR-001-03-01</t>
  </si>
  <si>
    <t>사용자 알림·공지 및 매뉴얼</t>
  </si>
  <si>
    <t>시스템은 사용자별 알림 표시, 공지사항 조회·팝업, 화면별 매뉴얼 페이지 이동 기능 제공하여야 한다.</t>
  </si>
  <si>
    <r>
      <rPr>
        <rFont val="Malgun Gothic"/>
        <color theme="1"/>
        <sz val="9.0"/>
      </rPr>
      <t xml:space="preserve">플랫폼의 알림, 공지사항 기능 적용, 화면별 매뉴얼 페이지 이동 기능 구현
</t>
    </r>
    <r>
      <rPr>
        <rFont val="맑은 고딕"/>
        <color rgb="FFFF0000"/>
        <sz val="9.0"/>
      </rPr>
      <t>상기 매뉴얼 페이지 이동 기능 구현을 위해 매뉴얼은 기본적으로 gitbook.io 형태로 제공 및 pdf export 기능 제공</t>
    </r>
    <r>
      <rPr>
        <rFont val="맑은 고딕"/>
        <color rgb="FF0000FF"/>
        <sz val="9.0"/>
      </rPr>
      <t xml:space="preserve">
</t>
    </r>
    <r>
      <rPr>
        <rFont val="맑은 고딕"/>
        <color theme="1"/>
        <sz val="9.0"/>
      </rPr>
      <t xml:space="preserve">
[Advisor]
- 공시사항 및 공지 팝업 기능 구현
- 별도의 사용자 알림 미제공, 가드레일 위반 시 대화 응답(disclaimer)으로 경고</t>
    </r>
  </si>
  <si>
    <t>SFR-001-04-01</t>
  </si>
  <si>
    <t>AI 서비스 직접 이용</t>
  </si>
  <si>
    <t>SFR-009</t>
  </si>
  <si>
    <t>포털 화면 내에서 AI 서비스를 직접 이용할 수 있으며, 서비스 간 전환 시 대화 세션 유지</t>
  </si>
  <si>
    <t>RAG 품질 및 성능 통합 모니터링 대시보드</t>
  </si>
  <si>
    <t>포털 화면 내에서 AI 서비스 엔드포인트 접근 기능 적용, 서비스 간 전환 시 대화 세션 유지 기능 구현</t>
  </si>
  <si>
    <t>SFR-001-05-01</t>
  </si>
  <si>
    <t>MLOps 및 관리 기능 접근
※ 구체적인 UI 구성 방식은 사업자 제안 후 위원회와 협의하여 확정</t>
  </si>
  <si>
    <t>운영자·관리자가 포털 내에서 모델 서빙, 학습 관리, 데이터 관리, 자원 할당 등 MLOps 운영 기능에 접근 가능</t>
  </si>
  <si>
    <r>
      <rPr>
        <rFont val="맑은 고딕"/>
        <color rgb="FF0000FF"/>
        <sz val="9.0"/>
      </rPr>
      <t xml:space="preserve">[Before]
포털내에서 운영자, 관리자가 모델 서빙, 학습 관리, 데이터 관리, 자원 할당 등 MLOps 운영 기능에 접근 가능하도록 기능 구현
</t>
    </r>
    <r>
      <rPr>
        <rFont val="맑은 고딕"/>
        <color rgb="FFFF0000"/>
        <sz val="9.0"/>
      </rPr>
      <t>(구체적인 UI 구성 방식은 위원회와 협의하여 확정)</t>
    </r>
    <r>
      <rPr>
        <rFont val="맑은 고딕"/>
        <color rgb="FF0000FF"/>
        <sz val="9.0"/>
      </rPr>
      <t xml:space="preserve">
[After]
포털내에서 운영자, 관리자가 모델 서빙, 학습 관리, 데이터 관리, 자원 할당 등 MLOps 운영 기능에 접근 가능하도록 기능 구현
시안 A, B안 제공
</t>
    </r>
  </si>
  <si>
    <t>UI 설계 전 타사 사례 및 참고할만한 시안을 먼저 제공 요청</t>
  </si>
  <si>
    <t>SFR-010</t>
  </si>
  <si>
    <t>SFR-001-05-02</t>
  </si>
  <si>
    <t>Web 기반 UI 샌드박스 및 정책 변경관리 기능</t>
  </si>
  <si>
    <t>시스템은 (영역 구분) 생성형 AI 서비스 영역과 MLOps 운영 영역을 메뉴 또는 탭 구조로 구분 제공하여야 한다.</t>
  </si>
  <si>
    <t>플랫폼에 구현된 서비스를 활용하여 생성형AI 서비스와 MLOps서비스 영역을 메뉴로 구분하여 적용</t>
  </si>
  <si>
    <t>SFR-001-06-01</t>
  </si>
  <si>
    <t>법규 준수 및 운영 조건</t>
  </si>
  <si>
    <t>(법령 준수) 「인공지능 발전과 신뢰 기반 조성 등에 관한 기본법」 및 동법 시행령을 준수하여야 한다.</t>
  </si>
  <si>
    <r>
      <rPr>
        <rFont val="맑은 고딕"/>
        <color rgb="FF0000FF"/>
        <sz val="9.0"/>
      </rPr>
      <t xml:space="preserve">[Before]
해당 법령 및 가이드라인을 준수하여 개발
</t>
    </r>
    <r>
      <rPr>
        <rFont val="맑은 고딕"/>
        <color rgb="FFFF0000"/>
        <sz val="9.0"/>
      </rPr>
      <t>(추가 논의 필요한 사항은 별도 위원회와 협의하여 적용)</t>
    </r>
    <r>
      <rPr>
        <rFont val="맑은 고딕"/>
        <color rgb="FF0000FF"/>
        <sz val="9.0"/>
      </rPr>
      <t xml:space="preserve">
</t>
    </r>
    <r>
      <rPr>
        <rFont val="맑은 고딕"/>
        <color rgb="FF0000FF"/>
        <sz val="9.0"/>
      </rPr>
      <t xml:space="preserve">[After]
해당 법령과 「개인정보 보호법」 및 동법 시행령, 「신용정보의 이용 및 보호에 관한 법률」 및 동법 시행령  및 가이드라인을 준수하여 개발
</t>
    </r>
    <r>
      <rPr>
        <rFont val="맑은 고딕"/>
        <color rgb="FFFF0000"/>
        <sz val="9.0"/>
      </rPr>
      <t>(추가 논의 필요한 사항은 별도 위원회와 협의하여 적용)</t>
    </r>
    <r>
      <rPr>
        <rFont val="맑은 고딕"/>
        <color rgb="FF0000FF"/>
        <sz val="9.0"/>
      </rPr>
      <t xml:space="preserve">
</t>
    </r>
  </si>
  <si>
    <t>준수 대상은 인공지능기본법 외 「개인정보 보호법」 및 동법 시행령, 「신용정보의 이용 및 보호에 관한 법률」 및 동법 시행령을 포함</t>
  </si>
  <si>
    <t>SFR-011</t>
  </si>
  <si>
    <t>보안 가드레일·PII 관리 및 감사 로그 기능</t>
  </si>
  <si>
    <t>SFR-001-06-02</t>
  </si>
  <si>
    <t>SFR-012</t>
  </si>
  <si>
    <t>플랫폼 자원·LLM 모델 통합 관리 기능</t>
  </si>
  <si>
    <t>(가이드라인 반영) 「금융분야 생성형 AI 활용 지원방안」(금융위원회) 및 「금융 AI 7대 원칙」을 참조하여 시스템 설계·운영에 반영하여야 한다.</t>
  </si>
  <si>
    <r>
      <rPr>
        <rFont val="맑은 고딕"/>
        <color rgb="FF0000FF"/>
        <sz val="9.0"/>
      </rPr>
      <t xml:space="preserve">[Before]
「금융분야 생성형 AI 활용 지원방안」(금융위원회) 및 「금융 AI 7대 원칙」을 참조하여 시스템 설계·운영에 반영
</t>
    </r>
    <r>
      <rPr>
        <rFont val="맑은 고딕"/>
        <color rgb="FFFF0000"/>
        <sz val="9.0"/>
      </rPr>
      <t>(추가 논의 필요한 사항은 별도 위원회와 협의하여 적용)</t>
    </r>
    <r>
      <rPr>
        <rFont val="맑은 고딕"/>
        <color rgb="FF0000FF"/>
        <sz val="9.0"/>
      </rPr>
      <t xml:space="preserve">
</t>
    </r>
    <r>
      <rPr>
        <rFont val="맑은 고딕"/>
        <color rgb="FF0000FF"/>
        <sz val="9.0"/>
      </rPr>
      <t xml:space="preserve">
[After]
「금융분야 생성형 AI 활용 지원방안」(금융위원회), 과기정통부·개인정보보호위원회·금융감독원·금융위원회·국가정보원 가이드라인 및 「금융 AI 7대 원칙」을 참조하여 시스템 설계·운영에 반영
</t>
    </r>
    <r>
      <rPr>
        <rFont val="맑은 고딕"/>
        <color rgb="FFFF0000"/>
        <sz val="9.0"/>
      </rPr>
      <t>(추가 논의 필요한 사항은 별도 위원회와 협의하여 적용)</t>
    </r>
    <r>
      <rPr>
        <rFont val="맑은 고딕"/>
        <color rgb="FF0000FF"/>
        <sz val="9.0"/>
      </rPr>
      <t xml:space="preserve">
</t>
    </r>
  </si>
  <si>
    <t>다음 가이드라인을 시스템 설계 및  운영에 반영
 - [과학기술정보통신부] 인공지능기본법 하위 가이드라인(고영향 인공지능 판단 가이드라인, 고영향 인공지능 사업자 책무 가이드라인, 인공지능 영향평가 가이드라인, 인공지능 투명성 확보 가이드라인, 인공지능 안전성 확보 가이드라인
- [개인정보보호위원회] 자동화된 결정에 대한 정보주체의 권리 안내서, 생성형 인공지능(AI) 개발 및 활용을 위한 처리 안내서, 가명정보 처리 가이드라인, 개인정보 영향평가 수행안내서, 공공 AX 프라이버시 보호 안내성(안)
- [금융감독원] 금융분야 AI 위험관리 프레임워크(AI RMF)
- [금융위원회] 금융분유야 가명, 익명처리 안내서
- [국가정보원] 국가, 공공기관 AI 보안 가이드북</t>
  </si>
  <si>
    <t>SFR-013</t>
  </si>
  <si>
    <t>AI 사전 구축 서비스(Agent) 통합 운영 기능</t>
  </si>
  <si>
    <t>SFR-001-06-03</t>
  </si>
  <si>
    <t>(변경 대응) 관련 법률·가이드라인의 제·개정 시 위원회와 협의하여 운영에 반영할 수 있는 절차를 수립하여야 한다.</t>
  </si>
  <si>
    <t xml:space="preserve">[Before]
관련 법률·가이드라인의 제·개정 시 위원회와 협의하여 시스템 적용 범위를 도출하고, 사업기간 내 적용 가능한 범위내에서 기능 구현
[After]
관련 법률·가이드라인의 제·개정 시 위원회와 협의하여 시스템 적용 범위를 도출하고, 사업기간 내 적용 가능한 범위내에서 기능 구현
사업기간 중에는 수행사 PM·보안담당이 법령 및 가이드라인 제·개정을 정기 모니터링하고 영향분석·위원회 승인 후 반영
운영 이관 시에는 모니터링 대상, 담당부서, 검토·승인·반영 절차와 이력관리 방법을 운영 Runbook으로 인계
</t>
  </si>
  <si>
    <t>제/개정 모니터링 대상은 K17의 법령 전체 및 K18의 가이드라인·안내서 전체. 다만 J열의 '사업기간 내'와 관련하여, 사업기간 중 모니터링 주체와 운영 이관 후 절차(위원회 인계 범위)를 구분하여 명시 요망.</t>
  </si>
  <si>
    <t>SFR-014</t>
  </si>
  <si>
    <t>콜센터 상담 어시스턴트 구축</t>
  </si>
  <si>
    <t>위고</t>
  </si>
  <si>
    <t>SFR-001-07-01</t>
  </si>
  <si>
    <t>폐쇄망 운영 전제
※ 망 구성(내부망/대외망/DMZ) 세부사항은 위원회와 협의하여 확정</t>
  </si>
  <si>
    <t>모든 컴포넌트가 외부 인터넷 완전 차단된 폐쇄망 환경에서 100% 독립 작동</t>
  </si>
  <si>
    <t>온프레미스 환경에서 100% 독립 작동할 수 있도록 기능 구현
(플랫폼은 온프레미스 환경에서 100% 독립 작동 가능함)
(망 구성(내부망/대외망/DMZ) 세부사항은 위원회와 협의하여 확정)</t>
  </si>
  <si>
    <t>SFR-015</t>
  </si>
  <si>
    <t>Agent 상담지식</t>
  </si>
  <si>
    <t>SFR-001-07-02</t>
  </si>
  <si>
    <t>시스템은 (외부 연동) 외부 데이터 수집은 대외망에서 수행, 내부망 반입 시 승인·검증·무해화 절차 적용하여야 한다.</t>
  </si>
  <si>
    <t xml:space="preserve">[Before]
외부데이터 수집은 위원회로부터 승인된 방식으로 수집하며, 내부망 반입 필요 시 위원회 승인, 검증, 무해화 절차를 통해 반입
[After]
외부데이터 수집은 위원회로부터 승인된 방식으로 수집하며, 내부망 반입 필요 시 위원회 승인, 검증, 무해화 절차를 통해 반입
(위원회 기존 보안체계를 이용)
</t>
  </si>
  <si>
    <t>J열의 '위원회 승인, 검증, 무해화 절차'가 위원회 기존 보안체계를 이용한다는 의미인지, 본 사업에서 해당 절차·수단을 구축한다는 의미인지 불명확함.</t>
  </si>
  <si>
    <t>SFR-016</t>
  </si>
  <si>
    <t>Agent 데이터길잡이</t>
  </si>
  <si>
    <t>SFR-001-07-03</t>
  </si>
  <si>
    <t>(모델 반입) 오픈소스 LLM 등 외부 패키지는 오프라인 방식 반입, 보안 검증 필수</t>
  </si>
  <si>
    <r>
      <rPr>
        <rFont val="맑은 고딕"/>
        <color rgb="FF0000FF"/>
        <sz val="9.0"/>
      </rPr>
      <t xml:space="preserve">[Before]
LLM, 임베딩 모델은 huggingface safety checker로 검증된 모델만 반입하고, 패키지는 라이브러리 취약점 점검 후 반입
[After]
LLM, 임베딩 모델은 huggingface safety checker로 검증된 모델만 반입하고, 패키지는 라이브러리 취약점 점검 후 반입
외부 데이터 반입은 위원회 기존 보안 반입·승인·검증·무해화 절차를 준용
본 사업에서는 해당 절차를 준수하기 위한 반입 체크리스트, 파일 검증·이력 기록 및 연계 기능을 제공하며, </t>
    </r>
    <r>
      <rPr>
        <rFont val="맑은 고딕"/>
        <color rgb="FFFF0000"/>
        <sz val="9.0"/>
      </rPr>
      <t>추가 보안수단이 필요한 경우 별도 협의하여 확정</t>
    </r>
    <r>
      <rPr>
        <rFont val="맑은 고딕"/>
        <color rgb="FF0000FF"/>
        <sz val="9.0"/>
      </rPr>
      <t xml:space="preserve">
</t>
    </r>
  </si>
  <si>
    <t>허깅페이스의 'safety checker'은 통상 생성 이미지의 유해 콘텐츠 필터 로 알고 있음. 이는 보안 취약점 검사와 다른 개념으로 이해. 폐쇄망 반입에 필요한 것은 모델 파일에 악성코드가 숨어 있는 지 확인하는 검사와 파일 무결성 검증이므로 수행방안에 대한 보완 필요. 폐쇄망에서는 허깅페이스 접속이 불가하므로, '검증'을 어디서 언제  어떻게 수행할지에 대한 수행 방안 제시 필요</t>
  </si>
  <si>
    <t>SFR-017</t>
  </si>
  <si>
    <t>STT 데이터 기반 표준 상담 스크립트 개발</t>
  </si>
  <si>
    <t>위고
PWC
제논</t>
  </si>
  <si>
    <t>실시간 추천은 SFR-014로 분리. STT 이력 분석→질문 단위 Q&amp;A 스크립트 설계·검증·승인 체계로 정의</t>
  </si>
  <si>
    <t>[데이터 수집·전처리] 비정형 문서 파싱·정규화, HWP 변환, 청킹 전략, 검수·교정, 지식 등록·승인</t>
  </si>
  <si>
    <t>SFR-002-01-01</t>
  </si>
  <si>
    <t>통합 데이터 처리 및 정규화</t>
  </si>
  <si>
    <t>시스템은 다양한 형식의 비정형 문서를 자동으로 파싱하고 구조화된 형태로 정규화하는 기능 제공하여야 한다.</t>
  </si>
  <si>
    <t>SFR-018</t>
  </si>
  <si>
    <t>Agent 문서작성 지원</t>
  </si>
  <si>
    <t>HWP, HWPX, PDF, DOCX, XLSX, PPTX 등 주요 문서 구조화 및 Semantic Chunking 기능 적용
(단, HWP는 PDF로 변환하여 적용)</t>
  </si>
  <si>
    <t>· 비정형 문서 구조화 내역서
 · 데이터 흐름도 및 파이프라인 설계서
 · 테이블 정의서</t>
  </si>
  <si>
    <t>SFR-002-01-02</t>
  </si>
  <si>
    <t>SFR-019</t>
  </si>
  <si>
    <t>시스템은 (지원 포맷) HWP, HWPX, PDF, DOCX, XLSX, PPTX 등 주요 문서 형식 지원하여야 한다.</t>
  </si>
  <si>
    <t>Agent 민원처리 지원</t>
  </si>
  <si>
    <t>HWP, HWPX, PDF, DOCX, XLSX, PPTX 등 주요 문서 형식 지원
(단, HWP는 PDF로 변환하여 적용)</t>
  </si>
  <si>
    <t>SFR-002-01-03</t>
  </si>
  <si>
    <t>시스템은 (구성요소 추출) 텍스트·표·이미지를 요소별로 분리·추출하며, 표 파싱 시 행·열 구조 보존하여야 한다.</t>
  </si>
  <si>
    <t>지능형 전처리기(Doc Parser) 기능 적용하여 구성요소 추출 및 구조 보존 적용</t>
  </si>
  <si>
    <t>SFR-020</t>
  </si>
  <si>
    <t>Agent 업무담당자 검색</t>
  </si>
  <si>
    <t>SFR-002-01-04</t>
  </si>
  <si>
    <t>(OCR 처리) 스캔 PDF, 문서 내 삽입 이미지 등에 VLM/OCR을 적용 하여 텍스트 추출</t>
  </si>
  <si>
    <r>
      <rPr>
        <rFont val="맑은 고딕"/>
        <color rgb="FF0000FF"/>
        <sz val="9.0"/>
      </rPr>
      <t xml:space="preserve">[Before]
Image Description 기능을 통해 스캔 PDF, 문서 내 삽입 이미지 등에서 텍스트 추출
[After]
스캔 PDF·이미지의 문자 원문 추출은 VLM 수행하고, 도표·그림의 의미 설명은 Image Description을 보조적으로 적용하여 기능을 구분
위원회 샘플 문서로 본문·표·특수문자 인식 품질을 선행 검증하고, </t>
    </r>
    <r>
      <rPr>
        <rFont val="맑은 고딕"/>
        <color rgb="FFFF0000"/>
        <sz val="9.0"/>
      </rPr>
      <t>기준 미달 문서는 수동 검수 대상으로 분류</t>
    </r>
  </si>
  <si>
    <t>G열은 'VLM/OCR 적용'을 명시하고 있으나 J열의 Image Description은 이미지 설명문 생성 기능으로 문자 인식(OCR)과 상이함. 스캔 PDF의 본문 텍스트를 원문 그대로 추출하는 기능인지 확인 요청</t>
  </si>
  <si>
    <t>SFR-021</t>
  </si>
  <si>
    <t>Agent 협약기관 검색</t>
  </si>
  <si>
    <t>SFR-002-01-05</t>
  </si>
  <si>
    <t>시스템은 (노이즈 제거) 불필요한 머리글·바닥글 제거, 연속 공백·개행 통일, 특수 기호 보존 등 정규화 처리하여야 한다.</t>
  </si>
  <si>
    <t>지능형 전처리기 기능을 통해 Item 유형 파악 및 노이즈 제거</t>
  </si>
  <si>
    <t>SFR-002-01-06</t>
  </si>
  <si>
    <t>(비정형 문서 구조화) 비정형 문서를 논리적 단위(장/절/조항/항목 등)로 구조화하는 기능 제공. 문서 내 표·그래프·사진 등 복합 객체를 자동 식별·분류하며, 표는 셀 단위 인식 및 행·열 구분 가능.</t>
  </si>
  <si>
    <t>SFR-022</t>
  </si>
  <si>
    <t>지능형 전처리기 기능을 통해 구조화, 복합 객체 자동 식별·분류, 표는 셀 단위 인식 및 행·열 구분</t>
  </si>
  <si>
    <t>Agent 채권양수도 추론</t>
  </si>
  <si>
    <t>SFR-002-02-01</t>
  </si>
  <si>
    <t>HWP 표준 변환 파이프라인
※ HWP 파싱에 상용 솔루션 도입 시 해당 비용을 제안가에 포함. 오픈소스 활용 시 BMT 결과 제출 필요</t>
  </si>
  <si>
    <t>시스템은 HWP 원본의 파싱 품질 확보를 위한 HWP → PDF 변환 파이프라인 제공하여야 한다.</t>
  </si>
  <si>
    <t>[Before]
Doc Parser v2.2.0 이상에서 기능 제공
(HWP 파싱에 사용하는 솔루션은 수행사 솔루션으로 제안가에 포함되어 있으머 따라서, BMT는 해당사항 없음)
[After]
Doc Parser v2.2.0 이상에서 기능 제공
대량 적재 전 위원회 제공 HWPX 샘플을 대상으로 초기 품질 테스트를 수행</t>
  </si>
  <si>
    <t>상용 솔루션이나 오픈소스가 아닌 제논 자사 파서 솔루션으로 이해됨. HWP 파싱 품질이 본 사업에 대단히 큰 비중을 차지하므로, 이 부분에 대한 초기 품질 테스트가 선행되어야 할 것으로 판단됨.</t>
  </si>
  <si>
    <t>SFR-002-02-02</t>
  </si>
  <si>
    <t>(품질 검증) 변환 과정의 레이아웃 손실, 표 깨짐, 특수문자 누락 등 자동 검출 기능</t>
  </si>
  <si>
    <t>SFR-023</t>
  </si>
  <si>
    <t>변환 과정의 레이아웃 손실, 표 깨짐, 특수문자 누락 등 자동 검출 기능 제공, 플랫폼의 Admin 화면에서 확인 가능</t>
  </si>
  <si>
    <t>Agent 사내규정 검색</t>
  </si>
  <si>
    <t>SFR-002-02-03</t>
  </si>
  <si>
    <t>시스템은 (원본 대조) 변환 결과물에 대한 원본 대조 미리보기 기능 제공하여야 한다.</t>
  </si>
  <si>
    <t>사내규정 검색 + 국가법령정보 공동활용 OPEN API 8종(목록/본문) 연계, As-of-Date·원문 출처 표시</t>
  </si>
  <si>
    <t>플랫폼을 통해 변환 결과물에 대한 원본 대조 미리보기 기능 제공</t>
  </si>
  <si>
    <t>SFR-024</t>
  </si>
  <si>
    <t>차기 변제금 납입 가능성 예측 모델 구축</t>
  </si>
  <si>
    <t>SFR-002-03-01</t>
  </si>
  <si>
    <t>청킹(Chunking) 전략 설정 및 적용
※ 기본 청킹 전략 및 청크 크기 권장 범위는 구축 시 위원회와 협의하여 확정</t>
  </si>
  <si>
    <t>시스템은 문서 유형 및 구조에 따라 최적화된 청킹 전략을 적용하고 관리자가 파라미터를 조정할 수 있는 기능 제공하여야 한다.</t>
  </si>
  <si>
    <t>PWC/제논</t>
  </si>
  <si>
    <t>[Before]
플랫폼에서 벡터 DB 적재 시 chunk_size 등 청킹 파라미터 지정 기능 제공
(기본 청킹 전략 및 청크 크기 권장 범위는 구축 시 위원회와 협의하여 확정)
[After]
플랫폼에서 벡터 DB 적재 시 문서 유형별 청킹 전략(구조/의미 기반), chunk size, overlap 등 파라미터를 조회·수정할 수 있도록 Web UI 제공
(기본 청킹 전략 및 청크 크기 권장 범위는 구축 시 위원회와 협의하여 확정)</t>
  </si>
  <si>
    <t>'청크 크기' 등 파라미터 변수는 관리자가 Web UI 수정 기능 필요. 청킹 전략, 청크 크기 등은 실제 학습 문서를 처리하면서 최적의 값을 조정하는 방향으로 진행 요청</t>
  </si>
  <si>
    <t>SFR-002-03-02</t>
  </si>
  <si>
    <t>SFR-025</t>
  </si>
  <si>
    <t>(구조 분석) 문서의 의미 및 구조(표, 단락, 조항 등)를 분석하여 맥락이 유지되도록 분할</t>
  </si>
  <si>
    <t>최적 채무조정제도 진단 추천 모델 구축</t>
  </si>
  <si>
    <t>[Before]
플랫폼에서 Semantic Chunking 기능으로 제공
[After]
플랫폼에서 벡터 DB 적재 시 문서 유형별 청킹 전략(구조/의미 기반), chunk size, overlap 등 파라미터를 조회·수정할 수 있도록 Web UI 제공</t>
  </si>
  <si>
    <t>문서 유형별로 구조 기반 분할과 의미 기반 분할을 선택 적용 필요</t>
  </si>
  <si>
    <t>SFR-026</t>
  </si>
  <si>
    <t>소액대출 이용자 연체 예측 모델 구축</t>
  </si>
  <si>
    <t>SFR-002-03-03</t>
  </si>
  <si>
    <t>시스템은 (메타데이터) 청킹 단위별 원문 위치(페이지, 조항 번호 등) 및 문서 식별 정보를 메타데이터로 저장하여야 한다.</t>
  </si>
  <si>
    <t>[Before]
플랫폼에서 메타데이터 저장방식 제공
[After]
플랫폼에서 메타데이터 저장방식 제공
위원회 제공 문서를 분석하여 문서 유형별 메타데이터 초안을 제시
청크에는 문서ID·파일명·페이지·장/절/조항·원문 위치·버전·시행일·출처 경로 등을 저장하고, 최종 항목과 필수 여부는 위원회와 협의하여 확정</t>
  </si>
  <si>
    <t xml:space="preserve">청크 단위로 저장되는 메타데이터 항목 목록에 구체적 협의 필요. 제공한 문서(규정, 방법서 매뉴얼 등)를 통해 어떤 메타 유형을 추출할 수 있는지 초안을 제공 후 구체화하는 방식 희망 </t>
  </si>
  <si>
    <t>SFR-002-03-04</t>
  </si>
  <si>
    <t>(이미지·도식 처리) 문서 내 이미지·도식은 관련 텍스트와 동일 청크에 포함하거나 별도 메타데이터로 연결하여, 검색 시 맥락 유지</t>
  </si>
  <si>
    <t>플랫폼에서 문서 내 이미지·도식은 관련 텍스트와 동일 청크에 포함하거나 별도 메타데이터로 연결하는 기능 제공</t>
  </si>
  <si>
    <t>SFR-027</t>
  </si>
  <si>
    <t>예측모델 관리 대시보드</t>
  </si>
  <si>
    <t>SFR-002-03-05</t>
  </si>
  <si>
    <t>(유형별 규칙) 문서 유형별(협약/세칙/방법서/매뉴얼/FAQ 등) 청킹 규칙 템플릿 기본 제공, 관리자가 웹 UI에서 설정·수정 가능</t>
  </si>
  <si>
    <t>문서 유형별(협약/세칙/방법서/매뉴얼/FAQ 등) 청킹 규칙 템플릿 기본 제공, 관리자가 웹 UI에서 설정·수정 기능 제공</t>
  </si>
  <si>
    <t>SFR-028</t>
  </si>
  <si>
    <t>자동화 및 대응</t>
  </si>
  <si>
    <t>SFR-002-03-06</t>
  </si>
  <si>
    <t>(파라미터 설정) 청크 크기, 오버랩 범위를 관리자 화면에서 조정 가능</t>
  </si>
  <si>
    <t>플랫폼 관리자 화면에서 기능 제공</t>
  </si>
  <si>
    <t>SFR-029</t>
  </si>
  <si>
    <t>실험 및 신규 모델 개발</t>
  </si>
  <si>
    <t>SFR-002-04-01</t>
  </si>
  <si>
    <t>청크 검수 및 교정</t>
  </si>
  <si>
    <t>시스템은 청크 데이터를 관리자가 검수할 수 있는 웹 기반 UI 제공하여야 한다.</t>
  </si>
  <si>
    <t>[Before]
플랫폼에서, 문서 청크 단위 메타 수정 UI 및 문서 전체 단위 메타 수정 UI 제공
[After]
플랫폼에서, 문서 청크 단위 메타 수정 UI 및 문서 전체 단위 메타 수정 UI 제공
청크 검수 화면에서 메타데이터뿐 아니라 청크 본문 텍스트, 원문 위치 및 전후 문맥을 함께 조회·수정할 수 있도록 제공</t>
  </si>
  <si>
    <t>J열은 메타데이터 수정 UI만 기재하고 있어 청크 본문(텍스트) 자체의 검수·수정 가능 여부가 불명확함. SFR-002-04-03(청크 단위 즉시 수정)과 함께 본문 교정 기능 제공 여부를 수행방안에 포함 요청</t>
  </si>
  <si>
    <t>SFR-030</t>
  </si>
  <si>
    <t>시각화 및 실무연계, 노코드 기반 공통 운영</t>
  </si>
  <si>
    <t>SFR-002-04-02</t>
  </si>
  <si>
    <t>시스템은 (자동 플래그) 파싱 오류를 자동 플래그하고 오류 유형별 필터링 기능 제공하여야 한다.</t>
  </si>
  <si>
    <t>적재 성공/실패·에러 로그는 플랫폼에서 제공하고, 파싱 오류 유형별 자동 플래그·필터링은 추가로 개발하여 제공</t>
  </si>
  <si>
    <t>SFR-002-04-03</t>
  </si>
  <si>
    <t>(교정 도구) 청크 단위 즉시 수정 기능 제공, 수정 사항은 벡터 DB에 동기화</t>
  </si>
  <si>
    <t>SFR-031</t>
  </si>
  <si>
    <t>[Before]
플랫폼에서 기능 제공
[After](누락)
청크 수정 저장 시 해당 청크를 재임베딩하여 벡터 저장소에 갱신하고, 반영 상태를 '대기/처리/완료/실패'로 표시
즉시 반영 또는 작업 큐 방식은 처리량을 고려하여 설계 시 확정하며, 반영 시각과 오류·재처리 이력을 제공
특정 청크 단위 즉시 수정은 GUI로 가능.</t>
  </si>
  <si>
    <t>수정 사항의 벡터 DB 동기화 방식(즉시 재임베딩 여부, 반영 시점)을 처리방안에 보완
[3차 검토의견, 260822~23 검토]
'청크 단위 즉시 수정 기능' '수정 사항의 벡터 DB 동기화 방식'에 대해 단순 '플랫폼 기능 제공'보다, 구체적으로 어떻게 운영부서에서 동 기능을 사용할 수 있는 지 협의 필요(환경변수, 파라미터를 통한 수정의 경우 운영부서에서 지속가능한 관리가 어려움)</t>
  </si>
  <si>
    <t>SFR-002-04-04</t>
  </si>
  <si>
    <t>시스템은 (이력 관리) 수정 이력(전·후 버전 비교) 관리 기능 제공하여야 한다.</t>
  </si>
  <si>
    <t>기술협상</t>
  </si>
  <si>
    <t>플랫폼에서 청크·문서 메타 수정 시 전·후 버전 스냅샷 저장, 변경 이력 목록 및 전·후 비교 조회 UI 제공</t>
  </si>
  <si>
    <t>SFR-032</t>
  </si>
  <si>
    <t>SFR-002-05-01</t>
  </si>
  <si>
    <t>파싱 실패 처리</t>
  </si>
  <si>
    <t>시스템은 파싱 불가 또는 품질 기준 미달 문서에 대한 처리 기능 제공하여야 한다.</t>
  </si>
  <si>
    <t>플랫폼에서 실패 문서 목록·에러 로그·재처리/삭제는 제공하고, 품질 기준 미달 자동 처리 정책은 추가로 개발하여 제공</t>
  </si>
  <si>
    <t>SFR-033</t>
  </si>
  <si>
    <t>SFR-002-05-02</t>
  </si>
  <si>
    <t>(오류 큐) 파싱 실패 건을 별도 오류 큐에 자동 격리, 실패 사유 분류·기록</t>
  </si>
  <si>
    <t>[Before]
플랫폼에서 각 적재 문서 별 성공/실패 컬럼 및 실패 시 에러 로그 기능 제공
[After]
플랫폼에서 각 적재 문서 별 성공/실패 컬럼 및 실패 시 분류 사유를 확인할 수 있는 에러 로그 기능 제공</t>
  </si>
  <si>
    <t>G열은 '별도 오류 큐 자동 격리'와 '실패 사유 분류'를 요구하나, J열은 성공/실패 컬럼 표시와 에러 로그만 기재하여 격리 및 사유 유형화에 대한 대응이 없음. 실패 건의 별도 관리 영역 제공 여부와 실패 사유 분류 체계 구현 필요. SFR-002-04-02(오류 유형별 필터링)와 동일 분류 체계 활용</t>
  </si>
  <si>
    <t>SFR-002-05-03</t>
  </si>
  <si>
    <t>시스템은 (관리자 알림) 파싱 실패 발생 시 관리자에게 알림 제공하여야 한다.</t>
  </si>
  <si>
    <t>SFR-034</t>
  </si>
  <si>
    <t>플랫폼에서 실패 발생 시 관리자 능동 알림 발송 기능은 추가 개발하여 제공(적재 화면에서 확인 가능)</t>
  </si>
  <si>
    <t>SFR-002-05-04</t>
  </si>
  <si>
    <t>(재처리) 관리자가 수동 재처리 또는 예외 처리(지식베이스 제외) 가능</t>
  </si>
  <si>
    <t>플랫폼에서 실패 건에 대한 재처리 및 삭제 기능 제공</t>
  </si>
  <si>
    <t>SFR-035</t>
  </si>
  <si>
    <t>SFR-002-06-01</t>
  </si>
  <si>
    <t>지식 등록 및 승인 정책</t>
  </si>
  <si>
    <t>시스템은 지식 등록 방식(수동 업로드/반자동 수집) 및 승인 절차 제공하여야 한다.</t>
  </si>
  <si>
    <t>플랫폼에서 지식 등록 방식(수동 업로드/반자동 수집) 및 승인 절차 제공</t>
  </si>
  <si>
    <t>기능합계</t>
  </si>
  <si>
    <t>SFR-002-06-02</t>
  </si>
  <si>
    <t>시스템은 (등록 방식) 관리자 직접 업로드와 데이터 수집기 기반 반자동 수집을 모두 지원하여야 한다.</t>
  </si>
  <si>
    <t>플랫폼에서 관리자 직접 업로드와 데이터 수집기 기반 반자동 수집기능 제공</t>
  </si>
  <si>
    <t>SFR-002-06-03</t>
  </si>
  <si>
    <t>(승인 대기소) 전처리 완료 결과물은 승인 대기소(Staging)에 보관, 관리자 승인 후 벡터 DB 적재(증분의 경우에만 적용하며, 최초 구축 시에는 ‘승인 대기소’ 개념을 적용하지 아니함)</t>
  </si>
  <si>
    <t>플랫폼 적재 파이프라인에 승인 대기소 단계 추가, 전처리 결과물 대기 보관 후 관리자 승인 시에만 벡터 DB 적재
(증분의 경우에만 적용, 최초 구축 시에는 승인 대기소 개념 적용하지 않음)</t>
  </si>
  <si>
    <t>비기능</t>
  </si>
  <si>
    <t>SFR-002-06-04</t>
  </si>
  <si>
    <t>(승인 이력) 승인 처리 결과(승인·반려·보류)를 처리자, 일시, 사유와 함께 기록·조회</t>
  </si>
  <si>
    <t>성능</t>
  </si>
  <si>
    <t>승인 처리 시 처리자·일시·판정(승인/반려/보류)·사유 이력 기록 및 조회 기능 제공</t>
  </si>
  <si>
    <t>PER-001</t>
  </si>
  <si>
    <t>성능 목표 수립 및 검수 기준 마련</t>
  </si>
  <si>
    <t>SFR-002-06-05</t>
  </si>
  <si>
    <t>(대시보드) 승인 대기 문서 건수 및 상태를 관리자 대시보드에서 확인</t>
  </si>
  <si>
    <t>승인 대기 건수·상태별 현황 위젯을 관리자 대시보드에 추가 개발하여 제공</t>
  </si>
  <si>
    <t>PER-002</t>
  </si>
  <si>
    <r>
      <rPr>
        <rFont val="Malgun Gothic"/>
        <color theme="1"/>
        <sz val="11.0"/>
      </rPr>
      <t>웹 페이지 응답</t>
    </r>
    <r>
      <rPr>
        <rFont val="&quot;맑은 고딕&quot;"/>
        <color theme="1"/>
        <sz val="11.0"/>
      </rPr>
      <t>‧</t>
    </r>
    <r>
      <rPr>
        <rFont val="맑은 고딕"/>
        <color theme="1"/>
        <sz val="11.0"/>
      </rPr>
      <t>문서 변환</t>
    </r>
    <r>
      <rPr>
        <rFont val="&quot;맑은 고딕&quot;"/>
        <color theme="1"/>
        <sz val="11.0"/>
      </rPr>
      <t>‧</t>
    </r>
    <r>
      <rPr>
        <rFont val="맑은 고딕"/>
        <color theme="1"/>
        <sz val="11.0"/>
      </rPr>
      <t>검색 응답 성능</t>
    </r>
  </si>
  <si>
    <t>[데이터 수집·전처리] 지식화 파이프라인, 증분 처리, 데이터 수집기, 문서 유효성·벡터 인덱스 관리</t>
  </si>
  <si>
    <t>PER-003</t>
  </si>
  <si>
    <t>AI 서비스 유형별 동시 접속 및 응답 성능</t>
  </si>
  <si>
    <t>SFR-003-01-01</t>
  </si>
  <si>
    <t>문서 유형별 지식화 파이프라인</t>
  </si>
  <si>
    <t>파이프라인은 구축 유형에 따라 승인 단계 적용 여부가 상이하게 운영됨
· (초기 구축) 파싱 → 자동 분류·메타데이터 추출 → 청킹 → 임베딩 → 벡터 DB 적재 ('승인' 단계 미적용)
· (증분 처리) 파싱 → 자동 분류·메타데이터 추출 → 청킹 → 승인 → 임베딩 → 벡터 DB 적재</t>
  </si>
  <si>
    <t>파싱→메타→청킹→임베딩→적재는 자동 적재로 플랫폼에서 제공, 자동 분류 단계·증분 시 승인 단계는 추가 개발하여 제공</t>
  </si>
  <si>
    <t>· 청킹 결과 대표 샘플
 · 기능 구현 화면 및 시연 결과</t>
  </si>
  <si>
    <t>PER-004</t>
  </si>
  <si>
    <r>
      <rPr>
        <rFont val="Malgun Gothic"/>
        <color theme="1"/>
        <sz val="11.0"/>
      </rPr>
      <t>RAG 응답 정확도</t>
    </r>
    <r>
      <rPr>
        <rFont val="&quot;맑은 고딕&quot;"/>
        <color theme="1"/>
        <sz val="11.0"/>
      </rPr>
      <t>‧</t>
    </r>
    <r>
      <rPr>
        <rFont val="맑은 고딕"/>
        <color theme="1"/>
        <sz val="11.0"/>
      </rPr>
      <t>환각률</t>
    </r>
    <r>
      <rPr>
        <rFont val="&quot;맑은 고딕&quot;"/>
        <color theme="1"/>
        <sz val="11.0"/>
      </rPr>
      <t>‧</t>
    </r>
    <r>
      <rPr>
        <rFont val="맑은 고딕"/>
        <color theme="1"/>
        <sz val="11.0"/>
      </rPr>
      <t>문서 분류</t>
    </r>
  </si>
  <si>
    <t>SFR-003-01-02</t>
  </si>
  <si>
    <t>(자동 분류) 문서 내용을 분석하여 사전 정의된 카테고리별로 자동 분류하는 기능 제공. 위원회 제도별 분류 템플릿 기본 제공
※ 자동 분류 정확도 기준은 검증 데이터셋(위원회 제공)</t>
  </si>
  <si>
    <r>
      <rPr>
        <rFont val="맑은 고딕"/>
        <color rgb="FF0000FF"/>
        <sz val="9.0"/>
      </rPr>
      <t>- 플랫폼에서 기능 제공, 문서 메타데이터 관리 기능 및 Enrichment 기능을 통해 메타데이터로 저장 가능
- 위원회 업무 도메인 카테고리 및 데이터셋에 대해서는 위원회가 제공 예정이며, 요구사항정의서 협의 완료 후 별도 Task로 초안(카데고리, 정답 데이터셋) 제공하겠음</t>
    </r>
    <r>
      <rPr>
        <rFont val="맑은 고딕"/>
        <color rgb="FF0000FF"/>
        <sz val="9.0"/>
      </rPr>
      <t xml:space="preserve">
</t>
    </r>
    <r>
      <rPr>
        <rFont val="맑은 고딕"/>
        <color rgb="FFFF0000"/>
        <sz val="9.0"/>
      </rPr>
      <t>(위원회에서 제공하는 검증 데이터셋으로 자동 분류 정확도 측정)</t>
    </r>
  </si>
  <si>
    <t>SFR-003-01-03</t>
  </si>
  <si>
    <t>(메타데이터 추출) 시행일, 폐지일, 적용대상 등 핵심 메타데이터를 자동 추출하여 부여</t>
  </si>
  <si>
    <t>플랫폼에서 제공, 문서 메타데이터 관리 기능 및 Enrichment 기능을 통해 메타데이터로 저장 가능</t>
  </si>
  <si>
    <t>PER-005</t>
  </si>
  <si>
    <r>
      <rPr>
        <rFont val="Malgun Gothic"/>
        <color theme="1"/>
        <sz val="11.0"/>
      </rPr>
      <t>RAG 이상 징후 탐지</t>
    </r>
    <r>
      <rPr>
        <rFont val="&quot;맑은 고딕&quot;"/>
        <color theme="1"/>
        <sz val="11.0"/>
      </rPr>
      <t>‧</t>
    </r>
    <r>
      <rPr>
        <rFont val="맑은 고딕"/>
        <color theme="1"/>
        <sz val="11.0"/>
      </rPr>
      <t>벡터 DB 복구(RTO)</t>
    </r>
  </si>
  <si>
    <t>SFR-003-01-04</t>
  </si>
  <si>
    <t>(관리자 보정) 자동 분류·메타데이터 추출 결과에 대해 관리자가 재 분류·보정 가능</t>
  </si>
  <si>
    <t>플랫폼에서 자동 분류·메타데이터 추출 결과에 대해 관리자가 재 분류·보정 가능</t>
  </si>
  <si>
    <t>PER-006</t>
  </si>
  <si>
    <t>SFR-003-01-05</t>
  </si>
  <si>
    <t>시스템은 (분류체계 관리) 분류 체계를 관리자가 웹 UI에서 정의·수정· 삭제, 변경 이력 관리하여야 한다.</t>
  </si>
  <si>
    <t>플랫폼에 분류 체계 정의·수정·삭제·변경 이력 전용 관리 UI 추가 개발하여 제공</t>
  </si>
  <si>
    <t>SFR-003-02-01</t>
  </si>
  <si>
    <t>증분 처리 및 변경 감지
※ 실시간 모드 필요 여부 및 적용 범위는 위원회와 협의하여 확정</t>
  </si>
  <si>
    <t>시스템은 변경된 데이터만 식별하여 벡터 DB에 반영하는 증분 처리 기능 제공하여야 한다.</t>
  </si>
  <si>
    <t>PER-007</t>
  </si>
  <si>
    <r>
      <rPr>
        <rFont val="맑은 고딕"/>
        <color rgb="FF0000FF"/>
        <sz val="9.0"/>
      </rPr>
      <t xml:space="preserve">[Before]
플랫폼에서 증분 처리하는 자동 적재 기능 제공
</t>
    </r>
    <r>
      <rPr>
        <rFont val="맑은 고딕"/>
        <color rgb="FFFF0000"/>
        <sz val="9.0"/>
      </rPr>
      <t>(실시간 모드 필요 여부 및 적용 범위는 위원회와 협의하여 확정)</t>
    </r>
    <r>
      <rPr>
        <rFont val="맑은 고딕"/>
        <color rgb="FF0000FF"/>
        <sz val="9.0"/>
      </rPr>
      <t xml:space="preserve">
</t>
    </r>
    <r>
      <rPr>
        <rFont val="맑은 고딕"/>
        <color rgb="FF0000FF"/>
        <sz val="9.0"/>
      </rPr>
      <t xml:space="preserve">
[After]
자동 적재는 변경 감지 후 정해진 주기로 실행되는 배치, 수동 배치는 관리자가 직접 실행하는 방식, 실시간 모드는 이벤트/CDC 기반 즉시 반영 방식으로 구분
</t>
    </r>
    <r>
      <rPr>
        <rFont val="맑은 고딕"/>
        <color rgb="FFFF0000"/>
        <sz val="9.0"/>
      </rPr>
      <t>기본 범위는 자동 배치와 수동 실행으로 하고, 실시간 적용 대상은 데이터 소스별 필요성과 연계 가능성을 검토하여 확정</t>
    </r>
    <r>
      <rPr>
        <rFont val="맑은 고딕"/>
        <color rgb="FF0000FF"/>
        <sz val="9.0"/>
      </rPr>
      <t xml:space="preserve">
</t>
    </r>
  </si>
  <si>
    <t>자동적재와 실시간 모드의 차이점에 대한 회신 요청. 만약 자동적재가 '배치'이고, 실시간 모드가 '수동 배치'라면, 'SFR-003-02-04'에서 이미 수동 배치에 대해 요구하고 수용한 것으로 판단. 잘 못 이해한 것이라면 재검토 요청 필요</t>
  </si>
  <si>
    <t>SFR-003-02-02</t>
  </si>
  <si>
    <t>(변경 감지) 데이터 소스 유형별 변경 감지 방식을 관리자가 웹 UI에서 설정 가능</t>
  </si>
  <si>
    <t>[Before]
RDB의 경우 특정 컬럼을 지정해서 적재, 비정형 데이터의 경우 내장 디렉토리 지정해서 적재, 관리자가 웹 UI에서 설정 기능 제공
[After]
관리자 Web UI에서 데이터 소스별 변경 감지 방식을 타임스탬프·해시·CDC·파일 속성 등으로 선택하고 대상 컬럼·경로를 설정할 수 있도록 제공
변경 감지 정책의 버전과 적용 이력을 함께 관리</t>
  </si>
  <si>
    <t>PER-008</t>
  </si>
  <si>
    <t>G열은 변경 감지 방식(타임스탬프·해시·CDC 등)의 관리자 설정을 요구하나, J열은 감지 대상(컬럼·디렉토리) 지정으로 기재됨.</t>
  </si>
  <si>
    <t>SFR-003-02-03</t>
  </si>
  <si>
    <t>(배치 모드) 배치 주기(시간별/일별/주별 등)를 관리자가 설정 가능 세부내용</t>
  </si>
  <si>
    <t>플랫폼의 자동 적재 기능에서 적재 수행 시간 지정 기능 제공</t>
  </si>
  <si>
    <t>SFR-003-02-04</t>
  </si>
  <si>
    <t>(즉시 실행) 수동 업로드 시 배치 스케줄과 무관하게 전처리 파이프 라인 즉시 실행</t>
  </si>
  <si>
    <t>플랫폼에서 수기 등록시 즉시 실행</t>
  </si>
  <si>
    <t>SFR-003-02-05</t>
  </si>
  <si>
    <t>(반영 이력) 변경 일시, 처리자, 갱신 대상 문서 목록, 인덱싱 완료 여부 기록·조회</t>
  </si>
  <si>
    <t>[Before]
플랫폼에서 파일 이름, 적재 시간, 처리자, 성공/실패 여부 표시 기능 제공
[After]
플랫폼에서 파일 이름, 적재 시간, 처리자, 성공/실패 여부(파일명·적재시간·처리자·성공/실패 포함) 표시 기능 제공</t>
  </si>
  <si>
    <t xml:space="preserve"> '갱신 대상 문서 목록'과 '인덱싱 완료 여부'가 J열 기재 항목(파일명·적재시간·처리자·성공/실패)에 포함되는지 여부</t>
  </si>
  <si>
    <t>시스템 장비</t>
  </si>
  <si>
    <t>ECR-001</t>
  </si>
  <si>
    <t>시스템 납품 및 계약 조건</t>
  </si>
  <si>
    <t>SFR-003-03-01</t>
  </si>
  <si>
    <t>웹 UI 환경 DataOps 및 데이터 수집기
※ 수집 주기 및 방식은 데이터 종류별 특성에 따라 위원회와 협의</t>
  </si>
  <si>
    <t>시스템은 데이터를 자동 또는 수동으로 수집하는 통합 수집기 및 웹 UI 파이프라인 관리 기능 제공하여야 한다.</t>
  </si>
  <si>
    <t>플랫폼 Temporal 기능 사용, 데이터를 자동 또는 수동으로 수집하는 통합 수집기 및 웹 UI 파이프라인 관리 기능 제공</t>
  </si>
  <si>
    <t>SFR-003-03-02</t>
  </si>
  <si>
    <t>(수집 대상) 내부망(업무포털, 기간계 API, 수기 파일 업로드)</t>
  </si>
  <si>
    <t>ECR-002</t>
  </si>
  <si>
    <t>논리 아키텍처 및 서비스 구성</t>
  </si>
  <si>
    <t>플랫폼 Temporal 기능 사용, 내부망(업무포털, 기간계 API, 수기 파일 업로드)</t>
  </si>
  <si>
    <t>SFR-003-03-03</t>
  </si>
  <si>
    <t>(웹 UI 환경) 파이프라인을 웹 UI에서 생성·수정·삭제 하며, 구축 유형에 따라 아래와 같이 구성
· 구축: 수집→파싱→분류→청킹→임베딩
· 증분 처리: 수집→파싱→분류→청킹→승인→임베딩</t>
  </si>
  <si>
    <t>플랫폼 Temporal 기능 사용, 파이프라인을 웹 UI에서 생성·수정·삭제 하며, 구축 유형에 따라 아래와 같이 구성
· 구축: 수집→파싱→분류→청킹→임베딩
· 증분 처리: 수집→파싱→분류→청킹→승인→임베딩</t>
  </si>
  <si>
    <t>ECR-003</t>
  </si>
  <si>
    <t>인프라 및 HW 구성</t>
  </si>
  <si>
    <t>SFR-003-03-04</t>
  </si>
  <si>
    <t>(수집 소스 관리) 수집 소스별 연결 설정 및 수집 이력 조회 기능</t>
  </si>
  <si>
    <t>플랫폼 Temporal 기능 사용, 수집 소스별 연결 설정 및 수집 이력 조회 기능 제공</t>
  </si>
  <si>
    <t>ECR-004</t>
  </si>
  <si>
    <t>SFR-003-04-01</t>
  </si>
  <si>
    <t>운영 및 관리 체계</t>
  </si>
  <si>
    <t>파이프라인 모니터링 및 실행 이력</t>
  </si>
  <si>
    <t>시스템은 지식화 파이프라인 단계별 처리 현황 및 오류를 조회할 수 있는 대시보드 제공하여야 한다.</t>
  </si>
  <si>
    <t>플랫폼 Temporal 기능 사용, 지식화 파이프라인 단계별 처리 현황 및 오류를 조회할 수 있는 대시보드 제공</t>
  </si>
  <si>
    <t>SFR-003-04-02</t>
  </si>
  <si>
    <t>(현황 조회) 단계별 처리 현황(대기/진행/완료/오류) 및 오류 유형별 분류 조회</t>
  </si>
  <si>
    <t>플랫폼 Temporal 기능 사용, 단계별 처리 현황(대기/진행/완료/오류) 및 오류 유형별 분류 조회 기능 제공</t>
  </si>
  <si>
    <t>ECR-005</t>
  </si>
  <si>
    <t>보안 및 성능 품질</t>
  </si>
  <si>
    <t>SFR-003-04-03</t>
  </si>
  <si>
    <t>시스템은 (실행 이력) 실행 일시, 처리 건수, 성공/실패, 소요 시간 조회 및 오류 건 재처리하여야 한다.</t>
  </si>
  <si>
    <t>플랫폼 Temporal 기능 사용, 실행 일시, 처리 건수, 성공/실패, 소요 시간 조회 및 오류 건 재처리 기능 제공</t>
  </si>
  <si>
    <t>ECR-006</t>
  </si>
  <si>
    <t>AI플랫폼 장비 도입</t>
  </si>
  <si>
    <t>SFR-003-04-04</t>
  </si>
  <si>
    <t>(실패 정책) 파이프라인 단계별 실패 시 fallback 정책 적용(오류 큐 격리, 수동 재처리, 관리자 알림 등)</t>
  </si>
  <si>
    <t>플랫폼 Temporal 기능 사용, 파이프라인 단계별 실패 시 fallback 정책 적용(오류 큐 격리, 수동 재처리, 관리자 알림 등)</t>
  </si>
  <si>
    <t>최종 GPU 형상: NVIDIA H200 141GB × 8장 + NVIDIA L40S 48GB × 2장(총량 기준)</t>
  </si>
  <si>
    <t>ECR-007</t>
  </si>
  <si>
    <t>상담원 어시스턴트 서버 및 관련 장비 도입</t>
  </si>
  <si>
    <t>SFR-003-05-01</t>
  </si>
  <si>
    <t>시점 기반 문서 유효성 관리</t>
  </si>
  <si>
    <t>시스템은 문서 메타데이터(게시일, 시행일, 폐지일) 기반 유효 문서 관리 및 As-of-Date 질의 기능 제공하여야 한다.</t>
  </si>
  <si>
    <t>플랫폼에서 문서 적재 시 문서 메타데이터(게시일, 시행일, 폐지일) 기반 유효 문서 관리. 게시일, 시행일, 폐지일 기준 질의 기능 제공</t>
  </si>
  <si>
    <t>SFR-003-05-02</t>
  </si>
  <si>
    <t>(현행 문서 우선) 별도 시점 지정이 없는 질의 시 현재 유효한 문서만 검색 대상에 포함</t>
  </si>
  <si>
    <t>플랫폼에서 문서 적재 시 문서 메타데이터(게시일, 시행일, 폐지일) 기반 유효 문서 관리. 별도 시점 지정이 없는 질의 시 현재 유효한 문서만 검색 대상에 포함</t>
  </si>
  <si>
    <t>ECR-008</t>
  </si>
  <si>
    <t>위원회 콜센터 TA 이중화 장비 도입</t>
  </si>
  <si>
    <t>SFR-003-05-03</t>
  </si>
  <si>
    <t>(폐지 문서 제외) 폐지·대체된 문서는 기본 검색 대상에서 자동 제외 (논리 삭제 방식)</t>
  </si>
  <si>
    <t xml:space="preserve">[Before]
적재 문서 TTL 제공, 폐지·대체된 문서는 기본 검색 대상에서 자동 제외
[After]
폐지·대체 문서는 저장소에 보존하되 active/valid_from/valid_to 등 메타데이터로 기본 검색 대상에서 논리적으로 제외
</t>
  </si>
  <si>
    <t>TA/콜센터 추론 노드는 L40S 2장 총량 내 2노드 이중화 구성(노드당 1장). 상세 배치는 최종 BOM·위원회 승인으로 확정</t>
  </si>
  <si>
    <t>RFP는 본 항의 방식을 '(논리 삭제 방식)'으로 명시하고 있으므로 TTL(물리적 만료)로 갈음할 수 없음. TTL 적용 시 동일 SFR-003의 As-of-Date 질의 및 valid_from·valid_to 필드 필수 관리 요건과 상충하여 요구사항 간 자기모순이 발생함. 폐지·대체 문서는 저장소에 보존하되 검색 대상에서 제외하는 방식으로 처리방안 수정 요망. 아울러 본 항은 SFR-015·019·022·023 등 과제별 과거분 처리 정책의 근거 조항이므로, 전 과제 일괄 TTL 적용이 아닌 과제별 구분 적용이 필요. (Agent 별로 논리삭제 또는 시점데이터 출력 적용(세부내용은 각 Agent 처리흐름도에 상세 기재함)</t>
  </si>
  <si>
    <t>ECR-009</t>
  </si>
  <si>
    <t>위원회 보안 SW 도입</t>
  </si>
  <si>
    <t>SFR-003-05-04</t>
  </si>
  <si>
    <t>(As-of-Date 질의) 사용자가 기준 시점을 지정하여 해당 시점에 유효했던 문서만 검색 가능</t>
  </si>
  <si>
    <t>플랫폼에서 문서 적재 시 문서 메타데이터(게시일, 시행일, 폐지일) 기반 유효 문서 관리, 사용자가 기준 시점을 지정하여 해당 시점에 유효했던 문서만 검색할 수 있는 기능 제공</t>
  </si>
  <si>
    <t>ECR-010</t>
  </si>
  <si>
    <t>SFR-003-05-05</t>
  </si>
  <si>
    <t>시스템은 (시점 메타데이터) 모든 벡터 청크에 valid_from·valid_to 이력 필드를 필수 관리하여야 한다.</t>
  </si>
  <si>
    <t>모든 벡터 청크에 valid_from·valid_to 이력 필드를 필수 관리</t>
  </si>
  <si>
    <t>SFR-003-05-06</t>
  </si>
  <si>
    <t>(개별공지 우선참조) 동일 조항에 대해 최신 개별공지가 존재하면 우선 참조, 방법서 미반영 여부 안내</t>
  </si>
  <si>
    <t>동일 조항 최신 개별공지 우선 참조·방법서 미반영 안내 로직 신규 개발하여 제공</t>
  </si>
  <si>
    <t>ECR-011</t>
  </si>
  <si>
    <t>SFR-003-06-01</t>
  </si>
  <si>
    <t>임베딩 모델 등록·전환 관리
※ 임베딩 모델 서빙(API 엔드포인트) 및 실시간 모니터링은 LLM 서빙 관리 요구사항에서 통합 관리</t>
  </si>
  <si>
    <t>벡터 생성에 사용할 임베딩 모델을 등록·버전 관리하고, 모델 변경 시 재임베딩 파이프라인 자동 실행 및 무중단 전환을 지원하는 기능을 제공한다.</t>
  </si>
  <si>
    <t>벡터 DB 적재시 임베딩 모델을 등록·버전 관리하고, 모델 변경 시 재임베딩 파이프라인 자동 실행 및 무중단 전환을 지원하는 기능을 제공(임베딩 모델 서빙(API 엔드포인트) 및 실시간 모니터링은 LLM 서빙 관리 요구사항에서 통합 관리)</t>
  </si>
  <si>
    <t>ECR-012</t>
  </si>
  <si>
    <t>SFR-003-06-02</t>
  </si>
  <si>
    <t>(모델 등록) 임베딩 모델을 등록하고 버전별 이력을 관리하며, 모델별 차원 수·토큰 제한 등 주요 속성을 함께 기록</t>
  </si>
  <si>
    <t>플랫폼에서 임베딩 모델을 등록, 버전별 이력 관리, 모델별 차원 수·토큰 제한 등 주요 속성 함께 기록</t>
  </si>
  <si>
    <t>SFR-003-06-03</t>
  </si>
  <si>
    <t>ECR-013</t>
  </si>
  <si>
    <t>(모델 전환) 임베딩 모델 변경 시 전체 문서에 대한 재임베딩 파이 프라인을 자동 실행하여 벡터 DB 일관성 보장</t>
  </si>
  <si>
    <t>임베딩 변경 시 전체 문서 자동 재임베딩 파이프라인 신규 개발하여 제공</t>
  </si>
  <si>
    <t>SFR-003-06-04</t>
  </si>
  <si>
    <t>시스템은 (무중단 전환) Blue-Green 또는 Canary 방식으로 임베딩 모델 교체 시 서비스 중단 없이 전환하여야 한다.</t>
  </si>
  <si>
    <t>서킷 브레이커, 카나리 방식 지원하여 임베딩 모델 교체 시 서비스 중단 없이 전환</t>
  </si>
  <si>
    <t>SFR-003-06-05</t>
  </si>
  <si>
    <t>(롤백) 모델 전환 후 검색 품질 저하 감지 시 이전 임베딩 모델 및 벡터 인덱스로 즉시 롤백</t>
  </si>
  <si>
    <t>모델 전환 후 검색 품질 저하 감지 시 이전 임베딩 모델 및 벡터 인덱스로 즉시 롤백하는 기능 신규 개발하여 제공</t>
  </si>
  <si>
    <t>SFR-003-06-06</t>
  </si>
  <si>
    <t>인터페이스</t>
  </si>
  <si>
    <t>(변경 이력) 임베딩 모델 버전, 전환 일시, 재임베딩 처리 결과를 자동 기록하여 운영 감사에 활용</t>
  </si>
  <si>
    <t>플랫폼에서 모델·서빙 리비전 이력 일부 제공, 재임베딩 결과 통합 감사 기록은 추가 개발하여 제공</t>
  </si>
  <si>
    <t>INR-001</t>
  </si>
  <si>
    <r>
      <rPr>
        <rFont val="Malgun Gothic"/>
        <color theme="1"/>
        <sz val="11.0"/>
      </rPr>
      <t>SSO 통합 인증</t>
    </r>
    <r>
      <rPr>
        <rFont val="&quot;맑은 고딕&quot;"/>
        <color theme="1"/>
        <sz val="11.0"/>
      </rPr>
      <t>‧</t>
    </r>
    <r>
      <rPr>
        <rFont val="맑은 고딕"/>
        <color theme="1"/>
        <sz val="11.0"/>
      </rPr>
      <t>인사정보 연동 인터페이스</t>
    </r>
  </si>
  <si>
    <t>SFR-003-07-01</t>
  </si>
  <si>
    <t>지식 저장소 통합 관리 및 벡터 인덱스
※ 벡터 DB 백업 주기·보존 기간, HA 구성 방식은 위원회와 협의하여 확정</t>
  </si>
  <si>
    <t>벡터 DB 및 키워드 검색 엔진에 대한 CRUD 기능을 관리자가 웹 UI에서 수행 가능</t>
  </si>
  <si>
    <r>
      <rPr>
        <rFont val="맑은 고딕"/>
        <color rgb="FF0000FF"/>
        <sz val="9.0"/>
      </rPr>
      <t xml:space="preserve">[Before]
벡터DB 적재에 대한 CRUD 기능은 플랫폼에서 제공, 검색 엔진 설정 (하이브리드 서치 비율 등)은 에이전트 로직 레벨에서 구현
</t>
    </r>
    <r>
      <rPr>
        <rFont val="맑은 고딕"/>
        <color rgb="FFFF0000"/>
        <sz val="9.0"/>
      </rPr>
      <t>(벡터 DB 백업 주기·보존 기간, HA 구성 방식은 위원회와 협의하여 확정)</t>
    </r>
    <r>
      <rPr>
        <rFont val="맑은 고딕"/>
        <color rgb="FF0000FF"/>
        <sz val="9.0"/>
      </rPr>
      <t xml:space="preserve">
</t>
    </r>
    <r>
      <rPr>
        <rFont val="맑은 고딕"/>
        <color rgb="FF0000FF"/>
        <sz val="9.0"/>
      </rPr>
      <t xml:space="preserve">[After]
벡터 데이터 CRUD와 하이브리드 검색 가중치·문서 우선순위 설정을 관리자 Web UI 제공, 검색 엔진 설정 (하이브리드 서치 비율 등)은 에이전트 로직 레벨(Web UI 기반)에서 구현
</t>
    </r>
    <r>
      <rPr>
        <rFont val="맑은 고딕"/>
        <color rgb="FFFF0000"/>
        <sz val="9.0"/>
      </rPr>
      <t>(벡터 DB 백업 주기·보존 기간, HA 구성 방식은 수행사에서 표준안을 제시 후 위원회와 협의하여 확정)</t>
    </r>
    <r>
      <rPr>
        <rFont val="맑은 고딕"/>
        <color rgb="FF0000FF"/>
        <sz val="9.0"/>
      </rPr>
      <t xml:space="preserve">
</t>
    </r>
  </si>
  <si>
    <t xml:space="preserve">G열은 관리자 웹 UI에서의 수행을 요구하나 J열은 검색 엔진 설정을 에이전트 로직 레벨(코드) 구현으로 기재하여, 운영 단계에서 관리자가 직접 조정할 수 없는 수행방안으로 이해됨. 이는 SFR-004-02-02(키워드-벡터 가중치의 관리자 Web UI 조정) 및 SFR-010(정책 변경 관리)과 상충하므로 처리방안에 대한 수정 필요. 
또한 벡터 DB백업 주기, 보존기간, HA 구성의 경우 수행사 측에서 유사사업을 고려한 초안을 제안해주길 요청
[3차 검토의견, 260822~23 검토]
편집 기능은 수행사에서 Web 기반 UI를 수용한 상태. 벡터DB 백업 주기, 보존기간, HA구성 방식에 대해 추가 협의 필요한 것으로 판단
</t>
  </si>
  <si>
    <t>INR-002</t>
  </si>
  <si>
    <t>언어모델 표준 인터페이스</t>
  </si>
  <si>
    <t>SFR-003-07-02</t>
  </si>
  <si>
    <t>(인덱스 관리) 인덱스 생성·삭제 및 파라미터 설정, 최적화(압축·재색인) 실행</t>
  </si>
  <si>
    <t>플랫폼에서 인덱스 생성·삭제 및 파라미터 설정, 최적화(압축·재색인) 실행 기능 제공</t>
  </si>
  <si>
    <t>SFR-003-07-03</t>
  </si>
  <si>
    <t>(롤백) 재구축 완료 후 신규 인덱스로 자동 전환, 실패 시 기존 인덱스로 자동 롤백</t>
  </si>
  <si>
    <t>INR-003</t>
  </si>
  <si>
    <t>내부 업무포털 지식 수집 인터페이스</t>
  </si>
  <si>
    <t>재구축 완료 후 신규 인덱스로 자동 전환, 실패 시 기존 인덱스로 자동 롤백 기능 신규 개발하여 제공</t>
  </si>
  <si>
    <t>SFR-003-07-04</t>
  </si>
  <si>
    <t>(백업·복구) 벡터 DB 정기 백업 및 복구 절차 수립, 이중화 또는 HA 구성 방안 제안 포함</t>
  </si>
  <si>
    <t>플랫폼에서 버전 관리로 백업 및 복구 기능 제공, HA 구성은 공통 기능으로 개발하여 기능 제공</t>
  </si>
  <si>
    <t>INR-004</t>
  </si>
  <si>
    <t>STT 엔진 연동 인터페이스</t>
  </si>
  <si>
    <t>SFR-003-08-01</t>
  </si>
  <si>
    <t>문서 큐레이션 대시보드</t>
  </si>
  <si>
    <t>시스템은 분류별 문서 현황(건수, 최종 갱신일, 유형별 분포)을 조회할 수 있는 대시보드 제공하여야 한다.</t>
  </si>
  <si>
    <t>플랫폼 대시보드에서 공통 기능으로 개발하여 기능 제공</t>
  </si>
  <si>
    <t>INR-005</t>
  </si>
  <si>
    <t>기간계 협약기관 정보 연동 인터페이스</t>
  </si>
  <si>
    <t>SFR-003-09-01</t>
  </si>
  <si>
    <t>초기 구축 시 과거 시점 데이터 적재
※ 이전 버전 소급 적재 범위는 운영 안정화 이후 위원회와 협의</t>
  </si>
  <si>
    <t>As-of-Date 질의를 위한 과거 시점 데이터는 최근 1년(약 4~5개 버전) 대상 적재(기술협상 시 범위 확정)</t>
  </si>
  <si>
    <r>
      <rPr>
        <rFont val="맑은 고딕"/>
        <color rgb="FF0000FF"/>
        <sz val="9.0"/>
      </rPr>
      <t xml:space="preserve">[Before]
특정 시점 기준 질의를 위한 과거 시점 데이터는 최근 1년(약 4~5개 버전) 대상으로 적재
</t>
    </r>
    <r>
      <rPr>
        <rFont val="맑은 고딕"/>
        <color rgb="FFFF0000"/>
        <sz val="9.0"/>
      </rPr>
      <t>(이전 버전 소급 적재 범위는 운영 안정화 이후 위원회와 협의)</t>
    </r>
    <r>
      <rPr>
        <rFont val="맑은 고딕"/>
        <color rgb="FF0000FF"/>
        <sz val="9.0"/>
      </rPr>
      <t xml:space="preserve">
</t>
    </r>
    <r>
      <rPr>
        <rFont val="맑은 고딕"/>
        <color rgb="FF0000FF"/>
        <sz val="9.0"/>
      </rPr>
      <t xml:space="preserve">[After]
과거데이터(2020.1~2026.6)를 통해 1차로 적재하고, 위원회에서 정의한 게시판은 추가로 적재
</t>
    </r>
    <r>
      <rPr>
        <rFont val="맑은 고딕"/>
        <color rgb="FFFF0000"/>
        <sz val="9.0"/>
      </rPr>
      <t>(추가 적재대상 DB 범위는 위원회에서 확정)</t>
    </r>
  </si>
  <si>
    <t>'운영 안정화' 이후라면 27년 1월을 의미하는 것인지? 구 지식의 적재는 운영안정화가 아닌 개발단계에서 협의된 과거 시점 데이터를 함께 적재해야 시점데이터에 대한 답변 품질을 확인할 수 있을 것으로 추측. 안정화 이후 '구 지식'을 소급 적재했을 때 시점데이터에 대한 답변 품질이 낮을 경우 매우 심각한 문제일 것으로 염려
[3차 검토의견, 260822~23 검토]
최근 1년의 데이터(규정, 방법서, 매뉴얼 등)를 통한 1차 구현 시점, 테스트 통과 후 과거 데이터 추가 DB 적재 시점에 대한 시점 명확화 필요</t>
  </si>
  <si>
    <t>SFR-003-09-02</t>
  </si>
  <si>
    <t>INR-006</t>
  </si>
  <si>
    <t>사용자 인터페이스(UI/UX)</t>
  </si>
  <si>
    <t>시스템은 위원회가 버전별 원본 문서 및 시행일 정보 제공하여야 한다.</t>
  </si>
  <si>
    <t>메타데이터에 원본 문서의 버전, 시행일 정보 포함, 버전별 원본 문서 및 시행일 정보 제공</t>
  </si>
  <si>
    <t>INR-007</t>
  </si>
  <si>
    <t>데이터분석 환경(MLOps)-AI플랫폼 간 연동</t>
  </si>
  <si>
    <t>[RAG 검색·생성] 용어사전, 하이브리드 검색, 질의 전처리·확장, 제도별 범위 제한, 재검색 보완</t>
  </si>
  <si>
    <t>SFR-004-01-01</t>
  </si>
  <si>
    <t>도메인 특화 용어 사전 관리</t>
  </si>
  <si>
    <t>시스템은 채무조정 도메인 특화 용어에 대한 정의, 동의어, 유의어를 등록 · 수정 ·삭제할 수 있는 웹 UI 관리 기능 제공하여야 한다.</t>
  </si>
  <si>
    <t>플랫폼에서 채무조정 도메인 특화 용어에 대한 정의, 동의어, 유의어를 등록 · 수정 ·삭제할 수 있는 웹 UI 관리 기능 제공</t>
  </si>
  <si>
    <t>· RAG 설계서</t>
  </si>
  <si>
    <t>INR-008</t>
  </si>
  <si>
    <t>SFR-004-01-02</t>
  </si>
  <si>
    <t>(기본 등록) 위원회 고유 용어를 기본 등록하여 제공 (목록은 위원회 제공)</t>
  </si>
  <si>
    <t>플랫폼에서 위원회 고유 용어를 기본 등록하여 제공(목록은 위원회 제공)</t>
  </si>
  <si>
    <t>INR-009</t>
  </si>
  <si>
    <t>SFR-004-01-03</t>
  </si>
  <si>
    <t>시스템은 (변경 이력) 변경 이력(변경자, 일시, 내용)을 버전별로 관리하여야 한다.</t>
  </si>
  <si>
    <t>플래폼에서 변경 이력(변경자, 일시, 내용)을 버전별로 관리할 수 있는 기능 제공</t>
  </si>
  <si>
    <t>SFR-004-01-04</t>
  </si>
  <si>
    <t>시스템은 (영향범위 표시) 용어 변경 시 참조하는 영향범위를 사전 표시하여야 한다.</t>
  </si>
  <si>
    <t>용어 변경 시 참조 영향범위 사전 표시 공통 기능으로 개발하여 제공</t>
  </si>
  <si>
    <t>SFR-004-01-05</t>
  </si>
  <si>
    <t>시스템은 (번역어) 영문 표준 번역어 필드 관리하여야 한다.</t>
  </si>
  <si>
    <t>용어사전 테이블에 번역어 필드 추가하여 제공</t>
  </si>
  <si>
    <t>데이터</t>
  </si>
  <si>
    <t>DAR-001</t>
  </si>
  <si>
    <t>수집 대상 데이터 및 메타데이터 정의</t>
  </si>
  <si>
    <t>SFR-004-02-01</t>
  </si>
  <si>
    <t>하이브리드 검색 및 가중치 관리</t>
  </si>
  <si>
    <t>시스템은 벡터 유사도 검색과 키워드 검색을 결합한 하이브리드 검색 기능 제공하여야 한다.</t>
  </si>
  <si>
    <t>플랫폼에서 벡터 유사도 검색과 키워드 검색을 결합한 하이브리드 검색 기능 제공</t>
  </si>
  <si>
    <t>SFR-004-02-02</t>
  </si>
  <si>
    <t>DAR-002</t>
  </si>
  <si>
    <t>(가중치 조정) 키워드-벡터 검색 가중치를 관리자가 웹 UI에서 조정 가능</t>
  </si>
  <si>
    <r>
      <rPr>
        <rFont val="Malgun Gothic"/>
        <color theme="1"/>
        <sz val="11.0"/>
      </rPr>
      <t>이력</t>
    </r>
    <r>
      <rPr>
        <rFont val="&quot;맑은 고딕&quot;"/>
        <color theme="1"/>
        <sz val="11.0"/>
      </rPr>
      <t>‧</t>
    </r>
    <r>
      <rPr>
        <rFont val="맑은 고딕"/>
        <color theme="1"/>
        <sz val="11.0"/>
      </rPr>
      <t>로그</t>
    </r>
    <r>
      <rPr>
        <rFont val="&quot;맑은 고딕&quot;"/>
        <color theme="1"/>
        <sz val="11.0"/>
      </rPr>
      <t>‧</t>
    </r>
    <r>
      <rPr>
        <rFont val="맑은 고딕"/>
        <color theme="1"/>
        <sz val="11.0"/>
      </rPr>
      <t>설정 변경 데이터 관리 정책</t>
    </r>
  </si>
  <si>
    <t>[Before]
플랫폼에서 키워드-벡터 검색 가중치를 관리자가 웹 UI에서 조정할 수 있도록 기능 제공
[After]
하이브리드 검색 가중치의 관리, 조정 수단을 관리자 Web UI로 제공</t>
  </si>
  <si>
    <t>본 항은 관리자 웹 UI 조정으로 기재되어 있으나, SFR-003-07-01의 J열은 동일 대상(하이브리드 검색 비율)을 '에이전트 로직 레벨 구현'으로 기재하여 상충함. 검색 가중치의 관리 주체와 조정 수단을 하나로 통일하여 양 항목을 통일해야 할 필요(Web UI가 요구사항)</t>
  </si>
  <si>
    <t>SFR-004-02-03</t>
  </si>
  <si>
    <t>(문서 유형별 우선순위) 문서 유형(협약/세칙/방법서/공지 등)별 인용 우선순위 설정 및 부스팅 배율 조정 가능</t>
  </si>
  <si>
    <t>[Before]
Agent 구현 시 유형 별 우선순위 적용 로직 추가개발하여 제공
[After]
문서 유형별 인용 우선순위와 부스팅 배율을 Web UI에서 조회·수정·초기화할 수 있도록 제공</t>
  </si>
  <si>
    <t>문서 유형별 인용 우선순위 및 부스팅 배율의 '조정 가능'을 요구하므로, 관리자가 운영 중 값을 변경할 수 있는 화면 제공이 필요함. J열의 로직 개발만으로는 운영 단계 조정이 불가하므로 관리자 설정 UI 제공 여부를 보완 요청</t>
  </si>
  <si>
    <t>DAR-003</t>
  </si>
  <si>
    <t>사용자 활동 데이터 관리 정책</t>
  </si>
  <si>
    <t>SFR-004-03-01</t>
  </si>
  <si>
    <t>질의 전처리 및 확장</t>
  </si>
  <si>
    <t>시스템은 사용자 질의의 품질을 높이기 위한 전처리 및 확장 기능 제공하여야 한다.</t>
  </si>
  <si>
    <t>Agent 구현 시 질의 정제, 검색 품질 판단 로직 추가 개발하여 제공,
MCP Tool로 구현하여 반복 활용할 수 있도록 구현</t>
  </si>
  <si>
    <t>DAR-004</t>
  </si>
  <si>
    <t>데이터 표준 수립 및 품질 관리</t>
  </si>
  <si>
    <t>SFR-004-03-02</t>
  </si>
  <si>
    <t>시스템은 (용어 매핑) 사용자의 일상 언어를 전문 규정 용어로 자동 변환, 변환된 질의어를 사용자에게 표시하여야 한다.</t>
  </si>
  <si>
    <t>용어 매핑 및 Reasoning Box에 변환된 질의 포함하여 로직 구현</t>
  </si>
  <si>
    <t>SFR-004-03-03</t>
  </si>
  <si>
    <t>시스템은 (동의어 확장) 용어 사전 기반 검색 자동 확장, 확장 적용 여부 및 검색어 목록 사용자에게 표시하여야 한다.</t>
  </si>
  <si>
    <r>
      <rPr>
        <rFont val="맑은 고딕"/>
        <color rgb="FF0000FF"/>
        <sz val="9.0"/>
      </rPr>
      <t xml:space="preserve">[Before]
용어 매핑 및 Reasoning Box에 변환된 질의 포함하여 로직 구현
</t>
    </r>
    <r>
      <rPr>
        <rFont val="맑은 고딕"/>
        <color rgb="FF0000FF"/>
        <sz val="9.0"/>
      </rPr>
      <t xml:space="preserve">
</t>
    </r>
    <r>
      <rPr>
        <rFont val="맑은 고딕"/>
        <color rgb="FF0000FF"/>
        <sz val="9.0"/>
      </rPr>
      <t>[After]
모델의 CoT 서술이 아닌 별도 검색 투명성 영역에서 원질의, 정규화 질의, 확장 적용 여부, 동의어·확장 검색어 목록을 표시
필요 시 적용된 메타 필터·검색 방식·관련도 점수도 함께 확인할 수 있도록 SFR-015-03-01과 동일 원칙으로 구성</t>
    </r>
  </si>
  <si>
    <t>DAR-005</t>
  </si>
  <si>
    <t>확장 적용 여부 및 검색어 목록의 사용자 표시'에 대한 처리방안 부재. 더하여, 'Reasoning Box에 포함'은 모델 추론 서술 내 표기를 의미하는 것으로 보이나, 본 항은 변환된 질의어와 확장 검색어를 사용자가 명확히 인지할 수 있도록 표시하는 요건이므로, SFR-015-03-01 검토의견과 동일을 상호 참조 
[3차 검토의견, 260822~23 검토]
'질의 전처리'는 LLM 답변 품질의 핵심 요소로 생각하고 있으며, 정확한 질의 전처리를 위해서는 '용어사전'이 정겨하게 설계되어야 함. 상세요구사항의 '용어사전 기반 검색 자동 확장'과 '확장 적용 여부'가 그 세부 요건임. '용어사전'에 포함되어야 하는 구분값은 실무협의 단계에서 샘플을 제공한 바 있으며, 샘플 수준의 용어사전 구축 구현을 요청함. '확장 적용 여부'는 용어사전을 통한 질의 전처리 전/후 과정을 사용자 또는 운영부서에서 확인할 수 있는 기능을 제공하기를 요청한다는 내용임.</t>
  </si>
  <si>
    <t>SFR-004-03-04</t>
  </si>
  <si>
    <t>(오타자 교정) 오타자·띄어쓰기 오류 자동 교정</t>
  </si>
  <si>
    <t>MCP 툴로 오타자·띄어쓰기 오류 자동 교정 기능 구현</t>
  </si>
  <si>
    <t>SFR-004-03-05</t>
  </si>
  <si>
    <t>(키워드 추출) 질의 문장에서 핵심 키워드 자동 추출</t>
  </si>
  <si>
    <t>MCP 툴로 질의 문장에서 핵심 키워드 자동 추출 로직 구현 적용</t>
  </si>
  <si>
    <t>테스트</t>
  </si>
  <si>
    <t>TER-001</t>
  </si>
  <si>
    <t>SFR-004-04-01</t>
  </si>
  <si>
    <t>테스트 전략 및 계획 수립</t>
  </si>
  <si>
    <t>제도별 검색 범위 자동 제한</t>
  </si>
  <si>
    <t>사용자 질의 내용을 분석하여 해당 제도/유형 문서군으로 검색 범위를 자동 제한</t>
  </si>
  <si>
    <t>Planning 시 제도/문서 탐색 필요할 경우 동적으로 메타필터링 로직 구현 적용</t>
  </si>
  <si>
    <t>SFR-004-04-02</t>
  </si>
  <si>
    <t>시스템은 (복수 제도) 복수 제도 감지 시 각 제도별 근거를 구분하여 표시하여야 한다.</t>
  </si>
  <si>
    <t>각 제도별 근거 표출 로직 구현 적용</t>
  </si>
  <si>
    <t>TER-002</t>
  </si>
  <si>
    <r>
      <rPr>
        <rFont val="Malgun Gothic"/>
        <color theme="1"/>
        <sz val="11.0"/>
      </rPr>
      <t>단위</t>
    </r>
    <r>
      <rPr>
        <rFont val="&quot;맑은 고딕&quot;"/>
        <color theme="1"/>
        <sz val="11.0"/>
      </rPr>
      <t>‧</t>
    </r>
    <r>
      <rPr>
        <rFont val="맑은 고딕"/>
        <color theme="1"/>
        <sz val="11.0"/>
      </rPr>
      <t>통합</t>
    </r>
    <r>
      <rPr>
        <rFont val="&quot;맑은 고딕&quot;"/>
        <color theme="1"/>
        <sz val="11.0"/>
      </rPr>
      <t>‧</t>
    </r>
    <r>
      <rPr>
        <rFont val="맑은 고딕"/>
        <color theme="1"/>
        <sz val="11.0"/>
      </rPr>
      <t>시스템 테스트 수행</t>
    </r>
  </si>
  <si>
    <t>SFR-004-04-03</t>
  </si>
  <si>
    <t>시스템은 (전체 검색 전환) 적용된 제도 범위를 사용자에게 표시하고 전체 검색 전환 옵션 제공하여야 한다.</t>
  </si>
  <si>
    <t>적용 제도 범위 표시·전체 검색 전환 옵션 로직 신규 개발하여 제공</t>
  </si>
  <si>
    <t>TER-003</t>
  </si>
  <si>
    <t>생성형 AI 응답 품질 및 RAG 파이프라인 검증</t>
  </si>
  <si>
    <t>SFR-004-05-01</t>
  </si>
  <si>
    <t>조건부 재검색 및 보완</t>
  </si>
  <si>
    <t>1차 검색 결과 유사도가 임계값 미만인 경우 보완 기법(질의 재해석, Multi-Query 생성, 동의어 확장 검색 등)을 적용하여 재검색 수행</t>
  </si>
  <si>
    <t>[Before]
Multi-Query 생성 + 검색 정보가 답변에 충분한지 검증한 후 재검색하는 로직 구현 적용
[After]
Multi-Query 생성 + 검색 정보가 답변에 충분한지 검증한 후 재검색하는 로직 구현 적용
질의어재해석, 동의어 확장 검색은 용어사전을 기반으로 제공</t>
  </si>
  <si>
    <t>질의재해석, 동의어 확장 검색은 처리 범위에서 배제된 것인지 문의</t>
  </si>
  <si>
    <t>SFR-004-05-02</t>
  </si>
  <si>
    <t>TER-004</t>
  </si>
  <si>
    <t>인수 테스트 및 시범 운영</t>
  </si>
  <si>
    <t>(관리자 설정) 재검색 기준치 및 적용 기법 순서를 관리자가 웹 UI에서 설정 가능</t>
  </si>
  <si>
    <t>재검색 기준치 및 적용 기법 순서를 관리자가 웹 UI에서 설정 가능하도록 기능 제공</t>
  </si>
  <si>
    <t>SFR-004-06-01</t>
  </si>
  <si>
    <t>맥락 기반 추천 질문 및 메타데이터 필터</t>
  </si>
  <si>
    <t>(추천 질문) 답변 완료 후 맥락 기반 연관 추천 질문 2~3개 자동 제안</t>
  </si>
  <si>
    <t>TER-005</t>
  </si>
  <si>
    <t>답변 완료 후 맥락 기반 추천 질문 2~3개 자동 제안 공통 기능으로 개발하여 제공</t>
  </si>
  <si>
    <t>예측 모델 초기 성능 검증</t>
  </si>
  <si>
    <t>SFR-004-06-02</t>
  </si>
  <si>
    <t>(메타데이터 필터) 게시일, 시행일, 문서 유형, 제도 구분 등 복수 조건 조합 검색 및 필터 저장·재사용 기능</t>
  </si>
  <si>
    <t>게시일, 시행일, 문서 유형, 제도 구분 등 복수 조건 조합 검색 및 Agent가 동적으로 필터 생성·재사용 기능 제공</t>
  </si>
  <si>
    <t>SFR-004-07-01</t>
  </si>
  <si>
    <t>질의 처리 로그</t>
  </si>
  <si>
    <t>질의 변환 이력(원본 질의, 변환 질의, 적용 규칙)과 재검색 수행 이력 (적용 기법, 최종 결과)을 통합 로그로 기록</t>
  </si>
  <si>
    <t>플랫폼의 워크플로우 로그에 로깅 구현</t>
  </si>
  <si>
    <t>보안</t>
  </si>
  <si>
    <t>SER-001</t>
  </si>
  <si>
    <t>문서 접근 권한 통제</t>
  </si>
  <si>
    <t>[RAG 검색·생성] 컨텍스트 구성·최적화, 근거 기반 답변·환각 방지, 출처 명시·신선도</t>
  </si>
  <si>
    <t>SFR-005-01-01</t>
  </si>
  <si>
    <t>컨텍스트 구성 및 최적화
※ 컨텍스트 배치 전략 프리셋을 기본 제공, 관리자가 도메인별 설정 가능</t>
  </si>
  <si>
    <t>시스템은 검색된 문서에서 불필요한 내용을 제거하고 질의 주제 관련 정보를 우선 보존하여 LLM에 전달하는 기능 제공하여야 한다.</t>
  </si>
  <si>
    <t>Agent Planning 로직으로 검색된 문서에서 불필요한 내용을 제거하고 질의 주제 관련 정보를 우선 보존하여 LLM에 전달 처리
(컨텍스트 배치 전략 프리셋을 기본 제공, 관리자가 도메인별 설정 가능)</t>
  </si>
  <si>
    <t>· RAG 설계서
 · AI 응답 시나리오 정의서</t>
  </si>
  <si>
    <t>SER-002</t>
  </si>
  <si>
    <t>RAG 보안 통제 정책</t>
  </si>
  <si>
    <t>SFR-005-01-02</t>
  </si>
  <si>
    <t>시스템은 (압축) 중복 문장, 서식 정보, 무관 단락 등 제거 후 관련 정보 우선 보존하여야 한다.</t>
  </si>
  <si>
    <t>Agent Planning 로직으로 중복 문장, 서식 정보, 무관 단락 등 제거 후 관련 정보 우선 보존 처리</t>
  </si>
  <si>
    <t>SER-003</t>
  </si>
  <si>
    <t>SFR-005-01-03</t>
  </si>
  <si>
    <t>감사 로그 통합 관리</t>
  </si>
  <si>
    <t>(보존 대상) 도메인 핵심 키워드, 금액, 비율, 기한, 조항 번호 등 정량 데이터는 보존 대상으로 지정</t>
  </si>
  <si>
    <t>Agent Planning 로직으로 도메인 핵심 키워드, 금액, 비율, 기한, 조항 번호 등 정량 데이터는 보존 대상으로 처리</t>
  </si>
  <si>
    <t>SFR-005-01-04</t>
  </si>
  <si>
    <t>(중요도 배치) 검색 문서의 중요도(유사도, 문서 등급, 최신성 등)에 따라 LLM 프롬프트 내 컨텍스트 배치 순서 최적화</t>
  </si>
  <si>
    <t>Agent Planning 로직으로 검색 문서의 중요도(유사도, 문서 등급, 최신성 등)에 따라 LLM 프롬프트 내 컨텍스트 배치 순서 최적화 처리</t>
  </si>
  <si>
    <t>SER-004</t>
  </si>
  <si>
    <r>
      <rPr>
        <rFont val="Malgun Gothic"/>
        <color theme="1"/>
        <sz val="11.0"/>
      </rPr>
      <t>사용자 데이터 보관</t>
    </r>
    <r>
      <rPr>
        <rFont val="&quot;맑은 고딕&quot;"/>
        <color theme="1"/>
        <sz val="11.0"/>
      </rPr>
      <t>‧</t>
    </r>
    <r>
      <rPr>
        <rFont val="맑은 고딕"/>
        <color theme="1"/>
        <sz val="11.0"/>
      </rPr>
      <t>보호 및 활용 범위 통제</t>
    </r>
  </si>
  <si>
    <t>SFR-005-01-05</t>
  </si>
  <si>
    <t>시스템은 (토큰 한도) LLM 토큰 한도 내에서 핵심 컨텍스트가 우선 포함 되도록 처리하여야 한다.</t>
  </si>
  <si>
    <t>Agent Planning 로직으로 LLM 토큰 한도 내에서 핵심 컨텍스트가 우선 포함 되도록 처리</t>
  </si>
  <si>
    <t>SER-005</t>
  </si>
  <si>
    <t>환경 격리 및 인프라 자원 보안 통제</t>
  </si>
  <si>
    <t>SFR-005-02-01</t>
  </si>
  <si>
    <t>근거 기반 답변 및 환각 방지
※ 비-RAG 서비스는 해당 서비스에서 정의한 신뢰성 보장 정책을 따름</t>
  </si>
  <si>
    <t>시스템은 AI는 검색된 문서 범위 내에서만 답변하며, 근거 문서가 부족한 경우 답변 생성을 제한하는 기능 제공하여야 한다.</t>
  </si>
  <si>
    <t>[Before]
System Prompt에서 정의, 답변 검증 후 필요 시 수정, 보완
(비-RAG 서비스는 해당 서비스에서 정의한 신뢰성 보장 정책을 따름)
[After]
검색 결과 유무와 신뢰도 임계값을 판정하는 강제 게이트를 LLM 호출 전·후 단계에 적용
근거가 부족하면 답변 생성을 차단하고 관리자 설정 안내문구를 반환</t>
  </si>
  <si>
    <t>RFP는 '답변 생성을 제한하는 기능'을 요구하고 있으므로, System Prompt 정의만으로는 이행 여부를 확인할 수 없음. 프롬프트는 모델에 대한 지시이며 생성을 차단하는 강제 장치가 아니므로, 신뢰도 미달 시에도 답변이 생성될 수 있음.</t>
  </si>
  <si>
    <t>SFR-005-02-02</t>
  </si>
  <si>
    <t>시스템은 (답변 제한) 검색 결과가 없거나 신뢰도 임계값 미만 시 답변 생성을 거부하고 안내 문구 표시하여야 한다.</t>
  </si>
  <si>
    <t>SER-006</t>
  </si>
  <si>
    <t>[Before]
검색 결과가 없거나 신뢰도 임계값 미만 시 답변 생성을 거부, System Prompt에 안내문구 정의하여 표시
[After]
답변 거부·추가 확인 안내문구는 System Prompt와 분리된 관리 항목(disclaimer)으로 제공
관리자 Web UI에서 문구를 등록·수정·버전관리하고 승인 후 서비스에 반영할 수 있도록 제공</t>
  </si>
  <si>
    <r>
      <rPr>
        <rFont val="Malgun Gothic"/>
        <color theme="1"/>
        <sz val="11.0"/>
      </rPr>
      <t>SSO 인증</t>
    </r>
    <r>
      <rPr>
        <rFont val="&quot;맑은 고딕&quot;"/>
        <color theme="1"/>
        <sz val="11.0"/>
      </rPr>
      <t>‧</t>
    </r>
    <r>
      <rPr>
        <rFont val="맑은 고딕"/>
        <color theme="1"/>
        <sz val="11.0"/>
      </rPr>
      <t>암호화 및 폐쇄망 운영 보안</t>
    </r>
  </si>
  <si>
    <t>안내 문구를 System Prompt에 정의할 경우 운영 중 동 프롬프트를 수정하기 쉽지 않음. 관련 문구는 별도의 Web UI에 문구를 편집할 수 있어야 함</t>
  </si>
  <si>
    <t>SFR-005-02-03</t>
  </si>
  <si>
    <t>(신뢰도 점수) 답변 신뢰도 점수를 산출하여 사용자에게 직관적으로 표시(색상 또는 수치 바 형태)</t>
  </si>
  <si>
    <t>[Before]
에이전트 로직으로 처리하여 제공
[After]
UI 시안 기준 추가 협의
답변 상에서 일괄 제공 시 Flint 기반 에이전트 로직으로 처리하여 제공</t>
  </si>
  <si>
    <t>색상 또는 수치 바 형태'의 직관적 표시를 요구하나 에이전트 로직 처리로만 기재되어 있어, UI상 어떻게 표현되는 지 예상하기 어려움</t>
  </si>
  <si>
    <t>SER-007</t>
  </si>
  <si>
    <r>
      <rPr>
        <rFont val="Malgun Gothic"/>
        <color theme="1"/>
        <sz val="11.0"/>
      </rPr>
      <t>에이전트</t>
    </r>
    <r>
      <rPr>
        <rFont val="&quot;맑은 고딕&quot;"/>
        <color theme="1"/>
        <sz val="11.0"/>
      </rPr>
      <t>‧</t>
    </r>
    <r>
      <rPr>
        <rFont val="맑은 고딕"/>
        <color theme="1"/>
        <sz val="11.0"/>
      </rPr>
      <t>AI 생성물 보안 통제 및 배포 거버넌스</t>
    </r>
  </si>
  <si>
    <t>SFR-005-02-04</t>
  </si>
  <si>
    <t>(임계값 관리) 답변 신뢰도 임계값을 관리자가 웹 UI에서 설정 가능</t>
  </si>
  <si>
    <t>답변 신뢰도 임계값 설정 관리자 기능으로 제공</t>
  </si>
  <si>
    <t>SER-008</t>
  </si>
  <si>
    <t>SFR-005-03-01</t>
  </si>
  <si>
    <t>언어모델 보안 관리</t>
  </si>
  <si>
    <t>출처 명시 및 원문 연계
※ 변환형 서비스 및 원문 출처가 필수적이지 않은 AI 서비스는 출처 명시를 배제 가능</t>
  </si>
  <si>
    <t>RAG 기반 지식검색 서비스의 모든 답변에 인용 문서의 출처 정보 (문서명, 생성일, 시행일, 근거 내용)를 명시</t>
  </si>
  <si>
    <t>RAG 기반 지식검색 서비스의 모든 답변에 인용 문서의 출처 정보 (문서명, 생성일, 시행일, 근거 내용)를 명시하여 제공
(변환형 서비스 및 원문 출처가 필수적이지 않은 AI 서비스는 출처 명시를 배제 가능)</t>
  </si>
  <si>
    <t>SFR-005-03-02</t>
  </si>
  <si>
    <t>SER-009</t>
  </si>
  <si>
    <t>시스템은 (원문 확인) 출처 클릭 시 해당 청크의 원문 텍스트를 확인할 수 있는 기능 제공하여야 한다.</t>
  </si>
  <si>
    <t>학습데이터 개인정보 비식별화 통제</t>
  </si>
  <si>
    <t>출처 클릭 시 해당 청크의 원문 텍스트를 확인할 수 있는 기능 제공</t>
  </si>
  <si>
    <t>SFR-005-03-03</t>
  </si>
  <si>
    <t>(근거 하이라이팅) 답변에 활용된 원문 구문을 근거 유형별로 색상 구분하여 하이라이팅</t>
  </si>
  <si>
    <t>답변에 활용된 원문 구문을 근거 유형별로 색상 구분하여 하이라이팅 처리하여 제공</t>
  </si>
  <si>
    <t>SER-010</t>
  </si>
  <si>
    <t>소프트웨어 개발 보안 및 취약성 점검</t>
  </si>
  <si>
    <t>SFR-005-04-01</t>
  </si>
  <si>
    <t>데이터 신선도 표시</t>
  </si>
  <si>
    <t>시스템은 모든 RAG 응답에 인용 데이터의 최종 갱신 일자를 표시하여야 한다.</t>
  </si>
  <si>
    <t>메타 데이터에 최종 갱신일자 적재하여 모든 RAG 응답에 인용 데이터의 최종 갱신 일자를 표시</t>
  </si>
  <si>
    <t>SER-011</t>
  </si>
  <si>
    <t>사업수행 보안 관리</t>
  </si>
  <si>
    <t>[서비스·대화] 표준 서식 템플릿 매핑·자동 변환·다운로드, 업무별 맞춤 템플릿 관리</t>
  </si>
  <si>
    <t>SFR-006-01-01</t>
  </si>
  <si>
    <t>템플릿 매핑 기반 문서 생성
※ 공문 서식의 필드 구성 및 양식은 위원회 제공. 추가 템플릿 대상 및 범위는 기술협상 시 확정</t>
  </si>
  <si>
    <t>시스템은 위원회 표준 서식 템플릿의 각 필드에 AI가 내용을 자동으로 채워 넣는 템플릿 매핑 기능 제공하여야 한다.</t>
  </si>
  <si>
    <r>
      <rPr>
        <rFont val="맑은 고딕"/>
        <color rgb="FF0000FF"/>
        <sz val="9.0"/>
      </rPr>
      <t>템플릿 전처리 로직 및 보고서 생성 로직 개발하여 제공</t>
    </r>
    <r>
      <rPr>
        <rFont val="맑은 고딕"/>
        <color rgb="FF0000FF"/>
        <sz val="9.0"/>
      </rPr>
      <t xml:space="preserve">
</t>
    </r>
    <r>
      <rPr>
        <rFont val="맑은 고딕"/>
        <color rgb="FFFF0000"/>
        <sz val="9.0"/>
      </rPr>
      <t>(공문 서식의 필드 구성 및 양식은 위원회에서 제공, 추가 템플릿 대상 및 범위는 위원회에 협의하여 확정)</t>
    </r>
  </si>
  <si>
    <t>· 화면 설계서</t>
  </si>
  <si>
    <t>SER-012</t>
  </si>
  <si>
    <t>SFR-006-01-02</t>
  </si>
  <si>
    <t>시스템은 (기본 템플릿) 초기 구축 시 공문, 보고서 2종 기본 제공하여야 한다.</t>
  </si>
  <si>
    <t>위원회에 협의하여 확정한 공문, 보고서 2종 템플릿 제공</t>
  </si>
  <si>
    <t>SFR-006-01-03</t>
  </si>
  <si>
    <t>(필드 관리) 템플릿별 필수 필드 목록, 데이터 유형, 기본값, 검증 규칙을 관리자가 웹 UI에서 등록·수정</t>
  </si>
  <si>
    <t>[Before]
워크플로우 환경변수 기능으로 제공
[After]
템플릿 수정이 필요하면 기존템플릿 파일(HWPX)을 다운로드 후 수정, 재업로드 방식
템플릿 내에서 필수값과 비 필수값을 명시하는 방식
{중괄호}내에 포함된 항목을 필수값으로 정의</t>
  </si>
  <si>
    <t>템플릿별 필드 목록·데이터 유형·기본값·검증 규칙을 관리자가 웹 UI에서 등록·수정하는 기능을 요구하나, J열의 워크플로우 환경변수는 설정값 주입 수단으로 관리 화면과 상이함. 업무 담당자가 코드·설정파일 수정 없이 필드와 검증 규칙을 관리할 수 있는 화면 제공이 요구사항임</t>
  </si>
  <si>
    <t>SER-013</t>
  </si>
  <si>
    <t>SFR-006-02-01</t>
  </si>
  <si>
    <t>표준 서식 자동 변환 및 다운로드</t>
  </si>
  <si>
    <t>시스템은 AI 생성 답변을 표준 규격에 맞춰 자동 변환하고 HWPX, PDF 포맷으로 다운로드 기능 제공하여야 한다.</t>
  </si>
  <si>
    <t>위원회에 협의하여 확정한 템플릿 전처리 로직 및 보고서 생성 로직 개발하여 제공, HWPX, PDF 포맷 다운로드 기능 개발하여 제공</t>
  </si>
  <si>
    <t>SFR-006-02-02</t>
  </si>
  <si>
    <t>시스템은 (적용 범위) 관리자가 HWPX 자동 변환 대상으로 지정한 템플릿에 한하여 적용하여야 한다.</t>
  </si>
  <si>
    <t>[Before]
관리자가 HWPX 자동 변환 대상으로 지정한 템플릿에 한하여 워크플로우 환경변수 기능으로 제공
[After]
템플릿 수정이 필요하면 기존템플릿 파일(HWPX)을 다운로드 후 수정, 재업로드 방식
템플릿 내에서 필수값과 비 필수값을 명시하는 방식
{중괄호}내에 포함된 항목을 필수값으로 정의</t>
  </si>
  <si>
    <t>관리자가 HWPX 자동 변환 대상 템플릿을 지정하는 방식이 화면 조작인지 환경변수 설정인지 보완 요청</t>
  </si>
  <si>
    <t>SFR-006-02-03</t>
  </si>
  <si>
    <t>(범위 제한) 템플릿 필드에 대한 텍스트 내용 자동 채움까지로 하며, 관인 삽입·결재선·전자결재 연동은 미포함</t>
  </si>
  <si>
    <t>위원회에 협의하여 확정한 템플릿 필드에 대한 텍스트 내용 자동 채움까지로 하며, 관인 삽입·결재선·전자결재 연동은 미포함</t>
  </si>
  <si>
    <t>SFR-006-03-01</t>
  </si>
  <si>
    <t>업무별 맞춤 템플릿 관리</t>
  </si>
  <si>
    <t>시스템은 업무 유형별 템플릿을 카테고리별(공문서/보고서/회의/기획 등)로 분류·관리하여야 한다.</t>
  </si>
  <si>
    <t>품질</t>
  </si>
  <si>
    <t>업무 유형별 템플릿을 카테고리별(공문서/보고서/회의/기획 등)로 분류·관리</t>
  </si>
  <si>
    <t>QUR-001</t>
  </si>
  <si>
    <t>언어모델 운영 품질 관리</t>
  </si>
  <si>
    <t>SFR-006-03-02</t>
  </si>
  <si>
    <t>(버전 관리) 신규 등록·수정 및 템플릿 버전 관리(변경 이력 기록)를 관리자 웹 UI에서 수행</t>
  </si>
  <si>
    <t>신규 등록·수정 및 템플릿 버전 관리(변경 이력 기록)할 수 있도록 관리자 기능으로 제공</t>
  </si>
  <si>
    <t>QUR-002</t>
  </si>
  <si>
    <t>생성형AI 응답 품질 관리</t>
  </si>
  <si>
    <t>[서비스·대화] 멀티턴 대화, 이력 조회, 프롬프트 라이브러리, 응답 스타일·프롬프트 공유</t>
  </si>
  <si>
    <t>SFR-007-01-01</t>
  </si>
  <si>
    <t>멀티턴 대화 문맥 유지</t>
  </si>
  <si>
    <t>시스템은 사용자의 과거 질문 이력을 저장하여 대화 흐름을 유지하는 멀티턴 대화 기능 제공하여야 한다.</t>
  </si>
  <si>
    <t>Redis에 세션별 대화 이력 로깅 및 멀티턴 대화 기능 제공</t>
  </si>
  <si>
    <t>· AI 응답 시나리오 정의서
 · 화면 설계서</t>
  </si>
  <si>
    <t>SFR-007-01-02</t>
  </si>
  <si>
    <t>(문맥 유지) 이전 질의·응답 이력을 프롬프트에 포함하여 연속적인 대화 생성</t>
  </si>
  <si>
    <t>QUR-003</t>
  </si>
  <si>
    <t>RAG 지식베이스 품질 관리</t>
  </si>
  <si>
    <t>SFR-007-01-03</t>
  </si>
  <si>
    <t>(도메인 전환) 대화 중 업무 도메인 전환 감지 시 컨텍스트 가중치 초기화 및 RAG 검색 범위 자동 재설정</t>
  </si>
  <si>
    <t>[Before]
도메인 전환 감지 시 가중치 감소 로직 개발 적용
[After]
도메인 전환 감지 시 가중치 감소 로직 개발 적용
가중치 변경에 따른 자동 라우팅 기능 추가 개발</t>
  </si>
  <si>
    <t>가중치 초기화, RAG 검색 범위 자동 재설정 요구사항에 대해 '가중치 감소 로직'만 제안한 부분에 대한 추가 설명 요청 (기술적 문제인지, 설계 효율성 때문인지 등)</t>
  </si>
  <si>
    <t>SFR-007-01-04</t>
  </si>
  <si>
    <t>(설정 조정) 문맥 유지 범위(대화 수, 토큰 한도)를 관리자가 웹 UI에서 조정 가능</t>
  </si>
  <si>
    <t>문맥 유지 범위(대화 수, 토큰 한도)를 관리자가 웹 UI에서 조정 가눙하도록 기능제공</t>
  </si>
  <si>
    <t>QUR-004</t>
  </si>
  <si>
    <t>프롬프트 라이브러리 품질</t>
  </si>
  <si>
    <t>SFR-007-02-01</t>
  </si>
  <si>
    <t>대화 이력 조회 및 관리
※ 이력 저장 한도 및 보존 기간은 관리자 설정 가능</t>
  </si>
  <si>
    <t>시스템은 사용자별 과거 질의응답 이력을 조회·관리하는 기능 제공하여야 한다.</t>
  </si>
  <si>
    <t>플랫폼에서 사용자별 과거 질의응답 이력 조회·관리 기능 제공
(이력 저장 한도 및 보존 기간은 관리자 설정 가능)</t>
  </si>
  <si>
    <t>SFR-007-02-02</t>
  </si>
  <si>
    <t>시스템은 (검색) 키워드, 기간별 검색 조건 지원하여야 한다.</t>
  </si>
  <si>
    <t>키워드 검색 제공. 기간별 검색 미제공</t>
  </si>
  <si>
    <t>QUR-005</t>
  </si>
  <si>
    <t>SFR-007-02-03</t>
  </si>
  <si>
    <t>품질보증 일반사항</t>
  </si>
  <si>
    <t>(삭제) 사용자가 불필요한 이력 선택 삭제 가능</t>
  </si>
  <si>
    <t>대화이력에서 사용자가 불필요한 이력 선택하여 삭제하는 기능 제공</t>
  </si>
  <si>
    <t>SFR-007-02-04</t>
  </si>
  <si>
    <t>시스템은 (보존 기간) 모든 대화 이력은 PII 마스킹 적용된 비식별 데이터로 보존하여야 한다.</t>
  </si>
  <si>
    <t>모든 대화 이력은 PII 마스킹 적용된 비식별 데이터로 보존</t>
  </si>
  <si>
    <t>SFR-007-03-01</t>
  </si>
  <si>
    <t>관리자 표준 프롬프트 관리</t>
  </si>
  <si>
    <t>시스템은 업무 카테고리별 표준 프롬프트를 등록·수정·삭제할 수 있는 프롬프트 라이브러리 기능 제공하여야 한다.</t>
  </si>
  <si>
    <t>플랫폼에서 업무 카테고리별 표준 프롬프트를 등록·수정·삭제할 수 있는 프롬프트 라이브러리 기능 제공</t>
  </si>
  <si>
    <t>SFR-007-03-02</t>
  </si>
  <si>
    <t>시스템은 (계층 구조) ‘대-중-소’ 계층 구조 지원하여야 한다.</t>
  </si>
  <si>
    <r>
      <rPr>
        <rFont val="맑은 고딕"/>
        <color rgb="FF0000FF"/>
        <sz val="9.0"/>
      </rPr>
      <t xml:space="preserve">계층 구조가 아닌 태그 형태로 프롬프트 카테고리 관리 제공
대-중-소 계층구조 지원이 필수적인 것은 아니며 프롬프트 별 태그 등록 기능으로 대체 가능. 태그는 관리자가 사전 정의 가능해야 하고, 사용자는 프롬프트를 등록할때 반드시 선택해야 함 
</t>
    </r>
    <r>
      <rPr>
        <rFont val="맑은 고딕"/>
        <color rgb="FFFF0000"/>
        <sz val="9.0"/>
      </rPr>
      <t>[26.07.30 Agent 개발 요구사항 논의]</t>
    </r>
  </si>
  <si>
    <t>제약사항</t>
  </si>
  <si>
    <t>SFR-007-03-03</t>
  </si>
  <si>
    <t>COR-001</t>
  </si>
  <si>
    <t>(큐레이션) 특정 프롬프트 상단 고정(Pin) 또는 공식 배지 부여 가능</t>
  </si>
  <si>
    <t>관련 법령 및 규정 준수</t>
  </si>
  <si>
    <r>
      <rPr>
        <rFont val="Malgun Gothic"/>
        <color theme="1"/>
        <sz val="9.0"/>
      </rPr>
      <t>전체 사용자에게 공통 적용되는 프롬프트 카테고리 기능, 개인별로 적용되는 즐겨찾기 기능 2가지 단계로 Pin기능 구성</t>
    </r>
    <r>
      <rPr>
        <rFont val="맑은 고딕"/>
        <color rgb="FF0000FF"/>
        <sz val="9.0"/>
      </rPr>
      <t xml:space="preserve">
</t>
    </r>
    <r>
      <rPr>
        <rFont val="맑은 고딕"/>
        <color rgb="FFFF0000"/>
        <sz val="9.0"/>
      </rPr>
      <t>[26.07.30 Agent 개발 요구사항 논의]</t>
    </r>
  </si>
  <si>
    <t>SFR-007-04-01</t>
  </si>
  <si>
    <t>응답 스타일 관리</t>
  </si>
  <si>
    <t>시스템은 AI 응답 스타일(톤) 프리셋을 기본 제공하여야 한다.</t>
  </si>
  <si>
    <t>플랫폼 프롬프트 라이브러리 셋으로 구축</t>
  </si>
  <si>
    <t>COR-002</t>
  </si>
  <si>
    <t>SFR-007-04-02</t>
  </si>
  <si>
    <t>개발 표준 및 기술 규격 준수</t>
  </si>
  <si>
    <t>(프리셋 예시) 전문가 모드(간결, 금융 용어, 결론 우선), 친절한 모드 (쉬운 표현, 단계별 설명)</t>
  </si>
  <si>
    <t>SFR-007-04-03</t>
  </si>
  <si>
    <t>(설정) 관리자가 스타일 추가·수정, 조직 기본 스타일 설정 가능</t>
  </si>
  <si>
    <t>플랫폼 프롬프트 기능에서 제공</t>
  </si>
  <si>
    <t>COR-003</t>
  </si>
  <si>
    <t>저작권 및 지식재산권 보호</t>
  </si>
  <si>
    <t>SFR-007-05-01</t>
  </si>
  <si>
    <t>사용자 프롬프트 등록·공유</t>
  </si>
  <si>
    <t>시스템은 사용자가 개인 프롬프트를 저장하고, 전사 라이브러리에 공개 등록 할 수 있는 기능 제공하여야 한다.</t>
  </si>
  <si>
    <t>플랫폼에서 기능 제공</t>
  </si>
  <si>
    <t>SFR-007-05-02</t>
  </si>
  <si>
    <t>시스템은 (승인) 공개 등록 시 승인 워크플로 적용하여야 한다.</t>
  </si>
  <si>
    <t>COR-004</t>
  </si>
  <si>
    <t>감리, 개인정보영향평가 대응 및 설계변경</t>
  </si>
  <si>
    <t>SFR-007-05-03</t>
  </si>
  <si>
    <t>시스템은 (활용) 프롬프트 검색(키워드·카테고리·태그), 정렬, 사용자 피드백 (좋아요/평점) 기능 제공하여야 한다.</t>
  </si>
  <si>
    <r>
      <rPr>
        <rFont val="맑은 고딕"/>
        <color rgb="FF0000FF"/>
        <sz val="9.0"/>
      </rPr>
      <t xml:space="preserve">[Before]
플랫폼에서 기능 제공
</t>
    </r>
    <r>
      <rPr>
        <rFont val="맑은 고딕"/>
        <color rgb="FFFF0000"/>
        <sz val="9.0"/>
      </rPr>
      <t xml:space="preserve">(채팅에 대한 피드백인지 프롬프트에 대한 피드백인지 확인 필요)
</t>
    </r>
    <r>
      <rPr>
        <rFont val="맑은 고딕"/>
        <color rgb="FF0000FF"/>
        <sz val="9.0"/>
      </rPr>
      <t xml:space="preserve">
[After]
GenOS 내 프롬프트 라이브러리-카탈로그 기능에서 프롬프트에 대한 평점 반영 가능</t>
    </r>
  </si>
  <si>
    <t>본 항의 피드백은 프롬프트 라이브러리에 등록된 프롬프트에 대한 평가(유용성)를 의미함. 답변 품질에 대한 피드백은 SFR-008-01(피드백 수집 및 관리)에서 별도로 다루므로 두 기능을 구분 필요</t>
  </si>
  <si>
    <t>COR-005</t>
  </si>
  <si>
    <t>기존 시스템 호환 및 운영 영향 최소화</t>
  </si>
  <si>
    <t>[품질관리] 피드백 수집·GT 등록·학습 반영, 골든셋 구축, 자동 채점, 회귀 테스트</t>
  </si>
  <si>
    <t>SFR-008-01-01</t>
  </si>
  <si>
    <t>피드백 수집 및 관리</t>
  </si>
  <si>
    <t>시스템은 사용자의 답변 평가 피드백을 수집하는 기능 제공하여야 한다.</t>
  </si>
  <si>
    <t>포탈서비스 및 플랫폼 피드백 수집 기능 제공</t>
  </si>
  <si>
    <t>· 평가 데이터셋
 · 화면 설계서</t>
  </si>
  <si>
    <t>SFR-008-01-02</t>
  </si>
  <si>
    <t>(피드백 유형) 좋아요(긍정) / 싫어요(선택형+주관식) / 개선 제안(주관식)</t>
  </si>
  <si>
    <t>COR-006</t>
  </si>
  <si>
    <t>포탈서비스 및 플랫폼 피드백 기능 제공</t>
  </si>
  <si>
    <t>콜센터 상면료 및 전용 회선료</t>
  </si>
  <si>
    <t>SFR-008-01-03</t>
  </si>
  <si>
    <t>시스템은 (싫어요 사유) 싫어요 시 사유 필수 입력. 선택형 값의 순서 ·신설· 수정·삭제 기능 지원하여야 한다.</t>
  </si>
  <si>
    <t>[Before]
포탈서비스 및 플랫폼 피드백 기능 제공
[After]
좋아요 선택형, 주관식 피드백 기능 추가. 싫어요 시 사유 입력은 선택사항으로 제공</t>
  </si>
  <si>
    <t>싫어요 사유 선택형 값의 순서·신설·수정·삭제 기능을 요구하나 J열에 해당 관리 기능에 대한 대응이 없음. 관리자가 사유 항목을 직접 관리할 수 있는 화면이 제공되어야 함. 기존 솔루션의 피드백 기능에 대한 스펙 제공 시 수용 또는 추가 피드백 기능 필요 여부에 대해 협의 필요</t>
  </si>
  <si>
    <t>SFR-008-01-04</t>
  </si>
  <si>
    <t>시스템은 (부정 피드백 검토) 부정 피드백 발생 질의를 별도 리스팅하여 관리자 검토 지원하여야 한다.</t>
  </si>
  <si>
    <t>COR-007</t>
  </si>
  <si>
    <t>제재 조건 및 지연배상금</t>
  </si>
  <si>
    <t>SFR-008-02-01</t>
  </si>
  <si>
    <t>정답(Ground Truth) 등록 및 학습 반영
※ 배치 반영 주기 및 승인 절차는 기술협상 시 협의</t>
  </si>
  <si>
    <t>시스템은 관리자가 올바른 답변(GT)을 등록할 수 있는 웹 UI 관리 기능 제공하여야 한다.</t>
  </si>
  <si>
    <r>
      <rPr>
        <rFont val="맑은 고딕"/>
        <color rgb="FF0000FF"/>
        <sz val="9.0"/>
      </rPr>
      <t xml:space="preserve">[Before]
플렛폼 기능에서 제공
</t>
    </r>
    <r>
      <rPr>
        <rFont val="맑은 고딕"/>
        <color rgb="FFFF0000"/>
        <sz val="9.0"/>
      </rPr>
      <t xml:space="preserve">(배치 반영 주기 및 승인 절차는 위원회에 협의하여 확정)
</t>
    </r>
    <r>
      <rPr>
        <rFont val="맑은 고딕"/>
        <color rgb="FF0000FF"/>
        <sz val="9.0"/>
      </rPr>
      <t xml:space="preserve">
[After]
전체 데이터셋(xlsx)을 다운로드 한 후 일부 수정하여 재업로드
</t>
    </r>
    <r>
      <rPr>
        <rFont val="맑은 고딕"/>
        <color rgb="FFFF0000"/>
        <sz val="9.0"/>
      </rPr>
      <t>[26.07.30 Agent 개발 요구사항 논의]</t>
    </r>
  </si>
  <si>
    <t>구축 및 안정화 시점에는 GT에 대한 반영을 수동으로 제어하여 품질 안정화를 기해야 함. 안정화 이후에는 협의된 자동 배치로 반영. 배치 주기에 대한 관리부서의 UI 상 수정 기능 필요</t>
  </si>
  <si>
    <t>SFR-008-02-02</t>
  </si>
  <si>
    <t>(등록 항목) 원본 질의, 올바른 답변, 근거 문서 및 조항, 등록 사유</t>
  </si>
  <si>
    <t>COR-008</t>
  </si>
  <si>
    <t>하도급 관리방안</t>
  </si>
  <si>
    <t>플렛폼 기능에서 제공</t>
  </si>
  <si>
    <t>SFR-008-02-03</t>
  </si>
  <si>
    <t>(학습 반영) 등록된 정답을 Few-shot 프롬프트 또는 검색 로직에 반영하여 답변 정확도 지속 개선</t>
  </si>
  <si>
    <t>[Before]
워크플로우 / 코드 서빙 리소스 목록 기능으로 관리
[After]
정답(GT)를 역할에 따라 평가용 데이터셋, Few-shot 프롬프트용 데이터셋으로 나누어 관리. 버전, 형상관리는 플랫폼 기능으로 제공하여 데이터셋 파일(xlsx) 다운로드, 수정 후 재업로드시 평가단계 혹은 Few-shot단계에 반영됨</t>
  </si>
  <si>
    <t>등록된 정답(GT)이 Few-shot 프롬프트 또는 검색 로직에 반영되어 답변 정확도가 개선되는 것을 요구하나, '리소스 목록 기능으로 관리'는 학습 반영에 대한 처리방안으로 이해하기 어려움</t>
  </si>
  <si>
    <t>SFR-008-02-04</t>
  </si>
  <si>
    <t>(배치 반영) Few-shot 프롬프트 갱신은 관리자 검토·승인 후 배치 방식으로 반영</t>
  </si>
  <si>
    <t>SFR-008-03-01</t>
  </si>
  <si>
    <t>피드백 대시보드</t>
  </si>
  <si>
    <t>피드백 현황 및 개선 추이를 대시보드에서 조회</t>
  </si>
  <si>
    <t xml:space="preserve">[Before]
플렛폼 기능에서 제공
[After]
AI 포털(GenOS)의 기존 기능을 기반으로 플랫폼 설계
</t>
  </si>
  <si>
    <t>요구하는 대시보드 UI에 맞추어 플랫폼을 설계하는 것인지, 기존 존재하는 플랫폼 기능으로 대응한다는 것인지 불명확. 후자의 경우 구현 UI 범위에 대해 별도 협의 필요</t>
  </si>
  <si>
    <t>프로젝트 관리</t>
  </si>
  <si>
    <t>PMR-001</t>
  </si>
  <si>
    <t>사업수행 조직 구성 및 인력 관리</t>
  </si>
  <si>
    <t>SFR-008-03-02</t>
  </si>
  <si>
    <t>(필수 지표) 긍정률, 부정률, 상세 부정률, GT 등록 건수, 개선 추이 (주간/월간)</t>
  </si>
  <si>
    <t>[Before]
플렛폼 기능에서 제공
[After]
요구하는 대시보드 필수지표를 표시하도록 대응 개발</t>
  </si>
  <si>
    <t>SFR-008-03-03</t>
  </si>
  <si>
    <t>시스템은 (부정 분석) 부정 피드백 Top 10 질의 유형 분석 리포트 제공하여야 한다.</t>
  </si>
  <si>
    <t>부정 피드백 분석 워크플로우를 만들고, 이를 채팅 형태로 리포트 생성  및 리포트 다운로드 기능 제공</t>
  </si>
  <si>
    <t>PMR-002</t>
  </si>
  <si>
    <t>보고 관리</t>
  </si>
  <si>
    <t>SFR-008-04-01</t>
  </si>
  <si>
    <t>정답셋(Golden Set) 구축 및 관리</t>
  </si>
  <si>
    <t>시스템은 주요 업무 질의에 대한 모범 답안(골든셋)을 구축·관리하는 기능 제공하여야 한다.</t>
  </si>
  <si>
    <t>플렛폼 기능으로 제공</t>
  </si>
  <si>
    <t>SFR-008-04-02</t>
  </si>
  <si>
    <t>시스템은 (메타데이터) 항목별 제도구분, 난이도, 규정 버전, 민감도 수준 등 관리하여야 한다.</t>
  </si>
  <si>
    <t>데이터셋 항목에 제도구분·난이도·규정 버전·민감도 수준 등 메타데이터 필드 추가 및 관리 UI 제공</t>
  </si>
  <si>
    <t>PMR-003</t>
  </si>
  <si>
    <t>산출물 관리 및 행정 정보 현행화</t>
  </si>
  <si>
    <t>SFR-008-04-03</t>
  </si>
  <si>
    <t>(자동 플래깅) 지식베이스 규정 갱신 시 해당 골든셋 항목을 자동 플래깅하고 재검증 알림</t>
  </si>
  <si>
    <t>[Before]
지식베이스 규정 갱신 감지 시 연관 골든셋 항목 자동 플래깅, 재검증 필요 알림 발송 기능 제공
[After]
지식베이스 규정 갱신 감지 시 연관 골든셋 항목 자동 플래깅</t>
  </si>
  <si>
    <t>PMR-004</t>
  </si>
  <si>
    <t>SFR-008-04-04</t>
  </si>
  <si>
    <t>일정·위험 관리 및 개발방법론</t>
  </si>
  <si>
    <t>시스템은 (GT 연동) 정답 중 관리자 지정 항목은 골든셋에 자동 연동하여야 한다.</t>
  </si>
  <si>
    <t>[Before] 
정답(GT) 중 관리자 지정 항목을 골든셋에 자동 연동
[After]
관리자가 평가용으로 사용할 GT와 Few-shot 프롬프트 용으로 사용할 GT를 별개의 데이터셋으로 분리하여 관리하는 기능 제공. 
버전, 형상관리는 플랫폼 기능으로 제공하여 데이터셋 파일(xlsx) 다운로드, 수정 후 재업로드시 평가 단계 혹은 Few-shot단계에 반영됨</t>
  </si>
  <si>
    <t>SFR-008-05-01</t>
  </si>
  <si>
    <t>단계별 자동 채점</t>
  </si>
  <si>
    <t>골든셋 기준으로 AI 답변에 대한 채점을 검색 단계와 생성 단계로 분리하여 수행</t>
  </si>
  <si>
    <t>골든셋 기준 AI 답변 채점을 검색 단계•생성 단계로 분리 수행(지표•리더보드는 플랫폼 평가 기능 연계)</t>
  </si>
  <si>
    <t>PMR-005</t>
  </si>
  <si>
    <t>요구사항 관리</t>
  </si>
  <si>
    <t>SFR-008-05-02</t>
  </si>
  <si>
    <t>(평가 지표) 검색 단계(Context Relevance, Context Coverage), 생성 단계(Faithfulness, Correctness, Citation Precision) 포함</t>
  </si>
  <si>
    <t>평가 및 리더보드 기능 제공</t>
  </si>
  <si>
    <t>SFR-008-05-03</t>
  </si>
  <si>
    <t>(결과 기록) 평가 결과를 수치화된 지표로 산출·저장, 사용 모델·프롬 프트·데이터 버전 정보 함께 기록</t>
  </si>
  <si>
    <t>[Before]
평가 및 리더보드 기능 제공
[After]
리더보드 상에 평가 결과를 수치화된 지표로 제공 및 해당 워크플로우(사용 모델·프롬 프트·데이터 버전 정보)로 링크 제공</t>
  </si>
  <si>
    <t>[3차 검토의견] 260822~23 검토내용
요청하는 기능이 GenOS에 있으나, 하나의 리더보드가 아닌 각각 다른 경로를 통해 확인이 가능하다는 것으로 이해. 다만 이 부분에 대해서는 GenOS 시연을 통해 수용 가능 여부를 판단해야 할 것으로 보임</t>
  </si>
  <si>
    <t>PMR-006</t>
  </si>
  <si>
    <t>SFR-008-06-01</t>
  </si>
  <si>
    <t>자동 회귀 테스트</t>
  </si>
  <si>
    <t>모델·프롬프트·검색 설정 변경 시 골든셋 기반 평가를 재수행하고, 변경 전후 성능을 비교하여 품질 저하 여부 판단 가능</t>
  </si>
  <si>
    <t>워크플로우 배포시 평가 대시보드를 선택할수 있는 기능 추가. 대시보드 선택시 평가 수행</t>
  </si>
  <si>
    <t>PMR-007</t>
  </si>
  <si>
    <t>[품질관리] 실시간 성능 모니터링, 골든셋 품질 평가, 이상 징후 알림, 정기 리포트</t>
  </si>
  <si>
    <t>SFR-009-01-01</t>
  </si>
  <si>
    <t>실시간 성능 지표 모니터링</t>
  </si>
  <si>
    <t>RAG 핵심 성능 지표를 실시간으로 모니터링하는 통합 대시보드 제공 (AI 통합 포털의 '모니터링' 하위 메뉴)</t>
  </si>
  <si>
    <t>RAG 핵심 성능 지표 실시간 통합 모니터링 대시보드 제공</t>
  </si>
  <si>
    <t>SFR-009-01-02</t>
  </si>
  <si>
    <t>(지표 구분) 검색 단계, 생성 단계, 운영 지표를 구분하여 모니터링</t>
  </si>
  <si>
    <t>검색/생성/운영 단계별 지표 구분 모니터링 대시보드 제공</t>
  </si>
  <si>
    <t>SFR-009-01-03</t>
  </si>
  <si>
    <t>(운영 지표) 질의 유형별 실패율, 시간대별 질의량, 일별·주별·월별 추이</t>
  </si>
  <si>
    <t>프로젝트 지원</t>
  </si>
  <si>
    <t>질의 유형별 실패율·시간대별 질의량·추이 대시보드 제공</t>
  </si>
  <si>
    <t>PSR-001</t>
  </si>
  <si>
    <t>교육훈련 및 기술이전</t>
  </si>
  <si>
    <t>SFR-009-01-04</t>
  </si>
  <si>
    <t>(사용량 관리) 질의 요청 건수, 사용자별 사용량, 서비스별 호출 건수 등 이용 현황 집계</t>
  </si>
  <si>
    <t>질의 요청 건수, 사용자별 사용량, 서비스별 호출 건수 등 이용 현황 집계 대시보드 제공</t>
  </si>
  <si>
    <t>SFR-009-02-01</t>
  </si>
  <si>
    <t>골든셋 기반 품질 자동 평가
※ 준실시간 평가의 필요 여부 및 적용 범위는 위원회와 협의하여 확정</t>
  </si>
  <si>
    <t>모델·데이터 변경 또는 정기 스케줄에 따라 골든셋 기반 성능을 자동 재산출</t>
  </si>
  <si>
    <r>
      <rPr>
        <rFont val="맑은 고딕"/>
        <color rgb="FF0000FF"/>
        <sz val="9.0"/>
      </rPr>
      <t xml:space="preserve">[Before]
모델·데이터 변경 또는 정기 스케줄 트리거 시 골든셋 성능 자동 재산출 기능 제공
</t>
    </r>
    <r>
      <rPr>
        <rFont val="맑은 고딕"/>
        <color rgb="FFFF0000"/>
        <sz val="9.0"/>
      </rPr>
      <t>(준실시간 평가의 필요 여부 및 적용 범위는 위원회와 협의하여 확정)</t>
    </r>
    <r>
      <rPr>
        <rFont val="맑은 고딕"/>
        <color rgb="FF0000FF"/>
        <sz val="9.0"/>
      </rPr>
      <t xml:space="preserve">
</t>
    </r>
    <r>
      <rPr>
        <rFont val="맑은 고딕"/>
        <color rgb="FF0000FF"/>
        <sz val="9.0"/>
      </rPr>
      <t xml:space="preserve">[After]
모델·데이터 변경 또는 정기 스케줄 트리거 시 골든셋 성능 자동 재산출 기능 제공
</t>
    </r>
    <r>
      <rPr>
        <rFont val="맑은 고딕"/>
        <color rgb="FFFF0000"/>
        <sz val="9.0"/>
      </rPr>
      <t>야간 배치 스케줄링으로 기능 제공</t>
    </r>
  </si>
  <si>
    <t>준실시간 평가의 경우 운영 안정화 이후 샘플링(5~10%)하여 진행하는 형태로 인지되는데, 본 사업에서 필요하다고 판단되는지 재문의</t>
  </si>
  <si>
    <t>PSR-002</t>
  </si>
  <si>
    <t>시스템 안정화 및 하자보수</t>
  </si>
  <si>
    <t>SFR-009-02-02</t>
  </si>
  <si>
    <t>(트리거 조건) 모델 버전 변경, 데이터 변경(건수 임계값 초과), 정기 스케줄(일별/주별), 수동 실행</t>
  </si>
  <si>
    <t>모델 버전 변경, 데이터 변경(건수 임계값 초과), 정기 스케줄(일별/주별), 수동 실행 기능 제공</t>
  </si>
  <si>
    <t>SFR-009-02-03</t>
  </si>
  <si>
    <t>(관리자 설정) 트리거 조건 및 실행 주기를 관리자가 웹 UI에서 설정 가능</t>
  </si>
  <si>
    <t>PSR-003</t>
  </si>
  <si>
    <t>트리거 조건 및 실행 주기를 관리자가 웹 UI에서 설정 기능 제공</t>
  </si>
  <si>
    <t>STT 엔진 연동 수행 체계</t>
  </si>
  <si>
    <t>SFR-009-02-04</t>
  </si>
  <si>
    <t>(단계 분리) 검색 단계와 생성 단계의 성능 지표를 분리하여 평가·시각화</t>
  </si>
  <si>
    <t>검색 단계와 생성 단계의 성능 지표를 분리하여 평가·시각화 기능 제공</t>
  </si>
  <si>
    <t>PSR-004</t>
  </si>
  <si>
    <t>AI 모델 및 파이프라인 운영관리</t>
  </si>
  <si>
    <t>SFR-009-03-01</t>
  </si>
  <si>
    <t>이상 징후 탐지 및 알림</t>
  </si>
  <si>
    <t>시스템은 성능 지표 이상 징후 탐지 및 알림 기능 제공하여야 한다.</t>
  </si>
  <si>
    <t>성능 지표 이상 징후 탐지 및 알림 기능 제공</t>
  </si>
  <si>
    <t>SFR-009-03-02</t>
  </si>
  <si>
    <t>(임계값 설정) 이상 징후 탐지 기준 (임계값)을 관리자가 웹 UI에서 설정 가능</t>
  </si>
  <si>
    <t>이상 징후 탐지 기준 (임계값)을 관리자가 웹 UI에서 설정하는 기능 제공</t>
  </si>
  <si>
    <t>SFR-009-03-03</t>
  </si>
  <si>
    <t>(알림 채널) 알림 채널 및 수신 대상을 관리자가 설정 가능</t>
  </si>
  <si>
    <t>알림 채널 및 수신 대상을 관리자가 설정 가능 제공</t>
  </si>
  <si>
    <t>SFR-009-03-04</t>
  </si>
  <si>
    <t>시스템은 (변경 이력 연계) 이상 발생 시점의 모델·데이터 버전 및 변경 이력을 함께 표시하여야 한다.</t>
  </si>
  <si>
    <t>이상 발생 시점 모델·데이터 버전·변경 이력 연계 표시</t>
  </si>
  <si>
    <t>컨설팅</t>
  </si>
  <si>
    <t>CNR-001</t>
  </si>
  <si>
    <t>AI 기술 적용 로드맵 수립 및 과제 발굴</t>
  </si>
  <si>
    <t>SFR-009-04-01</t>
  </si>
  <si>
    <t>버전별 성능 비교 및 정기 리포트</t>
  </si>
  <si>
    <t>(성능 비교) 모델·데이터 버전별 성능 지표를 병렬 비교하고 개선·악화 여부를 시각적으로 표시 (버전 동시 비교)</t>
  </si>
  <si>
    <t>PWC</t>
  </si>
  <si>
    <t>플랫폼 리더보드 기능 제공</t>
  </si>
  <si>
    <t>SFR-009-04-02</t>
  </si>
  <si>
    <t>(정기 리포트) 월별·분기별 품질 리포트를 자동 생성하고 PDF 또는 엑셀 형식으로 다운로드 가능</t>
  </si>
  <si>
    <r>
      <rPr>
        <rFont val="맑은 고딕"/>
        <color rgb="FF0000FF"/>
        <sz val="9.0"/>
      </rPr>
      <t xml:space="preserve">[Before]
플랫폼 기능에서 제공(이용 로그 CSV 제공)
[After]
원시 이용 로그와 별도로 RAG 정확도·근거 정확성·환각률·응답시간·피드백 추이 등 품질 지표를 집계한 월별·분기별 리포트를 자동 생성 및 다운로드 제공
</t>
    </r>
    <r>
      <rPr>
        <rFont val="맑은 고딕"/>
        <color rgb="FFFF0000"/>
        <sz val="9.0"/>
      </rPr>
      <t>PDF와 XLSX 다운로드를 제공하고, 포함 지표·생성 주기는 QUR-002와 통일하여 위원회와 확정</t>
    </r>
  </si>
  <si>
    <t>CNR-002</t>
  </si>
  <si>
    <t>품질 리포트 자동 생성'을 요구하나, '이용 로그 CSV 제공'으로 기재하여 산출물의 성격이 상이함. 이용 로그는 원시 기록이며 품질 지표의 집계·추이 분석 리포트가 아님. 아울러 출력 포맷도 G열의 PDF·엑셀과 상이함. QUR-002의 '응답 품질 현황 주간/월간 리포트' 요건과 동일 산출물이므로, 리포트 포함 지표·생성 주기·출력 포맷을 확정하여 처리방안 수정 필요</t>
  </si>
  <si>
    <t>목표시스템 아키텍처 설계 및 요건 정의</t>
  </si>
  <si>
    <t>웹 UI 샌드박스 및 정책 변경관리 기능</t>
  </si>
  <si>
    <t>[운영·보안·인프라] 샌드박스 환경, A/B 테스트, 승인 워크플로, 버전 관리 및 롤백</t>
  </si>
  <si>
    <t>SFR-010-01-01</t>
  </si>
  <si>
    <t>웹 UI 샌드박스 환경</t>
  </si>
  <si>
    <t>시스템은 프롬프트, 검색 파라미터, 모델 설정을 웹 기반 UI에서 수정할 수 있는 샌드박스 환경 제공하여야 한다.</t>
  </si>
  <si>
    <t>프롬프트, 검색 파라미터, 모델 설정을 웹 기반 UI에서 수정할 수 있는 샌드박스 환경 제공</t>
  </si>
  <si>
    <t>SFR-010-01-02</t>
  </si>
  <si>
    <t>(운영 격리) 샌드박스는 운영 환경과 격리 운영</t>
  </si>
  <si>
    <t>운영서버 내 샌드박스 환경 분리 제공</t>
  </si>
  <si>
    <t>SFR-010-01-03</t>
  </si>
  <si>
    <t>(AI 통합 포털의 '정책변경' 하위 메뉴로 제공)</t>
  </si>
  <si>
    <t>비기능 합계</t>
  </si>
  <si>
    <t>AI 통합 포털의 '정책변경' 하위 메뉴로 제공</t>
  </si>
  <si>
    <t>SFR-010-02-01</t>
  </si>
  <si>
    <t>A/B 테스트 및 비교 분석</t>
  </si>
  <si>
    <t>시스템은 변경 전/후 답변 결과를 동일 질의셋 기준으로 비교하는 A/B 테스트 기능 제공하여야 한다.</t>
  </si>
  <si>
    <t>SFR-010-02-02</t>
  </si>
  <si>
    <t>(비교 표시) 응답 내용, 출처, 성능 지표를 병렬 표시하고 변경 전후 상세 Diff 하이라이팅</t>
  </si>
  <si>
    <t>응답 내용, 출처, 성능 지표를 병렬 표시하고 변경 전후 상세 Diff 하이라이팅 기능 제공</t>
  </si>
  <si>
    <t>SFR-010-02-03</t>
  </si>
  <si>
    <t>총 합계</t>
  </si>
  <si>
    <t>(질의셋 관리) 테스트 질의셋을 관리자가 등록·관리 가능</t>
  </si>
  <si>
    <t>테스트 질의셋을 관리자가 등록·관리 기능 제공</t>
  </si>
  <si>
    <t>SFR-010-03-01</t>
  </si>
  <si>
    <t>승인 워크플로</t>
  </si>
  <si>
    <t>시스템은 프롬프트, 용어사전, 가드레일, RAG 설정 등 정책 변경 시 승인 워크 플로(초안→검토→승인→배포) 제공하여야 한다.</t>
  </si>
  <si>
    <t>프롬프트, 용어사전, 가드레일, RAG 설정 등 정책 변경 시 승인 워크 플로(초안→검토→승인→배포) 제공</t>
  </si>
  <si>
    <t>SFR-010-03-02</t>
  </si>
  <si>
    <t>(단계별 승인) 각 단계별 승인권자 지정 및 알림 발송</t>
  </si>
  <si>
    <t>각 단계별 승인권자 지정 및 알림 발송 기능 제공</t>
  </si>
  <si>
    <t>SFR-010-04-01</t>
  </si>
  <si>
    <t>버전 관리 및 롤백</t>
  </si>
  <si>
    <t>시스템은 정책 변경 시 버전을 자동 생성하고, 변경 이력(변경자, 내용 Diff, 승 인자, 배포 범위) 관리하여야 한다.</t>
  </si>
  <si>
    <t>[Before]
플랫폼 리비전 이력 기능 제공
[After]
리비전 이력에 변경자·변경 전후 Diff·승인자·승인일시·배포 범위·배포 결과를 포함</t>
  </si>
  <si>
    <t>변경 이력 항목(변경자·내용 Diff·승인자·배포 범위)이 리비전 이력 기능에 모두 포함되는지 확인 필요</t>
  </si>
  <si>
    <t>SFR-010-04-02</t>
  </si>
  <si>
    <t>(롤백) 특정 버전으로 롤백 가능, 롤백 시에도 승인 워크플로 적용 설정 가능</t>
  </si>
  <si>
    <t>[Before]
플랫폼 리비전 이력 기능 제공
[After]
특정 리비전 선택 후 롤백을 실행할 수 있는 기능을 제공하고, 롤백에도 승인 워크플로 적용 여부를 정책으로 설정하는 기능 기 제공</t>
  </si>
  <si>
    <t>특정 버전으로의 롤백 실행 기능과 롤백 시 승인 워크플로 적용 여부의 설정 가능을 요구하나, J열은 리비전 이력 기능으로만 기재하여 롤백 실행 및 승인 연계에 대한 처리방안 부재</t>
  </si>
  <si>
    <t>[운영·보안·인프라] PII 마스킹, 금칙어 관리, 문서 접근 규칙, AI 보안 통제, 추론 로그·감사</t>
  </si>
  <si>
    <t>SFR-011-01-01</t>
  </si>
  <si>
    <t>[역할 범위 정의]</t>
  </si>
  <si>
    <t>본 요구사항은 AI 서비스 계층(사용자 입력 수신 → AI 추론 → 응답 반환)에서 동작하는 보안 기능의 구현 명세를 정의한다.</t>
  </si>
  <si>
    <t>AI 서비스 계층(사용자 입력 수신 → AI 추론 → 응답 반환)에서 동작하는 보안 기능의 구현 명세를 정의하여 적용</t>
  </si>
  <si>
    <t>· 보안 가드레일 구현 명세서
 · 화면 설계서(보안 대시보드)</t>
  </si>
  <si>
    <t>SFR-011-01-02</t>
  </si>
  <si>
    <t>보안 정책의 수립·변경·보존·접근통제 등 인프라·운영 계층의 보안 통제는 해당 SER 항목에서 정의하며, 본 항목은 SER에서 정의한 정책을 런타임에 적용하는 기능을 구현한다.</t>
  </si>
  <si>
    <t>인프라·운영 보안 통제는 SER 정의, SER에서 정의한 정책을 런타임에 적용</t>
  </si>
  <si>
    <t>SFR-011-02-01</t>
  </si>
  <si>
    <t>PII 마스킹 및 개인정보 보호</t>
  </si>
  <si>
    <t>시스템은 AI 서비스 계층에서 마스킹 대상 정보 유형 및 패턴을 탐지·적용하는 기능 제공하여야 한다.</t>
  </si>
  <si>
    <t>[Before]
플랫폼 가드레일 기능으로 적용
[After]
AI 추론 전 단계에서 개인정보 유형·패턴·예외 규칙을 탐지하는 기능 제공
관리자 Web UI에서 탐지 유형과 패턴을 조회·등록·수정하고 적용 결과와 예외 이력을 관리하도록 항목별 수행 범위를 구분</t>
  </si>
  <si>
    <t>(192·198·199행 공통) 본 3개 항목은 탐지·카테고리 분류 관리·규칙별 처리방식 설정이라는 상이한 기능을 요구하나 J열이 동일 문구로 기재되어 이행 범위를 구분할 수 없음. 특히 카테고리 신설·수정·삭제 및 처리 방식(차단/경고/로그) 규칙별 설정은 관리자 Web UI 요건이므로, 해당 관리 화면의 제공 여부와 설정 가능 항목을 항목별로 구분하여 기재 요망.</t>
  </si>
  <si>
    <t>SFR-011-02-02</t>
  </si>
  <si>
    <t>(기본 패턴) 주민등록번호, 계좌번호 등 기본 패턴 사전 구성, 위원회 고유 패턴 추가 가능</t>
  </si>
  <si>
    <t>플랫폼 가드레일 기능으로 적용</t>
  </si>
  <si>
    <t>SFR-011-02-03</t>
  </si>
  <si>
    <t>(적용 시점) PII 마스킹은 AI 추론 전 단계에서 적용, 마스킹 후 데이터만 LLM에 전달</t>
  </si>
  <si>
    <t>[Before]
플랫폼 가드레일 기능으로 적용
[After]
GenOS 내 모델 서빙 기능을 통해 파운데이션 모델 활용. 해당 모델 서빙 기능에서 모델의 입출력 단에 기 정의된 가드레일을 반영 할 수 있는 '플러그인' 기능을 활용하여 제공</t>
  </si>
  <si>
    <t>본 항은 마스킹과 LLM 호출의 선후 관계를 규정하는 핵심 조항이나 J열이 '가드레일 기능 적용'으로만 기재되어 처리 순서를 확인할 수 없음. 가드레일이 LLM 호출 이전 단계에서 동작하는 구조에 대해 의견 재전달</t>
  </si>
  <si>
    <t>SFR-011-02-04</t>
  </si>
  <si>
    <t>(예외 처리) 내부 직원 정보(성명, 부서, 직급 등) 및 협약기관 정보는 업무 목적의 사내 정보로서 PII 마스킹 대상에서 제외</t>
  </si>
  <si>
    <t>[Before]
플랫폼 가드레일 기능으로 적용
[After]
예외적인 내부 정보(직원 정보, 협약기관 정보)는 PII 마스킹 대상에서 제외</t>
  </si>
  <si>
    <t>일반적인 개인정보와 개인정보 예외 대상(내부직원, 협약기관 담당자 등)은 PII 마스킹에서 제외됨을 재안내</t>
  </si>
  <si>
    <t>SFR-011-02-05</t>
  </si>
  <si>
    <t>(정책 준거) 마스킹 대상 정보 유형의 정의·분류 기준 및 비식별화 규칙은 SER-009에서 수립한 정책을 따르며, SER-009에서 관리자가 등록·수정한 규칙을 실시간으로 참조하여 적용한다.</t>
  </si>
  <si>
    <t>SFR-011-03-01</t>
  </si>
  <si>
    <t>금칙어 관리</t>
  </si>
  <si>
    <t>금칙어 목록 및 필터링 규칙을 관리자가 웹 UI에서 등록 · 수정·삭제</t>
  </si>
  <si>
    <t>SFR-011-03-02</t>
  </si>
  <si>
    <t>시스템은 (카테고리) 비속어, 개인정보 요청, 업무 외 질의, 상담 금지표현 등 세부내용 카테고리별 분류 관리하여야 한다.</t>
  </si>
  <si>
    <t>[Before]
플랫폼 가드레일 기능으로 적용
[After]
비속어·개인정보 요청·업무 외 질의·상담 금지표현 등 가드레일 카테고리를 관리자 Web UI에서 신설·수정·비활성화·삭제할 수 있도록 제공
카테고리별 규칙과 적용 서비스 범위를 함께 관리</t>
  </si>
  <si>
    <t>SFR-011-03-03</t>
  </si>
  <si>
    <t>(처리 방식) 탐지 시 처리 방식(차단/경고/로그 기록)을 규칙별 설정 가능</t>
  </si>
  <si>
    <t>[Before]
플랫폼 가드레일 기능으로 적용
[After]
각 가드레일 규칙별 처리 방식을 차단·경고·로그 기록 중 선택하거나 조합할 수 있도록 관리자 Web UI를 제공
정책 변경은 승인·버전·감사 이력으로 관리</t>
  </si>
  <si>
    <t>SFR-011-04-01</t>
  </si>
  <si>
    <t>AI 검색·인용 시 문서 접근 규칙 적용</t>
  </si>
  <si>
    <t>시스템은 AI 서비스가 RAG 검색·인용 시 SER-001에서 정의한 문서 접근 권한 정책을 실시간으로 적용하는 기능 제공하여야 한다.</t>
  </si>
  <si>
    <t>RAG 검색·인용 시 SER-001 문서 접근 권한 정책 실시간 적용</t>
  </si>
  <si>
    <t>SFR-011-04-02</t>
  </si>
  <si>
    <t>(적용 단위) 개별 문서 또는 문서 그룹(폴더/카테고리) 단위</t>
  </si>
  <si>
    <t>개별 문서 및 문서 그룹(폴더/카테고리) 단위 적용</t>
  </si>
  <si>
    <t>SFR-011-04-03</t>
  </si>
  <si>
    <t>(권한 확인) 사용자 요청 시 해당 사용자의 권한 범위 내 문서만 검색· 인용 대상에 포함</t>
  </si>
  <si>
    <t>사용자 요청 시 해당 사용자의 권한 범위 내 문서만 검색· 인용 대상에 포함</t>
  </si>
  <si>
    <t>SFR-011-04-04</t>
  </si>
  <si>
    <t>(정책 관리) 문서별 ·그룹별 접근 권한의 등록·수정 ·삭제 및 사용자 / 그룹별 권한 매핑은 SER-001에서 관리한다.</t>
  </si>
  <si>
    <t>문서별·그룹별 접근 권한은 보안 등급 기능 적용, CRUD 및 사용자/그룹 권한 매핑은 IAM 연계 관리</t>
  </si>
  <si>
    <t>SFR-011-05-01</t>
  </si>
  <si>
    <t>근거 부재 시 안내 자동 삽입</t>
  </si>
  <si>
    <t>검색 결과가 없거나 유사도 점수 임계값 미만 시 안내 문구 자동 삽입</t>
  </si>
  <si>
    <t>[Before]
에이전트 구현 시 임계치 체크 로직 구현, 최종 답변에 고정 문구 포함 구현
[After]
워크플로우 내의 데이터 소스 기능 통해 안내 문구 동적 로딩 가능</t>
  </si>
  <si>
    <t>[204·205행 공통] 204행은 '고정 문구', 205행은 '맞춤형 안내 문구'로 기재되어 상충함. 안내 문구는 코드 내 고정이 아닌 관리자 편집 가능한 템플릿으로 제공되어야 함. 양 항목의 처리방안을 통일 필요</t>
  </si>
  <si>
    <t>SFR-011-05-02</t>
  </si>
  <si>
    <t>(템플릿) 안내 문구 템플릿을 관리자가 웹 UI에서 등록·수정 가능</t>
  </si>
  <si>
    <t>[Before]
플랫폼 가드레일 기능 중 맞춤형 안내 문구 사용
[After]
문구 템플릿 등록·수정 등 관리 기능 제공</t>
  </si>
  <si>
    <t>SFR-011-06-01</t>
  </si>
  <si>
    <t>생성형 AI 특화 보안 통제</t>
  </si>
  <si>
    <t>시스템은 프롬프트 인젝션 및 탈옥 시도 탐지·차단, 시스템 프롬프트 유출 방지, 데이터 포이즈닝 방지 기능 제공하여야 한다.</t>
  </si>
  <si>
    <t>가드레일 입력 필터 기반, 인젝션·탈옥·유출·포이즈닝 전용 방어 추가  개발하여 제공</t>
  </si>
  <si>
    <t>SFR-011-06-02</t>
  </si>
  <si>
    <t>(입력 가드레일) 방어 기제 구현</t>
  </si>
  <si>
    <t>SFR-011-06-03</t>
  </si>
  <si>
    <t>(참조 기준) 국정원 AI 보안 가이드북 및 OWASP LLM Top 10 참조</t>
  </si>
  <si>
    <t>국정원 AI 보안 가이드북 및 OWASP LLM Top 10 참조하여 적용</t>
  </si>
  <si>
    <t>SFR-011-06-04</t>
  </si>
  <si>
    <t>(역할 구분) 본 항목은 AI 서비스 런타임에서의 탐지·차단 기능 구현을 정의하며, AI 생성물의 배포 승인 절차 및 거버넌스 정책은 SER-007 에서 정의한다.</t>
  </si>
  <si>
    <t>생성형 AI 특화 보안 통제는 AI 서비스 런타임에서의 탐지·차단 기능 구현을 정의, AI 생성물의 배포 승인 절차 및 거버넌스 정책은 SER-007 에서 정의한 내용을 적용</t>
  </si>
  <si>
    <t>SFR-011-07-01</t>
  </si>
  <si>
    <t>AI 추론 과정 기록</t>
  </si>
  <si>
    <t>AI의 추론 과정을 질의 수신부터 응답 반환까지 단계별로 기록하는 기능을 제공한다.</t>
  </si>
  <si>
    <t>AI의 추론 과정을 질의 수신부터 응답 반환까지 단계별로 기록하는 기능 제공</t>
  </si>
  <si>
    <t>SFR-011-07-02</t>
  </si>
  <si>
    <t>(기록 항목) 입력 질의, 검색 문서 목록 및 유사도, 적용 프롬프트, 생성 응답, 사용 토큰 수 등</t>
  </si>
  <si>
    <t>입력 질의, 검색 문서 목록 및 유사도, 적용 프롬프트, 생성 응답, 사용 토큰 수 등을 기록</t>
  </si>
  <si>
    <t>SFR-011-07-03</t>
  </si>
  <si>
    <t>(조회) 관리자가 웹 UI에서 기간별·사용자별·질의 유형별 로그 조회 가능</t>
  </si>
  <si>
    <t>관리자가 웹 UI에서 기간별·사용자별·질의 유형별 로그 조회하는 기능 제공</t>
  </si>
  <si>
    <t>SFR-011-07-04</t>
  </si>
  <si>
    <t>(로그 통합) 기록된 추론 로그는 SER-003의 감사 로그 통합 관리 체계에 연계하여 저장·관리한다. 기록 항목의 구체적 명세는 본 항목을 따르고, 보존·접근통제·무결성·폐기 정책은 SER-003을 따른다.</t>
  </si>
  <si>
    <t>기록된 추론 로그는 SER-003의 감사 로그 통합 관리 체계에 연계하여 저장·관리, 기록 항목의 구체적 명세는 본 항목을 따르고, 보존·접근통제·무결성·폐기 정책은 SER-003을 따름</t>
  </si>
  <si>
    <t>SFR-011-08-01</t>
  </si>
  <si>
    <t>추론 로그 데이터 보존 정책</t>
  </si>
  <si>
    <t>추론 과정 로그를 3계층으로 분리하여 저장하는 기술적 구조를 제공한다.</t>
  </si>
  <si>
    <r>
      <rPr>
        <rFont val="Malgun Gothic"/>
        <color theme="1"/>
        <sz val="9.0"/>
      </rPr>
      <t>추론 과정 로그를 3계층으로 분리하여 저장</t>
    </r>
    <r>
      <rPr>
        <rFont val="맑은 고딕"/>
        <color rgb="FF0000FF"/>
        <sz val="9.0"/>
      </rPr>
      <t xml:space="preserve">
</t>
    </r>
    <r>
      <rPr>
        <rFont val="맑은 고딕"/>
        <color rgb="FFFF0000"/>
        <sz val="9.0"/>
      </rPr>
      <t>(저장 구조 위원회와 협의하여 확정)</t>
    </r>
  </si>
  <si>
    <t>SFR-011-08-02</t>
  </si>
  <si>
    <t>시스템은 (영구 로그) 마스킹 완료된 비식별 데이터만 저장하여야 한다.</t>
  </si>
  <si>
    <t>로그는 마스킹 완료된 비식별 데이터만 영구 저장</t>
  </si>
  <si>
    <t>SFR-011-08-03</t>
  </si>
  <si>
    <t>(보안 볼트) 디버깅 목적에 한하여 마스킹 전 원문을 암호화 저장소에 TTL 기반 보관</t>
  </si>
  <si>
    <t>디버깅 목적에 한하여 마스킹 전 원문을 암호화 저장소에 TTL 기반 보관</t>
  </si>
  <si>
    <t>SFR-011-08-04</t>
  </si>
  <si>
    <t>(세션 휘발) 세션 종료 시 원문·중간결과가 잔존 금지</t>
  </si>
  <si>
    <t>세션 종료 시 원문·중간결과 비저장</t>
  </si>
  <si>
    <t>SFR-011-08-05</t>
  </si>
  <si>
    <t>(보존 정책) 각 계층별 보존 기간, 접근 권한, 삭제 절차 등 데이터 보존 정책은 SER-004에서 정의한 기준을 따른다.</t>
  </si>
  <si>
    <t>각 계층별 보존 기간, 접근 권한, 삭제 절차 등 데이터 보존 정책은 SER-004에서 정의한 기준을 따름</t>
  </si>
  <si>
    <t>SFR-011-08-06</t>
  </si>
  <si>
    <t>(암호화 기준) 보안 볼트의 암호화 방식은 SER-006에서 정의한 기준 (AES-256 이상)을 적용하고, 암호화 키는 SER-006의 KMS를 통해 관리한다.</t>
  </si>
  <si>
    <t>보안 볼트의 암호화 방식은 SER-006에서 정의한 기준 (AES-256 이상)을 적용, 암호화 키는 SER-006의 KMS를 통해 관리</t>
  </si>
  <si>
    <t>SFR-011-09-01</t>
  </si>
  <si>
    <t>가드레일 위반 알림 및 필터링 현황 대시보드</t>
  </si>
  <si>
    <t>(위반 알림) PII 입력, 금칙어, 프롬프트 인젝션 등 가드레일 위반 시 관리자 알림 발송</t>
  </si>
  <si>
    <t>PII 입력, 금칙어, 프롬프트 인젝션 등 가드레일 위반 시 관리자 알림 발송 기능 제공
[Advisor]
별도의 사용자 알림 미제공, 가드레일 위반 시 대화 응답(disclaimer)으로 경고</t>
  </si>
  <si>
    <t>SFR-011-09-02</t>
  </si>
  <si>
    <t>(현황 대시보드) 보안 이벤트 현황을 기간별·유형별·사용자별로 조회</t>
  </si>
  <si>
    <t>보안 이벤트 현황을 기간별·유형별·사용자별로 조회할 수 있는 기능 제공</t>
  </si>
  <si>
    <t>SFR-011-09-03</t>
  </si>
  <si>
    <t>(이벤트 연계) 위반 이벤트는 SER-003의 보안 이벤트 로그로 자동 전송하여 감사 증적에 포함한다.</t>
  </si>
  <si>
    <t>위반 이벤트는 SER-003의 보안 이벤트 로그로 자동 전송하여 감사 증적에 포함</t>
  </si>
  <si>
    <t>SFR-011-10-01</t>
  </si>
  <si>
    <t>모델·프롬프트·설정 변경 이력 통합 기록</t>
  </si>
  <si>
    <t>모델 버전, 프롬프트 버전, 시스템 설정값 변경 이력을 자동 기록하여 통합 조회 가능</t>
  </si>
  <si>
    <t>모델 버전, 프롬프트 버전, 시스템 설정값 변경 이력을 자동 기록하여 통합 조회하는 기능제공</t>
  </si>
  <si>
    <t>SFR-011-10-02</t>
  </si>
  <si>
    <t>(기록 항목) 변경 일시, 변경자, 변경 대상, 변경 전후 값, 변경 사유</t>
  </si>
  <si>
    <t>변경 일시, 변경자, 변경 대상, 변경 전후 값, 변경 사유 기록 항목 제공</t>
  </si>
  <si>
    <t>SFR-011-10-03</t>
  </si>
  <si>
    <t>(활용) AI 서비스 운영 이력 추적 및 장애 원인 분석에 활용</t>
  </si>
  <si>
    <t>AI 서비스 운영 이력 추적 및 장애 원인 분석에 활용</t>
  </si>
  <si>
    <t>SFR-011-10-04</t>
  </si>
  <si>
    <t>(감사 연계) 운영 감사 목적의 로그 보존·접근 통제·감사 보고는 SER-003의 감사 로그 통합 관리 체계를 따른다.</t>
  </si>
  <si>
    <t>운영 감사 목적의 로그 보존·접근 통제·감사 보고는 SER-003의 감사 로그 통합 관리 체계를 따름</t>
  </si>
  <si>
    <t>[운영·보안·인프라] GPU 자원 할당·모니터링, LLM 모델 등록·교체, 모델 레지스트리·커넥터</t>
  </si>
  <si>
    <t>SFR-012-01-01</t>
  </si>
  <si>
    <t>GPU 자원 할당 및 통합 관리
※ GPU 동적 할당·회수 및 컨테이너 환경 허용 범위는 기술협상 시 확정</t>
  </si>
  <si>
    <t>시스템은 AI 플랫폼 전체의 GPU 자원 할당을 통합 관리하는 기능 제공하여야 한다.</t>
  </si>
  <si>
    <r>
      <rPr>
        <rFont val="맑은 고딕"/>
        <color rgb="FF0000FF"/>
        <sz val="9.0"/>
      </rPr>
      <t>AI 플랫폼 전체의 GPU 자원 할당을 통합 관리하는 기능 제공</t>
    </r>
    <r>
      <rPr>
        <rFont val="맑은 고딕"/>
        <color rgb="FF0000FF"/>
        <sz val="9.0"/>
      </rPr>
      <t xml:space="preserve">
</t>
    </r>
    <r>
      <rPr>
        <rFont val="맑은 고딕"/>
        <color rgb="FFFF0000"/>
        <sz val="9.0"/>
      </rPr>
      <t>(GPU 동적 할당·회수 및 컨테이너 환경 허용 범위는 위원회와 협의하여 확정)</t>
    </r>
  </si>
  <si>
    <t>· LLM 선정 결과서 및 사유서
 · 모델 평가 결과 증빙 자료</t>
  </si>
  <si>
    <t>SFR-012-01-02</t>
  </si>
  <si>
    <t>(할당 관리) 사용자·그룹·서비스별 GPU 자원 할당량(Quota) 설정, 유휴 자원 동적 회수</t>
  </si>
  <si>
    <t>사용자·그룹·서비스별 GPU 자원 할당량(Quota) 설정, 유휴 자원 동적 회수하는 기능 제공</t>
  </si>
  <si>
    <t>SFR-012-01-03</t>
  </si>
  <si>
    <t>시스템은 (워크로드 격리) LLM 추론 서비스와 모델 학습 워크로드 간 자원 격리 방안 적용하여야 한다.</t>
  </si>
  <si>
    <t>LLM 추론 서비스와 모델 학습 워크로드 간 자원 격리 기능 제공</t>
  </si>
  <si>
    <t>SFR-012-01-04</t>
  </si>
  <si>
    <t>(우선순위) 자원 경합 시 서비스별 정책 우선순위에 따라 LLM 추론 서비스 SLA 보장 우선</t>
  </si>
  <si>
    <r>
      <rPr>
        <rFont val="맑은 고딕"/>
        <color rgb="FF0000FF"/>
        <sz val="9.0"/>
      </rPr>
      <t>자원 경합 시 서비스별 정책 우선순위에 따라 LLM 추론 서비스 SLA 보장을 우선하여 적용</t>
    </r>
    <r>
      <rPr>
        <rFont val="맑은 고딕"/>
        <color rgb="FF0000FF"/>
        <sz val="9.0"/>
      </rPr>
      <t xml:space="preserve">
</t>
    </r>
    <r>
      <rPr>
        <rFont val="맑은 고딕"/>
        <color rgb="FFFF0000"/>
        <sz val="9.0"/>
      </rPr>
      <t>(서비스별 정책 우선순위는 위원회와 협의하여 확정)</t>
    </r>
  </si>
  <si>
    <t>SFR-012-02-01</t>
  </si>
  <si>
    <t>실시간 자원 모니터링 대시보드</t>
  </si>
  <si>
    <t>시스템은 GPU·CPU·메모리·네트워크 등 핵심 자원의 실시간 사용률을 시각화한 대시보드 제공하여야 한다.</t>
  </si>
  <si>
    <t>GPU·CPU·메모리·네트워크 등 핵심 자원의 실시간 사용률을 시각화한 대시보드 제공</t>
  </si>
  <si>
    <t>SFR-012-02-02</t>
  </si>
  <si>
    <t>(추이 분석) 자원 사용 추이를 시계열로 조회</t>
  </si>
  <si>
    <t>자원 사용 추이 시계열로 조회 대시보드 제공</t>
  </si>
  <si>
    <t>SFR-012-03-01</t>
  </si>
  <si>
    <t>이상 징후 알림 및 장애 대응</t>
  </si>
  <si>
    <t>(알림) 자원 지표가 임계치 초과 시 관리자 알림 발송 (임계값 웹 UI 조정 가능)</t>
  </si>
  <si>
    <t>자원 지표 임계치 초과 시 관리자 알림 발송, 임계값을 관리자 Web UI에서 조정</t>
  </si>
  <si>
    <t>SFR-012-03-02</t>
  </si>
  <si>
    <t>(장애 대응) GPU 장애 시 잔여 GPU로 핵심 서비스 우선 유지, 벡터 DB 이중화/백업·복구 방안</t>
  </si>
  <si>
    <r>
      <rPr>
        <rFont val="맑은 고딕"/>
        <color rgb="FF0000FF"/>
        <sz val="9.0"/>
      </rPr>
      <t>GPU 장애 시 잔여 GPU로 핵심 서비스 우선 유지(스케줄링), 벡터 DB 이중화 및 백업·복구 적용</t>
    </r>
    <r>
      <rPr>
        <rFont val="맑은 고딕"/>
        <color rgb="FF0000FF"/>
        <sz val="9.0"/>
      </rPr>
      <t xml:space="preserve">
</t>
    </r>
    <r>
      <rPr>
        <rFont val="맑은 고딕"/>
        <color rgb="FFFF0000"/>
        <sz val="9.0"/>
      </rPr>
      <t>(백업·복구 정책은 위원회에 협의하여 확정)</t>
    </r>
  </si>
  <si>
    <t>SFR-012-04-01</t>
  </si>
  <si>
    <t>자동 운영 보고서</t>
  </si>
  <si>
    <t>인프라 운영 현황을 일 단위로 자동 분석하여 운영 보고서 생성</t>
  </si>
  <si>
    <t>인프라 운영 현황을 일 단위로 자동 분석하여 운영 보고서 생성 기능 제공</t>
  </si>
  <si>
    <t>SFR-012-04-02</t>
  </si>
  <si>
    <t>(설정) 보고서 생성 주기(일별/주별) 및 수신 대상을 관리자가 설정 가능</t>
  </si>
  <si>
    <t>보고서 생성 주기(일별/주별) 및 수신 대상 관리자 설정 기능 제공</t>
  </si>
  <si>
    <t>SFR-012-04-03</t>
  </si>
  <si>
    <t>(다운로드) PDF 또는 엑셀 형식으로 다운로드 가능</t>
  </si>
  <si>
    <t>PDF 또는 엑셀 형식 다운로드 기능 제공</t>
  </si>
  <si>
    <t>SFR-012-05-01</t>
  </si>
  <si>
    <t>LLM 모델 등록 및 교체</t>
  </si>
  <si>
    <t>시스템은 관리자가 웹 UI에서 신규 LLM 모델을 등록할 수 있는 기능 제공하여야 한다.</t>
  </si>
  <si>
    <t>관리자가 웹 UI에서 신규 LLM 모델을 등록할 수 있는 기능 제공</t>
  </si>
  <si>
    <t>SFR-012-05-02</t>
  </si>
  <si>
    <t>(오프라인) 모든 모델은 오프라인 패키지 방식으로 반입, 외부 클라 우드 모델 API 호출 불허</t>
  </si>
  <si>
    <t>오프라인 패키지 모델 반입(폐쇄망), 외부 클라우드 API 미사용</t>
  </si>
  <si>
    <t>SFR-012-05-03</t>
  </si>
  <si>
    <t>(LLM-agnostic) 특정 LLM에 종속되지 않는 아키텍처 원칙</t>
  </si>
  <si>
    <t>LiteLLM/vLLM 기반 LLM-agnostic 아키텍처 적용</t>
  </si>
  <si>
    <t>SFR-012-05-04</t>
  </si>
  <si>
    <t>(무중단 배포) 품질 저하 감지 시 즉시 롤백 가능</t>
  </si>
  <si>
    <t>품질 저하 감지 시 즉시 롤백 기능 제공</t>
  </si>
  <si>
    <t>SFR-012-05-05</t>
  </si>
  <si>
    <t>시스템은 (코드 무수정 전환) 모델 교체 시 기존 RAG 파이프라인·프롬프트·Agent 구성이 유지되며 관리자 설정 변경만으로 전환하여야 한다.</t>
  </si>
  <si>
    <t>모델 교체 시 기존 RAG 파이프라인·프롬프트·Agent 구성 유지, 관리자 설정 변경만으로 전환</t>
  </si>
  <si>
    <t>SFR-012-06-01</t>
  </si>
  <si>
    <t>다중 모델 병렬 운영</t>
  </si>
  <si>
    <t>2개 이상의 LLM 모델을 병렬 운영하고 서비스·업무 유형별로 상이한 모델 지정 가능</t>
  </si>
  <si>
    <t>멀티 서빙·서비스 라우터로 다중 모델 병렬 운영·유형별 지정</t>
  </si>
  <si>
    <t>SFR-012-07-01</t>
  </si>
  <si>
    <t>모델 레지스트리 통합 관리</t>
  </si>
  <si>
    <t>시스템은 LLM, 임베딩, 리랭커, STT, OCR, ML 예측모델을 통합 조회할 수 있는 모델 레지스트리 제공하여야 한다.</t>
  </si>
  <si>
    <t>LLM, 임베딩, 리랭커, STT, OCR, ML 예측모델을 통합 조회할 수 있는 모델 레지스트리 제공</t>
  </si>
  <si>
    <t>SFR-012-07-02</t>
  </si>
  <si>
    <t>(버전 관리) 모델 버전 이력(등록일, 변경일, 변경 사유) 기록·조회 및 롤백 가능</t>
  </si>
  <si>
    <t>모델 버전 이력(등록일, 변경일, 변경 사유) 기록·조회 및 롤백 기능 제공</t>
  </si>
  <si>
    <t>SFR-012-08-01</t>
  </si>
  <si>
    <t>모델 환경 설정 및 테스트</t>
  </si>
  <si>
    <t>(환경 설정) 데이터 포맷, 최대 토큰 수, Temperature 등을 관리자가 설정 가능</t>
  </si>
  <si>
    <t>데이터 포맷, 최대 토큰 수, Temperature 등을 관리자가 설정 기능 제공</t>
  </si>
  <si>
    <t>SFR-012-08-02</t>
  </si>
  <si>
    <t>(테스트) 신규 모델을 운영 반영 전 테스트할 수 있는 별도 환경 제공, 복수 모델 응답 비교 가능</t>
  </si>
  <si>
    <t>신규 모델을 운영 반영 전 테스트할 수 있는 별도 환경 제공, 복수 모델 응답 비교 기능 제공</t>
  </si>
  <si>
    <t>SFR-012-09-01</t>
  </si>
  <si>
    <t>임베딩 모델 교체 대응</t>
  </si>
  <si>
    <t>임베딩 모델 변경 시 기존 문서의 재임베딩을 배치 처리할 수 있으며, 재임베딩 중에도 기존 서비스 중단 없이 운영</t>
  </si>
  <si>
    <t>임베딩 모델 변경 시 기존 문서 재임베딩 배치 처리, 재임베딩 중 기존 서비스 무중단 운영</t>
  </si>
  <si>
    <t>SFR-012-10-01</t>
  </si>
  <si>
    <t>표준 인터페이스 및 확장성</t>
  </si>
  <si>
    <t>LLM 연동 시 업계 표준 인터페이스 지원 (온프레미스 로컬 서빙 엔진 구현)</t>
  </si>
  <si>
    <t>SFR-012-10-02</t>
  </si>
  <si>
    <t>모델 추상화 레이어를 통해 향후 표준 모델 도입 시 추가 개발 없이 연동 가능한 구조 확보</t>
  </si>
  <si>
    <t>[Before]
LiteLLM 모델 추상화 레이어로 추가 개발 없이 연동
[After]
LiteLLM 모델 추상화 레이어로 추가 개발 없이 연동
OpenAI 호환 표준 API와 모델 어댑터 계층을 기준으로 모델 연동 구조를 구성</t>
  </si>
  <si>
    <t>특정 라이브러리(LiteLLM)의 지원 범위에 의존하고 있어, 해당 라이브러리가 지원하지 않는 인터페이스의 모델 도입 시 '추가 개발 없이 연동' 요건을 충족하지 못할 수 있음. QUR-001의 '정부 표준 모델 도입 시나리오 대응 절차'에 대응 계획 필요</t>
  </si>
  <si>
    <t>[서비스 운영] 서비스 허브 UI, 공통 입출력 규격, 서비스 아키텍처</t>
  </si>
  <si>
    <t>SFR-013-01-01</t>
  </si>
  <si>
    <t>통합 서비스 허브 UI</t>
  </si>
  <si>
    <t>AI Agent를 카드형 목록으로 제공 (AI 통합 포털의 '서비스 허브' 하위 메뉴)</t>
  </si>
  <si>
    <t>애플리케이션 카드형 목록으로 AI Agent 제공</t>
  </si>
  <si>
    <t>· 화면 설계서
 · AI 응답 시나리오 정의서</t>
  </si>
  <si>
    <t>SFR-013-01-02</t>
  </si>
  <si>
    <t>(서비스 전환) 서비스 선택 시 대화 인터페이스로 즉시 전환, 서비스 간 전환 시 세션 유지</t>
  </si>
  <si>
    <t>서비스 선택 시 대화 전환·서비스 간 세션 유지</t>
  </si>
  <si>
    <t>SFR-013-01-03</t>
  </si>
  <si>
    <t>(관리자 설정) 노출 순서, 활성/비활성, 카테고리 분류를 웹 UI에서 설정</t>
  </si>
  <si>
    <t>노출 순서, 활성/비활성, 카테고리 분류를 웹 UI에서 설정하는 기능 제공</t>
  </si>
  <si>
    <t>SFR-013-02-01</t>
  </si>
  <si>
    <t>서비스 공통 입출력 규격</t>
  </si>
  <si>
    <t>(입력) 자연어 텍스트, 파일 첨부(HWP, HWPX, PDF, DOCX, XLSX 등)</t>
  </si>
  <si>
    <t>첨부형 전처리기 활용하여 자연어 텍스트, 파일 첨부(HWPX, PDF, DOCX, XLSX, PPTX 등) 기능 제공</t>
  </si>
  <si>
    <t>SFR-013-02-02</t>
  </si>
  <si>
    <t>(출력) 마크다운 답변, 인용 출처, 신뢰도 점수, 산출물(문서·표·차트)</t>
  </si>
  <si>
    <t>[Before]
에이전트 개발 시 마크다운 포맷 답변, 인용 출처 제공, 산출물 포함해서 답변하도록 구성
[After]
에이전트 개발 시 마크다운 포맷 답변, 인용 출처, 신뢰도 점수, 산출물 포함해서 답변하도록 구성</t>
  </si>
  <si>
    <t>G열의 출력 항목 중 '신뢰도 점수'가 누락됨. 본 항은 전 서비스 공통 출력 규격이므로 신뢰도 점수의 산출·표시를 포함 필요. (신뢰도 표시가 적용되지 않는 서비스가 있는 경우 해당 서비스를 제외)</t>
  </si>
  <si>
    <t>SFR-013-02-03</t>
  </si>
  <si>
    <t>시스템은 (공통 적용) 답변 신뢰성·출처 검증 및 보안 가드레일(PII 마스킹, 금칙어 필터링)을 모든 서비스에 공통 적용하여야 한다.</t>
  </si>
  <si>
    <t>[Before]
에이전트 입출력에 공통 가드레일 및 검증 로직 추가
[After]
에이전트, 모델 입출력에 규칙 기반 PII 마스킹, 금칙어 필터링 적용. 가드레일 LLM모델(모델 선택은 논의 필요)을 통해 추가 가드레일이 필요한 경우 성능과 답변 속도를 고려하여 추후 협의</t>
  </si>
  <si>
    <t>'에이전트'에 한정하지 않고 모든 AI 입출력 서비스에 대해 공통 적용되어야 함</t>
  </si>
  <si>
    <t>SFR-013-02-04</t>
  </si>
  <si>
    <t>시스템은 (AI 생성물 태깅) AI가 생성한 모든 산출물에 AI 생성물임을 식별할 수 있는 메타데이터 태깅 적용하여야 한다.</t>
  </si>
  <si>
    <t>[Before]
생성물 저장 시 AI 생성물 여부 메타 데이터 저장
[After]
AI 생성물 식별 메타데이터는 저장소뿐 아니라 다운로드 파일에도 유지</t>
  </si>
  <si>
    <t>다운로드 산출물에도 태깅 유지 전제</t>
  </si>
  <si>
    <t>SFR-013-02-05</t>
  </si>
  <si>
    <t>(보조수단성) 모든 AI 서비스 응답에 AI 응답은 참고 정보이며 최종 판단 책임은 사용자에게 있음을 명시</t>
  </si>
  <si>
    <t>[Before]
에이전트 최종 답변 하단에 disclaimer 포함 로직 개발
[After]
문구 포맷 관리자 등록, 수정, 삭제 기능 제공</t>
  </si>
  <si>
    <t>disclaimer 문구를 관리자가 등록·수정·삭제할 수 있는 기능 필요</t>
  </si>
  <si>
    <t>SFR-013-03-01</t>
  </si>
  <si>
    <t>서비스별 구성 아키텍처</t>
  </si>
  <si>
    <t>시스템은 각 AI Agent는 3개 계층으로 구성하여야 한다.</t>
  </si>
  <si>
    <t>각 AI Agent는 3개 계층으로 구성하여 적용</t>
  </si>
  <si>
    <t>SFR-013-03-02</t>
  </si>
  <si>
    <t>(전용 시스템 프롬프트) 프롬프트 라이브러리에서 관리, 샌드박스에서 실험·변경</t>
  </si>
  <si>
    <t>플랫폼 프롬프트 라이브러리 기능 활용 (A/B 테스트 기능 제공)</t>
  </si>
  <si>
    <t>SFR-013-03-03</t>
  </si>
  <si>
    <t>(전용 지식베이스) 서비스별 RAG 범위 사전 설정</t>
  </si>
  <si>
    <t>벡터 DB 메타 필터링 기반 범위 설정</t>
  </si>
  <si>
    <t>SFR-013-03-04</t>
  </si>
  <si>
    <t>(고유 파이프라인) 서비스 특성에 따른 개별 처리(코드 실행, STT, 외부 시스템 연동 등)</t>
  </si>
  <si>
    <t>코드 실행, STT, 외부 시스템 연동은 MCP Tool로 정의</t>
  </si>
  <si>
    <t>SFR-013-04-01</t>
  </si>
  <si>
    <t>서비스 이용 관리</t>
  </si>
  <si>
    <t>(예시 질의) 서비스 진입 시 예시 질의 표시, 관리자 등록·수정 가능</t>
  </si>
  <si>
    <t>플랫폼 채팅 어플리케이션 생성 시 예시 질의 설정 가능</t>
  </si>
  <si>
    <t>SFR-013-04-02</t>
  </si>
  <si>
    <t>(권한 관리) 서비스 단위 사용자·부서·그룹별 접근 권한 설정</t>
  </si>
  <si>
    <t>플랫폼 IAM 기반 통제</t>
  </si>
  <si>
    <t>SFR-013-04-03</t>
  </si>
  <si>
    <t>시스템은 (통계) 서비스별 질의 건수, 응답 성공률, 피드백 점수, 평균 응답 시간을 통합 모니터링 대시보드에 제공하여야 한다.</t>
  </si>
  <si>
    <t>플랫폼 서비스 대시보드에서 제공</t>
  </si>
  <si>
    <t>SFR-013-05-01</t>
  </si>
  <si>
    <t>서비스 확장 구조</t>
  </si>
  <si>
    <t>시스템은 신규 AI 서비스 추가 시 공통 입출력 규격과 서비스 허브 등록만으로 배포 가능한 플러그인 구조 제공하여야 한다.</t>
  </si>
  <si>
    <t>신규 AI 서비스 추가 시 공통 입출력 규격과 서비스 허브 등록만으로 배포 가능한 플러그인 구조 제공</t>
  </si>
  <si>
    <t>[핵심과제] STT 스트리밍 연동, 실시간 분석, 추천 스크립트, 매뉴얼 RAG, 피드백·보안</t>
  </si>
  <si>
    <t>SFR-014-01-01</t>
  </si>
  <si>
    <t>[실시간 STT 스트리밍 연동]</t>
  </si>
  <si>
    <t>시스템은 시스템은 기존 콜센터의 화자분리 STT 엔진 출력을 수신하여, 통화 중 신청인 발언 텍스트를 지속적으로 수집·축적하여야 한다. 화자 구분(신청인/상담사)은 기존 STT 엔진의 출력 결과를 활용하며, 신청인 발언을 우선 분석 대상으로 처리하여야 한다.</t>
  </si>
  <si>
    <t>기존 콜센터 STT 엔진에서 TA 시스템으로 실시간 수신중. 이를 연계하여 사용, 고객 발언 스트림을 AI우선 분석대상으로 타게팅하여 상담의도 즉각 파악</t>
  </si>
  <si>
    <t>· RAG 설계서
 · AI 응답 시나리오 정의서
 · 화면 설계서</t>
  </si>
  <si>
    <t>SFR-014-02-01</t>
  </si>
  <si>
    <t>[백그라운드 실시간 분석]</t>
  </si>
  <si>
    <t>시스템은 수신된 신청인 발언 텍스트를 백그라운드에서 실시간 분석하여, 상담 의도·핵심 키워드·맥락 정보를 지속 갱신</t>
  </si>
  <si>
    <t>수행사의 TA 솔루션을 이용하여 구현
- 고객과 상담사의 대화 텍스트 지연없이 수집 및 축척하고 상담 흐름을 유지
- 상담사의 별도 조작없이 대화의 맥락을 AI가 실시간으로 파악하고 기억</t>
  </si>
  <si>
    <t>SFR-014-02-02</t>
  </si>
  <si>
    <t>실시간 분석 결과는 상담사의 AI 호출 시점까지 내부적으로 축적·갱신 상세</t>
  </si>
  <si>
    <t>수행사의 TA 솔루션을 이용하여 구현
- 상담사가 AI를 호출하기 전까지 통화 세션별 분석 결과를 내부에 저장
- 호출 시점의 최신 맥락 정보를 기반으로 RAG 검색 및 추천 스크립트 생성에 활용. 이를 이용하여 구현</t>
  </si>
  <si>
    <t>SFR-014-02-03</t>
  </si>
  <si>
    <t>시스템은 동시 다수 세션 처리를 지원하여야 한다.</t>
  </si>
  <si>
    <t>수행사의 TA 솔루션 기본 기능
- 다수 상담 세션을 동시에 처리할 수 있도록 세션 단위 식별자, 비동기 처리 구조, 큐 기반 처리 방식을 적용하여 통화별 분석 데이터가 혼선 없이 독립적으로 관리</t>
  </si>
  <si>
    <t>SFR-014-03-01</t>
  </si>
  <si>
    <t>[온디맨드 추천 스크립트 제공]</t>
  </si>
  <si>
    <t>시스템은 상담사가 AI 호출 액션을 수행하면, 해당 시점까지 축적된 분석 결과를 기반으로 콜센터 매뉴얼 RAG에서 관련 근거를 검색하여 추천 상담 스크립트를 제공하여야 한다.</t>
  </si>
  <si>
    <t>수행사의 TA 솔루션 기본 기능
- 상담 맥락과 키워드를 기반으로 콜센터 매뉴얼 RAG 지식베이스를 검색, 또는 스크립트 검색캐시에서 상담 상황에 적합한 추천 상담 스크립트를 생성하여 상담사 화면에 제공</t>
  </si>
  <si>
    <t>실시간 상담내용을 기반으로 '콜센터매뉴얼' RAG에서 관련도 높은 Top3 지식과 그에 대응하는 추천 스크립트(구어) 제공 
아울러 SFR-034-01-01에서 개발 범위로 확정하는 상담 지원 정보(신청인 제도·이행상태·납입/미납 현황·콜 인입 이력)를 동일 상담사 화면에 팝업 형태로 함께 제공하여, 상담사가 어시스턴트 화면 내에서 추천 스크립트와 신청인 현황을 동시에 확인할 수 있도록 구성</t>
  </si>
  <si>
    <t>SFR-014-03-02</t>
  </si>
  <si>
    <t>각 추천 스크립트에 근거 매뉴얼 출처를 표시하고, 근거 원문을 제공 (평소 숨김, 클릭 시 노출)</t>
  </si>
  <si>
    <t>수행사의 TA 솔루션 기본 기능
- 추천 스크립트별로 참조한 매뉴얼명, 조항, 페이지, 문서 버전 등 출처 정보를 함께 제공, 평상시에는 간략 표시하되 상담사가 클릭하면 근거 원문과 상세 내용을 확인할 수 있도록 구현. 단 실사용자 기준으로 요구사항 분석하여 적용</t>
  </si>
  <si>
    <t>SFR-014-03-03</t>
  </si>
  <si>
    <t>응답시간은 상담사가 AI 호출 버튼을 클릭한 시점부터 추천 스크 립트가 상담사 UI에 표시되는 시점까지를 기준으로 한다.</t>
  </si>
  <si>
    <t>AI 호출 시점부터 추천 스크립트가 상담사 UI에 표시되는 시점까지의 응답시간을 측정·관리, 검색·생성·UI 표시 단계별 처리시간을 로그로 기록하여 성능 개선에 활용</t>
  </si>
  <si>
    <t>SFR-014-04-01</t>
  </si>
  <si>
    <t>[콜센터 매뉴얼 RAG 지식베이스 구축]</t>
  </si>
  <si>
    <t>콜센터 매뉴얼(약 400페이지)를 기준으로 RAG 지식베이스로 구축</t>
  </si>
  <si>
    <t>RAG지원을 위해 Semantic Chunking 처리하여 Vector DB에 저장하고 Hybrid Retrieval이 가능하도록 metadata, dense/sparse vector로 embedding하여 저장, 응답시나리오 기반 RAG Evaluation을 통한 최적화 방안을 도출하여 시스템에 반영</t>
  </si>
  <si>
    <t>SFR-014-04-02</t>
  </si>
  <si>
    <t>기존 콜센터 표준 스크립트를 지식베이스에 함께 적재</t>
  </si>
  <si>
    <t>[Before] 
Memory DB 또는 Redis 8.x에 저장하여 빠른 질의응답이 가능하도록 함
[After]
표준 스크립트는 VectorDB에 적재·관리하고 Redis는 빠른 응답을 위한 캐시 형태로 활용함</t>
  </si>
  <si>
    <t xml:space="preserve">G열은 표준 스크립트의 지식베이스 적재를 요구하나 J열은 Memory DB·Redis 저장으로 기재하여, 해당 자료가 RAG 검색 대상 및 SFR-003의 지식 저장소 통합 관리(메타데이터·시점 관리·버전 이력) 체계에서 제외될 가능성 염려. SFR-014-03-01의 검색 경로가 콜센터매뉴얼 RAG와 스크립트 캐시로 이원화되는 구조인지 확인 요청. </t>
  </si>
  <si>
    <t>SFR-014-04-03</t>
  </si>
  <si>
    <t>시스템은 매뉴얼 개정 시 지식베이스를 갱신 가능하며, 전체 교체 및 증분 반영을 모두 지원하여야 한다.</t>
  </si>
  <si>
    <t>메뉴얼 개정시 해당 문서 id별로 삽입/삭제/업데이트가 가능하도록 api를 제공하여 처리, 기존 표준 스크립트의 지식베이스 적재 및 증분을 반영하여 지식베이스 갱신</t>
  </si>
  <si>
    <t>J열 답변은 전체교체(개정)에 대한 처리방안으로 보임. '증분' 즉, 쪽대본 공지에 대한 콜센터매뉴얼 RAG 적재, 증분에 대한 처리방안이 본 과제에서 가장 핵심적인 부분임. 이이 대한 처리방안에 대해서는 심층 논의 필요</t>
  </si>
  <si>
    <t>SFR-014-05-01</t>
  </si>
  <si>
    <t>[추천 이력 보존 및 품질 피드백]</t>
  </si>
  <si>
    <t>통화별 AI 호출 이력을 별도 로그로 보존 PII 마스킹이 적용된 비식별 데이터만 포함</t>
  </si>
  <si>
    <t>AI 호출 이력 로그는 별도 저장소에 보존하되, 주민등록번호·계좌번호 등 개인정보는 AI 추론 및 저장 전 자동 마스킹하여 비식별 데이터만 품질 분석에 활용되도록 처리. 단 실사용자 기준으로 요구사항 분석하여 적용(개인정보 실시간 마스킹 등 보안지침 100% 준수)</t>
  </si>
  <si>
    <t>SFR-014-05-02</t>
  </si>
  <si>
    <t>상담사는 추천 스크립트에 대해 간편 피드백을 입력하고 운영자에 모니터링 결과를 제공하는 기능</t>
  </si>
  <si>
    <t>[Before] 
수행사의 TA 솔루션을 이용하여 구현
- 상담사가 추천 스크립트에 대해 좋아요/싫어요, 부적합 사유, 개선 의견 등 간편 피드백을 입력할 수 있는 UI를 제공, 피드백 결과는 운영자 대시보드에서 확인 가능하도록 구현. 단 실사용자 기준으로 요구사항 분석하여 적용(AI답변 제공 -&gt; 상담사 즉각 평가 -&gt; 재학습 데이터 활용 -&gt; 답변 품질 지속 향상 등의 품질 개선 선순환 체계 제공)
[After]
추천 스크립트에 대한 피드백을 CSV 파일로 다운로드 받아 확인할 수 있도록 하고, 싫어요 선택 시 사전에 정의한 객관식 사유를 선택할 수 있는 방식으로 제공함</t>
  </si>
  <si>
    <t xml:space="preserve">추천 대상은 '콜센터메뉴얼 RAG'에 기반한 관련도 높은 '지식'과 이를 가공한 스크립트(구어)이며, 피드백 방법은(단순 썸업, 썸다운과 긍정 부정에 따른 객관식 선택값을 제공해야 하며, 선택값은 관리자 UI에서 등록, 수정, 삭제 관리를 할 수 있어야 한다. 또한 피드백 결과는 대시보드와 xlsx데이터 다운로드를 제공해야 하며, 대시보드 구성은 발주사와 별도 협의하여야 한다. </t>
  </si>
  <si>
    <t>SFR-014-06-01</t>
  </si>
  <si>
    <t>[안정화 운영 및 권한 관리]</t>
  </si>
  <si>
    <t>시스템은 초기 구축 시 일부 상담사를 선별하여 안정화 기간을 운영하고, 단계적으로 확대 배포하여야 한다.</t>
  </si>
  <si>
    <t>초기 구축 단계에서는 업무, 스킬별 인원(10명 이하)을 선정하여 파일럿 운영을 실시, 사용성·응답품질·성능·오류사항을 점검한 후 개선사항을 반영하여 단계적으로 전체 상담사 대상 확대 배포를 수행</t>
  </si>
  <si>
    <t>SFR-014-07-01</t>
  </si>
  <si>
    <t>[보안 및 세션 관리]</t>
  </si>
  <si>
    <t>STT 텍스트 내 개인정보는 보안 가드레일을 적용하여 AI 추론 전 자동 마스킹</t>
  </si>
  <si>
    <t>STT 텍스트 내 개인정보 및 민감정보는 보안 가드레일을 통해 AI 추론 전 자동 탐지·마스킹, 상담 세션별 추천 이력은 접근 권한과 보존 정책에 따라 안전하게 관리. 단 실사용자 기준으로 요구사항 분석하여 적용</t>
  </si>
  <si>
    <t>SFR-014-07-02</t>
  </si>
  <si>
    <t>시스템은 스크립트 추천 이력 로그는 별도 보존하여야 한다.</t>
  </si>
  <si>
    <t>통화별 AI 호출 이력, 추천 스크립트, 참조 근거, 응답시간, 사용자 피드백 정보를 로그로 수집하여 상담 품질 개선 및 운영 모니터링에 활용할 수 있도록 구성. 실사용자 기준으로 요구사항 분석하여 적용</t>
  </si>
  <si>
    <t>SFR-014-08-01</t>
  </si>
  <si>
    <t>[상담사 직접 질의(어시스턴트 패널B)]</t>
  </si>
  <si>
    <t>시스템은 온디맨드 추천 스크립트 기능(어시스턴트 패널A)과 별개로, 상담사가 자연어 질의를 직접 입력하여 답변을 제공받는 LLM 질의창(어시스턴트 패널B)을 제공하여야 한다.</t>
  </si>
  <si>
    <t>실무협의</t>
  </si>
  <si>
    <t>상담사가 직접 입력할 UI를 제공하고, 콜센터 스크립트 매뉴얼과 콜센터 매뉴얼에 관련된 파일들을 대상으로 RAG를 구현함</t>
  </si>
  <si>
    <t>G열은 위고, ECS와의 실무협의를 통해 사전 교감이 된 부분을 요구사항으로 정리한 것이며 수행사(위고, ECS)의 확인 요청</t>
  </si>
  <si>
    <t>SFR-014-08-02</t>
  </si>
  <si>
    <t>(지식 범위) 패널B는 패널A와 동일한 콜센터 매뉴얼 RAG를 참조하여야 하며, 콜센터 전용 지식 범위를 벗어나지 않아야 한다.</t>
  </si>
  <si>
    <t>콜센터상담 관련 문서를 RAG로 구현하며 system prompt를 통해 제공된 문서내에서만 답변하도록 강제하며, retriever에서 해당 source document, chunk id와 같이 근거를 확인할 수 있는 정보를 제공함</t>
  </si>
  <si>
    <t>SFR-014-08-03</t>
  </si>
  <si>
    <t>(고객정보 연계) 콜 인입 고객이 있는 경우 해당 고객의 핵심정보(지원구분 등)를 연계하여 답변을 생성하여야 한다. 연계 항목은 위원회가 정의한다.</t>
  </si>
  <si>
    <t>RAG에 고객정보를context에 넣어서 처리함</t>
  </si>
  <si>
    <t>SFR-014-08-04</t>
  </si>
  <si>
    <t>(세션 시작·초기화) 세션은 화면 로드 시점(콜 연결에 따른 리로드 포함)에 시작하며, 새로운 통화 연결 시 대화 컨텍스트를 초기화하여야 한다. 인·아웃바운드 공통이며, 동일 대상자의 연속 콜도 각기 개별 콜로 처리한다.</t>
  </si>
  <si>
    <t>세션의 개념을 call_id, cust_num 기준으로 관리되어 초기화 처리됨</t>
  </si>
  <si>
    <t>SFR-014-08-05</t>
  </si>
  <si>
    <t xml:space="preserve">(수동 초기화) 상담사가 직접 대화 컨텍스트를 초기화하는 기능을 제공하여야 한다. </t>
  </si>
  <si>
    <t>별도 메뉴 또는 버튼을 추가하여 초기화 처리를 강제화 함</t>
  </si>
  <si>
    <t>SFR-014-08-06</t>
  </si>
  <si>
    <t>(이력 저장·열람 권한) 질의 내역은 사용자 화면에 히스토리로 노출하지 않되, 운영부서의 피드백 분석 목적으로 DB에 저장하여야 한다. 열람 권한은 운영부서 및 운영부서가 권한을 부여한 사용자로 한정한다.</t>
  </si>
  <si>
    <t>이력 저장/열람 권한관리를 통해 접근을 통제하고 사용자 화면에는 히스토리가 보이지 않게함</t>
  </si>
  <si>
    <t>[핵심과제] 업무 영역별 의도 분류·라우팅, 역질문·확인, 근거·추론 경로 설명, 세션·보안 관리</t>
  </si>
  <si>
    <t>SFR-015-01-01</t>
  </si>
  <si>
    <t>[업무 영역별 의도 분류 및 오케스트레이션]</t>
  </si>
  <si>
    <t>시스템은 사용자 질의를 업무 영역(개인채무조정, 새출발기금, 소액 대출 등)으로 자동 분류하고, 해당 영역의 지식베이스로 라우팅</t>
  </si>
  <si>
    <t>[Before]
사용자 질의를 업무 영역(개인채무조정, 새출발기금, 소액 대출 등)으로 자동 분류하고, 해당 영역의 지식베이스로 라우팅 로직 개발
[After]
데이터 원천별 논리적으로 구분된 VDB 구축 및 메타데이터 관리, VDB 검색시에도 해당 메타데이터 활용하여 검색범위를 제한하는 라우팅 로직 개발</t>
  </si>
  <si>
    <t xml:space="preserve">해당 영역의 지식베이스 라우팅'은 Agent별 별도 지식베이스 구축이 아닌 통합 지식베이스 내 메타 조건 지정을 의미하는 것임을 재확인. </t>
  </si>
  <si>
    <t>SFR-015-01-02</t>
  </si>
  <si>
    <t>의도 분류 신뢰도 점수를 산출하고, 임계값 미만 시 업무 영역 확인 역질문을 자동 수행</t>
  </si>
  <si>
    <r>
      <rPr>
        <rFont val="맑은 고딕"/>
        <color rgb="FF0000FF"/>
        <sz val="9.0"/>
      </rPr>
      <t xml:space="preserve">[Before]
의도 분류 신뢰도 점수를 산출하고, 임계값 미만 시 업무 영역 확인 역질문을 자동 수행
</t>
    </r>
    <r>
      <rPr>
        <rFont val="맑은 고딕"/>
        <color rgb="FFFF0000"/>
        <sz val="9.0"/>
      </rPr>
      <t>(임계값은 위원회와 협의하여 확정)</t>
    </r>
  </si>
  <si>
    <t>'의도 분류 신뢰도'와 '답변 신뢰도' 임계값은 각각 다른 개념임을 재확인. 관련 임계값, 신뢰값은 실제 학습문서를 대상으로 작업을 해보고 관련 값의 기준을 양사가 협의해야 할 것으로 판단</t>
  </si>
  <si>
    <t>SFR-015-01-03</t>
  </si>
  <si>
    <t>시스템은 질의가 복수 영역에 걸치는 경우, 각 영역을 병렬 검색 후 영역별 응답을 구분 표시하여야 한다.</t>
  </si>
  <si>
    <t>질문 분해 로직 &amp; 병렬 검색 로직 개발하여 적용</t>
  </si>
  <si>
    <t>SFR-015-02-01</t>
  </si>
  <si>
    <t>[Human-in-the-Loop 역질문·확인 절차]</t>
  </si>
  <si>
    <t>질의가 모호하거나 복수 제도에 해당하는 경우, 응답 생성 전 역질문을 수행하여 의도를 명확화</t>
  </si>
  <si>
    <r>
      <rPr>
        <rFont val="맑은 고딕"/>
        <color rgb="FF0000FF"/>
        <sz val="9.0"/>
      </rPr>
      <t xml:space="preserve">[Before]
질의가 모호하거나 복수 제도에 해당하는 경우, 응답 생성 전 역질문을 수행하여 의도를 명확화
</t>
    </r>
    <r>
      <rPr>
        <rFont val="맑은 고딕"/>
        <color rgb="FFFF0000"/>
        <sz val="9.0"/>
      </rPr>
      <t>(모호한 질의에 대한 정의, 위원회와 협의하여 확정)</t>
    </r>
    <r>
      <rPr>
        <rFont val="맑은 고딕"/>
        <color rgb="FF0000FF"/>
        <sz val="9.0"/>
      </rPr>
      <t xml:space="preserve">
</t>
    </r>
    <r>
      <rPr>
        <rFont val="맑은 고딕"/>
        <color rgb="FF0000FF"/>
        <sz val="9.0"/>
      </rPr>
      <t xml:space="preserve">[After]
모호한 질의 판정 기준을 입력 길이, 동사 부재, 명사 나열, 필수 슬롯 누락, 도메인 분류 실패 등으로 정의
규칙·모델 판정을 조합하고 대표 예시와 예외 케이스를 검증 데이터셋으로 확정하여 역질문을 수행
</t>
    </r>
  </si>
  <si>
    <t>모호한 질의란, 프롬프트를 구성하기에 정보가 부족한 상태라고 판단. 예를 들어 입력이 5단어 이하이거나, 동사 없는 명사만 나열되거나, 입력 자체가 너무 단편적인 경우, 답변에 필요한 도메인 분류가 되지 않는 경우 등을 상정
[3차 검토_260822~23]
1차 검토의견에서 '모호한 질의'의 판정 기준(5단어 이하 / 동사 없는 명사 나열 / 단편적 입력 / 도메인 분류 불가)을 이미 제시하였음. 제시된 기준을 전제로 역질문 발동 조건과 처리 절차, 판정 기준값(단어 수 임계치 등) 등에 대한 실무자 협의 필요</t>
  </si>
  <si>
    <t>SFR-015-02-02</t>
  </si>
  <si>
    <t>심사 기준·자격 요건 등 판단성 응답은 "참고 정보"로 구분 표시하고 사용자 확인을 요청</t>
  </si>
  <si>
    <t>[Before]
판단성 응답은 사용자 확인 할 수 있도록 답변 포맷에 반영
[After]
문구 포맷 관리자 등록, 수정, 삭제 기능 제공</t>
  </si>
  <si>
    <t xml:space="preserve">'문구 포맷'을 관리자가 등록, 수정, 삭제할 수 있어야 함. </t>
  </si>
  <si>
    <t>SFR-015-03-01</t>
  </si>
  <si>
    <t>[추론 경로 단계별 설명]</t>
  </si>
  <si>
    <t>시스템은 근거 선택 이유(질의-근거 관련도 판단 근거) 및 추가 확인 필요 사항을 단계별로 표시하여야 한다.</t>
  </si>
  <si>
    <t>[Before]
CoT 단계에 근거 선택 이유, 추가 확인 필요 사항을 단계적으로 사용자가 식별할 수 있도록 적용
[After]
검색단계에서 사용된 메타 필터 조건, 검색 방식, 관련도·리랭킹 점수는 에이전트 답변에 포함하여 사용자가 식별할 수 있는 형태로 제공. 검색단계에서 선택된 청크는 원문과 위치를 확인할 수 있는 형태로 제공</t>
  </si>
  <si>
    <t>요구사항은 '질의-근거 관련도 판단 근거'의 명시적 제시이며, 모델이 생성한 추론 서술(CoT) 갈음은 수용하기 어려움. CoT는 실제 검색·선택 로직과 일치한다는 보장이 없고 호출마다 내용이 달라져 검수 기준이 성립하지 않음.
본 항이 요구하는 근거는 생성 단계가 아닌 검색 단계의 산출값(적용된 메타 필터 조건, 검색 방식, 관련도·리랭킹 점수, 선택된 청크)이며, 이는 PER-004(출처 인용 정밀도 85% 이상, 도메인 용어 검색 재현율 85% 이상) 및 QUR-002(Agent 상담지식 품질 지표에 '추론 경로 투명성' 명시)의 측정·관리를 위해 시스템이 이미 보유해야 하는 값임.</t>
  </si>
  <si>
    <t>SFR-015-04-01</t>
  </si>
  <si>
    <t>[지식 데이터 범위 및 최신화]</t>
  </si>
  <si>
    <t>본 서비스가 참조하는 지식 데이터 소스는 제규정(협약, 세칙, 방법서), 개별 게시글, QnA, 관련 매뉴얼 등 주관부서의 제공자료를 포함한다.</t>
  </si>
  <si>
    <r>
      <rPr>
        <rFont val="맑은 고딕"/>
        <color rgb="FF0000FF"/>
        <sz val="9.0"/>
      </rPr>
      <t xml:space="preserve">[Before]
지식 데이터 소스는 제규정(협약, 세칙, 방법서), 개별 게시글, QnA, 관련 매뉴얼 등 주관부서의 제공자료를 포함하여 구축
</t>
    </r>
    <r>
      <rPr>
        <rFont val="맑은 고딕"/>
        <color rgb="FFFF0000"/>
        <sz val="9.0"/>
      </rPr>
      <t xml:space="preserve">(상세 구축 범위는 위원회와 협의하여 확정)
</t>
    </r>
    <r>
      <rPr>
        <rFont val="맑은 고딕"/>
        <color rgb="FF0000FF"/>
        <sz val="9.0"/>
      </rPr>
      <t xml:space="preserve">[After]
지식 데이터 소스는 제규정(협약, 세칙, 방법서), 개별 게시글, QnA, 관련 매뉴얼 등 주관부서의 제공자료를 포함하여 구축
TTL을 적용하지 않고 valid_from·valid_to와 문서 버전 메타데이터로 관리
</t>
    </r>
    <r>
      <rPr>
        <rFont val="맑은 고딕"/>
        <color rgb="FFFF0000"/>
        <sz val="9.0"/>
      </rPr>
      <t>(상세 구축 범위는 위원회와 협의하여 확정)</t>
    </r>
  </si>
  <si>
    <t xml:space="preserve">기본적인 방안은 이상없음. 다만, SFR-015의 경우 과거 지식에 대해 TTL이 아닌 valid_from·valid_to 기반 시점 검색을 적용해야 함. </t>
  </si>
  <si>
    <t>SFR-015-05-01</t>
  </si>
  <si>
    <t>[세션 관리]</t>
  </si>
  <si>
    <t>시스템은 질의에 포함된 개인정보는 보안 가드레일 PII 마스킹을 적용하여야 한다.</t>
  </si>
  <si>
    <t>[Before]
플랫폼 가드레일 기능에 정의된 PII 마스크 입력 가드레일에 적용
[After]
보장. 민원처리 에이전트의 경우에는 마스킹 결과를 별도 탭으로 제공. 다른 서비스에서는 reasoning 쪽에 노출 방식 고려</t>
  </si>
  <si>
    <t>마스킹 전 원문이 LLM 추론 단계로 전달되지 않는 처리 순서가 보장되어야 함</t>
  </si>
  <si>
    <t>SFR-015-05-02</t>
  </si>
  <si>
    <t>시스템은 세션 내 멀티턴 문맥 유지를 적용하여야 한다.</t>
  </si>
  <si>
    <t>Redis 기반 멀티턴 로직 구현</t>
  </si>
  <si>
    <t>[핵심과제] 정형·비정형 데이터 업로드 및 자연어 분석, PII 탐지, 역질문·안내</t>
  </si>
  <si>
    <t>SFR-016-01-01</t>
  </si>
  <si>
    <t>[데이터분석 모드: 정형데이터 업로드 및 자연어 분석]</t>
  </si>
  <si>
    <t>시스템은 정형데이터 파일(XLSX, CSV) 업로드 시 컬럼 구조·데이터 유형을 자동 인식하고, 자연어 질의에 대해 분석 코드를 자동 생성·실행하여 결과를 반환하는 기능을 제공하여야 한다.</t>
  </si>
  <si>
    <t>정형 데이터 파일 전처리 로직 고도화 &amp; 자연어 질의 이해 및 분석 코드 생성 에이전트 개발하여 제공</t>
  </si>
  <si>
    <t>SFR-016-01-02</t>
  </si>
  <si>
    <t>(코드 실행 필수) LLM이 데이터를 직접 연산하는 방식은 불허. 반드시 코드 생성 → 샌드박스 실행 경로를 거쳐야 함</t>
  </si>
  <si>
    <t xml:space="preserve">[Before]
연산 Tool MCP 기반 수행 
[After]
데이터 분석 모드로 진입한 경우 코드 생성 후 반드시 샌드박스 내에서 생성된 코드 기반으로 실행. 코드가 코드 실행이 되지 않을 경우 LLM 답변 생성으로 넘어가지 않도록 함
코드는 연산 Tool MCP를 활용하여 실행하며, 운영 중인 에이전트와 별도의 컨테이너(샌드박스 환경)에서 연산 수행. 생성된 데이터 분석 코드는 파일 형식으로 사용자에게 제시 </t>
  </si>
  <si>
    <t>본 항은 'LLM 직접 연산 불허'라는 금지 요건이므로, MCP 기반 연산 도구의 제공(연결 방식)만으로는 이행 여부를 확인할 수 없음. MCP는 도구를 연결하는 규격이며 도구 사용을 강제하는 장치가 아니고, LLM은 도구가 연결되어 있어도 단순 연산으로 판단되는 질의에서 도구 호출을 생략할 수 있음.
따라서 다음 2가지 추가 검토 
1. '강제' : 데이터분석 질의로 분류된 경우 코드 실행 결과 없이는 응답 생성 불가
2. '증빙' : 실행된 코드와 결과를 사용자에게 제시</t>
  </si>
  <si>
    <t>SFR-016-01-03</t>
  </si>
  <si>
    <t>시스템은 (격리 환경) 코드 실행 샌드박스는 운영 환경과 격리하여 네트워크· 파일 접근·자원 상한 등 보안 통제 적용하여야 한다.</t>
  </si>
  <si>
    <t>코드 실행은 독립된 MCP Server Pod 내에서 수행하며, 중요 파일 접근 및 제어 불가하도록 적용</t>
  </si>
  <si>
    <t>SFR-016-01-04</t>
  </si>
  <si>
    <t>시스템은 (분석 로직 투명성) 생성된 분석 코드를 확인할 수 있는 기능 제공하여야 한다.</t>
  </si>
  <si>
    <t>[Before]
생성된 코드 Reasoning Step에 표출
[After]
생성된 코드를 Agent 답변과 함께 파일(.py 혹은 .txt) 제공하여 코드 확인 및 검증 가능하도록 함</t>
  </si>
  <si>
    <t>코드 전문 확인·복사 가능해야 함</t>
  </si>
  <si>
    <t>SFR-016-01-05</t>
  </si>
  <si>
    <t>시스템은 (안내 문구) 모든 분석 결과 하단에 업로드 데이터 기준 분석 결과 임을 명시하는 문구 고정 표시하여야 한다.</t>
  </si>
  <si>
    <t>SFR-016-01-06</t>
  </si>
  <si>
    <t>(활용 데이터 다운로드) 관리자가 사전 등록한 활용 가능 데이터(예: 20XX년 확정자 리스트 등)를 사용자가 목록에서 조회하고 다운로드 할 수 있는 기능을 제공. 다운로드 허용 데이터 목록 및 접근 권한은 세부내용 관리자가 웹 UI에서 설정·관리 (비식별화 자료에 한정)</t>
  </si>
  <si>
    <r>
      <rPr>
        <rFont val="맑은 고딕"/>
        <color rgb="FF0000FF"/>
        <sz val="9.0"/>
      </rPr>
      <t xml:space="preserve">[Before]
관리자가 사전 등록한 활용 가능 데이터(예: 20XX년 확정자 리스트 등)를 사용자가 목록에서 조회하고 다운로드하는 기능 제공, 다운로드 허용 데이터 목록 및 접근 권한은 세부내용 관리자가 웹 UI에서 설정·관리 (비식별화 자료에 한정)
[After]
활용 가능 데이터에 대한 DM 구성 및 어드바이저 통합 창에 데이터 라이브러리로 제시
</t>
    </r>
    <r>
      <rPr>
        <rFont val="맑은 고딕"/>
        <color rgb="FFFF0000"/>
        <sz val="9.0"/>
      </rPr>
      <t>다만, 사용자가 목록에서 조회하고 다운로드 할 수 있는 기능은 제외</t>
    </r>
  </si>
  <si>
    <t>기 제공한 동 Agent 처리흐름도(pdf)에서 동 요구사항에 대해 상세 서술하고 있음. 참고 요청</t>
  </si>
  <si>
    <t>SFR-016-02-01</t>
  </si>
  <si>
    <t>[문서분석 모드: 문서 업로드 및 자연어 분석]</t>
  </si>
  <si>
    <t>업무 문서(HWPX, PDF) 업로드 시 파싱을 수행하고, 자연어 질의에 대해 문서 기반 요약·발췌·인사이트 생성</t>
  </si>
  <si>
    <t>업무 문서 전처리 로직 고도화 &amp; 요약,발췌,인사이트 생성 로직 개발하여 제공</t>
  </si>
  <si>
    <t>SFR-016-02-02</t>
  </si>
  <si>
    <t>자연어 질의에 대해 문서 기반 요약·발췌·인사이트를 생성</t>
  </si>
  <si>
    <t>SFR-016-02-03</t>
  </si>
  <si>
    <t>문서 근거 없는 내용을 생성하지 않으며, 출처(페이지·구문) 명시</t>
  </si>
  <si>
    <t>SFR-016-03-01</t>
  </si>
  <si>
    <t>[업로드 자원 제한 관리]</t>
  </si>
  <si>
    <t>모드별 업로드 제한 기본값을 적용하고, 초과 시 업로드를 차단</t>
  </si>
  <si>
    <t>SFR-016-03-02</t>
  </si>
  <si>
    <t>관리자는 제한값을 조정 가능</t>
  </si>
  <si>
    <t>관리자가 제한값을 조정하는 기능 제공</t>
  </si>
  <si>
    <t>SFR-016-04-01</t>
  </si>
  <si>
    <t>[업로드 시 PII 자동 탐지·경고]</t>
  </si>
  <si>
    <t>데이터분석 모드에서 업로드 시 개인정보 패턴을 자동 탐지</t>
  </si>
  <si>
    <t>SFR-016-04-02</t>
  </si>
  <si>
    <t>PII 탐지 시 경고를 표시하고, 해소되지 않을 경우 업로드를 차단</t>
  </si>
  <si>
    <t>SFR-016-05-01</t>
  </si>
  <si>
    <t>[공통: 역질문 및 데이터 부족 안내]</t>
  </si>
  <si>
    <t>질의가 불명확한 경우 역질문을 통해 구체화</t>
  </si>
  <si>
    <t>SFR-016-05-02</t>
  </si>
  <si>
    <t>필요 데이터가 없는 경우, 구체적 누락 항목을 명시하여 안내</t>
  </si>
  <si>
    <t>[핵심과제] STT 데이터 전처리·품질검증, 업무·유형별 패턴/Flow 분석, 질문 단위 표준 상담 스크립트(Q&amp;A) 설계·검증·승인</t>
  </si>
  <si>
    <t>SFR-017-01-01</t>
  </si>
  <si>
    <t>[STT 데이터 전처리 및 분석 체계 수립]</t>
  </si>
  <si>
    <t>대상 데이터: '25.7월~'26.5월(약 230영업일) 누적 STT 데이터 약 70,000건</t>
  </si>
  <si>
    <t xml:space="preserve">데이터 제공시 수용 처리
- 업무 유형별 데이터 분류 · 태깅
- 발화 세그먼트 정규화 및 노이즈 제거
- 일반상담 : '26.1 ~ '26.6 ( 6개월분) </t>
  </si>
  <si>
    <t>· AI 응답 시나리오 정의서
 · 업무별, 유형별 표준 상담 스크립트</t>
  </si>
  <si>
    <t>SFR-017-01-02</t>
  </si>
  <si>
    <t>데이터 특성: 화자 분리(상담사-고객)가 완료된 비정형 상담 데이터</t>
  </si>
  <si>
    <t>[Before] 
데이터 제공시 수용 처리
- 화자분리 정합성 검증(상담사 · 고객)
[After]
- STT 내용 및 고객정보 기반한 상담내용 클러스터링
- 분석결과를 CSV(Tab 구분자)로 제공하여 To-Be 설계시 PwC에서 활용하도록 제공
- 분석은 6개월간의 STT를 활용하지만 분석실행시간이 오래 소요되는 경우 선택적으로 상담유형별 최소 50~100건의 상담내용을 샘플링하여 분석을 수행</t>
  </si>
  <si>
    <t>SFR-017-01-03</t>
  </si>
  <si>
    <r>
      <rPr>
        <rFont val="Malgun Gothic"/>
        <color theme="1"/>
        <sz val="9.0"/>
      </rPr>
      <t>보안 요건: 개인정보 보호 방침에 따른 성명, 주민번호 등 민</t>
    </r>
    <r>
      <rPr>
        <rFont val="맑은 고딕"/>
        <color theme="1"/>
        <sz val="9.0"/>
      </rPr>
      <t xml:space="preserve">감정보 비식별화 </t>
    </r>
    <r>
      <rPr>
        <rFont val="맑은 고딕"/>
        <color theme="1"/>
        <sz val="9.0"/>
      </rPr>
      <t>처리 필수</t>
    </r>
  </si>
  <si>
    <r>
      <rPr>
        <rFont val="맑은 고딕"/>
        <color rgb="FF0000FF"/>
        <sz val="9.0"/>
      </rPr>
      <t xml:space="preserve">[Before] 
성명·주민번호 등 민감정보 비식별화하여 제공해야함
(제공이 어려운 경우 수행사에서 비식별화 제공하여 처리함)
[After]
실시간 제외 콜 종료된 전체 STT 데이터를 대상으로 성명, 주민번호, 계좌번호 등 개인정보에 대한 비식별화를 수행하고, 비식별 처리 결과 및 예외 이력을 저장/조회가 가능하도록 함
</t>
    </r>
    <r>
      <rPr>
        <rFont val="맑은 고딕"/>
        <color rgb="FFFF0000"/>
        <sz val="9.0"/>
      </rPr>
      <t>(분석기간에는 비식별화 예외 처리)</t>
    </r>
  </si>
  <si>
    <t>설계단계에서는 현재 위원회에서 위고에서 요청한 샘플 데이터를 정제하여 제공 중. 구축 시 전체 STT데이터에 대한 비식별화는 수행사에서 진행해야 함. 요구사항 대비 처리방안에는 '계좌번호'가 생략되었으며, 나열된 항목 외 개인정보로 판단되는 부분에 대해서는 비식별화 솔루션을 적용하여 정제해야 함. 또한 RFP에서 요구하는 비식별 처리 결과와 예외 이력 검증에 대한 수행방안이 누락되었음.</t>
  </si>
  <si>
    <t>SFR-017-02-01</t>
  </si>
  <si>
    <t>[데이터 기반 핵심 상담 패턴 도출]</t>
  </si>
  <si>
    <t>분석 지표: 업무별 핵심 질의 패턴, 고객 이탈/거절 포인트, 상담 단계별 평균 소요 시간 등</t>
  </si>
  <si>
    <t>[Before] 
수행사의 TA 솔루션을 이용하여 구현
- 업무별 핵심 질의 패턴 클러스터링 --&gt; 보고서 화면 제공
- 고객 이탈·거절 포인트 감성 분석 --&gt; 보고서 화면 제공
- 상담 단계별 평균 소요 시간 분포 측정 (표준 상담단계 정의 : 고객사와 협의) --&gt;화면 제공
[After]
- STT기반 고객 이탈·거절 포인트가 언제, 어떤 이유로 발생하는지에 대한 분석 
- 상담 전체 또는 메가프로세스 단계별 평균 소요 시간 파악과 프로세스 변형형태 분석을 통한 표준프로세스 수립지원</t>
  </si>
  <si>
    <t xml:space="preserve">SFR-017의 경우 기술협상 시 논의된 내용이 미반영되거나 범위가 불일치하는 부분이 있음에 따라, 추가 검토 후 의견을 드리겠습니다. </t>
  </si>
  <si>
    <t>SFR-017-02-02</t>
  </si>
  <si>
    <t>생성형 AI 모델을 활용한 상담 흐름(Flow) 자동 추출 및 표준 상담 스크립트 제공</t>
  </si>
  <si>
    <t>[Before] 
수행사의 TA 솔루션을 이용하여 구현
- 생성형 AI 기반 상담 Flow 자동 추출 및 표준 상담 스크립트 추출 및 자료제공
- 표준 스크립트 품질 검증 (매뉴얼 Vs 표준스크립트 : 1차 sLLM, 2차 담당자)
[After]
- PwC 제공 Mega Process기반 상담흐름 변형형태를 포함하여 추출하여 분석한 후 표준 상담 스크립트 선택을 할수 있도록 분석결과 제공</t>
  </si>
  <si>
    <t>SFR-017-03-01</t>
  </si>
  <si>
    <t>질문 단위 표준 상담 스크립트(Q&amp;A) 설계</t>
  </si>
  <si>
    <t>구조화: '도입-본론(상담)-종결'의 단계별 표준 구조 설계</t>
  </si>
  <si>
    <t>[Before] 
수행사의 TA 솔루션을 이용하여 구현
- 도입·본론·종결 3단계 표준 구조 설계
--&gt; 고객사 협의하여 연체 기간, 채무 규모, 고객 유형별 맞춤형 케이스에 대한 스크립트 개발
- 지속 개선 피드백 루프 설계
[After]
'- PwC제공 Mega Process기반으로 대표적인 프로세스 및 변형된 프로세스를 도출하여 표준구조를 결정할수 있도록 정보제공</t>
  </si>
  <si>
    <t>SFR-017-03-02</t>
  </si>
  <si>
    <t>분기 처리: 연체 기간, 채무 규모, 고객 유형별 맞춤형 케이스 분기 시나리오 반영</t>
  </si>
  <si>
    <t>[Before] 
연체기간·채무규모·고객유형별 반응 패턴 분류하여, 맞춤형 분기 시나리오 반영
[After]
- 고객데이터 기반 분기유형과 STT를 결합한 As-Is 분석결과 제공</t>
  </si>
  <si>
    <t>SFR-017-03-03</t>
  </si>
  <si>
    <t>활용성 강화: 상담 시 참조 가능한 가독성 높은 인터페이스 대응형 스크립트 개발</t>
  </si>
  <si>
    <t>위고
 PWC</t>
  </si>
  <si>
    <r>
      <rPr>
        <rFont val="맑은 고딕"/>
        <b/>
        <color theme="1"/>
        <sz val="9.0"/>
      </rPr>
      <t xml:space="preserve">[Before]
[위고]
</t>
    </r>
    <r>
      <rPr>
        <rFont val="맑은 고딕"/>
        <color theme="1"/>
        <sz val="9.0"/>
      </rPr>
      <t xml:space="preserve">실시간 참조 가능 UI 인터페이스 개발
</t>
    </r>
    <r>
      <rPr>
        <rFont val="맑은 고딕"/>
        <b/>
        <color theme="1"/>
        <sz val="9.0"/>
      </rPr>
      <t xml:space="preserve">[PWC]
</t>
    </r>
    <r>
      <rPr>
        <rFont val="맑은 고딕"/>
        <color theme="1"/>
        <sz val="9.0"/>
      </rPr>
      <t>- 구축되는 콜센터 상담원 어시스턴트 기능(위고) 분석 → 현재 업무프로세스 상의 변화 사항 식별 → To-Be 개선 방향성 수립 → To-Be 업무프로세스 정의 → 상담업무매뉴얼에 반영 → 변화관리방안 (교육) 수립 및 수행 (위고 솔루션 변화관리와 연계)
[After]
[위고] 
해당사항 없음
[PWC]
- 구축되는 콜센터 상담원 어시스턴트 기능(위고) 분석 → 현재 업무프로세스 상의 변화 사항 식별 → To-Be 개선 방향성 수립 → To-Be 업무프로세스 정의 → 상담업무매뉴얼에 반영 → 변화관리방안 (교육) 수립 및 수행 (위고 솔루션 변화관리와 연계)</t>
    </r>
  </si>
  <si>
    <t>SFR-017-04-01</t>
  </si>
  <si>
    <t>고객정보 연동</t>
  </si>
  <si>
    <t>시스템은 위원회에서 일반상담시 사용하는 고객정보(신청서입력정보, 신용정보, 마이데이터)를 기간계에서 다운받은 파일 및 입력창을 통해 연동 해야 함</t>
  </si>
  <si>
    <r>
      <rPr>
        <rFont val="Malgun Gothic"/>
        <color theme="1"/>
        <sz val="9.0"/>
      </rPr>
      <t xml:space="preserve">아래 두가지 방식을 통해 연동 개발
- 사용자 입력창을 통해 고객 정보 입력
- 기간계에서 고객정보 파일을 다운/업로드하여 고객정보 연동 개발
</t>
    </r>
    <r>
      <rPr>
        <rFont val="맑은 고딕"/>
        <color rgb="FFFF0000"/>
        <sz val="9.0"/>
      </rPr>
      <t>(고객 정보는 분석결과를 통해 정의 및 협의)
추후 연동 개발을 위한 API 가이드 문서 제공</t>
    </r>
  </si>
  <si>
    <t>SFR-017-05-01</t>
  </si>
  <si>
    <t>고객맞춤 상담스크립트 제시</t>
  </si>
  <si>
    <t>고객 정보를 바탕으로 상황에 맞는 표준상담 스크립트를 제공</t>
  </si>
  <si>
    <t>표준 상담 스크립트의 단계별 연계 체크리스트를 데이터 컴포넌트 단위로 관리하고 실시간 고객정보를 분석해 적용가능한 표준상담 스크립트를 매칭하여 제공.</t>
  </si>
  <si>
    <t>[과제] Native LLM 기능을 활용한 글 다듬이(문서 유형·톤 정제), 다국어 번역, FAQ 자동 생성</t>
  </si>
  <si>
    <t>SFR-018-01-01</t>
  </si>
  <si>
    <t>[글 다듬이, 사용자가 입력한 텍스트 초안을 문서 유형·톤에 맞게 정제하는 기능 제공]
※ 고객 발송 문구·심사 입력 등 특수 유형별 톤 고정 여부, 글자수 옵션, 입력 항목 유형 등 세부 정책은 구축 시 위원회와 협의하여 결정</t>
  </si>
  <si>
    <t>메일, 게시글, 보도자료, 공문, 고객 발송 문구, 심사 입력 등 문서 유형을 선택하고 유형별 톤 옵션을 제시하여 정제</t>
  </si>
  <si>
    <r>
      <rPr>
        <rFont val="맑은 고딕"/>
        <color rgb="FF0000FF"/>
        <sz val="9.0"/>
      </rPr>
      <t xml:space="preserve">[Before]
유형별 문서 생성 로직 개발
</t>
    </r>
    <r>
      <rPr>
        <rFont val="맑은 고딕"/>
        <color rgb="FFFF0000"/>
        <sz val="9.0"/>
      </rPr>
      <t xml:space="preserve">(고객 발송 문구·심사 입력 등 특수 유형별 톤 고정 여부, 글자수 옵션, 입력 항목 유형 등 세부 정책은 구축 시 위원회와 협의하여 확정)
</t>
    </r>
    <r>
      <rPr>
        <rFont val="맑은 고딕"/>
        <color rgb="FF0000FF"/>
        <sz val="9.0"/>
      </rPr>
      <t xml:space="preserve">
[After]
글다듬이 입출력 형태
입력: 텍스트, 문서(HWPX,DOCX,PDF 포맷) 
출력: 텍스트, txt파일</t>
    </r>
  </si>
  <si>
    <t>이상없음. 세부정책은 Agent 개발담당과 별도 논의하여 확정</t>
  </si>
  <si>
    <t>SFR-018-01-02</t>
  </si>
  <si>
    <t>시스템은 문서 유형별 기본 구조 템플릿을 자동 적용하여야 한다.</t>
  </si>
  <si>
    <t>- 글다듬이와 템플릿 맵핑은 진입점을 분리하여 Agent 문서작성 지원 내 하위 기능은 총 4종 (글다듬이/번역/FAQ자동생성/템플릿 맵핑)이 됨
- 템플릿 맵핑 기능은 채팅 형태로 제공하며 템플릿 내 필수 항목이 포함되어있지 않은 경우 사용자에게 필수값이 빠져있음을 안내
템플릿 맵핑 입출력 형태
입력: 텍스트, 문서(HWPX,DOCX,PDF 포맷) 
출력: 텍스트, 문서(HWPX) 포맷</t>
  </si>
  <si>
    <t>SFR-018-01-03</t>
  </si>
  <si>
    <t>시스템은 정제 전·후 텍스트를 대조 표시하고 변경 부분을 식별할 수 있는 기능 제공하여야 한다.</t>
  </si>
  <si>
    <t>정제 전·후 텍스트를 대조 표시, 변경 부분을 식별할 수 있는 기능 제공</t>
  </si>
  <si>
    <t>SFR-018-01-04</t>
  </si>
  <si>
    <t>사용자 입력의 핵심 사실관계를 임의 변경·삭제하지 않으며, 입력 외 사실을 생성하지 않음</t>
  </si>
  <si>
    <t>SFR-018-01-05</t>
  </si>
  <si>
    <t>시스템은 정제 결과에 참고 초안임을 안내하는 문구를 상시 표시하여야 한다.</t>
  </si>
  <si>
    <t>[Before]
정제 결과에 참고 초안임을 안내하는 문구를 상시 표시
[After]
문구 포맷 관리자 등록, 수정, 삭제 기능 제공</t>
  </si>
  <si>
    <t>SFR-018-01-06</t>
  </si>
  <si>
    <t>시스템은 관리자가 문서 유형 및 톤 옵션을 추가·수정·비활성화할 수 있는 기능 제공하여야 한다.</t>
  </si>
  <si>
    <t>관리자가 문서 유형 및 톤 옵션을 추가·수정·비활성화할 수 있는 기능 제공</t>
  </si>
  <si>
    <t>SFR-018-02-01</t>
  </si>
  <si>
    <t>[번역, 업무 문서 및 상담 안내 문구를 번역하는 기능 제공]</t>
  </si>
  <si>
    <t>사용자가 입력한 텍스트 또는 업로드한 문서를 번역하고, 원문-번역문 대조 형태로 제시(한국어, 영문 지원)</t>
  </si>
  <si>
    <t>- (한국어 &lt;-&gt; 영어, 태국어, 베트남어, 러시아어, 중국어), 양방향 번역 지원
- 영어 외 언어는 nativeLLM의 성능을 기반으로 번역을 수행
- 성능 평가, 품질 보증 범위에서 제외(26.07.30 위원회-제논 다국어 번역 미팅)
- 업로드 가능한 문서의 포맷은 HWPX,PDF,DOCX로 제한
- 입력: 텍스트, 문서(HWPX,DOCX,PDF 포맷) 
- 출력: 텍스트, txt파일</t>
  </si>
  <si>
    <t>SFR-018-02-02</t>
  </si>
  <si>
    <t>시스템은 상담 스크립트·안내 문구를 외국인 신청인이 이해하기 쉬운 구어체로 변환하는 기능 제공하여야 한다.</t>
  </si>
  <si>
    <t>상담 스크립트·안내 문구를 외국인 신청인이 이해하기 쉬운 구어체로 변환하는 기능 제공</t>
  </si>
  <si>
    <t>SFR-018-02-03</t>
  </si>
  <si>
    <t>시스템은 위원회 도메인 영어사전 기능을 제공하여야 한다.</t>
  </si>
  <si>
    <t>[Before]
위원회 도메인 영어사전 기능을 제공-FAQ를 자동 생성하는 기능 제공
(위원회에서 도메인 영어사전 기능 제공 필요)
[After]
영어사전 기능을 제공하기 위해서 '영문 표준 번역어 필드'를 반드시 추가해야 하는것은 아니며 이후 언어 확장성을 고려해 용어명/정의/유의어/…./언어 와 같은 형태로 제공해도 무관 
[26.07.30 위원회-제논 다국어 번역 미팅]
위원회에서 제공하는 '한-영 표기' 데이터를 바탕으로
'언어 구분'필드를 통해 관리 가능한 '도메인 영어사전 기능 제공'
ex.  용어명                                      /... /언어
    신용회복위원회                             /... /KOR
    credit counseling and recovery service/..../ ENG</t>
  </si>
  <si>
    <t>위원회에서 제공하는 것은 '도메인 영어사전 기능'이 아닌, '도메인 영어사전에 적용할 한↔영 데이터' 
[3차 검토의견, 260822~23]
오해가 있음. RFP와 같이 시스템은 위원회 도메인 영어사전 기능(향후 확장성을 위해)해야 하며, 이 때 위원회 자체적으로 작성한 위원회 고유 제도명, 부서명 등에 대한 '한-영 표기' 데이터를 제공할 수 있음. 즉, 플랫폼은 '도메인 영어사전 기능'을 제공하고, 위원회는 동 기능을 통해 향후 지속적으로 '한-영 표기'를 관리한다는 의도</t>
  </si>
  <si>
    <t>SFR-018-03-01</t>
  </si>
  <si>
    <t>[FAQ 자동 생성, 규정 문서를 분석하여 내부 직원용 예상 질문-답변(FAQ)을 자동 생성하는 기능 제공]
※ 지원 문서 포맷, 출력 파일 형식, 업로드 제한 기본값 등은 구축 시 위원회와 협의하여 결정</t>
  </si>
  <si>
    <t>규정 문서 업로드 시 FAQ 생성</t>
  </si>
  <si>
    <t>- 업로드 가능한 문서의 포맷은 HWPX,PDF,DOCX로 제한 
- 입력: 텍스트, 문서(HWPX,DOCX,PDF 포맷) 
- 출력: 문서(HWPX,PDF)
[26.07.30 Agent 개발 요구사항 논의]</t>
  </si>
  <si>
    <t>SFR-018-03-02</t>
  </si>
  <si>
    <t>사용자가 지정한 건수에 맞추어 내부 직원 관점의 FAQ를 생성하며, 근거 문서에 없는 내용을 생성하지 않음</t>
  </si>
  <si>
    <t>SFR-018-03-03</t>
  </si>
  <si>
    <t>시스템은 산출물에 AI 생성 참고 자료임을 안내하고, 담당직원이 해당 내용을 검토하여야 한다을 표시하여야 한다.</t>
  </si>
  <si>
    <t xml:space="preserve">[Before]
에이전트 최종 답변 하단에 disclaimer 포함 로직 개발
[After]
문구 포맷 관리자 등록, 수정, 삭제 기능 제공
</t>
  </si>
  <si>
    <t>SFR-018-03-04</t>
  </si>
  <si>
    <t>시스템은 업로드 용량 제한을 적용하며, 관리자가 제한값을 조정할 수 있는 기능 제공하여야 한다.</t>
  </si>
  <si>
    <t>업로드 용량 제한을 적용하며, 관리자가 제한값을 조정할 수 있는 기능 제공</t>
  </si>
  <si>
    <t>[과제] 민원 입력·비식별화, 유사 사례 검색, 서면 답변 초안 생성, 학습 데이터 관리</t>
  </si>
  <si>
    <t>SFR-019-01-01</t>
  </si>
  <si>
    <t>[참고 초안 목적 명시 및 담당자 검토 필수]</t>
  </si>
  <si>
    <t>시스템은 모든 출력(처리 방향, 서면 답변 초안)을 ‘참고 초안’으로 구분하여 제공하여야 한다.</t>
  </si>
  <si>
    <t>[Before]
에이전트 최종 답변 하단에 disclaimer 포함 로직 개발
[After]
본 Agent에서는 처리 방향(민원유형, 관련업무 5종 추천) 및 초안 생성까지를 기능 범위로 함
[2026.08.03 Agent 민원처리 지원 요구사항 논의]</t>
  </si>
  <si>
    <r>
      <rPr>
        <rFont val="Malgun Gothic"/>
        <color theme="1"/>
        <sz val="9.0"/>
      </rPr>
      <t xml:space="preserve">참고 초안으로 구분하여 제공'은 산출물 자체에 초안임을 표기하는 요건으로 대화 화면 하단 disclaimer만으로는 부족함. 서면 답변 초안이 그대로 외부 발송될 위험이 있으므로 산출물 내 표기, 파일명에 반영
[3차 검토의견, 260822~23]
'after' + 출력된 답변에 'ai를 통한 산출물이며, 담당자 검토가 필요하다는 disclaimer 문구가 포함되어야 하며, 해당 문구를 운영부서(데이터전략부)에서 수정할 수 있어야 함' 
</t>
    </r>
    <r>
      <rPr>
        <rFont val="맑은 고딕"/>
        <color rgb="FFC05100"/>
        <sz val="9.0"/>
      </rPr>
      <t>-&gt; SFR-019-01-02에 반영</t>
    </r>
  </si>
  <si>
    <t>SFR-019-01-02</t>
  </si>
  <si>
    <t>시스템은 결과 화면에 담당자 검토·승인 필수 안내 문구를 고정 표시하여야 한다.</t>
  </si>
  <si>
    <t>[Before]
에이전트 최종 답변 하단에 disclaimer 포함 로직 개발
[After]
출력된 답변 하단에 AI 생성 참고 자료임을 안내하고, 담당 직원의 해당 내용 검토가 필요하다는 disclaimer 문구 제시 로직 개발
문구 포맷 관리자 등록, 수정, 삭제 기능 제공</t>
  </si>
  <si>
    <t>SFR-019-02-01</t>
  </si>
  <si>
    <t>[민원 내용 입력 및 개인정보 비식별화]</t>
  </si>
  <si>
    <t>시스템은 민원 내용 입력은 파일 업로드 및 텍스트 복사를 지원하며, 이미지· 스캔 파일의 경우 OCR을 지원하여야 한다.</t>
  </si>
  <si>
    <t xml:space="preserve">[Before]
민원 내용 입력은 파일 업로드 및 텍스트 복사를 지원하며, 이미지· 스캔 파일의 경우 OCR을 지원
[After]
손글씨 파일의 경우 테스트 진행 출력 결과에 따라 임계값 설정. 임계값 미만의 데이터는 지식베이스 적재 대상에서 제외 
이미지∙스캔 파일 중 임계값 미만의 자동 인식이 어려운 파일의 경우 사용자가 기존 방식으로 처리하도록 안내 문구 제공(관리자 등록·수정 기능 제공) </t>
  </si>
  <si>
    <t>민원은 이미지 스캔(pdf) 비중이 높으므로 OCR 대상 포맷과 인식 품질 기준, 손글씨 문서의 처리 방침을 명확히 해야 함. (김현근 프로에게 제공한 OCR 샘플 문서에 대한 인식율 결과 확인 후 협의 필요)</t>
  </si>
  <si>
    <t>SFR-019-02-02</t>
  </si>
  <si>
    <t>입력된 민원 내용에 대한 개인정보 자동 탐지·마스킹이 적용하며, 마스킹 전 원문은 AI 추론 과정에 전달 금지</t>
  </si>
  <si>
    <t>[Before]
입력 PII 가드레일 적용
[After]
파일 또는 텍스트 입력하여 텍스트 인식 후 가드레일 적용, LLM 호출 전  PII 마스킹 처리 완료</t>
  </si>
  <si>
    <t>'마스킹 전 원문의 AI 추론 과정 전달 금지'는 처리 순서에 대한 요건이므로 가드레일이 LLM 호출 이전 단계에서 동작함을 설계로 확인 요망. OCR로 추출된 텍스트에도 동일하게 적용되어야 함.</t>
  </si>
  <si>
    <t>SFR-019-03-01</t>
  </si>
  <si>
    <t>[유사 민원사례 검색 및 처리 방향 제시]</t>
  </si>
  <si>
    <t>시스템은 입력된 민원 내용을 기반으로 과거 유사 민원사례를 검색하고, 처리 방향성을 참고 초안으로 제시</t>
  </si>
  <si>
    <t>[Before]
민원 벡터 DB 구성 및 검색 로직 개발
[After]
민원 벡터 DB 구성 및 검색 로직 개발
증분 데이터는 사용자가 실제 확정한 민원 답변 데이터를 내부 시스템에 저장한 데이터에 대해  API 연동하여 배치(주 또는 월 단위)하는 방식으로 추가 적재
[2026.08.03 Agent 민원처리 지원 요구사항 논의]</t>
  </si>
  <si>
    <t>최초 구축 이후 투입되는 신규 민원에 대한 질의내용, 유형분류, 답변(담당자가 수정한 경우 수정 후 답변)을 관련 DB에 적재 및 향후 새로운 입력값에 대해 지속적으로 학습 필요</t>
  </si>
  <si>
    <t>SFR-019-03-02</t>
  </si>
  <si>
    <t>답변 신뢰성 보장 및 출처 검증 기능을 적용하며, 신뢰도 임계값 미만 시 생성을 보류</t>
  </si>
  <si>
    <t>답변 신뢰성 보장 및 출처 검증 기능 적용, 신뢰도 임계값 미만 시 생성 보류</t>
  </si>
  <si>
    <t>SFR-019-04-01</t>
  </si>
  <si>
    <t>[서면 답변 참고 초안 생성]</t>
  </si>
  <si>
    <t>처리 방향성 기반으로 민원인 발송용 서면 답변 참고 초안을 생성</t>
  </si>
  <si>
    <t>답변 참고 초안 생성 에이전트 로직 개발
1차로 민원유형·관련업무 각 5종 분류하여 추천(처리 방향성 제시)한 후 사용자가 확정하면 2차로 해당 민원에 대한 초안을 생성</t>
  </si>
  <si>
    <t>SFR-019-05-01</t>
  </si>
  <si>
    <t>[민원사례 학습 데이터 관리]</t>
  </si>
  <si>
    <t>과거 민원 처리 결과 (민원 -답변)를 지식베이스에 메타데이터와 함께 적재</t>
  </si>
  <si>
    <t>[Before]
과거 민원 처리 결과 (민원 -답변)를 지식베이스에 메타데이터와 함께 적재
[After]
과거 민원 처리 결과 (민원 -답변)를 지식베이스에 메타데이터와 함께 적재하며, 과거 민원의 종결일자 기준으로 사례 시점 표시</t>
  </si>
  <si>
    <t xml:space="preserve">민원 사례는 과거분이 폐지·대체되지 않고 누적되는 원천이므로 SFR-003-05-03 답변의 TTL 일괄 적용 대상이 아님. 과거 사례를 전량 검색 대상으로 유지하되, 접수·처리 시점의 제도 기준이 현행과 다를 수 있으므로 응답에 사례 시점을 함께 표시. </t>
  </si>
  <si>
    <t>SFR-019-05-02</t>
  </si>
  <si>
    <t>필수 메타데이터 항목은 구축 시 위원회와 협의한다.
· 예시: 민원경로 유형(국민신문고, 홈페이지, 내부이관, 우편·팩스, 기타), 민원내용 유형(질의, 건의, 고충, 기타), 접수일, 처리일 등</t>
  </si>
  <si>
    <t>위원회와 협의하여 확정한 메타 데이터 항목 구축</t>
  </si>
  <si>
    <t>[과제] 업무분장 데이터 학습, 인사정보 연동, 자연어 기반 담당자 검색</t>
  </si>
  <si>
    <t>SFR-020-01-01</t>
  </si>
  <si>
    <t>[업무분장 데이터 학습 및 관리]</t>
  </si>
  <si>
    <t>시스템은 위원회 내부 부서별 세부 업무분장 데이터를 업로드하여 RAG 지식베이스를 구성하는 기능을 제공하여야 한다.</t>
  </si>
  <si>
    <t xml:space="preserve">[Before]
위원회 내부 부서별 세부 업무분장 데이터를 업로드하여 RAG 지식베이스를 구성하는 기능 제공
[After]
업무분장 데이터 수집 및 파싱을 진행하여 데이터 적재
직제 정보 변경 등의 데이터 변경 시, 위원회 경영정보시스템 API 연동 기반 현행 데이터로 매핑하여 제공
</t>
  </si>
  <si>
    <t>업로드 포맷(hwp, xlsx)과 필수 컬럼 규격(동 Agent 처리흐름도 참고)을 확정하고, 위원회 제공 자료의 부서·팀 명칭이 현행 직제(용어사전에서 관리)와 불일치할 경우의 검증·정정 절차 적용
[3차 검토 의견, 260822~23]
실무자 추가 회의 필요. '부서-팀' 명칭의 경우 '용어사전 기능'이 아닌 위원회 경영정보시스템 상 직제 정보(직제 변경 정보가 포함됨)를 API로 연동하여 현행으로 매핑하는 방향으로 설계 요청</t>
  </si>
  <si>
    <t>· API 인터페이스 연동 규격서
 · 화면 설계서</t>
  </si>
  <si>
    <t>SFR-020-01-02</t>
  </si>
  <si>
    <t>관리자는 인사이동 및 업무분장 변경 시 전체 교체 또는 증분 반영 방식으로 지식베이스를 갱신 가능</t>
  </si>
  <si>
    <t>[Before]
관리자가 인사이동 및 업무분장 변경 시 전체 교체 또는 증분 반영 방식으로 지식베이스를 갱신할 수 있는 기능 제공
[After]
관리자가 인사이동 및 업무분장 변경 시 전체 교체 또는 증분 반영 방식으로 지식베이스를 갱신할 수 있는 기능 제공하며, 정기 및 비정기 인사공고 의 경우 파일 수집 및 파싱을 통해 지식베이스에 추가 적재</t>
  </si>
  <si>
    <t>인사이동(정기/수시/면직 등)에 따른 지식 반영에 대해서는 별도로 제공한 처리흐름도(pdf)에서 상세 작성
[3차 검토의견, 260822~23]
before 의견과 after 의견을 합친 수행방안으로 검토 요청
(ex. 관리자는 인사이동(정기/수시) 및 업무분장 변경 시 전체 교체 또는 증분 반영 방식으로 지식베이스를 갱신(인사공고 파일의 경우 수집 및 파싱을 통한 적재)</t>
  </si>
  <si>
    <t>SFR-020-01-03</t>
  </si>
  <si>
    <t>시스템은 업로드 시 필수 항목 유효성을 검증하고, 누락 시 경고를 표시하여야 한다.</t>
  </si>
  <si>
    <t>업로드 시 필수 항목 유효성을 검증하고, 누락 시 경고를 표시</t>
  </si>
  <si>
    <t>SFR-020-02-01</t>
  </si>
  <si>
    <t>[인사정보시스템 연동]</t>
  </si>
  <si>
    <t>시스템은 담당자 정보를 기준으로 인사정보시스템과 연동하여 연락처를 자동 매칭</t>
  </si>
  <si>
    <t xml:space="preserve">[Before]
담당자 정보를 기준으로 인사정보시스템과 연동하여 연락처를 자동 매칭
[After]
사번을 식별키로 하여 업무분장 데이터와 인사정보시스템 데이터 자동 매칭 </t>
  </si>
  <si>
    <t>사번을 식별키로 하여 xlsx포맷으로 업로드 한 업무분장 지식과 인사정보 API 연동(연동 범위는 동 Agent 처리흐름도 pdf에 상세 작성)</t>
  </si>
  <si>
    <t>SFR-020-02-02</t>
  </si>
  <si>
    <t>시스템은 업무분장 데이터와 인사정보 간 불일치 발생 시 안내를 표시하여야 한다.</t>
  </si>
  <si>
    <t>업무분장 데이터와 인사정보 간 불일치 발생 시 안내를 표시(disclaimer)</t>
  </si>
  <si>
    <t>SFR-020-03-01</t>
  </si>
  <si>
    <t>[자연어 기반 담당자 검색]</t>
  </si>
  <si>
    <t>시스템은 자연어 질의로 해당 업무의 담당 부서·담당자 정보를 구조화하여 응답</t>
  </si>
  <si>
    <t>[Before]
사용자 질의 자연어 질의로 해당 업무의 담당 부서·담당자 정보를 구조화하여 응답이해 및 담당부서 및 담당자 매칭 로직 개발
[After]
위원회 제시한 출력값 범위로 담당자 정보 답변 제공</t>
  </si>
  <si>
    <t>출력값 범위(성명, 소속, 직위, 직급, 업무분장, 내선, 외선, 휴대전화, 이메일, 총무여부, 부서발령일, 입사일)</t>
  </si>
  <si>
    <t>SFR-020-03-02</t>
  </si>
  <si>
    <t>복수 부서에 걸치는 경우 관련 담당자 목록을 우선순위 순으로 제시</t>
  </si>
  <si>
    <r>
      <rPr>
        <rFont val="맑은 고딕"/>
        <color rgb="FF0000FF"/>
        <sz val="9.0"/>
      </rPr>
      <t xml:space="preserve">[Before]
우선순위 표출 로직 개발
</t>
    </r>
    <r>
      <rPr>
        <rFont val="맑은 고딕"/>
        <color rgb="FFFF0000"/>
        <sz val="9.0"/>
      </rPr>
      <t>(우선순위 위원회와 협의하여 확정)</t>
    </r>
    <r>
      <rPr>
        <rFont val="맑은 고딕"/>
        <color rgb="FF0000FF"/>
        <sz val="9.0"/>
      </rPr>
      <t xml:space="preserve">
[After]
업무 관련도에 대한 신뢰도 기반 높은 순위로 출력, 임계치 이하는 숨김 처리</t>
    </r>
  </si>
  <si>
    <t>업무분장을 키워드로 하는 매칭 방식을 고려 중이며, '관련도'를 기준으로 높은 순서대로 출력(구현 방식에 대해서는 별도 협의)</t>
  </si>
  <si>
    <t>SFR-020-03-03</t>
  </si>
  <si>
    <t>시스템은 업무분장 데이터의 최종 업로드 일시를 응답 화면에 표시하여야 한다.</t>
  </si>
  <si>
    <t>[Before]
업무분장 데이터의 최종 업로드 일시를 응답 화면에 표시
[After]
최종 업로드 일시 및 문구 화면 제시 및 관리 기능 제공
답변 출력시, 인사공고 담당자에 포함되는 경우 인사공고 Flag 제시</t>
  </si>
  <si>
    <t>최종 업로드 일시 및 문구(관리화면에서 수정할 수 있어야 함)를 화면에 표시하며, 인사공고(인사이동 일주일 전)에 따른 이동 대상자 Flag 기능이 구현되어야 함</t>
  </si>
  <si>
    <t>[과제] 협약기관 데이터 구축, 기간계 연동 갱신, 자연어 검색, 최신성 안내</t>
  </si>
  <si>
    <t>SFR-021-01-01</t>
  </si>
  <si>
    <t>[협약기관 데이터 초기 구축]</t>
  </si>
  <si>
    <t>시스템은 시스템은 위원회와 협약을 체결한 외부 금융기관 데이터(약 10,000개 기관)를 기간계 시스템으로부터 API로 호출하여 RAG 지식베이스를 구성하는 기능을 제공하여야 한다.</t>
  </si>
  <si>
    <t>위원회와 협약을 체결한 외부 금융기관 데이터(약 10,000개 기관)를 기간계 시스템으로부터 API로 호출하여 RAG 지식베이스를 구성하는 기능을 제공</t>
  </si>
  <si>
    <t>· API 인터페이스 연동 규격서</t>
  </si>
  <si>
    <t>SFR-021-02-01</t>
  </si>
  <si>
    <t>[기간계 연동 자동 갱신]</t>
  </si>
  <si>
    <t>협약기관 정보 변경은 기간계 협약기관 정보를 배치로 자동 수집하여 지식베이스에 증분 반영</t>
  </si>
  <si>
    <t>[Before]
협약기관 정보 변경은 기간계 협약기관 정보를 배치로 자동 수집하여 지식베이스에 증분 반영
[After]
현행 배치일정에 따라 일 2회 배치로 자동 수집 및 지식베이스 증분 반영</t>
  </si>
  <si>
    <t>현재 원천데이터와 업무포털 간 일 2회 배치 중이며, 동 배치일정을 따름</t>
  </si>
  <si>
    <t>SFR-021-02-02</t>
  </si>
  <si>
    <t>배치 수행 시 변경분을 자동 식별하고, 변경 건수·성공/실패 결과를 관리자에게 리포트</t>
  </si>
  <si>
    <t>협약기관 ID, 최종 수정일시, 상태값, 데이터 해시값 등을 기준으로 변경분을 자동 식별하고 배치 완료 후 전체 수집 건수, 신규/수정/삭제 건수, 성공/실패 건수, 실패 사유를 관리자 화면의 배치 이력 및 결과 리포트로 제공</t>
  </si>
  <si>
    <t>SFR-021-02-03</t>
  </si>
  <si>
    <t>시스템은 배치 오류 발생 시 기존 지식베이스를 유지하고, 오류 사유를 로그 기록 및 관리자 알림으로 제공하여야 한다.</t>
  </si>
  <si>
    <t>배치 데이터는 임시 영역에서 검증하며, 오류 발생 시 기존 지식베이스를 유지하여 검색 서비스 연속성을 보장. 오류 상세 내용은 로그로 기록하고, 관리자 화면 알림을 통해 확인할 수 있도록 제공</t>
  </si>
  <si>
    <t>SFR-021-03-01</t>
  </si>
  <si>
    <t>[자연어 기반 협약기관 검색]</t>
  </si>
  <si>
    <t>자연어 질의로 협약 정보 및 담당자 정보를 검색·응답</t>
  </si>
  <si>
    <t>자연어 질의 이해 로직 개발 &amp; RAG 파이프라인 연동</t>
  </si>
  <si>
    <t>SFR-021-03-02</t>
  </si>
  <si>
    <t>기관명의 부분 일치, 약칭, 유사 명칭에 대해서도 후보 기관 목록을 제시 가능</t>
  </si>
  <si>
    <t xml:space="preserve">[Before]
유사어 매칭, 키워드 검색 등 활용 검색 파이프라인 개발
[After]
유사어 매칭, 키워드 검색 등 활용 검색 파이프라인 개발
적재 시점에 bi-gram인덱싱, 약칭 사전 연동, 벡터 임베딩 수행 </t>
  </si>
  <si>
    <t>유사어 매칭, 부분일치, 약칭에 따른 질의전처리 필요(약어사전 초안기 제공)</t>
  </si>
  <si>
    <t>SFR-021-04-01</t>
  </si>
  <si>
    <t>[데이터 최신성 안내]</t>
  </si>
  <si>
    <t>시스템은 협약기관 데이터의 최종 동기화 일시를 응답 화면에 표시하여, 사용자가 데이터 최신성을 판단할 수 있도록 지원하여야 한다.</t>
  </si>
  <si>
    <t>협약기관 데이터의 배치 연동 및 수동 갱신 완료 시 최종 동기화 일시를 저장 및 화면에 표시하고, Agent 응답 화면에 해당 일시(원천 데이터 기준 시점)를 표시하여 사용자가 검색 결과의 데이터 기준 시점(원천 데이터 기준 시점)을 확인할 수 있도록 제공</t>
  </si>
  <si>
    <t>수용. 표시되는 동기화 일시가 배치 성공 시점인지 원천 데이터 기준 시점인지 명확히 할 것.</t>
  </si>
  <si>
    <t>[과제] 채권양수도 이력 학습·관리, 양도 대상 기관 예상 목록, 역방향 검색</t>
  </si>
  <si>
    <t>SFR-022-01-01</t>
  </si>
  <si>
    <t>[채권양수도 이력 데이터 학습 및 관리]</t>
  </si>
  <si>
    <t>시스템은 시스템은 기간계에서 추출한 csv 포맷의 채권양수도 이력 데이터 (개인정보 제외)를 지식베이스로 구성·관리하는 기능을 제공하여야 한다.</t>
  </si>
  <si>
    <t>[Before]
플랫폼 벡터DB 문서 업로드 기능 적용
[After]
GenD를 활용하여 정형 데이터로 수집 
DW로부터 확보한 원천 데이터 일별 집계 데이터로 저장</t>
  </si>
  <si>
    <t>채권양수도 이력은 일시, 양도기관, 양수기관, 유형으로 구성된 정형 데이터이므로 벡터 검색 방식만으로는 SFR-022-02-02의 연도별 트렌드와 RFP 응답 예시의 건수·비율 산출이 성립하지 않을 위험이 있음. 정형 데이터에 대한 집계 연산을 포함하도록 처리방안 보완 필요</t>
  </si>
  <si>
    <t>· AI 응답 시나리오 정의서</t>
  </si>
  <si>
    <t>SFR-022-01-02</t>
  </si>
  <si>
    <t>데이터에는 양도기관명, 양수기관명, 양도 시점, 건수(또는 규모) 등 기관 간 양수도 이력 정보만 포함하며, 개인 채무자 식별 정보는 포함하지 않는다.</t>
  </si>
  <si>
    <t>[Before]
개인 채무자 식별 정보 제거 혹은 검증하는 절차 적용
[After]
식별 정보 제거 절차 적용할 필요 없음(해당 수행방안 삭제)</t>
  </si>
  <si>
    <t>채권양수도 데이터에는 개인정보가 없음.</t>
  </si>
  <si>
    <t>SFR-022-01-03</t>
  </si>
  <si>
    <t>관리자는 주기적으로 최신 양수도 이력 데이터를 업로드하여 지식 베이스를 갱신 가능하며, 기존 데이터에 신규 기간 데이터를 증분 추가 가능</t>
  </si>
  <si>
    <t>[Before]
플랫폼 벡터DB 문서 업로드 기능 적용
[After]
GenD를 활용하여 해당 데이터 배치 방식으로 수집하거나 관리부서에서 해당 CSV 파일 업로드하는 방식으로 데이터 적재
업로드된 데이터 확인 기능 제공</t>
  </si>
  <si>
    <t>최초 구축시는 별도 협의한 과거 일정기간(n년) 데이터 제공하며, 그 이후 증분데이터는 API 방식이 아닌 반기 또는 분기 단위로 관리부서에서 csv 포맷을 업로드 하는 방식 적용. 중복 적재를 방지하기 위해 적재가 완료된 데이터 현황을 확인할 수 있는 기능 필요</t>
  </si>
  <si>
    <t>SFR-022-02-01</t>
  </si>
  <si>
    <t>[양도 대상 기관 예상 목록 제공]</t>
  </si>
  <si>
    <t>시스템은 시스템은 사용자가 특정 채권기관명을 입력하면, 과거 양수도 이력을 기반으로 해당 기관이 양도한(또는 양도받은) 기관 목록에 대한 정보를 제공하여야 한다.</t>
  </si>
  <si>
    <t>[Before]
채권 기관명 추출 및 기관 목록 제공 기능 개발
[After]
채권 기관명 추출 및 기관 목록 제공 기능 개발
해당 답변 제공 시 관련 채권기관의 정보(채권기관 기본 정보, 기관 담당자 정보, 합병여부)를 협약기관 데이터를 참조하여 제공</t>
  </si>
  <si>
    <t xml:space="preserve">채권양수도 관련하여 입, 출력되는 채권금융회사는 대부분 협약기관 데이터와 일치함. SFR-021에서 구축하는 기관명 약칭, 정규화 자산을 공유해야 함. </t>
  </si>
  <si>
    <t>SFR-022-02-02</t>
  </si>
  <si>
    <t>응답에는 양수기관명, 연도별 트렌드가 포함</t>
  </si>
  <si>
    <t>양수기관명, 연도별 트렌드가 포함되도록 답변 표준화</t>
  </si>
  <si>
    <t>SFR-022-02-03</t>
  </si>
  <si>
    <t>시스템은 응답 시 과거 실적 기반 참고 정보임을 안내
&lt;질의-응답 예시&gt;
심사역 질의: "A카드 채권이 현재 어디에 있을 가능성이 높아?"
시스템 응답: "A카드 채권의 최근 3년간 양수도 이력 분석 결과입니다.
심사역 질의: "3년 전 받은 독촉장인데 A카드라고 적혀 있어. 현재 양도 가능성이 높은 기관은?"
시스템 응답: "A카드 채권의 2022년 이후 양수도 체인을 추적한 결과입니다.
A카드 →(2022~2023) D대부업체 →(2024~2025) M자산관리
D대부업체가 1차 양수기관(5,230건, 43.2%)이나, D대부업체에서 M 자산관리로 2차 양도된 이력이 600건 확인됩니다. 현 시점에서는 M자산관리가 최종 보유기관일 가능성이 있습니다. 참고: 해당 이전 중 합병에 의한 변경 건은 없으며, 모두 채권기관 변경(매각)으로 신고된 건입니다.
※ 과거 실적 기반 참고 정보입니다."</t>
  </si>
  <si>
    <t>[Before]
응답 시 과거 실적 기반 참고 정보임을 안내
[After]
사용자 질의에 따른 채권 양수도 데이터 분석(시계열, 체인, 정방향, 역방향)  로직 구현 및 LLM을 통한 분석 결과 생성하여 제공 
추가적으로 제시된 기관들의 추가 정보는 언급된 협약기관 데이터를 참조하거나 합병 데이터를 참조하여 답변에 함께 제공함.
데이터 기준일은 양수도 데이터 기간 및 협약기관 동기화 일시 2종 병기</t>
  </si>
  <si>
    <t>RFP 응답 예시는 다단계 양수도 체인 추적(1차·2차 양도)과 합병에 의한 변경 건의 구분까지 포함하고 있으므로 해당 기능의 수행 범위 포함 여부를 명확히 하고, 미포함 시 사유를 제시 요망. 아울러 본 과제의 이력 데이터는 과거분 자체가 분석 대상이므로 TTL·논리적 배제 모두 적용 대상이 아님.</t>
  </si>
  <si>
    <t>[핵심과제] 사내규정 RAG 검색과 국가법령정보 공동활용 OPEN API 연계, 시점성·원문 출처·변경이력 관리</t>
  </si>
  <si>
    <t>SFR-023-01-01</t>
  </si>
  <si>
    <t>사내규정 지식검색 서비스</t>
  </si>
  <si>
    <t>내부 직원이 사내규정·지침과 외부 공식 법령·행정규칙을 자연어로 질의할 수 있는 RAG 기반 검색 서비스를 제공하여야 한다. 데이터 원천과 효력 범위를 구분하여 표시하여야 한다.</t>
  </si>
  <si>
    <t>사내 규정 전처리 로직 개발 &amp; RAG 파이프라인 개발</t>
  </si>
  <si>
    <t>SFR-023-02-01</t>
  </si>
  <si>
    <t>지식베이스 구성</t>
  </si>
  <si>
    <t>(데이터 소스) 사내규정(43건), 지침(52)건으로 총 분량은 1,425page (소스 중 활용성을 검토하여 RAG 구성 범위는 위원회와 협의)</t>
  </si>
  <si>
    <t>위원회와 협의된 데이터 소스 기반 RAG 파이프라인 개발</t>
  </si>
  <si>
    <t>SFR-023-02-02</t>
  </si>
  <si>
    <t>최초 구축 시 현행 유효 문서를 우선 제공하고, 시행일·공포일·발령일·개정이력 메타데이터를 기반으로 기준일 현재(As-of-Date)와 과거 시점 검색을 지원하여야 한다.</t>
  </si>
  <si>
    <t>[Before]
메타 데이터에 유효 시점 관리 &amp; 메타 필터링 기반 답변
[After]
사내 규정 제정, 개정, 수정, 삭제일자 식별하여 과거 데이터에 대한 유효 시점 메타 데이터로 관리, 메타 필터링 기반 답변(과거 시점 검색 지원)</t>
  </si>
  <si>
    <t>규정·지침은 특정 시점 기준 질의가 실무 요건이므로 TTL(물리적 만료) 적용 대상에서 제외하고, valid_from·valid_to 필드 기반 시점 검색(SFR-003-05-04·05)을 적용해야 함. 과거분 처리 방식을 전 과제 일괄이 아닌 과제별로 구분하여 확정 요망하며, 과거 시점 데이터 적재 범위 별도 협의 
[3차 검토 의견, 260822~23]
'과거 시점 검색' 지원을 처리방안에 기재 요청</t>
  </si>
  <si>
    <t>SFR-023-02-03</t>
  </si>
  <si>
    <t>사내 업무포털의 신규·개정 규정과 국가법령정보 OPEN API의 신규·개정 법령·행정규칙을 자동 탐지하여 동일한 승인·지식화 파이프라인으로 전달하여야 한다.</t>
  </si>
  <si>
    <t>사내 업무포털의 신규·개정 규정과 국가법령정보 OPEN API의 신규·개정 법령·행정규칙을 자동 탐지하여 동일한 승인·지식화 파이프라인으로 전달</t>
  </si>
  <si>
    <t>SFR-023-03-01</t>
  </si>
  <si>
    <t>규정 특화 응답 정책</t>
  </si>
  <si>
    <t>응답에는 규정/법령명, 조·항·호, 시행일·공포일·발령일, 기준일, 원문 링크 및 인용 구문을 표시하여야 한다.</t>
  </si>
  <si>
    <t>응답에는 규정/법령명, 조·항·호, 시행일·공포일·발령일, 기준일, 원문 링크 및 인용 구문을 표시</t>
  </si>
  <si>
    <t>SFR-023-03-02</t>
  </si>
  <si>
    <t>시스템은 (복수 문서) 복수 문서에서 근거가 나올 때 각 문서별로 구분하여 표시하여야 한다.</t>
  </si>
  <si>
    <t>복수 문서 출처 기능 개발</t>
  </si>
  <si>
    <t>SFR-023-03-03</t>
  </si>
  <si>
    <t>(근거 부재 시) 규정에 명확한 답변이 없는 경우 "해당 사항을 직접 규정하는 조항이 확인되지 않습니다. 소관 부서(○○부)에 문의하시기 바랍니다."와 같이 안내하고, 가장 유사한 관련 조항을 참고 정보로 제시</t>
  </si>
  <si>
    <t>검색 신뢰도 기반 답변 분기 로직 개발</t>
  </si>
  <si>
    <t>SFR-023-03-04</t>
  </si>
  <si>
    <t>모든 응답 하단에는 '본 답변은 사내규정과 공식 법령정보를 기반으로 생성형 AI가 작성한 참고용 안내이며, 법률적 유권해석이 아닙니다. 중요한 의사결정 시 반드시 주관부서에 확인하시기 바랍니다.'라는 안내 문구를 표시하여야 한다.</t>
  </si>
  <si>
    <t>[Before]
에이전트 최종 답변 하단에 disclaimer 포함
[After]
문구 포맷 관리자 등록, 수정, 삭제 기능 제공</t>
  </si>
  <si>
    <t>SFR-023-04-01</t>
  </si>
  <si>
    <t>공통 기능</t>
  </si>
  <si>
    <t>시스템은 대화 이력 관리 및 멀티턴 질의 지원하여야 한다.</t>
  </si>
  <si>
    <t>대화 이력 관리 및 멀티턴 질의 지원</t>
  </si>
  <si>
    <t>SFR-023-04-02</t>
  </si>
  <si>
    <t>피드백 수집 및 GT 등록 기능 포함</t>
  </si>
  <si>
    <t xml:space="preserve">[Before]
플랫폼 기반 Thumbs up-down 기능 및 평가 데이터 등록 기능 제공
[After]
플랫폼 기반 Thumbs up-down, 객관식, 주관식 피드백 기능(SFR-008 기능) 및 평가 데이터 등록 기능 제공 </t>
  </si>
  <si>
    <t xml:space="preserve">피드백의 경우 'Thumbs up-down' 외 객관식 및 주관식 피드백 기능이 구현되어야 한다. </t>
  </si>
  <si>
    <t>가명처리된 이행자 시계열 데이터를 기반으로 익월 변제금 납입 가능성(확률 및 기댓값)을 산출하는 ML 예측 모델 구축</t>
  </si>
  <si>
    <t>SFR-024-01-01</t>
  </si>
  <si>
    <t>[모델 구축 목적]</t>
  </si>
  <si>
    <t>시스템은 채무조정 개별 이행자의 미납 발생 전 선제적 예방조치 마련, 위험 등급별 차별화 대응전략 수립하여야 한다.</t>
  </si>
  <si>
    <t>모델링 결과인 예측 확률 값을 점수화 (0~1000점)하고, 점수 기반 등급화를 수행하여, 등급별 대응 전략 및 Action Item 정의</t>
  </si>
  <si>
    <t>· 배치 예측 결과 대표 샘플</t>
  </si>
  <si>
    <t>SFR-024-02-01</t>
  </si>
  <si>
    <t>[시범 모델 성격 및 향후 방향]</t>
  </si>
  <si>
    <t>본 모델은 시범(파일럿) 성격으로 구축하며, 납품 시 모델 성능 개선을 위한 추가 데이터 수집 방향 및 단계별 고도화 로드맵을 반드시 제시하여야 한다.</t>
  </si>
  <si>
    <t>- 추가데이터수집방향 : 대내외 데이터 검토 (대안데이터, CB 데이터 등)
- 단계별 고도화 로드맵 : Pilot 모델 이후, 성능 개선 방향 도출</t>
  </si>
  <si>
    <t>SFR-024-02-02</t>
  </si>
  <si>
    <t>학습에 사용되는 데이터는 가명처리 절차를 거쳐 위원회로부터 제공받은 마트 데이터를 입력으로 사용한다.</t>
  </si>
  <si>
    <t>학습데이터에 대한 위원회의 가명처리 절차와 정책을 확인하여 그에 준수하여 학습데이터를 입력값으로 수행</t>
  </si>
  <si>
    <t>SFR-024-02-03</t>
  </si>
  <si>
    <t>위원회 데이터 현황을 고려하여 실현 가능한 범위 내에서 모델을 설계하여야 한다
※ 핵심 산식: e(x) = (개별 월 변제금) x 모델이 산출한 익월 납입확률(%)</t>
  </si>
  <si>
    <t>위원회 데이터 현황을 분석한 후, 가용데이터 범위 내에서 모델링 설계</t>
  </si>
  <si>
    <t>SFR-024-03-01</t>
  </si>
  <si>
    <t>[배치 예측 및 결과 적재]</t>
  </si>
  <si>
    <t>시스템은 학습된 모델을 기반으로 전체 현행 이행자에 대한 익월 납입 확률 및 기댓값을 정기 배치로 산출하여야 한다.</t>
  </si>
  <si>
    <t>제논
PWC</t>
  </si>
  <si>
    <t>[PwC] 배치 기준 정의
[제논] 결과 적재(PWC가 배치서비스 로직에서 DB적재), 적재 대상 DB는 제논 구축</t>
  </si>
  <si>
    <t>SFR-024-03-02</t>
  </si>
  <si>
    <t>예측 결과는 이행자 식별자, 예측 기준일, 납입 확률(%), 기댓값, 위험등급(고위험/중위험/저위험/우량)을 포함한 결과 테이블에 적재 하여야 한다. 위험등급 기준치는 관리자가 웹 UI에서 조정할 수 있어야 한다.</t>
  </si>
  <si>
    <t>[PwC] 예측모델에 따른 결과 기준값 정의, Output Data Layout 정의 [제논] 적재는 pwc(제논에서 가이드), web ui는 제논 수행</t>
  </si>
  <si>
    <t>SFR-024-03-03</t>
  </si>
  <si>
    <t>개별 예측 결과에 대해 어떤 변수가 얼마나 영향을 미쳤는지를 현업이 이해할 수 있는 수준으로 설명하는 기능(SHAP 또는 XAI)을 포함하여야 한다.</t>
  </si>
  <si>
    <t>개별 예측결과에 대한 설명이 가능한 기능에 대해서 검토 및 설계 (XAI 중심)</t>
  </si>
  <si>
    <t>SFR-024-03-04</t>
  </si>
  <si>
    <t>성별·나이·직업군 등 민감 속성 기준 예측 편향 여부를 모델 평가 지표에 포함하고 모델 카드(Model Card) 문서화 학습데이터 출처· 변수 목록·검증 결과·재학습 주기를 표준 문서로 관리하여야 함</t>
  </si>
  <si>
    <t>[PwC] 예측모델링에 대한 평가지표 및 학습데이터 출처, 변수목록, 검증결과, 재학습주기에 대해서 Verson 1.0 표준문서을 최종산출물로 정의
 *이 문서에 대한 변경관리는 고객사 운영담당자가 수행"</t>
  </si>
  <si>
    <t>가명처리된 이행자 시계열 데이터를 기반으로 최적 채무조정 제도 진단 추천 모델 구축</t>
  </si>
  <si>
    <t>SFR-025-01-01</t>
  </si>
  <si>
    <t>채무조정 신규 진입자의 특성을 분석하여 이행 및 완제 가능성이 높 은 최적 제도 추천</t>
  </si>
  <si>
    <t>SFR-025-02-01</t>
  </si>
  <si>
    <t>SFR-025-02-02</t>
  </si>
  <si>
    <t>SFR-025-02-03</t>
  </si>
  <si>
    <t>위원회 데이터 현황을 고려하여 실현 가능한 범위 내에서 모델을 설계하여야 한다.</t>
  </si>
  <si>
    <t>SFR-025-03-01</t>
  </si>
  <si>
    <t>시스템은 학습된 모델을 기반으로 고객별 최적 채무조정 제도 추천 결과와 추천 이유를 산출한다.</t>
  </si>
  <si>
    <t>추천모델에 따른 결과 기준값 및 추천사유 제공</t>
  </si>
  <si>
    <t>SFR-025-03-02</t>
  </si>
  <si>
    <t>예측 결과(고객 식별자, 예측 기준일, 추천 제도, 추천 이유 등)를 결과 테이블에 적재하고, 모델 관리 대시보드에서 조회 가능하도록 구현한다.</t>
  </si>
  <si>
    <t>[PwC] 예측모델에 따른 결과 기준값 정의, Output Data Layout 정의 [제논] 결과 적재(PWC가 배치서비스 로직에서 DB적재), 적재 대상 DB, 대시보드는 제논 구축</t>
  </si>
  <si>
    <t>SFR-025-03-03</t>
  </si>
  <si>
    <t>SFR-025-03-04</t>
  </si>
  <si>
    <t>[PwC] 예측모델링에 대한 평가지표 및 학습데이터 출처, 변수목록, 검증결과, 재학습주기에 대해서 Verson 1.0 표준문서을 최종산출물로 정의</t>
  </si>
  <si>
    <t>가명처리된 소액대출 이행자 시계열 데이터를 기반으로 대출 연체 가능성 예측 모델 구축</t>
  </si>
  <si>
    <t>SFR-026-01-01</t>
  </si>
  <si>
    <t>위원회 소액대출 이용자의 채무조정 이행 이력, 변제 현황, 소득·지출 관련 정보 등을 활용하여 소액대출 연체 가능성을 예측하는 모델</t>
  </si>
  <si>
    <t>SFR-026-02-01</t>
  </si>
  <si>
    <t>추가데이터수집방향 : 대내외 데이터 검토 (대안데이터, CB 데이터 등)
 단계별 고도화 로드맵 : Pilot 모델 이후, 성능 개선 방향 도출</t>
  </si>
  <si>
    <t>SFR-026-02-02</t>
  </si>
  <si>
    <t>학습에 사용되는 데이터는 가명처리 절차를 거쳐 위원회로부터 제공 받은 마트 데이터를 입력으로 사용한다.</t>
  </si>
  <si>
    <t>SFR-026-02-03</t>
  </si>
  <si>
    <t>SFR-026-03-01</t>
  </si>
  <si>
    <t>시스템은 학습된 모델을 기반으로 이행자 개인별 '연체 발생 확률(%)' 및 '위험 등급(고위험/중위험/저위험/우량)'을 정기 배치로 산출한다. 위험등급 기준치는 관리자가 웹 UI에서 조정할 수 있어야 한다.</t>
  </si>
  <si>
    <t>[PwC] 예측모델에 따른 배치기준 정의
[제논] 결과 적재(PWC가 배치서비스 로직에서 DB적재), 적재 대상 DB는 제논 구축</t>
  </si>
  <si>
    <t>SFR-026-03-02</t>
  </si>
  <si>
    <t>예측 결과(고객 식별자, 예측 기준일, 연체 발생 확률, 주요 영향요인 등)를 결과 테이블에 적재하고, 모델 관리 대시보드에서 조회 가능하도록 구현한다.</t>
  </si>
  <si>
    <t>[PwC 예측모델에 따른 결과 기준값 정의, Output Data Layout 정의 
[제논] 결과 적재(PWC가 배치서비스 로직에서 DB적재), 적재 대상 DB, 대시보드는 제논 구축</t>
  </si>
  <si>
    <t>SFR-026-03-03</t>
  </si>
  <si>
    <t>SFR-026-03-04</t>
  </si>
  <si>
    <t>모델 학습 이력, 배치 실행 현황, 예측 결과 현황을 조회·관리하는 웹 기반 관리 화면</t>
  </si>
  <si>
    <t>SFR-027-01-01</t>
  </si>
  <si>
    <t>[운영 모델 이력 조회(버전 관리 · 성능 히스토리)]</t>
  </si>
  <si>
    <t>시스템은 플랫폼에 등록된 모델 버전에 대해 배포 이력, 사용 데이터 정보 및 주요 성능 지표를 조회하고, 버전 간 성능을 표와 차트로 비교할 수 있어야 한다.</t>
  </si>
  <si>
    <t>모델 관리에서 등록 모델 버전별 배포 이력·사용 데이터 정보·주요 성능 지표 조회, 버전 간 성능을 표·차트로 비교</t>
  </si>
  <si>
    <t>· 기능 구현 화면 및 시연 결과</t>
  </si>
  <si>
    <t>SFR-027-01-02</t>
  </si>
  <si>
    <t>시스템은 권한을 가진 관리자가 화면에서 선택한 모델 버전을 운영 버전 으로 전환(승급/롤백)할 수 있어야 하며, 모든 전환 이력은 감사 로그로 관리되어야 한다.</t>
  </si>
  <si>
    <t>관리자 권한으로 선택 모델 버전을 운영 버전으로 전환(승급/롤백), 모든 전환 이력은 감사 로그로 관리</t>
  </si>
  <si>
    <t>SFR-027-02-01</t>
  </si>
  <si>
    <t>[배치 실행 현황]</t>
  </si>
  <si>
    <t>시스템은 각 배치 작업의 실행 이력(실행 일시, 상태 등)을 목록 형태로 조회할 수 있어야 한다.</t>
  </si>
  <si>
    <t>배치 작업 실행 이력(실행 일시·상태 등) 목록 조회 기능 제공</t>
  </si>
  <si>
    <t>SFR-027-02-02</t>
  </si>
  <si>
    <t>시스템은 배치 실행에 대한 상세 로그를 관리 화면에서 직접 확인할 수 있어야 한다.</t>
  </si>
  <si>
    <t>배치 실행 상세 로그를 관리 화면에서 직접 조회</t>
  </si>
  <si>
    <t>SFR-027-02-03</t>
  </si>
  <si>
    <t>시스템은 등록된 배치 작업(스크립트 또는 Job 단위)을 관리 화면에서 수동 제어(실행, 중지)할 수 있어야 한다.</t>
  </si>
  <si>
    <t>등록 배치 작업(스크립트·Job 단위)을 관리 화면에서 수동 실행·중지 제어</t>
  </si>
  <si>
    <t>SFR-027-02-04</t>
  </si>
  <si>
    <t>시스템은 배치 실행 스케줄을 화면에서 조회·수정할 수 있어야 하며, 코드 변경 없이 UI 기반으로 설정을 변경할 수 있어야 한다.</t>
  </si>
  <si>
    <t>배치 실행 스케줄을 화면에서 조회·수정, 코드 변경 없이 UI 기반 설정 변경</t>
  </si>
  <si>
    <t>SFR-027-03-01</t>
  </si>
  <si>
    <t>[예측 결과 현황]</t>
  </si>
  <si>
    <t>시스템은 예측 결과 데이터 전체 또는 대시보드에서 설정한 필터 조건에 따른 결과를 CSV 형식으로 다운로드할 수 있어야 한다.</t>
  </si>
  <si>
    <t>예측 결과 전체 또는 필터 조건별 결과 CSV 다운로드 제공</t>
  </si>
  <si>
    <t>SFR-027-03-02</t>
  </si>
  <si>
    <t>시스템은 예측 결과의 이상 패턴(예: 특정 등급 비율의 전월 대비 급증급감을 자동으로 탐지하고, 대시보드에 경고 배너 또는 아이콘으로 표시할 수 있어야 한다.</t>
  </si>
  <si>
    <t>예측 결과 이상 패턴(등급 비율 전월 대비 급증·급감 등) 자동 탐지, 대시보드 경고 배너·아이콘 표시</t>
  </si>
  <si>
    <t>SFR-027-03-03</t>
  </si>
  <si>
    <t>「신용정보법」상 자동화평가 설명 의무 이행 및 모델 신뢰성 검토를 위해 개별·전역 단위의 예측 판단 근거를 시각화하고, 관련 영향 지표를 로깅하 여 관리자 대시보드에서 통합 조회 및 검증할 수 있어야 한다.</t>
  </si>
  <si>
    <t>개별·전역 예측 판단 근거 시각화·영향 지표 로깅, 대시보드 통합 조회·검증</t>
  </si>
  <si>
    <t>SFR-027-03-04</t>
  </si>
  <si>
    <t>시스템은 예측(API 및 배치) 처리 기준 위험 등급별 대상자 분포(건수, 비율, 추이)를 요약 카드 및 그래프 형태로 대시보드에서 제공할 수 있어야 한다.</t>
  </si>
  <si>
    <t>예측(API·배치) 위험 등급별 대상자 분포(건수·비율·추이)를 요약 카드·그래프로 제공</t>
  </si>
  <si>
    <t>SFR-027-04-01</t>
  </si>
  <si>
    <t>[모델 드리프트 감지 및 모니터링]</t>
  </si>
  <si>
    <t>시스템은 데이터 드리프트(Data Drift)와 개념 드리프트(Concept Drift)를 자동 감지하고, 주요 피처별 드리프트 지표와 수준(예: 정상/주의/위험)을 대시보드에서 시각화하여 제공할 수 있어야 한다.</t>
  </si>
  <si>
    <t>데이터·개념 드리프트 자동 감지, 피처별 지표·수준(정상/주의/위험) 대시보드 시각화</t>
  </si>
  <si>
    <t>SFR-027-04-02</t>
  </si>
  <si>
    <t>시스템은 드리프트 감지 기준(예: PSI 및 성능 임계값)을 관리자가 웹 UI 에서 설정·변경할 수 있어야 하며, 드리프트 발생 이력과 시점을 시간 흐 름에 따라 조회할 수 있어야 한다.</t>
  </si>
  <si>
    <t>드리프트 기준(PSI·성능 임계값 등) 관리자 Web UI 설정·변경, 발생 이력·시점 시계열 조회</t>
  </si>
  <si>
    <t>SFR-027-05-01</t>
  </si>
  <si>
    <t>[서비스 알림]</t>
  </si>
  <si>
    <t>시스템은 운영 모델 성능 저하, 배치 실행 실패, 처리 건수 감소, 예측 결과 이상 패턴, 드리프트 감지 등 주요 이벤트 발생 시 자동 알림을 생성할 수 있어야 한다.</t>
  </si>
  <si>
    <t>성능 저하·배치 실패·처리 건수 감소·예측 이상 패턴·드리프트 등 주요 이벤트 자동 알림 생성</t>
  </si>
  <si>
    <t>SFR-027-05-02</t>
  </si>
  <si>
    <t>시스템은 알림의 트리거 조건·임계값·심각도 수준(정보/주의/경고) 및 수신 채널(이메일, 사내 메신저, 알림 센터 등)을 UI에서 관리자가 설정·수정·비 활성화할 수 있어야 한다.</t>
  </si>
  <si>
    <t>알림 트리거 조건·임계값·심각도(정보/주의/경고)·수신 채널(이메일·사내 메신저·알림 센터 등)을 관리자가 UI에서 설정·수정·비활성화</t>
  </si>
  <si>
    <t>SFR-027-05-03</t>
  </si>
  <si>
    <t>시스템은 발송된 알림 내역(발생 일시, 이벤트 유형, 대상 모델/배치, 수신자 등)을 이력으로 조회할 수 있어야 한다.</t>
  </si>
  <si>
    <t>발송 알림 내역(발생 일시·이벤트 유형·대상 모델/배치·수신자 등)을 이력으로 조회</t>
  </si>
  <si>
    <t>드리프트 기반 자동 재학습 및 DW 스키마 변경 대응 기능</t>
  </si>
  <si>
    <t>SFR-028-01-01</t>
  </si>
  <si>
    <t>[자동 재학습 관리(트리거 정책 · 승인 배포)]</t>
  </si>
  <si>
    <t>시스템은 주기적인 배치 결과(드리프트 임계 초과, 성능 저하 등) 또는 정해진 스케줄에 따라 모델 재학습을 자동 수행해야 하며, 관리자는 UI를 통해 트리거 조건을 설정하고 실행 과정을 모니터링할 수 있어야 한다.</t>
  </si>
  <si>
    <t>스케줄 학습·모니터링은 트레이너/코드스페이스 기반 가능, 
드리프트/성능 기반 자동 재학습 트리거는 신규 개발하여 제공</t>
  </si>
  <si>
    <t>SFR-028-01-02</t>
  </si>
  <si>
    <t>모델 재학습 시 사용할 실제 운영 데이터의 범위(예: 최근 N개월 등)를 설정할 수 있어야 하며, 데이터 추출부터 전처리, 학습까지의 전체 이력은 감사 로그로 기록되고 결과는 알림으로 제공되어야 한다.</t>
  </si>
  <si>
    <t>학습 이력·완료 알림 일부, 학습 데이터 범위 설정·전체 감사 로그는 신규 개발하여 제공</t>
  </si>
  <si>
    <t>SFR-028-01-03</t>
  </si>
  <si>
    <t>파이프라인 실행 중 오류가 발생하더라도 기존 운영 중인 모델 서비 스는 중단 없이 유지되어야 한다.</t>
  </si>
  <si>
    <t>제공. 서빙 분리 구조로 파이프라인 오류 시 운영 모델 무중단 유지</t>
  </si>
  <si>
    <t>SFR-028-01-04</t>
  </si>
  <si>
    <t>재학습이 완료된 신규 모델은 즉시 운영에 배포되지 않아야 하며, 권한을 가진 관리자가 UI에서 신규 모델의 성능 지표를 검증한 후 원 클릭으로 운영 버전으로 전환(승인 배포)할 수 있어야 한다.</t>
  </si>
  <si>
    <t>승인 + 서빙 배포/롤백 현행, 성능 검증 후 원클릭 운영 전환 연계는 추가</t>
  </si>
  <si>
    <t>SFR-028-02-01</t>
  </si>
  <si>
    <t>[데이터 인터페이스 연동 및 DW 스키마 검증]</t>
  </si>
  <si>
    <t>시스템은 물리적 DW에 직접 접근하는 것을 지양하고, API 또는 사전에 정의된 데이터 제공 인터페이스를 통해 모델 학습 및 예측 데이터를 수집하는 구조를 지원하여야 한다.</t>
  </si>
  <si>
    <t>자동 적재 RDB/API 수집 제공, ML 학습·예측용 인터페이스 구성은 추가</t>
  </si>
  <si>
    <t>SFR-028-02-02</t>
  </si>
  <si>
    <t>시스템은 각 ML 모델이 요구하는 입력 데이터의 스펙(필수 컬럼 목록, 데이터 타입, 결측치 허용 여부, 데이터 범위 등)을 '데이터 스키마 (Data Schema)' 형태로 시스템 내에 등록하고 관리할 수 있어야 한다.</t>
  </si>
  <si>
    <t xml:space="preserve">ML 입력 데이터 스펙(Data Schema) 등록·관리 </t>
  </si>
  <si>
    <t>SFR-028-02-03</t>
  </si>
  <si>
    <t>시스템은 배치 실행 시 인터페이스를 통해 수신된 데이터와 등록된 데이터 스키마를 비교하여 데이터 유효성을 검증해야 하며, 불일치 시 자동 중단하거나 경고 후 계속 실행하도록 정책을 설정할 수 있어야 한다.</t>
  </si>
  <si>
    <t>[Before]
수신 데이터-스키마 대조 검증·불일치 정책 미제공
[After]
배치 입력 전 등록 스키마와 수신 데이터의 컬럼·유형·필수값·허용범위를 검증하는 기능을 추가 개발
불일치 시 중단 또는 경고 후 계속 실행 정책을 관리자 UI에서 제공</t>
  </si>
  <si>
    <t>J열에 '미제공'으로 기재되어 있으나, 본 항은 RFP 요구사항이므로 미이행 사유와 대안을 제시할 것. 데이터 스키마 검증이 부재할 경우 형식 오류 데이터가 그대로 예측 배치에 유입되어 결과 왜곡을 탐지할 수 없음. 미이행이 불가피한 경우 PER-001에 정한 절차에 따라 기술적 사유 및 대안을 제출 요망.
[3차 검토_260822~23]
실무자 회의 필요(진선재, 서승희 선임 실무자 협의)</t>
  </si>
  <si>
    <t>SFR-028-02-04</t>
  </si>
  <si>
    <t>데이터 수신 실패 또는 스키마 불일치가 감지된 경우, 호출 및 오류 상세 내용을 로깅하고 담당자에게 즉시 알림을 발송하여 데이터 소스의 문제를 파악할 수 있도록 대시보드에 표출하여야 한다.</t>
  </si>
  <si>
    <t>적재 실패 로그·알림 일부, 인터페이스/스키마 검증 전용 대시보드는 신규 개발하여 제공</t>
  </si>
  <si>
    <t>SFR-028-02-05</t>
  </si>
  <si>
    <t>인터페이스 및 DW 스키마 검증 방식은 추후 논의를 통해 합의 후 진행한다.</t>
  </si>
  <si>
    <t>인터페이스·DW 스키마 검증 방식 추후 합의</t>
  </si>
  <si>
    <t>실험 추적 및 피처 관리 기능</t>
  </si>
  <si>
    <t>SFR-029-01-01</t>
  </si>
  <si>
    <t>[실험 관리 (Experiment Tracking)]</t>
  </si>
  <si>
    <t>시스템은 개발자가 실험 프로젝트를 생성하고, 새로운 알고리즘과 피처 조합을 시도하며 그 과정과 결과를 체계적으로 추적·비교할 수 있는 환경을 제공하여야 한다.</t>
  </si>
  <si>
    <t>트레이너로 학습 잡 생성·실행·관리 및 TensorBoard 학습 과정 추적 제공. 실험 프로젝트 단위 알고리즘·피처 조합 추적·비교는 추가 개발</t>
  </si>
  <si>
    <t>SFR-029-01-02</t>
  </si>
  <si>
    <t>시스템은 실험 런타임에서 발생하는 핵심 정보(하이퍼파라미터, 사용 피처 목록, 학습 데이터 기간, 성능 지표 등)를 자동 또는 수동으로 로깅하여 저장할 수 있어야 한다.</t>
  </si>
  <si>
    <t>트레이너 학습 생성 시 하이퍼파라미터·데이터셋·입출력 피처·평가 비율 지정, 학습 로그는 TensorBoard 표시. 실험 단위 지표 자동·수동 로깅·축적은 추가 개발</t>
  </si>
  <si>
    <t>SFR-029-01-03</t>
  </si>
  <si>
    <t>개발자는 동일 과제 내 여러 실험의 로깅된 결과를 테이블 및 시각화 차트(예: 평행 좌표 차트 등)로 대시보드에서 한눈에 비교 분석할 수 있어야 한다.</t>
  </si>
  <si>
    <t>평가 &gt; 리더보드에서 다수 평가 실행 지표를 테이블 비교. 평행 좌표 차트 등 실험 단위 시각화 비교는 추가 개발</t>
  </si>
  <si>
    <t>SFR-029-01-04</t>
  </si>
  <si>
    <t>무분별한 리소스 낭비를 방지하기 위해, 모든 실험의 코드나 데이터를 강제로 형상 관리에 저장하지 않고, 관리자가 의미 있다고 판단한 실험 결과에 대해서만 재현 환경 정보를 매핑하여 "공식 모델"로 등록할 수 있는 기능을 제공하여야 한다.</t>
  </si>
  <si>
    <t>개발 &gt; 모델에서 모델 등록(파일 업로드)·학습 연계 정보 표시. 재현 환경 매핑 공식 모델 등록 워크플로우는 추가 개발</t>
  </si>
  <si>
    <t>SFR-029-02-01</t>
  </si>
  <si>
    <t>[운영 환경 검증 (Shadow Deployment &amp; A/B Testing)]</t>
  </si>
  <si>
    <t>시스템은 새로 개발된 후보 모델(챌린저)을 실제 운영 환경에 안전 하게 배포하고 검증할 수 있도록 쉐도우 배포(Shadow Deployment) 또는 A/B 테스트 기능을 지원하여야 한다.</t>
  </si>
  <si>
    <t>서비스 라우터 정책으로 쉐도우 배포(SHADOW 트래픽 미러링) 및 가중치·카나리 기반 A/B 테스트 지원</t>
  </si>
  <si>
    <t>SFR-029-02-02</t>
  </si>
  <si>
    <t>시스템은 쉐도우 모드 또는 A/B 테스트 환경에서 수집된 두 모델 간의 성능 지표(응답 속도, 예측 결과 분포, 실시간 Accuracy 등)에 대한 비교 차트로 시각화하여 제공하여야 한다.</t>
  </si>
  <si>
    <t>서비스 라우터 Shadow Diff로 Shadow·Primary 응답 비교 조회 제공. 지표(응답속도·예측분포·실시간 Accuracy) 비교 차트는 추가 개발</t>
  </si>
  <si>
    <t>SFR-029-02-03</t>
  </si>
  <si>
    <t>시스템은 쉐도우 배포 또는 A/B 테스트 기능을 관리자가 UI에서 유연하게 설정할 수 있도록 제공하여야 한다.</t>
  </si>
  <si>
    <t>서비스 라우터 정책 UI에서 쉐도우·가중치/카나리 트래픽 분배 설정</t>
  </si>
  <si>
    <t>SFR-029-03-01</t>
  </si>
  <si>
    <t>[모델 레지스트리 (Model Registry)]</t>
  </si>
  <si>
    <t>시스템은 실험에서 선정된 공식 후보 모델부터 운영까지의 전체 생애주기를 중앙에서 관리하는 모델 레지스트리(Model Registry)를 제공하여야 한다.</t>
  </si>
  <si>
    <t>개발&gt;모델 리비전 단위 버전 관리. 후보→운영 생애주기 스테이지 관리는 추가 개발</t>
  </si>
  <si>
    <t>SFR-029-03-02</t>
  </si>
  <si>
    <t>시스템은 사업 내 여러 과제(모델)를 하나의 레지스트리에서 통합 관리하되, 부서·과제·모델별 필터링 조회를 지원하여야 한다.</t>
  </si>
  <si>
    <t>모델 타입 필터·검색 제공. 부서·과제별 필터는 추가 개발(관리그룹은 조회 컬럼만)</t>
  </si>
  <si>
    <t>SFR-029-03-03</t>
  </si>
  <si>
    <t>관리자는 모델 버전별로 등록 일시, 등록자, 출처 실험(Run) 정보, 성능 지표 요약, 배포 이력을 상세 조회할 수 있어야 한다.</t>
  </si>
  <si>
    <t>리비전별 등록일시·등록자·출처 실험·성능지표·데이터셋 상세 조회(배포이력 전용 탭은 추가)</t>
  </si>
  <si>
    <t>SFR-029-03-04</t>
  </si>
  <si>
    <t>시스템은 등록된 모델 버전을 컨테이너 이미지 또는 모델 아티팩트 단위로 관리하여, 운영 환경에 빠르게 배포·롤백할 수 있도록 지원해야 하며, 필요 시 해당 모델 파일을 별도로 다운로드할 수 있어야 한다.</t>
  </si>
  <si>
    <t>도커 이미지·리비전 배포 및 파일 다운로드 제공. 전용 롤백은 재배포 방식</t>
  </si>
  <si>
    <t>SFR-029-04-01</t>
  </si>
  <si>
    <t>[독립적인 실험 환경]</t>
  </si>
  <si>
    <t>시스템은 운영 환경과 격리된(물리적/논리적) 실험 전용 환경에서 새로운 모델링을 시도할 수 있는 실험(개발) 환경을 제공하여야 한다.</t>
  </si>
  <si>
    <t>코드스페이스 상 논리적 격리 실험 환경 제공</t>
  </si>
  <si>
    <t>SFR-029-04-02</t>
  </si>
  <si>
    <t>시스템은 관리자가 DW 연동 인터페이스를 관리할 수 있는 기능을 제공해야 하며, 개발자는 이를 통해 필요한 데이터를 손쉽게 호출하여 활용할 수 있어야 한다.</t>
  </si>
  <si>
    <t>데이터 자동 적재는 제공. DW 연동 인터페이스 관리·개발자 데이터 호출은 추가 개발</t>
  </si>
  <si>
    <t>SFR-029-04-03</t>
  </si>
  <si>
    <t>시스템은 샌드박스 사용자별 컴퓨팅 자원(CPU/GPU/Memory) 사용 현황을 모니터링할 수 있어야 하며, 자원 사용 한도를 사용자별로 설정할 수 있어야 한다.</t>
  </si>
  <si>
    <t>관리그룹 단위 GPU·Volume 할당량 제공. 사용자별 한도·CPU/Memory 모니터링은 추가 개발</t>
  </si>
  <si>
    <t>SFR-029-04-04</t>
  </si>
  <si>
    <t>샌드박스 환경은 코드 기반 실험을 위한 개발 도구(예: Jupyter 환경, VSCode IDE 등)에 대한 접근을 지원하여야 한다.</t>
  </si>
  <si>
    <t>코드스페이스 VSCode·Jupyter·JupyterLab 접근</t>
  </si>
  <si>
    <t>SFR-029-04-05</t>
  </si>
  <si>
    <t>시스템은 협업과 형상 관리를 위해 코드 형상 저장소(Git)의 프로젝트 단위로 실험 환경을 구성할 수 있어야 하며, 프로젝트별·사용자별로 격리된 실행 환경을 적용할 수 있어야 한다.</t>
  </si>
  <si>
    <t>코드스페이스 관리그룹·볼륨·인스턴스 단위 격리. Git 프로젝트 단위 구성은 추가 개발</t>
  </si>
  <si>
    <t>시각화 및 실무연계, 웹 UI 기반 공통 운영</t>
  </si>
  <si>
    <t>SHAP 시각화, 웹 UI 임계값·권한·감사로그 관리 기능</t>
  </si>
  <si>
    <t>SFR-030-01-01</t>
  </si>
  <si>
    <t>[SHAP 기반 시각화 및 상담 연계]</t>
  </si>
  <si>
    <t>시스템은 고객별 예측 결과 및 위험도 변화를 시계열·분포 차트 등 으로 시각화하는 '고객 여정 상세 분석 대시보드'를 제공하여야 한다.</t>
  </si>
  <si>
    <t>커스텀 대시보드, 위젯 조합으로 시계열(line/area)·분포(bar/pie)·테이블 차트 대시보드 구성</t>
  </si>
  <si>
    <t>SFR-030-01-02</t>
  </si>
  <si>
    <t>시스템은 개별 고객 예측에 대해 SHAP 등 설명 가능 AI 기법을 활용한 주요 기여 요인(예: "재산 대비 채무 비중 높음")을 계산하고, 상담사 화면에 텍스트 및 바 차트 형태로 실시간 제공할 수 있어야 한다.</t>
  </si>
  <si>
    <t>계산 로직을 코드서빙으로 구현 후 커스텀 대시보드 데이터셋에 등록 시 실시간 제공 가능</t>
  </si>
  <si>
    <t>SFR-030-01-03</t>
  </si>
  <si>
    <t>시스템은 모델별·등급별 요약 현황(위험도 분포, 주요 기여 피처 등)을 시각화하여, 경험 중심 판단에서 데이터 기반 의사결정(DDD)으로의 전환을 지원하는 요약 화면을 제공하여야 한다.</t>
  </si>
  <si>
    <t>커스텀 대시보드, gen-portal 데이터 분석 위젯 조합</t>
  </si>
  <si>
    <t>SFR-030-01-04</t>
  </si>
  <si>
    <t>모든 분석 대시보드의 차트와 테이블은 별도 개발 없이 기간, 모델, 상세 등급 등 조회 조건을 필터로 변경하여 재조회할 수 있어야 한다.</t>
  </si>
  <si>
    <t xml:space="preserve">커스텀 대시보드, 위젯 조합·차트 타입 변경 제공, 대시보드 공통 필터 </t>
  </si>
  <si>
    <t>SFR-030-02-01</t>
  </si>
  <si>
    <t>[노코드 운영 관리 공통 요건]</t>
  </si>
  <si>
    <t>시스템은 모델 성능, 드리프트, 배치 이상 탐지 등과 관련된 임계값, 배치 스케줄, 알림 수신자 설정을 UI 기반으로 관리할 수 있어야 하며, 코드 수정 없이 변경할 수 있어야 한다.</t>
  </si>
  <si>
    <t>노코드 UI 골격(임계값 폼·cron 스케줄 빌더·공지 수신자 타게팅) 제공, 드리프트·이상탐지 대상 설정</t>
  </si>
  <si>
    <t>SFR-030-02-02</t>
  </si>
  <si>
    <t>시스템은 관리자 권한을 관리자, 운영 담당자, 모델 개발자 등 역할(Role) 단위로 구성하고, UI에서 역할별 권한을 설정·변경할 수 있어야 한다.</t>
  </si>
  <si>
    <t>admin-front IAM Role-Policy UI</t>
  </si>
  <si>
    <t>SFR-030-02-03</t>
  </si>
  <si>
    <t>시스템은 주요 관리 행위(임계값 변경, 배포 승인, 롤백, 수동 재실행 등)를 사용자, 일시, 변경 내용 기준으로 감사 로그에 자동 기록하고, 이력을 조회할 수 있어야 한다.</t>
  </si>
  <si>
    <t>활동 로그(변경 전후 스냅샷) 제공, 관리 행위 통합 감사 로그는 신규 개발</t>
  </si>
  <si>
    <t>SFR-030-02-04</t>
  </si>
  <si>
    <t>대시보드는 별도 클라이언트 설치 없이 웹 브라우저만으로 접근 가능해야 하며, 내부망 환경에서도 동작할 수 있어야 한다.</t>
  </si>
  <si>
    <t>커스텀 대시보드, 웹 기반·폐쇄망 운영</t>
  </si>
  <si>
    <t>기능요구사항</t>
  </si>
  <si>
    <t>문서보안(DRM)된 문서 자동 인식</t>
  </si>
  <si>
    <t>SFR-031-01-01</t>
  </si>
  <si>
    <t>사용자가 문서 업로드 시 자동으로 문서보안(DRM/파수) 해제 후 파싱 기능 구현을 하여야 함. 또한, 서버 내 문서를 보관 시 문서보안(DRM) 처리는 필수임</t>
  </si>
  <si>
    <t>기술협상서</t>
  </si>
  <si>
    <t>파수 문서보안(DRM) 서버 라이선스 1EA 구매하여 문서보안(DRM) 처리</t>
  </si>
  <si>
    <t>벡터 데이터베이스
- 온프레미스 배포 가능, 하이브리드 검색지원, 메타데이터 필터링 지원</t>
  </si>
  <si>
    <t>SFR-032-01-01</t>
  </si>
  <si>
    <t>RFP의 벡터DB를 pgvector → Weaviate로 변경하여 제안
- 온프레미스 배포 가능, 하이브리드 검색지원, 메타데이터 필터링 지원</t>
  </si>
  <si>
    <r>
      <rPr>
        <rFont val="Segoe UI Symbol"/>
        <color theme="1"/>
        <sz val="9.0"/>
      </rPr>
      <t xml:space="preserve">- </t>
    </r>
    <r>
      <rPr>
        <rFont val="Calibri"/>
        <color theme="1"/>
        <sz val="9.0"/>
      </rPr>
      <t>pgvector</t>
    </r>
    <r>
      <rPr>
        <rFont val="맑은 고딕"/>
        <color theme="1"/>
        <sz val="9.0"/>
      </rPr>
      <t>가</t>
    </r>
    <r>
      <rPr>
        <rFont val="Calibri"/>
        <color theme="1"/>
        <sz val="9.0"/>
      </rPr>
      <t xml:space="preserve"> </t>
    </r>
    <r>
      <rPr>
        <rFont val="맑은 고딕"/>
        <color theme="1"/>
        <sz val="9.0"/>
      </rPr>
      <t>아닌</t>
    </r>
    <r>
      <rPr>
        <rFont val="Calibri"/>
        <color theme="1"/>
        <sz val="9.0"/>
      </rPr>
      <t xml:space="preserve"> Weaviate</t>
    </r>
    <r>
      <rPr>
        <rFont val="맑은 고딕"/>
        <color theme="1"/>
        <sz val="9.0"/>
      </rPr>
      <t>를</t>
    </r>
    <r>
      <rPr>
        <rFont val="Calibri"/>
        <color theme="1"/>
        <sz val="9.0"/>
      </rPr>
      <t xml:space="preserve"> </t>
    </r>
    <r>
      <rPr>
        <rFont val="맑은 고딕"/>
        <color theme="1"/>
        <sz val="9.0"/>
      </rPr>
      <t>벡터</t>
    </r>
    <r>
      <rPr>
        <rFont val="Calibri"/>
        <color theme="1"/>
        <sz val="9.0"/>
      </rPr>
      <t xml:space="preserve"> </t>
    </r>
    <r>
      <rPr>
        <rFont val="맑은 고딕"/>
        <color theme="1"/>
        <sz val="9.0"/>
      </rPr>
      <t>저장소로</t>
    </r>
    <r>
      <rPr>
        <rFont val="Calibri"/>
        <color theme="1"/>
        <sz val="9.0"/>
      </rPr>
      <t xml:space="preserve"> </t>
    </r>
    <r>
      <rPr>
        <rFont val="맑은 고딕"/>
        <color theme="1"/>
        <sz val="9.0"/>
      </rPr>
      <t>제안</t>
    </r>
    <r>
      <rPr>
        <rFont val="Calibri"/>
        <color theme="1"/>
        <sz val="9.0"/>
      </rPr>
      <t xml:space="preserve">
</t>
    </r>
    <r>
      <rPr>
        <rFont val="Segoe UI Symbol"/>
        <color theme="1"/>
        <sz val="9.0"/>
      </rPr>
      <t xml:space="preserve">- </t>
    </r>
    <r>
      <rPr>
        <rFont val="Calibri"/>
        <color theme="1"/>
        <sz val="9.0"/>
      </rPr>
      <t xml:space="preserve">AI </t>
    </r>
    <r>
      <rPr>
        <rFont val="맑은 고딕"/>
        <color theme="1"/>
        <sz val="9.0"/>
      </rPr>
      <t>플랫폼</t>
    </r>
    <r>
      <rPr>
        <rFont val="Calibri"/>
        <color theme="1"/>
        <sz val="9.0"/>
      </rPr>
      <t xml:space="preserve"> RDB</t>
    </r>
    <r>
      <rPr>
        <rFont val="맑은 고딕"/>
        <color theme="1"/>
        <sz val="9.0"/>
      </rPr>
      <t>와</t>
    </r>
    <r>
      <rPr>
        <rFont val="Calibri"/>
        <color theme="1"/>
        <sz val="9.0"/>
      </rPr>
      <t xml:space="preserve"> VectorDB</t>
    </r>
    <r>
      <rPr>
        <rFont val="맑은 고딕"/>
        <color theme="1"/>
        <sz val="9.0"/>
      </rPr>
      <t>를</t>
    </r>
    <r>
      <rPr>
        <rFont val="Calibri"/>
        <color theme="1"/>
        <sz val="9.0"/>
      </rPr>
      <t xml:space="preserve"> </t>
    </r>
    <r>
      <rPr>
        <rFont val="맑은 고딕"/>
        <color theme="1"/>
        <sz val="9.0"/>
      </rPr>
      <t>기존</t>
    </r>
    <r>
      <rPr>
        <rFont val="Calibri"/>
        <color theme="1"/>
        <sz val="9.0"/>
      </rPr>
      <t xml:space="preserve"> </t>
    </r>
    <r>
      <rPr>
        <rFont val="맑은 고딕"/>
        <color theme="1"/>
        <sz val="9.0"/>
      </rPr>
      <t>아키텍쳐</t>
    </r>
    <r>
      <rPr>
        <rFont val="Calibri"/>
        <color theme="1"/>
        <sz val="9.0"/>
      </rPr>
      <t xml:space="preserve"> Database Zone</t>
    </r>
    <r>
      <rPr>
        <rFont val="맑은 고딕"/>
        <color theme="1"/>
        <sz val="9.0"/>
      </rPr>
      <t>에서</t>
    </r>
    <r>
      <rPr>
        <rFont val="Calibri"/>
        <color theme="1"/>
        <sz val="9.0"/>
      </rPr>
      <t xml:space="preserve"> Woker</t>
    </r>
    <r>
      <rPr>
        <rFont val="맑은 고딕"/>
        <color theme="1"/>
        <sz val="9.0"/>
      </rPr>
      <t>로</t>
    </r>
    <r>
      <rPr>
        <rFont val="Calibri"/>
        <color theme="1"/>
        <sz val="9.0"/>
      </rPr>
      <t xml:space="preserve"> </t>
    </r>
    <r>
      <rPr>
        <rFont val="맑은 고딕"/>
        <color theme="1"/>
        <sz val="9.0"/>
      </rPr>
      <t>편입</t>
    </r>
    <r>
      <rPr>
        <rFont val="Calibri"/>
        <color theme="1"/>
        <sz val="9.0"/>
      </rPr>
      <t xml:space="preserve">
</t>
    </r>
    <r>
      <rPr>
        <rFont val="Segoe UI Symbol"/>
        <color theme="1"/>
        <sz val="9.0"/>
      </rPr>
      <t>-</t>
    </r>
    <r>
      <rPr>
        <rFont val="Calibri"/>
        <color theme="1"/>
        <sz val="9.0"/>
      </rPr>
      <t xml:space="preserve"> </t>
    </r>
    <r>
      <rPr>
        <rFont val="맑은 고딕"/>
        <color theme="1"/>
        <sz val="9.0"/>
      </rPr>
      <t>원문과</t>
    </r>
    <r>
      <rPr>
        <rFont val="Calibri"/>
        <color theme="1"/>
        <sz val="9.0"/>
      </rPr>
      <t xml:space="preserve"> </t>
    </r>
    <r>
      <rPr>
        <rFont val="맑은 고딕"/>
        <color theme="1"/>
        <sz val="9.0"/>
      </rPr>
      <t>메타데이터</t>
    </r>
    <r>
      <rPr>
        <rFont val="Calibri"/>
        <color theme="1"/>
        <sz val="9.0"/>
      </rPr>
      <t xml:space="preserve">, </t>
    </r>
    <r>
      <rPr>
        <rFont val="맑은 고딕"/>
        <color theme="1"/>
        <sz val="9.0"/>
      </rPr>
      <t>청크는</t>
    </r>
    <r>
      <rPr>
        <rFont val="Calibri"/>
        <color theme="1"/>
        <sz val="9.0"/>
      </rPr>
      <t xml:space="preserve"> RDB</t>
    </r>
    <r>
      <rPr>
        <rFont val="맑은 고딕"/>
        <color theme="1"/>
        <sz val="9.0"/>
      </rPr>
      <t>에</t>
    </r>
    <r>
      <rPr>
        <rFont val="Calibri"/>
        <color theme="1"/>
        <sz val="9.0"/>
      </rPr>
      <t xml:space="preserve"> </t>
    </r>
    <r>
      <rPr>
        <rFont val="맑은 고딕"/>
        <color theme="1"/>
        <sz val="9.0"/>
      </rPr>
      <t>정본으로</t>
    </r>
    <r>
      <rPr>
        <rFont val="Calibri"/>
        <color theme="1"/>
        <sz val="9.0"/>
      </rPr>
      <t xml:space="preserve"> </t>
    </r>
    <r>
      <rPr>
        <rFont val="맑은 고딕"/>
        <color theme="1"/>
        <sz val="9.0"/>
      </rPr>
      <t>보존</t>
    </r>
    <r>
      <rPr>
        <rFont val="Calibri"/>
        <color theme="1"/>
        <sz val="9.0"/>
      </rPr>
      <t xml:space="preserve">, </t>
    </r>
    <r>
      <rPr>
        <rFont val="맑은 고딕"/>
        <color theme="1"/>
        <sz val="9.0"/>
      </rPr>
      <t>벡터</t>
    </r>
    <r>
      <rPr>
        <rFont val="Calibri"/>
        <color theme="1"/>
        <sz val="9.0"/>
      </rPr>
      <t xml:space="preserve"> </t>
    </r>
    <r>
      <rPr>
        <rFont val="맑은 고딕"/>
        <color theme="1"/>
        <sz val="9.0"/>
      </rPr>
      <t>저장소는</t>
    </r>
    <r>
      <rPr>
        <rFont val="Calibri"/>
        <color theme="1"/>
        <sz val="9.0"/>
      </rPr>
      <t xml:space="preserve"> </t>
    </r>
    <r>
      <rPr>
        <rFont val="맑은 고딕"/>
        <color theme="1"/>
        <sz val="9.0"/>
      </rPr>
      <t>재색인으로</t>
    </r>
    <r>
      <rPr>
        <rFont val="Calibri"/>
        <color theme="1"/>
        <sz val="9.0"/>
      </rPr>
      <t xml:space="preserve"> </t>
    </r>
    <r>
      <rPr>
        <rFont val="맑은 고딕"/>
        <color theme="1"/>
        <sz val="9.0"/>
      </rPr>
      <t>복구</t>
    </r>
    <r>
      <rPr>
        <rFont val="Calibri"/>
        <color theme="1"/>
        <sz val="9.0"/>
      </rPr>
      <t xml:space="preserve"> </t>
    </r>
    <r>
      <rPr>
        <rFont val="맑은 고딕"/>
        <color theme="1"/>
        <sz val="9.0"/>
      </rPr>
      <t>가능한</t>
    </r>
    <r>
      <rPr>
        <rFont val="Calibri"/>
        <color theme="1"/>
        <sz val="9.0"/>
      </rPr>
      <t xml:space="preserve"> </t>
    </r>
    <r>
      <rPr>
        <rFont val="맑은 고딕"/>
        <color theme="1"/>
        <sz val="9.0"/>
      </rPr>
      <t>파생</t>
    </r>
    <r>
      <rPr>
        <rFont val="Calibri"/>
        <color theme="1"/>
        <sz val="9.0"/>
      </rPr>
      <t xml:space="preserve"> </t>
    </r>
    <r>
      <rPr>
        <rFont val="맑은 고딕"/>
        <color theme="1"/>
        <sz val="9.0"/>
      </rPr>
      <t>인덱스로</t>
    </r>
    <r>
      <rPr>
        <rFont val="Calibri"/>
        <color theme="1"/>
        <sz val="9.0"/>
      </rPr>
      <t xml:space="preserve"> </t>
    </r>
    <r>
      <rPr>
        <rFont val="맑은 고딕"/>
        <color theme="1"/>
        <sz val="9.0"/>
      </rPr>
      <t>분리</t>
    </r>
    <r>
      <rPr>
        <rFont val="Calibri"/>
        <color theme="1"/>
        <sz val="9.0"/>
      </rPr>
      <t xml:space="preserve"> </t>
    </r>
    <r>
      <rPr>
        <rFont val="맑은 고딕"/>
        <color theme="1"/>
        <sz val="9.0"/>
      </rPr>
      <t>설계</t>
    </r>
    <r>
      <rPr>
        <rFont val="Calibri"/>
        <color theme="1"/>
        <sz val="9.0"/>
      </rPr>
      <t xml:space="preserve">
- </t>
    </r>
    <r>
      <rPr>
        <rFont val="맑은 고딕"/>
        <color theme="1"/>
        <sz val="9.0"/>
      </rPr>
      <t>벡터</t>
    </r>
    <r>
      <rPr>
        <rFont val="Calibri"/>
        <color theme="1"/>
        <sz val="9.0"/>
      </rPr>
      <t xml:space="preserve"> </t>
    </r>
    <r>
      <rPr>
        <rFont val="맑은 고딕"/>
        <color theme="1"/>
        <sz val="9.0"/>
      </rPr>
      <t>데이터를</t>
    </r>
    <r>
      <rPr>
        <rFont val="Calibri"/>
        <color theme="1"/>
        <sz val="9.0"/>
      </rPr>
      <t xml:space="preserve"> </t>
    </r>
    <r>
      <rPr>
        <rFont val="맑은 고딕"/>
        <color theme="1"/>
        <sz val="9.0"/>
      </rPr>
      <t>관리하고</t>
    </r>
    <r>
      <rPr>
        <rFont val="Calibri"/>
        <color theme="1"/>
        <sz val="9.0"/>
      </rPr>
      <t xml:space="preserve"> </t>
    </r>
    <r>
      <rPr>
        <rFont val="맑은 고딕"/>
        <color theme="1"/>
        <sz val="9.0"/>
      </rPr>
      <t>백업할</t>
    </r>
    <r>
      <rPr>
        <rFont val="Calibri"/>
        <color theme="1"/>
        <sz val="9.0"/>
      </rPr>
      <t xml:space="preserve"> </t>
    </r>
    <r>
      <rPr>
        <rFont val="맑은 고딕"/>
        <color theme="1"/>
        <sz val="9.0"/>
      </rPr>
      <t>수</t>
    </r>
    <r>
      <rPr>
        <rFont val="Calibri"/>
        <color theme="1"/>
        <sz val="9.0"/>
      </rPr>
      <t xml:space="preserve"> </t>
    </r>
    <r>
      <rPr>
        <rFont val="맑은 고딕"/>
        <color theme="1"/>
        <sz val="9.0"/>
      </rPr>
      <t>있는</t>
    </r>
    <r>
      <rPr>
        <rFont val="Calibri"/>
        <color theme="1"/>
        <sz val="9.0"/>
      </rPr>
      <t xml:space="preserve"> </t>
    </r>
    <r>
      <rPr>
        <rFont val="맑은 고딕"/>
        <color theme="1"/>
        <sz val="9.0"/>
      </rPr>
      <t>관리</t>
    </r>
    <r>
      <rPr>
        <rFont val="Calibri"/>
        <color theme="1"/>
        <sz val="9.0"/>
      </rPr>
      <t xml:space="preserve"> UI </t>
    </r>
    <r>
      <rPr>
        <rFont val="맑은 고딕"/>
        <color theme="1"/>
        <sz val="9.0"/>
      </rPr>
      <t>제공</t>
    </r>
    <r>
      <rPr>
        <rFont val="Calibri"/>
        <color theme="1"/>
        <sz val="9.0"/>
      </rPr>
      <t xml:space="preserve">
- </t>
    </r>
    <r>
      <rPr>
        <rFont val="맑은 고딕"/>
        <color theme="1"/>
        <sz val="9.0"/>
      </rPr>
      <t>수집과</t>
    </r>
    <r>
      <rPr>
        <rFont val="Calibri"/>
        <color theme="1"/>
        <sz val="9.0"/>
      </rPr>
      <t xml:space="preserve"> </t>
    </r>
    <r>
      <rPr>
        <rFont val="맑은 고딕"/>
        <color theme="1"/>
        <sz val="9.0"/>
      </rPr>
      <t>임베딩</t>
    </r>
    <r>
      <rPr>
        <rFont val="Calibri"/>
        <color theme="1"/>
        <sz val="9.0"/>
      </rPr>
      <t xml:space="preserve">, </t>
    </r>
    <r>
      <rPr>
        <rFont val="맑은 고딕"/>
        <color theme="1"/>
        <sz val="9.0"/>
      </rPr>
      <t>검색</t>
    </r>
    <r>
      <rPr>
        <rFont val="Calibri"/>
        <color theme="1"/>
        <sz val="9.0"/>
      </rPr>
      <t xml:space="preserve"> </t>
    </r>
    <r>
      <rPr>
        <rFont val="맑은 고딕"/>
        <color theme="1"/>
        <sz val="9.0"/>
      </rPr>
      <t>로직을</t>
    </r>
    <r>
      <rPr>
        <rFont val="Calibri"/>
        <color theme="1"/>
        <sz val="9.0"/>
      </rPr>
      <t xml:space="preserve"> </t>
    </r>
    <r>
      <rPr>
        <rFont val="맑은 고딕"/>
        <color theme="1"/>
        <sz val="9.0"/>
      </rPr>
      <t>표준</t>
    </r>
    <r>
      <rPr>
        <rFont val="Calibri"/>
        <color theme="1"/>
        <sz val="9.0"/>
      </rPr>
      <t xml:space="preserve"> </t>
    </r>
    <r>
      <rPr>
        <rFont val="맑은 고딕"/>
        <color theme="1"/>
        <sz val="9.0"/>
      </rPr>
      <t>프레임워크로</t>
    </r>
    <r>
      <rPr>
        <rFont val="Calibri"/>
        <color theme="1"/>
        <sz val="9.0"/>
      </rPr>
      <t xml:space="preserve"> </t>
    </r>
    <r>
      <rPr>
        <rFont val="맑은 고딕"/>
        <color theme="1"/>
        <sz val="9.0"/>
      </rPr>
      <t>모듈화하고</t>
    </r>
    <r>
      <rPr>
        <rFont val="Calibri"/>
        <color theme="1"/>
        <sz val="9.0"/>
      </rPr>
      <t xml:space="preserve"> </t>
    </r>
    <r>
      <rPr>
        <rFont val="맑은 고딕"/>
        <color theme="1"/>
        <sz val="9.0"/>
      </rPr>
      <t>타</t>
    </r>
    <r>
      <rPr>
        <rFont val="Calibri"/>
        <color theme="1"/>
        <sz val="9.0"/>
      </rPr>
      <t xml:space="preserve"> </t>
    </r>
    <r>
      <rPr>
        <rFont val="맑은 고딕"/>
        <color theme="1"/>
        <sz val="9.0"/>
      </rPr>
      <t>엔진</t>
    </r>
    <r>
      <rPr>
        <rFont val="Calibri"/>
        <color theme="1"/>
        <sz val="9.0"/>
      </rPr>
      <t xml:space="preserve"> </t>
    </r>
    <r>
      <rPr>
        <rFont val="맑은 고딕"/>
        <color theme="1"/>
        <sz val="9.0"/>
      </rPr>
      <t>재색인</t>
    </r>
    <r>
      <rPr>
        <rFont val="Calibri"/>
        <color theme="1"/>
        <sz val="9.0"/>
      </rPr>
      <t xml:space="preserve"> </t>
    </r>
    <r>
      <rPr>
        <rFont val="맑은 고딕"/>
        <color theme="1"/>
        <sz val="9.0"/>
      </rPr>
      <t>절차와</t>
    </r>
    <r>
      <rPr>
        <rFont val="Calibri"/>
        <color theme="1"/>
        <sz val="9.0"/>
      </rPr>
      <t xml:space="preserve"> </t>
    </r>
    <r>
      <rPr>
        <rFont val="맑은 고딕"/>
        <color theme="1"/>
        <sz val="9.0"/>
      </rPr>
      <t>샘플</t>
    </r>
    <r>
      <rPr>
        <rFont val="Calibri"/>
        <color theme="1"/>
        <sz val="9.0"/>
      </rPr>
      <t xml:space="preserve"> </t>
    </r>
    <r>
      <rPr>
        <rFont val="맑은 고딕"/>
        <color theme="1"/>
        <sz val="9.0"/>
      </rPr>
      <t>코드를</t>
    </r>
    <r>
      <rPr>
        <rFont val="Calibri"/>
        <color theme="1"/>
        <sz val="9.0"/>
      </rPr>
      <t xml:space="preserve"> </t>
    </r>
    <r>
      <rPr>
        <rFont val="맑은 고딕"/>
        <color theme="1"/>
        <sz val="9.0"/>
      </rPr>
      <t>인수인계</t>
    </r>
    <r>
      <rPr>
        <rFont val="Calibri"/>
        <color theme="1"/>
        <sz val="9.0"/>
      </rPr>
      <t xml:space="preserve"> </t>
    </r>
    <r>
      <rPr>
        <rFont val="맑은 고딕"/>
        <color theme="1"/>
        <sz val="9.0"/>
      </rPr>
      <t>문서에</t>
    </r>
    <r>
      <rPr>
        <rFont val="Calibri"/>
        <color theme="1"/>
        <sz val="9.0"/>
      </rPr>
      <t xml:space="preserve"> </t>
    </r>
    <r>
      <rPr>
        <rFont val="맑은 고딕"/>
        <color theme="1"/>
        <sz val="9.0"/>
      </rPr>
      <t>명시</t>
    </r>
    <r>
      <rPr>
        <rFont val="Calibri"/>
        <color theme="1"/>
        <sz val="9.0"/>
      </rPr>
      <t xml:space="preserve">
- </t>
    </r>
    <r>
      <rPr>
        <rFont val="맑은 고딕"/>
        <color theme="1"/>
        <sz val="9.0"/>
      </rPr>
      <t>스토리지</t>
    </r>
    <r>
      <rPr>
        <rFont val="Calibri"/>
        <color theme="1"/>
        <sz val="9.0"/>
      </rPr>
      <t xml:space="preserve"> </t>
    </r>
    <r>
      <rPr>
        <rFont val="맑은 고딕"/>
        <color theme="1"/>
        <sz val="9.0"/>
      </rPr>
      <t>선택</t>
    </r>
    <r>
      <rPr>
        <rFont val="Calibri"/>
        <color theme="1"/>
        <sz val="9.0"/>
      </rPr>
      <t xml:space="preserve"> </t>
    </r>
    <r>
      <rPr>
        <rFont val="맑은 고딕"/>
        <color theme="1"/>
        <sz val="9.0"/>
      </rPr>
      <t>근거와</t>
    </r>
    <r>
      <rPr>
        <rFont val="Calibri"/>
        <color theme="1"/>
        <sz val="9.0"/>
      </rPr>
      <t xml:space="preserve"> </t>
    </r>
    <r>
      <rPr>
        <rFont val="맑은 고딕"/>
        <color theme="1"/>
        <sz val="9.0"/>
      </rPr>
      <t>복제</t>
    </r>
    <r>
      <rPr>
        <rFont val="Calibri"/>
        <color theme="1"/>
        <sz val="9.0"/>
      </rPr>
      <t xml:space="preserve"> </t>
    </r>
    <r>
      <rPr>
        <rFont val="맑은 고딕"/>
        <color theme="1"/>
        <sz val="9.0"/>
      </rPr>
      <t>간</t>
    </r>
    <r>
      <rPr>
        <rFont val="Calibri"/>
        <color theme="1"/>
        <sz val="9.0"/>
      </rPr>
      <t xml:space="preserve"> </t>
    </r>
    <r>
      <rPr>
        <rFont val="맑은 고딕"/>
        <color theme="1"/>
        <sz val="9.0"/>
      </rPr>
      <t>쓰기</t>
    </r>
    <r>
      <rPr>
        <rFont val="Calibri"/>
        <color theme="1"/>
        <sz val="9.0"/>
      </rPr>
      <t xml:space="preserve"> </t>
    </r>
    <r>
      <rPr>
        <rFont val="맑은 고딕"/>
        <color theme="1"/>
        <sz val="9.0"/>
      </rPr>
      <t>증폭률을</t>
    </r>
    <r>
      <rPr>
        <rFont val="Calibri"/>
        <color theme="1"/>
        <sz val="9.0"/>
      </rPr>
      <t xml:space="preserve"> </t>
    </r>
    <r>
      <rPr>
        <rFont val="맑은 고딕"/>
        <color theme="1"/>
        <sz val="9.0"/>
      </rPr>
      <t>산정</t>
    </r>
    <r>
      <rPr>
        <rFont val="Calibri"/>
        <color theme="1"/>
        <sz val="9.0"/>
      </rPr>
      <t xml:space="preserve">, I/O </t>
    </r>
    <r>
      <rPr>
        <rFont val="맑은 고딕"/>
        <color theme="1"/>
        <sz val="9.0"/>
      </rPr>
      <t>병목</t>
    </r>
    <r>
      <rPr>
        <rFont val="Calibri"/>
        <color theme="1"/>
        <sz val="9.0"/>
      </rPr>
      <t xml:space="preserve"> </t>
    </r>
    <r>
      <rPr>
        <rFont val="맑은 고딕"/>
        <color theme="1"/>
        <sz val="9.0"/>
      </rPr>
      <t>최적화</t>
    </r>
    <r>
      <rPr>
        <rFont val="Calibri"/>
        <color theme="1"/>
        <sz val="9.0"/>
      </rPr>
      <t xml:space="preserve"> </t>
    </r>
    <r>
      <rPr>
        <rFont val="맑은 고딕"/>
        <color theme="1"/>
        <sz val="9.0"/>
      </rPr>
      <t>방안은</t>
    </r>
    <r>
      <rPr>
        <rFont val="Calibri"/>
        <color theme="1"/>
        <sz val="9.0"/>
      </rPr>
      <t xml:space="preserve"> </t>
    </r>
    <r>
      <rPr>
        <rFont val="맑은 고딕"/>
        <color theme="1"/>
        <sz val="9.0"/>
      </rPr>
      <t>협의</t>
    </r>
    <r>
      <rPr>
        <rFont val="Calibri"/>
        <color theme="1"/>
        <sz val="9.0"/>
      </rPr>
      <t xml:space="preserve"> </t>
    </r>
    <r>
      <rPr>
        <rFont val="맑은 고딕"/>
        <color theme="1"/>
        <sz val="9.0"/>
      </rPr>
      <t>후</t>
    </r>
    <r>
      <rPr>
        <rFont val="Calibri"/>
        <color theme="1"/>
        <sz val="9.0"/>
      </rPr>
      <t xml:space="preserve"> </t>
    </r>
    <r>
      <rPr>
        <rFont val="맑은 고딕"/>
        <color theme="1"/>
        <sz val="9.0"/>
      </rPr>
      <t>적용</t>
    </r>
    <r>
      <rPr>
        <rFont val="Calibri"/>
        <color theme="1"/>
        <sz val="9.0"/>
      </rPr>
      <t xml:space="preserve">
- </t>
    </r>
    <r>
      <rPr>
        <rFont val="맑은 고딕"/>
        <color theme="1"/>
        <sz val="9.0"/>
      </rPr>
      <t>검수</t>
    </r>
    <r>
      <rPr>
        <rFont val="Calibri"/>
        <color theme="1"/>
        <sz val="9.0"/>
      </rPr>
      <t xml:space="preserve"> </t>
    </r>
    <r>
      <rPr>
        <rFont val="맑은 고딕"/>
        <color theme="1"/>
        <sz val="9.0"/>
      </rPr>
      <t>시</t>
    </r>
    <r>
      <rPr>
        <rFont val="Calibri"/>
        <color theme="1"/>
        <sz val="9.0"/>
      </rPr>
      <t xml:space="preserve"> </t>
    </r>
    <r>
      <rPr>
        <rFont val="맑은 고딕"/>
        <color theme="1"/>
        <sz val="9.0"/>
      </rPr>
      <t>노드</t>
    </r>
    <r>
      <rPr>
        <rFont val="Calibri"/>
        <color theme="1"/>
        <sz val="9.0"/>
      </rPr>
      <t xml:space="preserve"> </t>
    </r>
    <r>
      <rPr>
        <rFont val="맑은 고딕"/>
        <color theme="1"/>
        <sz val="9.0"/>
      </rPr>
      <t>종료와</t>
    </r>
    <r>
      <rPr>
        <rFont val="Calibri"/>
        <color theme="1"/>
        <sz val="9.0"/>
      </rPr>
      <t xml:space="preserve"> </t>
    </r>
    <r>
      <rPr>
        <rFont val="맑은 고딕"/>
        <color theme="1"/>
        <sz val="9.0"/>
      </rPr>
      <t>볼륨</t>
    </r>
    <r>
      <rPr>
        <rFont val="Calibri"/>
        <color theme="1"/>
        <sz val="9.0"/>
      </rPr>
      <t xml:space="preserve"> </t>
    </r>
    <r>
      <rPr>
        <rFont val="맑은 고딕"/>
        <color theme="1"/>
        <sz val="9.0"/>
      </rPr>
      <t>단절을</t>
    </r>
    <r>
      <rPr>
        <rFont val="Calibri"/>
        <color theme="1"/>
        <sz val="9.0"/>
      </rPr>
      <t xml:space="preserve"> </t>
    </r>
    <r>
      <rPr>
        <rFont val="맑은 고딕"/>
        <color theme="1"/>
        <sz val="9.0"/>
      </rPr>
      <t>가정한</t>
    </r>
    <r>
      <rPr>
        <rFont val="Calibri"/>
        <color theme="1"/>
        <sz val="9.0"/>
      </rPr>
      <t xml:space="preserve"> </t>
    </r>
    <r>
      <rPr>
        <rFont val="맑은 고딕"/>
        <color theme="1"/>
        <sz val="9.0"/>
      </rPr>
      <t>모의훈련으로</t>
    </r>
    <r>
      <rPr>
        <rFont val="Calibri"/>
        <color theme="1"/>
        <sz val="9.0"/>
      </rPr>
      <t xml:space="preserve"> RTO</t>
    </r>
    <r>
      <rPr>
        <rFont val="맑은 고딕"/>
        <color theme="1"/>
        <sz val="9.0"/>
      </rPr>
      <t>와</t>
    </r>
    <r>
      <rPr>
        <rFont val="Calibri"/>
        <color theme="1"/>
        <sz val="9.0"/>
      </rPr>
      <t xml:space="preserve"> RPO </t>
    </r>
    <r>
      <rPr>
        <rFont val="맑은 고딕"/>
        <color theme="1"/>
        <sz val="9.0"/>
      </rPr>
      <t>기준</t>
    </r>
    <r>
      <rPr>
        <rFont val="Calibri"/>
        <color theme="1"/>
        <sz val="9.0"/>
      </rPr>
      <t xml:space="preserve"> </t>
    </r>
    <r>
      <rPr>
        <rFont val="맑은 고딕"/>
        <color theme="1"/>
        <sz val="9.0"/>
      </rPr>
      <t>충족</t>
    </r>
    <r>
      <rPr>
        <rFont val="Calibri"/>
        <color theme="1"/>
        <sz val="9.0"/>
      </rPr>
      <t xml:space="preserve"> </t>
    </r>
    <r>
      <rPr>
        <rFont val="맑은 고딕"/>
        <color theme="1"/>
        <sz val="9.0"/>
      </rPr>
      <t>여부</t>
    </r>
    <r>
      <rPr>
        <rFont val="Calibri"/>
        <color theme="1"/>
        <sz val="9.0"/>
      </rPr>
      <t xml:space="preserve"> </t>
    </r>
    <r>
      <rPr>
        <rFont val="맑은 고딕"/>
        <color theme="1"/>
        <sz val="9.0"/>
      </rPr>
      <t>검증</t>
    </r>
    <r>
      <rPr>
        <rFont val="Calibri"/>
        <color theme="1"/>
        <sz val="9.0"/>
      </rPr>
      <t xml:space="preserve">
- </t>
    </r>
    <r>
      <rPr>
        <rFont val="맑은 고딕"/>
        <color theme="1"/>
        <sz val="9.0"/>
      </rPr>
      <t>전</t>
    </r>
    <r>
      <rPr>
        <rFont val="Calibri"/>
        <color theme="1"/>
        <sz val="9.0"/>
      </rPr>
      <t xml:space="preserve"> </t>
    </r>
    <r>
      <rPr>
        <rFont val="맑은 고딕"/>
        <color theme="1"/>
        <sz val="9.0"/>
      </rPr>
      <t>배포를</t>
    </r>
    <r>
      <rPr>
        <rFont val="Calibri"/>
        <color theme="1"/>
        <sz val="9.0"/>
      </rPr>
      <t xml:space="preserve"> Helm </t>
    </r>
    <r>
      <rPr>
        <rFont val="맑은 고딕"/>
        <color theme="1"/>
        <sz val="9.0"/>
      </rPr>
      <t>기반</t>
    </r>
    <r>
      <rPr>
        <rFont val="Calibri"/>
        <color theme="1"/>
        <sz val="9.0"/>
      </rPr>
      <t xml:space="preserve"> IaC</t>
    </r>
    <r>
      <rPr>
        <rFont val="맑은 고딕"/>
        <color theme="1"/>
        <sz val="9.0"/>
      </rPr>
      <t>로</t>
    </r>
    <r>
      <rPr>
        <rFont val="Calibri"/>
        <color theme="1"/>
        <sz val="9.0"/>
      </rPr>
      <t xml:space="preserve"> </t>
    </r>
    <r>
      <rPr>
        <rFont val="맑은 고딕"/>
        <color theme="1"/>
        <sz val="9.0"/>
      </rPr>
      <t>구현</t>
    </r>
    <r>
      <rPr>
        <rFont val="Calibri"/>
        <color theme="1"/>
        <sz val="9.0"/>
      </rPr>
      <t xml:space="preserve">, </t>
    </r>
    <r>
      <rPr>
        <rFont val="맑은 고딕"/>
        <color theme="1"/>
        <sz val="9.0"/>
      </rPr>
      <t>설정값은</t>
    </r>
    <r>
      <rPr>
        <rFont val="Calibri"/>
        <color theme="1"/>
        <sz val="9.0"/>
      </rPr>
      <t xml:space="preserve"> </t>
    </r>
    <r>
      <rPr>
        <rFont val="맑은 고딕"/>
        <color theme="1"/>
        <sz val="9.0"/>
      </rPr>
      <t>주석과</t>
    </r>
    <r>
      <rPr>
        <rFont val="Calibri"/>
        <color theme="1"/>
        <sz val="9.0"/>
      </rPr>
      <t xml:space="preserve"> </t>
    </r>
    <r>
      <rPr>
        <rFont val="맑은 고딕"/>
        <color theme="1"/>
        <sz val="9.0"/>
      </rPr>
      <t>함께</t>
    </r>
    <r>
      <rPr>
        <rFont val="Calibri"/>
        <color theme="1"/>
        <sz val="9.0"/>
      </rPr>
      <t xml:space="preserve"> Git </t>
    </r>
    <r>
      <rPr>
        <rFont val="맑은 고딕"/>
        <color theme="1"/>
        <sz val="9.0"/>
      </rPr>
      <t>이관</t>
    </r>
    <r>
      <rPr>
        <rFont val="Calibri"/>
        <color theme="1"/>
        <sz val="9.0"/>
      </rPr>
      <t xml:space="preserve">, </t>
    </r>
    <r>
      <rPr>
        <rFont val="맑은 고딕"/>
        <color theme="1"/>
        <sz val="9.0"/>
      </rPr>
      <t>시크릿은</t>
    </r>
    <r>
      <rPr>
        <rFont val="Calibri"/>
        <color theme="1"/>
        <sz val="9.0"/>
      </rPr>
      <t xml:space="preserve"> </t>
    </r>
    <r>
      <rPr>
        <rFont val="맑은 고딕"/>
        <color theme="1"/>
        <sz val="9.0"/>
      </rPr>
      <t>위원회가</t>
    </r>
    <r>
      <rPr>
        <rFont val="Calibri"/>
        <color theme="1"/>
        <sz val="9.0"/>
      </rPr>
      <t xml:space="preserve"> </t>
    </r>
    <r>
      <rPr>
        <rFont val="맑은 고딕"/>
        <color theme="1"/>
        <sz val="9.0"/>
      </rPr>
      <t>복호화</t>
    </r>
    <r>
      <rPr>
        <rFont val="Calibri"/>
        <color theme="1"/>
        <sz val="9.0"/>
      </rPr>
      <t xml:space="preserve"> </t>
    </r>
    <r>
      <rPr>
        <rFont val="맑은 고딕"/>
        <color theme="1"/>
        <sz val="9.0"/>
      </rPr>
      <t>가능한</t>
    </r>
    <r>
      <rPr>
        <rFont val="Calibri"/>
        <color theme="1"/>
        <sz val="9.0"/>
      </rPr>
      <t xml:space="preserve"> </t>
    </r>
    <r>
      <rPr>
        <rFont val="맑은 고딕"/>
        <color theme="1"/>
        <sz val="9.0"/>
      </rPr>
      <t>표준</t>
    </r>
    <r>
      <rPr>
        <rFont val="Calibri"/>
        <color theme="1"/>
        <sz val="9.0"/>
      </rPr>
      <t xml:space="preserve"> </t>
    </r>
    <r>
      <rPr>
        <rFont val="맑은 고딕"/>
        <color theme="1"/>
        <sz val="9.0"/>
      </rPr>
      <t>방식으로</t>
    </r>
    <r>
      <rPr>
        <rFont val="Calibri"/>
        <color theme="1"/>
        <sz val="9.0"/>
      </rPr>
      <t xml:space="preserve"> </t>
    </r>
    <r>
      <rPr>
        <rFont val="맑은 고딕"/>
        <color theme="1"/>
        <sz val="9.0"/>
      </rPr>
      <t>관리</t>
    </r>
    <r>
      <rPr>
        <rFont val="Calibri"/>
        <color theme="1"/>
        <sz val="9.0"/>
      </rPr>
      <t xml:space="preserve">
- </t>
    </r>
    <r>
      <rPr>
        <rFont val="맑은 고딕"/>
        <color theme="1"/>
        <sz val="9.0"/>
      </rPr>
      <t>문서와</t>
    </r>
    <r>
      <rPr>
        <rFont val="Calibri"/>
        <color theme="1"/>
        <sz val="9.0"/>
      </rPr>
      <t xml:space="preserve"> </t>
    </r>
    <r>
      <rPr>
        <rFont val="맑은 고딕"/>
        <color theme="1"/>
        <sz val="9.0"/>
      </rPr>
      <t>인수인계</t>
    </r>
    <r>
      <rPr>
        <rFont val="Calibri"/>
        <color theme="1"/>
        <sz val="9.0"/>
      </rPr>
      <t xml:space="preserve"> </t>
    </r>
    <r>
      <rPr>
        <rFont val="맑은 고딕"/>
        <color theme="1"/>
        <sz val="9.0"/>
      </rPr>
      <t>완료를</t>
    </r>
    <r>
      <rPr>
        <rFont val="Calibri"/>
        <color theme="1"/>
        <sz val="9.0"/>
      </rPr>
      <t xml:space="preserve"> </t>
    </r>
    <r>
      <rPr>
        <rFont val="맑은 고딕"/>
        <color theme="1"/>
        <sz val="9.0"/>
      </rPr>
      <t>검수</t>
    </r>
    <r>
      <rPr>
        <rFont val="Calibri"/>
        <color theme="1"/>
        <sz val="9.0"/>
      </rPr>
      <t xml:space="preserve"> </t>
    </r>
    <r>
      <rPr>
        <rFont val="맑은 고딕"/>
        <color theme="1"/>
        <sz val="9.0"/>
      </rPr>
      <t>조건으로</t>
    </r>
    <r>
      <rPr>
        <rFont val="Calibri"/>
        <color theme="1"/>
        <sz val="9.0"/>
      </rPr>
      <t xml:space="preserve"> </t>
    </r>
    <r>
      <rPr>
        <rFont val="맑은 고딕"/>
        <color theme="1"/>
        <sz val="9.0"/>
      </rPr>
      <t>반영</t>
    </r>
    <r>
      <rPr>
        <rFont val="Calibri"/>
        <color theme="1"/>
        <sz val="9.0"/>
      </rPr>
      <t xml:space="preserve">, </t>
    </r>
    <r>
      <rPr>
        <rFont val="맑은 고딕"/>
        <color theme="1"/>
        <sz val="9.0"/>
      </rPr>
      <t>계약</t>
    </r>
    <r>
      <rPr>
        <rFont val="Calibri"/>
        <color theme="1"/>
        <sz val="9.0"/>
      </rPr>
      <t xml:space="preserve"> </t>
    </r>
    <r>
      <rPr>
        <rFont val="맑은 고딕"/>
        <color theme="1"/>
        <sz val="9.0"/>
      </rPr>
      <t>종료</t>
    </r>
    <r>
      <rPr>
        <rFont val="Calibri"/>
        <color theme="1"/>
        <sz val="9.0"/>
      </rPr>
      <t xml:space="preserve"> </t>
    </r>
    <r>
      <rPr>
        <rFont val="맑은 고딕"/>
        <color theme="1"/>
        <sz val="9.0"/>
      </rPr>
      <t>시</t>
    </r>
    <r>
      <rPr>
        <rFont val="Calibri"/>
        <color theme="1"/>
        <sz val="9.0"/>
      </rPr>
      <t xml:space="preserve"> </t>
    </r>
    <r>
      <rPr>
        <rFont val="맑은 고딕"/>
        <color theme="1"/>
        <sz val="9.0"/>
      </rPr>
      <t>데이터</t>
    </r>
    <r>
      <rPr>
        <rFont val="Calibri"/>
        <color theme="1"/>
        <sz val="9.0"/>
      </rPr>
      <t xml:space="preserve"> </t>
    </r>
    <r>
      <rPr>
        <rFont val="맑은 고딕"/>
        <color theme="1"/>
        <sz val="9.0"/>
      </rPr>
      <t>반환과</t>
    </r>
    <r>
      <rPr>
        <rFont val="Calibri"/>
        <color theme="1"/>
        <sz val="9.0"/>
      </rPr>
      <t xml:space="preserve"> </t>
    </r>
    <r>
      <rPr>
        <rFont val="맑은 고딕"/>
        <color theme="1"/>
        <sz val="9.0"/>
      </rPr>
      <t>삭제</t>
    </r>
    <r>
      <rPr>
        <rFont val="Calibri"/>
        <color theme="1"/>
        <sz val="9.0"/>
      </rPr>
      <t xml:space="preserve"> </t>
    </r>
    <r>
      <rPr>
        <rFont val="맑은 고딕"/>
        <color theme="1"/>
        <sz val="9.0"/>
      </rPr>
      <t>절차</t>
    </r>
    <r>
      <rPr>
        <rFont val="Calibri"/>
        <color theme="1"/>
        <sz val="9.0"/>
      </rPr>
      <t xml:space="preserve"> </t>
    </r>
    <r>
      <rPr>
        <rFont val="맑은 고딕"/>
        <color theme="1"/>
        <sz val="9.0"/>
      </rPr>
      <t>보장</t>
    </r>
  </si>
  <si>
    <t>콜센터 상담 어시스턴트 테스트 환경 구축 방안</t>
  </si>
  <si>
    <t>SFR-033-01-01</t>
  </si>
  <si>
    <t>콜센터 시스템은 테스트 환경이 없는 상태임. 운영 환경만 존재. 단, 콜센터 상담 App(상담화면)은 테스트 환경 구성되어 있음</t>
  </si>
  <si>
    <t>운영환경 구성 전에 별도 구성 예정인 개발장비 (A100*8장) 중 1장을 배정하여 개발서버로 활용 후 오픈 시 운영</t>
  </si>
  <si>
    <t>기간계 API 대응 개발</t>
  </si>
  <si>
    <t>SFR-034-01-01</t>
  </si>
  <si>
    <t>(Agent 협약기관 등) 기간계 API 별도로 없으며, 해당 API는 본 사업 사업자에서 대응 개발 필요(내부 시스템 간 데이터는 MCI 기반(mccube) 전문 송수신으로 사용 중)</t>
  </si>
  <si>
    <r>
      <rPr>
        <rFont val="맑은 고딕"/>
        <color rgb="FF0000FF"/>
        <sz val="9.0"/>
      </rPr>
      <t xml:space="preserve">[Before]
API 개발(I/F 방안은 mccube와 협의하여 수행)
[After]
기간계 API 개발 범위를 ①협약기관 ②경영정보시스템 ③채권양수도 ④콜센터 고객정보 조회로 목록화
분석·설계 기간 내 API별 대상 시스템·조회 항목·호출 방식·응답시간·오류처리·보안 범위를 규격서로 제출하고 위원회 승인 후 확정
콜센터 고객정보는 어시스턴트 UI에 표시하며 AI 추론·지식베이스에는 전달하지 않음
</t>
    </r>
    <r>
      <rPr>
        <rFont val="맑은 고딕"/>
        <color rgb="FFFF0000"/>
        <sz val="9.0"/>
      </rPr>
      <t>(이후 추가적인 기간계 API 개발 범위는 위원회와 협의하여 진행)</t>
    </r>
  </si>
  <si>
    <t>기간계 API 개발 대상과 건수가 확정되지 않아 범위 관리가 어려우므로, 다음을 개발 대상으로 목록화하여 확정 요망.
① 협약기관 정보 조회(SFR-021) ② 인사정보 연동(SFR-020) ③ 채권양수도 이력 수집(SFR-022) ④ 콜센터 고객 정보 조회(SFR-014)
[3차 검토_260822~23]
연계 범위 정의 필요 (아래 내용은 각 AI 서비스 실무협의 단계에서 위원회 업무시스템과 정보를 주고 받는 개념이 적용된 부분을 나열했음. 수행사 확인 필요)
1. 협약기관 (협약기관 AI 서비스)
2. 인사정보 (업무담당자 검색 AI 서비스)
3. 채권양수도 이력(채권양수도 추론 AI 서비스)
4. 콜센터 고객 정보(콜센터 어시스턴트(상단에 연결된 고객 정보 포함) + 콜센터 LLM 질의창)
5. 경영정보시스템 상 '직제 정보' (업무담당자 검색 AI 서비스)
6. 업무포털(Band) 
7. 데이터길잡이(별도로 구성할 데이터길잡이 전용 Mart)
8. 민원업무 지원 AI 서비스 (VOC에 등록된 민원처리내역 원본을 관련 AI서비스에 증분 반영)</t>
  </si>
  <si>
    <t>차기 변제금 납입 및 소액 대출 연체 등 예측 모델 구축 시 input 데이터 처리</t>
  </si>
  <si>
    <t>SFR-035-01-01</t>
  </si>
  <si>
    <t>해당 모델 구축 시 input 데이터 추출 등은 본 사업 사업자에서 대응 必. 단, 대상 및 조건 등은 주관부서와 사전 협의 필요</t>
  </si>
  <si>
    <t>- 해당 모델 구축 시 input 데이터 추출 등은 본 사업 사업자에서 대응(단, DB접속 및 메타접속 권한 부여 필요)
- 대상 및 조건 등은 주관부서와 협의하여 수행
(주관부서와 협의 기준은 위원회의 요구사항을 우선적으로 수용하는 것을 원칙으로 하며, 착수 후 분석/설계 기간 내에 기간계 API 연동 규격서 및 데이터 처리 방안 설계서를 제출하여 위원회의 최종 승인을 득해야 함)</t>
  </si>
  <si>
    <t>요구사항정의서-비기능</t>
  </si>
  <si>
    <t>성능 요구사항</t>
  </si>
  <si>
    <t>위원회 검토 의견(26.8.12.)</t>
  </si>
  <si>
    <t>성능 목표 수립, 테스트·모니터링 체계 및 기술협상 검수 기준 마련</t>
  </si>
  <si>
    <t>PER-001-01-01</t>
  </si>
  <si>
    <t>[성능 목표 수립]</t>
  </si>
  <si>
    <t>세부 아키텍처별 (AI 추론, 문서 처리, 검색, 웹 서비스 등) 성능 목표를 수립하고 달성 전략을 제안서에 포함</t>
  </si>
  <si>
    <t>AI 추론·문서처리·검색·웹 구간별 목표치·측정식·달성전략 수립</t>
  </si>
  <si>
    <t>· 성능시험 계획서
 · 성능시험 결과서
 · 성능지표 정의서
 · 통합 성능 테스트 시나리오</t>
  </si>
  <si>
    <t>PER-001-01-02</t>
  </si>
  <si>
    <t>시스템은 성능 테스트 방안(부하 테스트, 스트레스 테스트 포함)을 수립하여야 한다.</t>
  </si>
  <si>
    <t>부하·스트레스 테스트 시나리오와 측정환경·합격기준 정의</t>
  </si>
  <si>
    <t>PER-001-01-03</t>
  </si>
  <si>
    <t>성능 모니터링 및 이상 징후 탐지 체계를 구축</t>
  </si>
  <si>
    <t>응답시간·오류율·자원사용률 모니터링 및 임계치 알림 구성</t>
  </si>
  <si>
    <t>PER-001-01-04</t>
  </si>
  <si>
    <t>성능 병목 발생 시 대응 절차를 마련</t>
  </si>
  <si>
    <t>병목 구간 식별→원인분석→튜닝→재시험 절차 수립</t>
  </si>
  <si>
    <t>PER-001-02-01</t>
  </si>
  <si>
    <t>[PER 공통 기술협상 협의 사항]</t>
  </si>
  <si>
    <t>PER 항목의 정량적 수치는 위원회가 요구하는 '목표 최소 합격 기준'이며, 사업자는 제안서에 각 항목별 달성 목표를 동 기준 이상으로 명시하는 것을 원칙으로 한다.</t>
  </si>
  <si>
    <t>RFP 정량값을 최소 합격선으로 적용하고 항목별 상향 목표 제시</t>
  </si>
  <si>
    <t>PER-001-02-02</t>
  </si>
  <si>
    <t>단, 현재 AI 기술 및 구현 환경의 한계로 인하여 부득이하게 상기 목표 기준 달성이 어렵다고 판단되는 항목에 대해서는, 제안서에 그 명확한 기술적 사유와 함께 '현실적으로 달성 가능한 대안 목표값'을 명시하여 제안할 수 있다.</t>
  </si>
  <si>
    <t>달성 곤란 항목은 기술 근거와 현실적 대안 목표값을 제시해 위원회 협의</t>
  </si>
  <si>
    <t>PER-001-02-03</t>
  </si>
  <si>
    <t>항목별 최종 검수 합격 기준(목표값)은 제안사가 제시한 기술적 근거를 바탕으로 기술협상 시 위원회와 상호 협의하여 최종 확정한다.</t>
  </si>
  <si>
    <t>제안 목표와 기술 근거를 기준으로 기술협상에서 최종 합격값 확정</t>
  </si>
  <si>
    <t>웹 페이지 응답·문서 변환·검색 응답 성능</t>
  </si>
  <si>
    <t>웹 페이지 응답, 문서 파싱·변환 처리, 벡터 검색 응답 등 정량 기준</t>
  </si>
  <si>
    <t>PER-002-01-01</t>
  </si>
  <si>
    <t>[웹 페이지 응답 시간]</t>
  </si>
  <si>
    <t>웹 페이지(관리자 대시보드, Agent 대화 화면, 검수 UI 등)는 사용 자 요청 시점부터 화면 렌더링 완료까지 3초 이내 응답</t>
  </si>
  <si>
    <t>관리자·Agent·검수 UI 화면 렌더링 3초 이내 기준으로 계측</t>
  </si>
  <si>
    <t>· PER-001 산출물에 포함</t>
  </si>
  <si>
    <t>PER-002-01-02</t>
  </si>
  <si>
    <t>다음의 경우 예외 적용
· AI 추론이 포함된 페이지
· 5,000건 이상의 대량 데이터를 조회하는 경우
· 500KB 이상의 이미지를 포함하는 페이지
· 시스템 부하율이 70%를 초과하는 경우</t>
  </si>
  <si>
    <t>AI 추론·대량조회·대용량 이미지·고부하 조건은 예외구간으로 분리 측정</t>
  </si>
  <si>
    <t>PER-002-02-01</t>
  </si>
  <si>
    <t>[대용량 처리 지연 안내]</t>
  </si>
  <si>
    <t>처리 시간이 5초를 초과하는 요청은 사용자에게 진행 상태 메시지 또는 프로그레스 바를 표시하여야 한다.</t>
  </si>
  <si>
    <t>5초 초과 작업에 진행상태 메시지 또는 프로그레스 바 표시</t>
  </si>
  <si>
    <t>PER-002-03-01</t>
  </si>
  <si>
    <t>[문서 변환 성능]</t>
  </si>
  <si>
    <t>다중 포맷 문서(PDF, HWP, DOCX 등)의 파싱 및 HWP→PDF 변환 처리 성능 목표 수립 및 측정</t>
  </si>
  <si>
    <r>
      <rPr>
        <rFont val="맑은 고딕"/>
        <color rgb="FF0000FF"/>
        <sz val="9.0"/>
      </rPr>
      <t xml:space="preserve">[Before]
PDF·HWP·DOCX 파싱 및 HWP→PDF 변환을 포맷·용량별로 성능 측정
[After]
PDF·HWPX·DOCX·PPT/PPTX 파싱 및 HWPX→PDF 변환을 포맷·용량별로 성능 측정
PDF·HWPX·DOCX·PPT/PPTX 등 포맷과 문서 용량·페이지 구간별 처리시간 목표 초안을 제시
</t>
    </r>
    <r>
      <rPr>
        <rFont val="맑은 고딕"/>
        <color rgb="FFFF0000"/>
        <sz val="9.0"/>
      </rPr>
      <t>목표값과 측정환경·반복횟수·합격기준을 위원회와 합의한 후 성능시험을 수행하고 결과를 제출</t>
    </r>
  </si>
  <si>
    <t>성능 목표 수립에 대한 내용 없이 '측정'만 수행방안으로 제시되어 있음. 목표 제시-발주사 협의-성능측정 방식으로 수행 필요
다중 포맷 문서 파싱 대상의 '등'에 근거하여 PPT(PPTX) 추가 요청</t>
  </si>
  <si>
    <t>PER-002-04-01</t>
  </si>
  <si>
    <t>[검색 응답 성능]</t>
  </si>
  <si>
    <t>단일 질의 검색 응답: 1초 이내</t>
  </si>
  <si>
    <t>단일 질의 검색 응답 1초 이내 부하시험</t>
  </si>
  <si>
    <t>PER-002-04-02</t>
  </si>
  <si>
    <t>하이브리드 검색(키워드+벡터) 합산 응답: 3초 이내</t>
  </si>
  <si>
    <t>키워드+벡터 하이브리드 검색 3초 이내 부하시험</t>
  </si>
  <si>
    <t>AI 서비스 유형별 동시접속 및 응답 성능</t>
  </si>
  <si>
    <t>서비스 유형별 동시접속·응답시간 및 시스템 자원 사용률 기준</t>
  </si>
  <si>
    <t>PER-003-01-01</t>
  </si>
  <si>
    <t>[사용자 그룹 정의 및 접속 형태: 총 928명]
※ 상기 인원은 ‘28년 말 기준 인력현황을 가정</t>
  </si>
  <si>
    <t>[그룹A] 콜센터 상담사: '콜센터 상담 어시스턴트' 전용. STT 분석은 기 구축된 자원을 활용하며, 본 접속 형태에서는 상담 중 사용자의 LLM 호출 액션을 트리거(통화당 3회 이내)로 하여 추천 상담 스크립트(3종 이내)를 제공하는 기능에 한정함. (※ 참고: 일평균 콜 약 22,000건)
· 대상 인원: 228명
· 활성사용율: 90% (휴가 등)
· 통화가동률: 70% (동시 통화 진행 인력)
· 동시성계수: 20% (통화 중 호출 시점의 중첩 확률)
· 최종 동시접속자: 30명 (228명 * 90% * 70% * 20%)</t>
  </si>
  <si>
    <t>콜센터 228명·동시 30명 기준, 통화당 3회 이내 추천 스크립트 호출 부하 검증</t>
  </si>
  <si>
    <t>PER-003-01-02</t>
  </si>
  <si>
    <t>[그룹B] 상담부서(지부): 'Agent 상담지식'을 주로 사용하며, 그 외 AI 서비스도 허용. (※ 참고: 일평균 상담건수 12건, 평균 상담시간 30분, 1인이 상담 1건 당 2회 사용 가정)
· 대상 인원: 433명
· 활성사용율: 85% (휴가, 출장 등)
· 동시성계수: 15% (챗봇 호출 시점의 중첩 확률)
· 최종 동시접속자: 55명 (433명 * 85% * 15%)</t>
  </si>
  <si>
    <t>상담부서 433명·동시 55명 기준 Agent 상담지식 혼합 부하 검증</t>
  </si>
  <si>
    <t>PER-003-01-03</t>
  </si>
  <si>
    <t>[그룹C] 지원부서(본부): 그룹 A, B의 메인기능을 제외한 기능을 주로 사용함
· 대상 인원: 268명
· 활성사용율: 85% (휴가 등)
· 동시성계수: 10%
· 최종 동시접속자: 23명 (268명 * 85% * 10%)</t>
  </si>
  <si>
    <t>지원부서 268명·동시 23명 기준 기타 Agent 혼합 부하 검증</t>
  </si>
  <si>
    <t>PER-003-02-01</t>
  </si>
  <si>
    <t>콜센터 상담 어시스턴트(SFR) 성능</t>
  </si>
  <si>
    <t>시스템은 상담사의 AI 호출 액션(추천 스크립트 요청) 시, 스트리밍 첫 토큰 응답 시간 5초 이내를 보장하여야 한다(동시 LLM 요청 약 30 건 기준). 측정 구간은 상담사가 AI 호출 버튼을 클릭한 시점부터 첫 토큰이 UI에 표시되는 시점까지로 하며, STT 수신 및 백그라운드 맥 락 분석 시간은 측정 구간에 포함하지 않는다.</t>
  </si>
  <si>
    <t>동시 LLM 30건에서 호출 클릭→첫 토큰 표시 5초 이내 검증(STT·백그라운드 분석 제외)</t>
  </si>
  <si>
    <t>PER-003-03-01</t>
  </si>
  <si>
    <t>Agent 상담지식 성능</t>
  </si>
  <si>
    <t>시스템은 상담지식 Agent의 단일 질의에 대해, 의도 분류·라우팅·검 색·응답 생성을 포함한 end-to-end 스트리밍 첫 토큰 응답 시간 5초 이내를 보장하여야 한다(동시접속자 55명 기준).</t>
  </si>
  <si>
    <t>동시 55명에서 의도분류·라우팅·검색·생성 포함 첫 토큰 5초 이내 검증</t>
  </si>
  <si>
    <t>PER-003-04-01</t>
  </si>
  <si>
    <t>그 외 Agent</t>
  </si>
  <si>
    <t>시스템 그 외 Agent의 스트리밍 첫 토큰 응답 시간 10초 이내를 보 장하여야 한다(동시접속자 23명 기준).P</t>
  </si>
  <si>
    <t>동시 23명에서 기타 Agent 첫 토큰 10초 이내 검증</t>
  </si>
  <si>
    <t>PER-003-04-02</t>
  </si>
  <si>
    <t>단, Agent 데이터 길잡이는 코드 생성·실행·결과 정리를 포함한 전체 응답 완료 시간은 20초 이내를 보장하여야 한다(동시접속자 23명 기준).</t>
  </si>
  <si>
    <t>PER-003-04-02 에서 전체 응답 완료 시간 20초 이내를요구에 대해 다음의 2가지 케이스로 분리하여 1번 항목에서만 20초 이내 답변.
1) 데이터에 따라 파라미터만 바뀌는 수준의 코드 생성
2) 자유 분석 및 고급 통계 분석, 대용량 데이터 입력
[26.07.30 Agent 개발 요구사항 논의]</t>
  </si>
  <si>
    <t>시스템장비 요구사항</t>
  </si>
  <si>
    <t>PER-003-05-01</t>
  </si>
  <si>
    <t>[시스템 자원 사용률 기준]</t>
  </si>
  <si>
    <t>시스템은 PER에서 정의한 동시접속 환경(108명)에서 다음 자원 사용률 기준을 충족하여야 한다.</t>
  </si>
  <si>
    <t>동시접속 108명 부하에서 CPU·메모리·GPU 사용률 기준 검증</t>
  </si>
  <si>
    <t>PER-003-05-02</t>
  </si>
  <si>
    <t>CPU 평균 사용률: 서비스 가용시간(09:00~18:00) 동안 70% 이하</t>
  </si>
  <si>
    <t>업무시간 CPU 평균 사용률 70% 이하 모니터링</t>
  </si>
  <si>
    <t>PER-003-05-03</t>
  </si>
  <si>
    <t>메모리 평균 사용률: 서비스 가용시간 동안 80% 이하</t>
  </si>
  <si>
    <t>업무시간 메모리 평균 사용률 80% 이하 모니터링</t>
  </si>
  <si>
    <t>PER-003-05-04</t>
  </si>
  <si>
    <t>GPU 사용률: 피크 부하 시 GPU당 평균 사용률 85% 이하 (LLM 추론 특성상 순간 100% 도달은 허용하되, 5분 평균 기준 적용. 상시 95% 이상 지속 시 자원 증설 필요 판정)</t>
  </si>
  <si>
    <t>피크 부하 GPU 5분 평균 85% 이하, 상시 95% 초과 시 증설 판단</t>
  </si>
  <si>
    <t>PER-003-05-05</t>
  </si>
  <si>
    <t>상기 기준은 정상 운영 상태에서 적용하며, 배치 파이프라인 실행(증 분 인덱싱, 재임베딩 등) 시간대는 위원회와 협의하여 측정 대상에서 제외할 수 있다.</t>
  </si>
  <si>
    <t>증분 인덱싱·재임베딩 배치시간은 위원회 협의 후 측정구간에서 분리</t>
  </si>
  <si>
    <t>시스템 장비 요구사항</t>
  </si>
  <si>
    <t>시스템 납품 및 계약 기준 정의</t>
  </si>
  <si>
    <t>RAG 응답 정확도·환각률·문서 분류</t>
  </si>
  <si>
    <t>RAG 정확도·환각률·출처 정밀도, 문서 분류·메타데이터·검색 품질</t>
  </si>
  <si>
    <t>ECR-001-01-01</t>
  </si>
  <si>
    <t>PER-004-01-01</t>
  </si>
  <si>
    <t>[시스템 납품 및 계약 조건]</t>
  </si>
  <si>
    <t>[RAG 응답 정확도]</t>
  </si>
  <si>
    <t>제안요청서 사양은 최소 기준이며, 사업자는 성능·확장성을 고려한 최적 구성을 제안하여야 한다.</t>
  </si>
  <si>
    <t>위원회 제공 테스트케이스(정답 문항 최소 50개 이상)에서 응답 정확도 측정
· 최소 합격 기준: 85% 이상
· 목표 정확도: 90% 이상</t>
  </si>
  <si>
    <t>위원회 정답셋 50건 이상으로 응답 정확도 85% 합격·90% 목표 검증</t>
  </si>
  <si>
    <t>RFP 최소사양 기준 성능·확장성 검토 및 최적 구성안 제시</t>
  </si>
  <si>
    <t>· PER-001 산출물에 포함
 · 조치결과보고서(성능 미달 시 보완•수정 결과)</t>
  </si>
  <si>
    <t>· 요구사항 충족 매핑표
 · 납품확인서
 · 정품 확인서(제품보증서)
 · 라이선스 증서 (상용 SW•구독형 포함)
 · 제조사 기술지원확약서 (HW•SW)
 · 제조사 물품공급확약서</t>
  </si>
  <si>
    <t>PER-004-02-01</t>
  </si>
  <si>
    <t>[환각률(Hallucination Rate)]</t>
  </si>
  <si>
    <t>테스트케이스 기준 10% 이하</t>
  </si>
  <si>
    <t>위원회 테스트케이스 기준 환각률 10% 이하 검증</t>
  </si>
  <si>
    <t>ECR-001-01-02</t>
  </si>
  <si>
    <t>HW/SW/NW 구성은 상호연동성, 운영편의성, 비용효율성을 고려하여 설계하여야 한다.</t>
  </si>
  <si>
    <t>H/W·S/W·N/W 상호연동성·운영편의성·비용효율성 기반 구성 설계</t>
  </si>
  <si>
    <t>PER-004-03-01</t>
  </si>
  <si>
    <t>[출처 인용 정밀도]</t>
  </si>
  <si>
    <t>85% 이상</t>
  </si>
  <si>
    <t>답변 근거의 출처 인용 정밀도 85% 이상 검증</t>
  </si>
  <si>
    <t>PER-004-04-01</t>
  </si>
  <si>
    <t>ECR-001-01-03</t>
  </si>
  <si>
    <t>[문서 자동 분류 정확도]</t>
  </si>
  <si>
    <t>· 85% 이상
· 검수 방법: 위원회 제공 검증 데이터셋 기반 측정</t>
  </si>
  <si>
    <t>제안 구성에 대한 요구사항 충족 여부 매핑표를 제출하여야 한다.</t>
  </si>
  <si>
    <t>위원회 검증셋으로 문서 자동분류 정확도 85% 이상 측정</t>
  </si>
  <si>
    <t>도입 구성별 요구사항 충족 매핑표 작성·제출</t>
  </si>
  <si>
    <t>PER-004-05-01</t>
  </si>
  <si>
    <t>[메타데이터 자동 추출 정확도]</t>
  </si>
  <si>
    <t>문서 내 핵심 메타데이터(시행일, 폐지일, 적용대상, 제도구분) 자동 추출 정확도.
· 최소 합격 기준 85% (문서 단위 측정: 검증 데이터셋 내 문서 중 필수 메타데이터 전 항목이 정확히 추출된 문서의 비율로 산정)</t>
  </si>
  <si>
    <t>시행일·폐지일·적용대상·제도구분 전 항목 일치 문서 비율 85% 이상 검증</t>
  </si>
  <si>
    <t>ECR-001-01-04</t>
  </si>
  <si>
    <t>모든 도입 제품은 정품 및 최신 안정화 버전으로 구성하되 제조사/커뮤니티의LTS 또는 프로덕션 권장 버전을 우선 적용 하여야 한다.</t>
  </si>
  <si>
    <t>정품·최신 안정화/LTS 버전 적용 및 제조사 기술지원 체계 확보</t>
  </si>
  <si>
    <t>PER-004-06-01</t>
  </si>
  <si>
    <t>[도메인 용어 검색 재현율]</t>
  </si>
  <si>
    <t>위원회 용어 검증셋으로 검색 재현율 85% 이상 측정</t>
  </si>
  <si>
    <t>ECR-001-01-05</t>
  </si>
  <si>
    <t>납품되는 서버는 직접 제조사의 정품이어야 하며, 기존 운영 인프라(Dell, HP 계열)와의 관리 일관성 확보를 위해 동일 벤더 또는 동등 수준의 통합 관리 솔루션 지원 방안을 제안서에 명시하여야 한다.대해서는 제조사 기술지원 체계를 명시한다.</t>
  </si>
  <si>
    <t>제조사 정품 서버 적용, 기존 Dell·HP 인프라와 동등한 통합관리 및 5년 기술지원 체계 명시</t>
  </si>
  <si>
    <t>PER-004-07-01</t>
  </si>
  <si>
    <t>[검수 기준]</t>
  </si>
  <si>
    <t>검수 샘플 규모·측정 방법은 기술협상 시 협의하여 확정한다.</t>
  </si>
  <si>
    <t>샘플 규모·산식·판정기준을 기술협상에서 협의·확정</t>
  </si>
  <si>
    <t>ECR-001-01-06</t>
  </si>
  <si>
    <t>라이선스는 설치형 우선으로 하며, 구독형은 최소 1년 이상 포함하여야 한다.</t>
  </si>
  <si>
    <t>RAG 이상 징후 탐지·벡터 DB 복구(RTO)</t>
  </si>
  <si>
    <t>설치형 라이선스 우선 적용, 구독형은 최소 1년 이상 확보</t>
  </si>
  <si>
    <t>RAG 품질 이상 징후 탐지·알림, 벡터 DB 장애 시 복구(RTO)</t>
  </si>
  <si>
    <t>PER-005-01-01</t>
  </si>
  <si>
    <t>[이상 징후 탐지 기본 원칙]</t>
  </si>
  <si>
    <t>RAG 품질 모니터링 대시보드에서 다음 지표의 이상 징후 탐지 및 관리자 알림 제공
· 환각률 급증
· 응답 시간 지연
· 검색 실패율 급증
· 응답 정확도 하락</t>
  </si>
  <si>
    <t>환각률·응답지연·검색실패율·정확도 저하를 대시보드에서 탐지·알림</t>
  </si>
  <si>
    <t>ECR-001-01-07</t>
  </si>
  <si>
    <t>납품 장비는 최소 5년 이상 Warranty 및 기술지원이 가능하여야 한다.</t>
  </si>
  <si>
    <t>납품 장비는 최소 5년 이상 Warranty 및 기술지원이 가능</t>
  </si>
  <si>
    <t>PER-005-01-02</t>
  </si>
  <si>
    <t>각 지표의 임계값은 관리자가 웹 UI에서 직접 조정 가능하도록 구현</t>
  </si>
  <si>
    <t>이상징후 임계값과 알림정책을 관리자 Web UI에서 조정</t>
  </si>
  <si>
    <t>ECR-001-01-08</t>
  </si>
  <si>
    <t>설치, 커스터마이징, 테스트, 전환 작업은 사업자가 수행한다.</t>
  </si>
  <si>
    <t>설치, 커스터마이징, 테스트, 전환 작업은 사업자가 수행</t>
  </si>
  <si>
    <t>PER-005-02-01</t>
  </si>
  <si>
    <t>[벡터 DB 복구 시간(RTO)]</t>
  </si>
  <si>
    <t>벡터 DB 장애 발생 시 백업 데이터 활용 전체 복구 필요</t>
  </si>
  <si>
    <t>벡터DB 장애 시 백업 기반 전체 복구 및 RTO 측정</t>
  </si>
  <si>
    <t>ECR-001-01-09</t>
  </si>
  <si>
    <t>추가 HW/SW 필요 시 상호 협의하여 반영한다.</t>
  </si>
  <si>
    <r>
      <rPr>
        <rFont val="Malgun Gothic"/>
        <color theme="1"/>
        <sz val="9.0"/>
      </rPr>
      <t xml:space="preserve">추가 HW/SW 필요 시 협의하여 반영
</t>
    </r>
    <r>
      <rPr>
        <rFont val="맑은 고딕"/>
        <color rgb="FFFF0000"/>
        <sz val="9.0"/>
      </rPr>
      <t>다만, 과업범위를 초과(과업 예산범위를 초과)하는 경우 과업변경절차에 따라 위원회와 협의하여 상호 합의된 범위에서 반영함</t>
    </r>
  </si>
  <si>
    <t>PER-005-02-02</t>
  </si>
  <si>
    <t>운영 중 데이터 규모 증가에 따른 RTO 재산정은 운영 단계에서 별도 협의</t>
  </si>
  <si>
    <t>데이터 증가량을 반영해 운영 단계 RTO 재산정</t>
  </si>
  <si>
    <t>ECR-001-01-10</t>
  </si>
  <si>
    <t>동급 이상의 대체 아키텍처 및 기술 적용을 허용한다.</t>
  </si>
  <si>
    <t>PER-005-03-01</t>
  </si>
  <si>
    <t>[기술협상 협의 사항]</t>
  </si>
  <si>
    <r>
      <rPr>
        <rFont val="Malgun Gothic"/>
        <color theme="1"/>
        <sz val="9.0"/>
      </rPr>
      <t xml:space="preserve">동급 이상의 대체 아키텍처 및 기술 적용을 허용
</t>
    </r>
    <r>
      <rPr>
        <rFont val="맑은 고딕"/>
        <color rgb="FFFF0000"/>
        <sz val="9.0"/>
      </rPr>
      <t>다만, 대체 아키텍처 및 기술적용 필요 시 허용 적용 범위는 위원회와 협의하여 상호 합의된 범위에서 적용함</t>
    </r>
  </si>
  <si>
    <t>임계값 기본값 및 알림 정책의 세부사항은 기술협상 시 위원회와 상호 협의하여 최종 확정한다.</t>
  </si>
  <si>
    <t>임계값 기본값·알림 채널·에스컬레이션 기준을 기술협상에서 확정</t>
  </si>
  <si>
    <t>LLMOps, RAGOps, 콜센터 어시스턴트, 디지털상담부 TA</t>
  </si>
  <si>
    <t>PER-006-01-01</t>
  </si>
  <si>
    <r>
      <rPr>
        <rFont val="Calibri"/>
        <color theme="1"/>
        <sz val="9.0"/>
      </rPr>
      <t>- RFP</t>
    </r>
    <r>
      <rPr>
        <rFont val="맑은 고딕"/>
        <color theme="1"/>
        <sz val="9.0"/>
      </rPr>
      <t>와</t>
    </r>
    <r>
      <rPr>
        <rFont val="Calibri"/>
        <color theme="1"/>
        <sz val="9.0"/>
      </rPr>
      <t xml:space="preserve"> </t>
    </r>
    <r>
      <rPr>
        <rFont val="맑은 고딕"/>
        <color theme="1"/>
        <sz val="9.0"/>
      </rPr>
      <t>제안서</t>
    </r>
    <r>
      <rPr>
        <rFont val="Calibri"/>
        <color theme="1"/>
        <sz val="9.0"/>
      </rPr>
      <t xml:space="preserve"> </t>
    </r>
    <r>
      <rPr>
        <rFont val="맑은 고딕"/>
        <color theme="1"/>
        <sz val="9.0"/>
      </rPr>
      <t>정합성</t>
    </r>
    <r>
      <rPr>
        <rFont val="Calibri"/>
        <color theme="1"/>
        <sz val="9.0"/>
      </rPr>
      <t xml:space="preserve"> </t>
    </r>
    <r>
      <rPr>
        <rFont val="맑은 고딕"/>
        <color theme="1"/>
        <sz val="9.0"/>
      </rPr>
      <t>검토</t>
    </r>
    <r>
      <rPr>
        <rFont val="Calibri"/>
        <color theme="1"/>
        <sz val="9.0"/>
      </rPr>
      <t xml:space="preserve"> </t>
    </r>
    <r>
      <rPr>
        <rFont val="맑은 고딕"/>
        <color theme="1"/>
        <sz val="9.0"/>
      </rPr>
      <t>및</t>
    </r>
    <r>
      <rPr>
        <rFont val="Calibri"/>
        <color theme="1"/>
        <sz val="9.0"/>
      </rPr>
      <t xml:space="preserve"> </t>
    </r>
    <r>
      <rPr>
        <rFont val="맑은 고딕"/>
        <color theme="1"/>
        <sz val="9.0"/>
      </rPr>
      <t>구현</t>
    </r>
    <r>
      <rPr>
        <rFont val="Calibri"/>
        <color theme="1"/>
        <sz val="9.0"/>
      </rPr>
      <t xml:space="preserve">
</t>
    </r>
    <r>
      <rPr>
        <rFont val="맑은 고딕"/>
        <color theme="1"/>
        <sz val="9.0"/>
      </rPr>
      <t>- 사업자는</t>
    </r>
    <r>
      <rPr>
        <rFont val="Calibri"/>
        <color theme="1"/>
        <sz val="9.0"/>
      </rPr>
      <t xml:space="preserve"> LLMOps, RAGOps, </t>
    </r>
    <r>
      <rPr>
        <rFont val="맑은 고딕"/>
        <color theme="1"/>
        <sz val="9.0"/>
      </rPr>
      <t>콜센터</t>
    </r>
    <r>
      <rPr>
        <rFont val="Calibri"/>
        <color theme="1"/>
        <sz val="9.0"/>
      </rPr>
      <t xml:space="preserve"> </t>
    </r>
    <r>
      <rPr>
        <rFont val="맑은 고딕"/>
        <color theme="1"/>
        <sz val="9.0"/>
      </rPr>
      <t>상담</t>
    </r>
    <r>
      <rPr>
        <rFont val="Calibri"/>
        <color theme="1"/>
        <sz val="9.0"/>
      </rPr>
      <t xml:space="preserve"> </t>
    </r>
    <r>
      <rPr>
        <rFont val="맑은 고딕"/>
        <color theme="1"/>
        <sz val="9.0"/>
      </rPr>
      <t>어시스턴트</t>
    </r>
    <r>
      <rPr>
        <rFont val="Calibri"/>
        <color theme="1"/>
        <sz val="9.0"/>
      </rPr>
      <t xml:space="preserve">, </t>
    </r>
    <r>
      <rPr>
        <rFont val="맑은 고딕"/>
        <color theme="1"/>
        <sz val="9.0"/>
      </rPr>
      <t>디지털상담부</t>
    </r>
    <r>
      <rPr>
        <rFont val="Calibri"/>
        <color theme="1"/>
        <sz val="9.0"/>
      </rPr>
      <t xml:space="preserve"> TA </t>
    </r>
    <r>
      <rPr>
        <rFont val="맑은 고딕"/>
        <color theme="1"/>
        <sz val="9.0"/>
      </rPr>
      <t>구성에</t>
    </r>
    <r>
      <rPr>
        <rFont val="Calibri"/>
        <color theme="1"/>
        <sz val="9.0"/>
      </rPr>
      <t xml:space="preserve"> </t>
    </r>
    <r>
      <rPr>
        <rFont val="맑은 고딕"/>
        <color theme="1"/>
        <sz val="9.0"/>
      </rPr>
      <t>있어</t>
    </r>
    <r>
      <rPr>
        <rFont val="Calibri"/>
        <color theme="1"/>
        <sz val="9.0"/>
      </rPr>
      <t xml:space="preserve"> RFP</t>
    </r>
    <r>
      <rPr>
        <rFont val="맑은 고딕"/>
        <color theme="1"/>
        <sz val="9.0"/>
      </rPr>
      <t>와</t>
    </r>
    <r>
      <rPr>
        <rFont val="Calibri"/>
        <color theme="1"/>
        <sz val="9.0"/>
      </rPr>
      <t xml:space="preserve"> </t>
    </r>
    <r>
      <rPr>
        <rFont val="맑은 고딕"/>
        <color theme="1"/>
        <sz val="9.0"/>
      </rPr>
      <t>제안서</t>
    </r>
    <r>
      <rPr>
        <rFont val="Calibri"/>
        <color theme="1"/>
        <sz val="9.0"/>
      </rPr>
      <t xml:space="preserve">, </t>
    </r>
    <r>
      <rPr>
        <rFont val="맑은 고딕"/>
        <color theme="1"/>
        <sz val="9.0"/>
      </rPr>
      <t>회의록의</t>
    </r>
    <r>
      <rPr>
        <rFont val="Calibri"/>
        <color theme="1"/>
        <sz val="9.0"/>
      </rPr>
      <t xml:space="preserve"> </t>
    </r>
    <r>
      <rPr>
        <rFont val="맑은 고딕"/>
        <color theme="1"/>
        <sz val="9.0"/>
      </rPr>
      <t>정합성을</t>
    </r>
    <r>
      <rPr>
        <rFont val="Calibri"/>
        <color theme="1"/>
        <sz val="9.0"/>
      </rPr>
      <t xml:space="preserve"> 100% </t>
    </r>
    <r>
      <rPr>
        <rFont val="맑은 고딕"/>
        <color theme="1"/>
        <sz val="9.0"/>
      </rPr>
      <t>맞추어야</t>
    </r>
    <r>
      <rPr>
        <rFont val="Calibri"/>
        <color theme="1"/>
        <sz val="9.0"/>
      </rPr>
      <t xml:space="preserve"> </t>
    </r>
    <r>
      <rPr>
        <rFont val="맑은 고딕"/>
        <color theme="1"/>
        <sz val="9.0"/>
      </rPr>
      <t>함</t>
    </r>
  </si>
  <si>
    <t>AI 서비스 중심 시스템 구조 정의</t>
  </si>
  <si>
    <t>[Before]
-  RFP 요구사항 100% 수용 및 구현, 관련법, 규정 준수
- 제안 내용 이행 여부를 점검하기 위해 착수 시점에 성능 평가 지표(RAG 정확도, 응답속도, 환각률 통제 등)의 구체적 목표 수치와 측정 방안을 제출하여 위원회의 승인을 득함
[After]
-  RFP 요구사항 100% 수용 및 구현, 관련법, 규정 준수
- RFP뿐 아니라 제안서·기술협상서·회의록까지 요구사항 추적 매트릭스에 매핑하여 정합성을 점검
- 착수 시 성능평가지표와 측정방안을 제출하고, 문서 간 상충 시 기술협상서 및 위원회 승인 기준에 따라 반영
- 제안 내용 이행 여부를 점검하기 위해 착수 시점에 성능 평가 지표(RAG 정확도, 응답속도, 환각률 통제 등)의 구체적 목표 수치와 측정 방안을 제출하여 위원회의 승인을 득함</t>
  </si>
  <si>
    <t xml:space="preserve">제안서·회의록 정합성에 대한 언급이 누락됨. 보완 필요. 
</t>
  </si>
  <si>
    <t>ECR-002-01-01</t>
  </si>
  <si>
    <t>[논리 아키텍처 및 서비스 구성]</t>
  </si>
  <si>
    <t>AI 플랫폼, RAG 기반 검색, 상담 어시스턴트 기능을 포함한 구조를 구성하여야 한다.</t>
  </si>
  <si>
    <t>AI 플랫폼, RAG 기반 검색, 상담 어시스턴트 기능을 포함한 구조를 구성</t>
  </si>
  <si>
    <t>성능 평가·검수 기준</t>
  </si>
  <si>
    <t>· 시스템 아키텍처 설계서
 · 네트워크 구성도</t>
  </si>
  <si>
    <t>PER-007-01-01</t>
  </si>
  <si>
    <r>
      <rPr>
        <rFont val="Malgun Gothic"/>
        <color theme="1"/>
        <sz val="9.0"/>
      </rPr>
      <t>- 응답</t>
    </r>
    <r>
      <rPr>
        <rFont val="Calibri"/>
        <color theme="1"/>
        <sz val="9.0"/>
      </rPr>
      <t xml:space="preserve"> </t>
    </r>
    <r>
      <rPr>
        <rFont val="맑은 고딕"/>
        <color theme="1"/>
        <sz val="9.0"/>
      </rPr>
      <t>성능</t>
    </r>
    <r>
      <rPr>
        <rFont val="Calibri"/>
        <color theme="1"/>
        <sz val="9.0"/>
      </rPr>
      <t xml:space="preserve">, RAG </t>
    </r>
    <r>
      <rPr>
        <rFont val="맑은 고딕"/>
        <color theme="1"/>
        <sz val="9.0"/>
      </rPr>
      <t>정확도</t>
    </r>
    <r>
      <rPr>
        <rFont val="Calibri"/>
        <color theme="1"/>
        <sz val="9.0"/>
      </rPr>
      <t xml:space="preserve"> </t>
    </r>
    <r>
      <rPr>
        <rFont val="맑은 고딕"/>
        <color theme="1"/>
        <sz val="9.0"/>
      </rPr>
      <t>및</t>
    </r>
    <r>
      <rPr>
        <rFont val="Calibri"/>
        <color theme="1"/>
        <sz val="9.0"/>
      </rPr>
      <t xml:space="preserve"> </t>
    </r>
    <r>
      <rPr>
        <rFont val="맑은 고딕"/>
        <color theme="1"/>
        <sz val="9.0"/>
      </rPr>
      <t>환각률</t>
    </r>
    <r>
      <rPr>
        <rFont val="Calibri"/>
        <color theme="1"/>
        <sz val="9.0"/>
      </rPr>
      <t xml:space="preserve">, RAG </t>
    </r>
    <r>
      <rPr>
        <rFont val="맑은 고딕"/>
        <color theme="1"/>
        <sz val="9.0"/>
      </rPr>
      <t>이상</t>
    </r>
    <r>
      <rPr>
        <rFont val="Calibri"/>
        <color theme="1"/>
        <sz val="9.0"/>
      </rPr>
      <t xml:space="preserve"> </t>
    </r>
    <r>
      <rPr>
        <rFont val="맑은 고딕"/>
        <color theme="1"/>
        <sz val="9.0"/>
      </rPr>
      <t>징후</t>
    </r>
    <r>
      <rPr>
        <rFont val="Calibri"/>
        <color theme="1"/>
        <sz val="9.0"/>
      </rPr>
      <t xml:space="preserve"> </t>
    </r>
    <r>
      <rPr>
        <rFont val="맑은 고딕"/>
        <color theme="1"/>
        <sz val="9.0"/>
      </rPr>
      <t>임계값</t>
    </r>
    <r>
      <rPr>
        <rFont val="Calibri"/>
        <color theme="1"/>
        <sz val="9.0"/>
      </rPr>
      <t xml:space="preserve"> </t>
    </r>
    <r>
      <rPr>
        <rFont val="맑은 고딕"/>
        <color theme="1"/>
        <sz val="9.0"/>
      </rPr>
      <t>등</t>
    </r>
    <r>
      <rPr>
        <rFont val="Calibri"/>
        <color theme="1"/>
        <sz val="9.0"/>
      </rPr>
      <t xml:space="preserve"> </t>
    </r>
    <r>
      <rPr>
        <rFont val="맑은 고딕"/>
        <color theme="1"/>
        <sz val="9.0"/>
      </rPr>
      <t>제안요청서의</t>
    </r>
    <r>
      <rPr>
        <rFont val="Calibri"/>
        <color theme="1"/>
        <sz val="9.0"/>
      </rPr>
      <t xml:space="preserve"> </t>
    </r>
    <r>
      <rPr>
        <rFont val="맑은 고딕"/>
        <color theme="1"/>
        <sz val="9.0"/>
      </rPr>
      <t>성능요구사항</t>
    </r>
    <r>
      <rPr>
        <rFont val="Calibri"/>
        <color theme="1"/>
        <sz val="9.0"/>
      </rPr>
      <t xml:space="preserve"> </t>
    </r>
    <r>
      <rPr>
        <rFont val="맑은 고딕"/>
        <color theme="1"/>
        <sz val="9.0"/>
      </rPr>
      <t>충족여부</t>
    </r>
    <r>
      <rPr>
        <rFont val="Calibri"/>
        <color theme="1"/>
        <sz val="9.0"/>
      </rPr>
      <t xml:space="preserve"> </t>
    </r>
    <r>
      <rPr>
        <rFont val="맑은 고딕"/>
        <color theme="1"/>
        <sz val="9.0"/>
      </rPr>
      <t>검증</t>
    </r>
    <r>
      <rPr>
        <rFont val="Calibri"/>
        <color theme="1"/>
        <sz val="9.0"/>
      </rPr>
      <t xml:space="preserve">
- RAG </t>
    </r>
    <r>
      <rPr>
        <rFont val="맑은 고딕"/>
        <color theme="1"/>
        <sz val="9.0"/>
      </rPr>
      <t>성능은</t>
    </r>
    <r>
      <rPr>
        <rFont val="Calibri"/>
        <color theme="1"/>
        <sz val="9.0"/>
      </rPr>
      <t xml:space="preserve"> </t>
    </r>
    <r>
      <rPr>
        <rFont val="맑은 고딕"/>
        <color theme="1"/>
        <sz val="9.0"/>
      </rPr>
      <t>단순</t>
    </r>
    <r>
      <rPr>
        <rFont val="Calibri"/>
        <color theme="1"/>
        <sz val="9.0"/>
      </rPr>
      <t xml:space="preserve"> </t>
    </r>
    <r>
      <rPr>
        <rFont val="맑은 고딕"/>
        <color theme="1"/>
        <sz val="9.0"/>
      </rPr>
      <t>벡터</t>
    </r>
    <r>
      <rPr>
        <rFont val="Calibri"/>
        <color theme="1"/>
        <sz val="9.0"/>
      </rPr>
      <t xml:space="preserve"> </t>
    </r>
    <r>
      <rPr>
        <rFont val="맑은 고딕"/>
        <color theme="1"/>
        <sz val="9.0"/>
      </rPr>
      <t>유사도</t>
    </r>
    <r>
      <rPr>
        <rFont val="Calibri"/>
        <color theme="1"/>
        <sz val="9.0"/>
      </rPr>
      <t xml:space="preserve"> </t>
    </r>
    <r>
      <rPr>
        <rFont val="맑은 고딕"/>
        <color theme="1"/>
        <sz val="9.0"/>
      </rPr>
      <t>지표가</t>
    </r>
    <r>
      <rPr>
        <rFont val="Calibri"/>
        <color theme="1"/>
        <sz val="9.0"/>
      </rPr>
      <t xml:space="preserve"> </t>
    </r>
    <r>
      <rPr>
        <rFont val="맑은 고딕"/>
        <color theme="1"/>
        <sz val="9.0"/>
      </rPr>
      <t>아니라</t>
    </r>
    <r>
      <rPr>
        <rFont val="Calibri"/>
        <color theme="1"/>
        <sz val="9.0"/>
      </rPr>
      <t xml:space="preserve">, </t>
    </r>
    <r>
      <rPr>
        <rFont val="맑은 고딕"/>
        <color theme="1"/>
        <sz val="9.0"/>
      </rPr>
      <t>위원회</t>
    </r>
    <r>
      <rPr>
        <rFont val="Calibri"/>
        <color theme="1"/>
        <sz val="9.0"/>
      </rPr>
      <t xml:space="preserve"> </t>
    </r>
    <r>
      <rPr>
        <rFont val="맑은 고딕"/>
        <color theme="1"/>
        <sz val="9.0"/>
      </rPr>
      <t>업무</t>
    </r>
    <r>
      <rPr>
        <rFont val="Calibri"/>
        <color theme="1"/>
        <sz val="9.0"/>
      </rPr>
      <t xml:space="preserve"> </t>
    </r>
    <r>
      <rPr>
        <rFont val="맑은 고딕"/>
        <color theme="1"/>
        <sz val="9.0"/>
      </rPr>
      <t>시나리오에</t>
    </r>
    <r>
      <rPr>
        <rFont val="Calibri"/>
        <color theme="1"/>
        <sz val="9.0"/>
      </rPr>
      <t xml:space="preserve"> </t>
    </r>
    <r>
      <rPr>
        <rFont val="맑은 고딕"/>
        <color theme="1"/>
        <sz val="9.0"/>
      </rPr>
      <t>맞는</t>
    </r>
    <r>
      <rPr>
        <rFont val="Calibri"/>
        <color theme="1"/>
        <sz val="9.0"/>
      </rPr>
      <t xml:space="preserve"> </t>
    </r>
    <r>
      <rPr>
        <rFont val="맑은 고딕"/>
        <color theme="1"/>
        <sz val="9.0"/>
      </rPr>
      <t>정답률</t>
    </r>
    <r>
      <rPr>
        <rFont val="Calibri"/>
        <color theme="1"/>
        <sz val="9.0"/>
      </rPr>
      <t xml:space="preserve">, </t>
    </r>
    <r>
      <rPr>
        <rFont val="맑은 고딕"/>
        <color theme="1"/>
        <sz val="9.0"/>
      </rPr>
      <t>근거</t>
    </r>
    <r>
      <rPr>
        <rFont val="Calibri"/>
        <color theme="1"/>
        <sz val="9.0"/>
      </rPr>
      <t xml:space="preserve"> </t>
    </r>
    <r>
      <rPr>
        <rFont val="맑은 고딕"/>
        <color theme="1"/>
        <sz val="9.0"/>
      </rPr>
      <t>정확성</t>
    </r>
    <r>
      <rPr>
        <rFont val="Calibri"/>
        <color theme="1"/>
        <sz val="9.0"/>
      </rPr>
      <t xml:space="preserve">, </t>
    </r>
    <r>
      <rPr>
        <rFont val="맑은 고딕"/>
        <color theme="1"/>
        <sz val="9.0"/>
      </rPr>
      <t>최신성</t>
    </r>
    <r>
      <rPr>
        <rFont val="Calibri"/>
        <color theme="1"/>
        <sz val="9.0"/>
      </rPr>
      <t xml:space="preserve">, </t>
    </r>
    <r>
      <rPr>
        <rFont val="맑은 고딕"/>
        <color theme="1"/>
        <sz val="9.0"/>
      </rPr>
      <t>상담원</t>
    </r>
    <r>
      <rPr>
        <rFont val="Calibri"/>
        <color theme="1"/>
        <sz val="9.0"/>
      </rPr>
      <t xml:space="preserve"> </t>
    </r>
    <r>
      <rPr>
        <rFont val="맑은 고딕"/>
        <color theme="1"/>
        <sz val="9.0"/>
      </rPr>
      <t>전환</t>
    </r>
    <r>
      <rPr>
        <rFont val="Calibri"/>
        <color theme="1"/>
        <sz val="9.0"/>
      </rPr>
      <t xml:space="preserve"> </t>
    </r>
    <r>
      <rPr>
        <rFont val="맑은 고딕"/>
        <color theme="1"/>
        <sz val="9.0"/>
      </rPr>
      <t>적절성을</t>
    </r>
    <r>
      <rPr>
        <rFont val="Calibri"/>
        <color theme="1"/>
        <sz val="9.0"/>
      </rPr>
      <t xml:space="preserve"> </t>
    </r>
    <r>
      <rPr>
        <rFont val="맑은 고딕"/>
        <color theme="1"/>
        <sz val="9.0"/>
      </rPr>
      <t>포함하여</t>
    </r>
    <r>
      <rPr>
        <rFont val="Calibri"/>
        <color theme="1"/>
        <sz val="9.0"/>
      </rPr>
      <t xml:space="preserve"> </t>
    </r>
    <r>
      <rPr>
        <rFont val="맑은 고딕"/>
        <color theme="1"/>
        <sz val="9.0"/>
      </rPr>
      <t>평가</t>
    </r>
  </si>
  <si>
    <t>별첨으로 사업자가 제시한 성능평가지표를 최저 성능기준으로 잡고, 성능 검수의 최종 합격 여부는 벡터 유사도·자동채점 결과만으로 판정하지 아니하며, 위원회가 지정·제출하는 실업무 시나리오에 대한 정답률, 근거(출처) 정확성, 정보 최신성, 상담원 전환 등 예외처리 적절성을 위원회가 종합 평가하여 판정. 합격 판정 권한은 위원회에 있음</t>
  </si>
  <si>
    <t>ECR-002-01-02</t>
  </si>
  <si>
    <t>각 구성요소는 모듈화되어 독립적 확장 및 변경이 가능하여야 한다.</t>
  </si>
  <si>
    <t>(PSR-002) 안정화·하자보수 
– SLA 항목·기준 및 장애 등급별 대응 시간</t>
  </si>
  <si>
    <t>각 구성요소는 모듈화되어 독립적 확장 및 변경이 가능</t>
  </si>
  <si>
    <t>PER-008-01-01</t>
  </si>
  <si>
    <t>서비스 수준(SLA) 항목·기준 및 장애등급별 대응시간 확정</t>
  </si>
  <si>
    <t>ECR-002-01-03</t>
  </si>
  <si>
    <r>
      <rPr>
        <rFont val="Malgun Gothic"/>
        <color theme="1"/>
        <sz val="9.0"/>
      </rPr>
      <t>- 사업자가</t>
    </r>
    <r>
      <rPr>
        <rFont val="Calibri"/>
        <color theme="1"/>
        <sz val="9.0"/>
      </rPr>
      <t xml:space="preserve"> </t>
    </r>
    <r>
      <rPr>
        <rFont val="맑은 고딕"/>
        <color theme="1"/>
        <sz val="9.0"/>
      </rPr>
      <t>별첨으로</t>
    </r>
    <r>
      <rPr>
        <rFont val="Calibri"/>
        <color theme="1"/>
        <sz val="9.0"/>
      </rPr>
      <t xml:space="preserve"> </t>
    </r>
    <r>
      <rPr>
        <rFont val="맑은 고딕"/>
        <color theme="1"/>
        <sz val="9.0"/>
      </rPr>
      <t>제시한</t>
    </r>
    <r>
      <rPr>
        <rFont val="Calibri"/>
        <color theme="1"/>
        <sz val="9.0"/>
      </rPr>
      <t xml:space="preserve"> </t>
    </r>
    <r>
      <rPr>
        <rFont val="맑은 고딕"/>
        <color theme="1"/>
        <sz val="9.0"/>
      </rPr>
      <t>장애</t>
    </r>
    <r>
      <rPr>
        <rFont val="Calibri"/>
        <color theme="1"/>
        <sz val="9.0"/>
      </rPr>
      <t xml:space="preserve"> </t>
    </r>
    <r>
      <rPr>
        <rFont val="맑은 고딕"/>
        <color theme="1"/>
        <sz val="9.0"/>
      </rPr>
      <t>등급별</t>
    </r>
    <r>
      <rPr>
        <rFont val="Calibri"/>
        <color theme="1"/>
        <sz val="9.0"/>
      </rPr>
      <t xml:space="preserve"> </t>
    </r>
    <r>
      <rPr>
        <rFont val="맑은 고딕"/>
        <color theme="1"/>
        <sz val="9.0"/>
      </rPr>
      <t>대응시간을</t>
    </r>
    <r>
      <rPr>
        <rFont val="Calibri"/>
        <color theme="1"/>
        <sz val="9.0"/>
      </rPr>
      <t xml:space="preserve"> </t>
    </r>
    <r>
      <rPr>
        <rFont val="맑은 고딕"/>
        <color theme="1"/>
        <sz val="9.0"/>
      </rPr>
      <t>기준으로</t>
    </r>
    <r>
      <rPr>
        <rFont val="Calibri"/>
        <color theme="1"/>
        <sz val="9.0"/>
      </rPr>
      <t xml:space="preserve"> </t>
    </r>
    <r>
      <rPr>
        <rFont val="맑은 고딕"/>
        <color theme="1"/>
        <sz val="9.0"/>
      </rPr>
      <t>설정</t>
    </r>
    <r>
      <rPr>
        <rFont val="Calibri"/>
        <color theme="1"/>
        <sz val="9.0"/>
      </rPr>
      <t xml:space="preserve">
</t>
    </r>
    <r>
      <rPr>
        <rFont val="맑은 고딕"/>
        <color theme="1"/>
        <sz val="9.0"/>
      </rPr>
      <t>- 서비스</t>
    </r>
    <r>
      <rPr>
        <rFont val="Calibri"/>
        <color theme="1"/>
        <sz val="9.0"/>
      </rPr>
      <t xml:space="preserve"> </t>
    </r>
    <r>
      <rPr>
        <rFont val="맑은 고딕"/>
        <color theme="1"/>
        <sz val="9.0"/>
      </rPr>
      <t>가용성</t>
    </r>
    <r>
      <rPr>
        <rFont val="Calibri"/>
        <color theme="1"/>
        <sz val="9.0"/>
      </rPr>
      <t>(</t>
    </r>
    <r>
      <rPr>
        <rFont val="맑은 고딕"/>
        <color theme="1"/>
        <sz val="9.0"/>
      </rPr>
      <t>계층별</t>
    </r>
    <r>
      <rPr>
        <rFont val="Calibri"/>
        <color theme="1"/>
        <sz val="9.0"/>
      </rPr>
      <t xml:space="preserve">, </t>
    </r>
    <r>
      <rPr>
        <rFont val="맑은 고딕"/>
        <color theme="1"/>
        <sz val="9.0"/>
      </rPr>
      <t>최소가용성</t>
    </r>
    <r>
      <rPr>
        <rFont val="Calibri"/>
        <color theme="1"/>
        <sz val="9.0"/>
      </rPr>
      <t xml:space="preserve"> 99.9% </t>
    </r>
    <r>
      <rPr>
        <rFont val="맑은 고딕"/>
        <color theme="1"/>
        <sz val="9.0"/>
      </rPr>
      <t>이상</t>
    </r>
    <r>
      <rPr>
        <rFont val="Calibri"/>
        <color theme="1"/>
        <sz val="9.0"/>
      </rPr>
      <t xml:space="preserve">)
</t>
    </r>
    <r>
      <rPr>
        <rFont val="맑은 고딕"/>
        <color theme="1"/>
        <sz val="9.0"/>
      </rPr>
      <t>- 보고의무</t>
    </r>
    <r>
      <rPr>
        <rFont val="Calibri"/>
        <color theme="1"/>
        <sz val="9.0"/>
      </rPr>
      <t>(</t>
    </r>
    <r>
      <rPr>
        <rFont val="맑은 고딕"/>
        <color theme="1"/>
        <sz val="9.0"/>
      </rPr>
      <t>장애</t>
    </r>
    <r>
      <rPr>
        <rFont val="Calibri"/>
        <color theme="1"/>
        <sz val="9.0"/>
      </rPr>
      <t>/</t>
    </r>
    <r>
      <rPr>
        <rFont val="맑은 고딕"/>
        <color theme="1"/>
        <sz val="9.0"/>
      </rPr>
      <t>복구</t>
    </r>
    <r>
      <rPr>
        <rFont val="Calibri"/>
        <color theme="1"/>
        <sz val="9.0"/>
      </rPr>
      <t xml:space="preserve">, </t>
    </r>
    <r>
      <rPr>
        <rFont val="맑은 고딕"/>
        <color theme="1"/>
        <sz val="9.0"/>
      </rPr>
      <t>월간</t>
    </r>
    <r>
      <rPr>
        <rFont val="Calibri"/>
        <color theme="1"/>
        <sz val="9.0"/>
      </rPr>
      <t>SLA</t>
    </r>
    <r>
      <rPr>
        <rFont val="맑은 고딕"/>
        <color theme="1"/>
        <sz val="9.0"/>
      </rPr>
      <t>이행</t>
    </r>
    <r>
      <rPr>
        <rFont val="Calibri"/>
        <color theme="1"/>
        <sz val="9.0"/>
      </rPr>
      <t xml:space="preserve"> </t>
    </r>
    <r>
      <rPr>
        <rFont val="맑은 고딕"/>
        <color theme="1"/>
        <sz val="9.0"/>
      </rPr>
      <t>등</t>
    </r>
    <r>
      <rPr>
        <rFont val="Calibri"/>
        <color theme="1"/>
        <sz val="9.0"/>
      </rPr>
      <t xml:space="preserve">)
</t>
    </r>
    <r>
      <rPr>
        <rFont val="맑은 고딕"/>
        <color theme="1"/>
        <sz val="9.0"/>
      </rPr>
      <t>- 점검기준</t>
    </r>
    <r>
      <rPr>
        <rFont val="Calibri"/>
        <color theme="1"/>
        <sz val="9.0"/>
      </rPr>
      <t xml:space="preserve"> </t>
    </r>
    <r>
      <rPr>
        <rFont val="맑은 고딕"/>
        <color theme="1"/>
        <sz val="9.0"/>
      </rPr>
      <t>및</t>
    </r>
    <r>
      <rPr>
        <rFont val="Calibri"/>
        <color theme="1"/>
        <sz val="9.0"/>
      </rPr>
      <t xml:space="preserve"> SLA </t>
    </r>
    <r>
      <rPr>
        <rFont val="맑은 고딕"/>
        <color theme="1"/>
        <sz val="9.0"/>
      </rPr>
      <t>미달</t>
    </r>
    <r>
      <rPr>
        <rFont val="Calibri"/>
        <color theme="1"/>
        <sz val="9.0"/>
      </rPr>
      <t xml:space="preserve"> </t>
    </r>
    <r>
      <rPr>
        <rFont val="맑은 고딕"/>
        <color theme="1"/>
        <sz val="9.0"/>
      </rPr>
      <t>시</t>
    </r>
    <r>
      <rPr>
        <rFont val="Calibri"/>
        <color theme="1"/>
        <sz val="9.0"/>
      </rPr>
      <t xml:space="preserve"> </t>
    </r>
    <r>
      <rPr>
        <rFont val="맑은 고딕"/>
        <color theme="1"/>
        <sz val="9.0"/>
      </rPr>
      <t>페널티</t>
    </r>
    <r>
      <rPr>
        <rFont val="Calibri"/>
        <color theme="1"/>
        <sz val="9.0"/>
      </rPr>
      <t xml:space="preserve">
</t>
    </r>
    <r>
      <rPr>
        <rFont val="맑은 고딕"/>
        <color theme="1"/>
        <sz val="9.0"/>
      </rPr>
      <t>- 사업</t>
    </r>
    <r>
      <rPr>
        <rFont val="Calibri"/>
        <color theme="1"/>
        <sz val="9.0"/>
      </rPr>
      <t xml:space="preserve"> </t>
    </r>
    <r>
      <rPr>
        <rFont val="맑은 고딕"/>
        <color theme="1"/>
        <sz val="9.0"/>
      </rPr>
      <t>착수</t>
    </r>
    <r>
      <rPr>
        <rFont val="Calibri"/>
        <color theme="1"/>
        <sz val="9.0"/>
      </rPr>
      <t xml:space="preserve"> </t>
    </r>
    <r>
      <rPr>
        <rFont val="맑은 고딕"/>
        <color theme="1"/>
        <sz val="9.0"/>
      </rPr>
      <t>후</t>
    </r>
    <r>
      <rPr>
        <rFont val="Calibri"/>
        <color theme="1"/>
        <sz val="9.0"/>
      </rPr>
      <t xml:space="preserve"> </t>
    </r>
    <r>
      <rPr>
        <rFont val="맑은 고딕"/>
        <color theme="1"/>
        <sz val="9.0"/>
      </rPr>
      <t>구축</t>
    </r>
    <r>
      <rPr>
        <rFont val="Calibri"/>
        <color theme="1"/>
        <sz val="9.0"/>
      </rPr>
      <t xml:space="preserve"> </t>
    </r>
    <r>
      <rPr>
        <rFont val="맑은 고딕"/>
        <color theme="1"/>
        <sz val="9.0"/>
      </rPr>
      <t>기간</t>
    </r>
    <r>
      <rPr>
        <rFont val="Calibri"/>
        <color theme="1"/>
        <sz val="9.0"/>
      </rPr>
      <t xml:space="preserve"> </t>
    </r>
    <r>
      <rPr>
        <rFont val="맑은 고딕"/>
        <color theme="1"/>
        <sz val="9.0"/>
      </rPr>
      <t>동안</t>
    </r>
    <r>
      <rPr>
        <rFont val="Calibri"/>
        <color theme="1"/>
        <sz val="9.0"/>
      </rPr>
      <t xml:space="preserve"> </t>
    </r>
    <r>
      <rPr>
        <rFont val="맑은 고딕"/>
        <color theme="1"/>
        <sz val="9.0"/>
      </rPr>
      <t>실측</t>
    </r>
    <r>
      <rPr>
        <rFont val="Calibri"/>
        <color theme="1"/>
        <sz val="9.0"/>
      </rPr>
      <t xml:space="preserve"> </t>
    </r>
    <r>
      <rPr>
        <rFont val="맑은 고딕"/>
        <color theme="1"/>
        <sz val="9.0"/>
      </rPr>
      <t>데이터를</t>
    </r>
    <r>
      <rPr>
        <rFont val="Calibri"/>
        <color theme="1"/>
        <sz val="9.0"/>
      </rPr>
      <t xml:space="preserve"> </t>
    </r>
    <r>
      <rPr>
        <rFont val="맑은 고딕"/>
        <color theme="1"/>
        <sz val="9.0"/>
      </rPr>
      <t>기반으로</t>
    </r>
    <r>
      <rPr>
        <rFont val="Calibri"/>
        <color theme="1"/>
        <sz val="9.0"/>
      </rPr>
      <t xml:space="preserve"> </t>
    </r>
    <r>
      <rPr>
        <rFont val="맑은 고딕"/>
        <color theme="1"/>
        <sz val="9.0"/>
      </rPr>
      <t>위원회</t>
    </r>
    <r>
      <rPr>
        <rFont val="Calibri"/>
        <color theme="1"/>
        <sz val="9.0"/>
      </rPr>
      <t>·</t>
    </r>
    <r>
      <rPr>
        <rFont val="맑은 고딕"/>
        <color theme="1"/>
        <sz val="9.0"/>
      </rPr>
      <t>사업자</t>
    </r>
    <r>
      <rPr>
        <rFont val="Calibri"/>
        <color theme="1"/>
        <sz val="9.0"/>
      </rPr>
      <t xml:space="preserve"> </t>
    </r>
    <r>
      <rPr>
        <rFont val="맑은 고딕"/>
        <color theme="1"/>
        <sz val="9.0"/>
      </rPr>
      <t>간</t>
    </r>
    <r>
      <rPr>
        <rFont val="Calibri"/>
        <color theme="1"/>
        <sz val="9.0"/>
      </rPr>
      <t xml:space="preserve"> </t>
    </r>
    <r>
      <rPr>
        <rFont val="맑은 고딕"/>
        <color theme="1"/>
        <sz val="9.0"/>
      </rPr>
      <t>협의를</t>
    </r>
    <r>
      <rPr>
        <rFont val="Calibri"/>
        <color theme="1"/>
        <sz val="9.0"/>
      </rPr>
      <t xml:space="preserve"> </t>
    </r>
    <r>
      <rPr>
        <rFont val="맑은 고딕"/>
        <color theme="1"/>
        <sz val="9.0"/>
      </rPr>
      <t>거쳐</t>
    </r>
    <r>
      <rPr>
        <rFont val="Calibri"/>
        <color theme="1"/>
        <sz val="9.0"/>
      </rPr>
      <t xml:space="preserve"> </t>
    </r>
    <r>
      <rPr>
        <rFont val="맑은 고딕"/>
        <color theme="1"/>
        <sz val="9.0"/>
      </rPr>
      <t>최종</t>
    </r>
    <r>
      <rPr>
        <rFont val="Calibri"/>
        <color theme="1"/>
        <sz val="9.0"/>
      </rPr>
      <t xml:space="preserve"> SLA</t>
    </r>
    <r>
      <rPr>
        <rFont val="맑은 고딕"/>
        <color theme="1"/>
        <sz val="9.0"/>
      </rPr>
      <t>를</t>
    </r>
    <r>
      <rPr>
        <rFont val="Calibri"/>
        <color theme="1"/>
        <sz val="9.0"/>
      </rPr>
      <t xml:space="preserve"> </t>
    </r>
    <r>
      <rPr>
        <rFont val="맑은 고딕"/>
        <color theme="1"/>
        <sz val="9.0"/>
      </rPr>
      <t>확정</t>
    </r>
    <r>
      <rPr>
        <rFont val="Calibri"/>
        <color theme="1"/>
        <sz val="9.0"/>
      </rPr>
      <t>(</t>
    </r>
    <r>
      <rPr>
        <rFont val="맑은 고딕"/>
        <color theme="1"/>
        <sz val="9.0"/>
      </rPr>
      <t>실측</t>
    </r>
    <r>
      <rPr>
        <rFont val="Calibri"/>
        <color theme="1"/>
        <sz val="9.0"/>
      </rPr>
      <t xml:space="preserve"> </t>
    </r>
    <r>
      <rPr>
        <rFont val="맑은 고딕"/>
        <color theme="1"/>
        <sz val="9.0"/>
      </rPr>
      <t>기반</t>
    </r>
    <r>
      <rPr>
        <rFont val="Calibri"/>
        <color theme="1"/>
        <sz val="9.0"/>
      </rPr>
      <t xml:space="preserve"> </t>
    </r>
    <r>
      <rPr>
        <rFont val="맑은 고딕"/>
        <color theme="1"/>
        <sz val="9.0"/>
      </rPr>
      <t>조정은</t>
    </r>
    <r>
      <rPr>
        <rFont val="Calibri"/>
        <color theme="1"/>
        <sz val="9.0"/>
      </rPr>
      <t xml:space="preserve"> </t>
    </r>
    <r>
      <rPr>
        <rFont val="맑은 고딕"/>
        <color theme="1"/>
        <sz val="9.0"/>
      </rPr>
      <t>본</t>
    </r>
    <r>
      <rPr>
        <rFont val="Calibri"/>
        <color theme="1"/>
        <sz val="9.0"/>
      </rPr>
      <t xml:space="preserve"> </t>
    </r>
    <r>
      <rPr>
        <rFont val="맑은 고딕"/>
        <color theme="1"/>
        <sz val="9.0"/>
      </rPr>
      <t>표</t>
    </r>
    <r>
      <rPr>
        <rFont val="Calibri"/>
        <color theme="1"/>
        <sz val="9.0"/>
      </rPr>
      <t xml:space="preserve"> </t>
    </r>
    <r>
      <rPr>
        <rFont val="맑은 고딕"/>
        <color theme="1"/>
        <sz val="9.0"/>
      </rPr>
      <t>기준을</t>
    </r>
    <r>
      <rPr>
        <rFont val="Calibri"/>
        <color theme="1"/>
        <sz val="9.0"/>
      </rPr>
      <t xml:space="preserve"> </t>
    </r>
    <r>
      <rPr>
        <rFont val="맑은 고딕"/>
        <color theme="1"/>
        <sz val="9.0"/>
      </rPr>
      <t>상향</t>
    </r>
    <r>
      <rPr>
        <rFont val="Calibri"/>
        <color theme="1"/>
        <sz val="9.0"/>
      </rPr>
      <t>(</t>
    </r>
    <r>
      <rPr>
        <rFont val="맑은 고딕"/>
        <color theme="1"/>
        <sz val="9.0"/>
      </rPr>
      <t>강화</t>
    </r>
    <r>
      <rPr>
        <rFont val="Calibri"/>
        <color theme="1"/>
        <sz val="9.0"/>
      </rPr>
      <t>)</t>
    </r>
    <r>
      <rPr>
        <rFont val="맑은 고딕"/>
        <color theme="1"/>
        <sz val="9.0"/>
      </rPr>
      <t>하는</t>
    </r>
    <r>
      <rPr>
        <rFont val="Calibri"/>
        <color theme="1"/>
        <sz val="9.0"/>
      </rPr>
      <t xml:space="preserve"> </t>
    </r>
    <r>
      <rPr>
        <rFont val="맑은 고딕"/>
        <color theme="1"/>
        <sz val="9.0"/>
      </rPr>
      <t>방향으로만</t>
    </r>
    <r>
      <rPr>
        <rFont val="Calibri"/>
        <color theme="1"/>
        <sz val="9.0"/>
      </rPr>
      <t xml:space="preserve"> </t>
    </r>
    <r>
      <rPr>
        <rFont val="맑은 고딕"/>
        <color theme="1"/>
        <sz val="9.0"/>
      </rPr>
      <t>가능</t>
    </r>
    <r>
      <rPr>
        <rFont val="Calibri"/>
        <color theme="1"/>
        <sz val="9.0"/>
      </rPr>
      <t xml:space="preserve">)
</t>
    </r>
    <r>
      <rPr>
        <rFont val="맑은 고딕"/>
        <color theme="1"/>
        <sz val="9.0"/>
      </rPr>
      <t>- 기준</t>
    </r>
    <r>
      <rPr>
        <rFont val="Calibri"/>
        <color theme="1"/>
        <sz val="9.0"/>
      </rPr>
      <t xml:space="preserve"> </t>
    </r>
    <r>
      <rPr>
        <rFont val="맑은 고딕"/>
        <color theme="1"/>
        <sz val="9.0"/>
      </rPr>
      <t>미달</t>
    </r>
    <r>
      <rPr>
        <rFont val="Calibri"/>
        <color theme="1"/>
        <sz val="9.0"/>
      </rPr>
      <t xml:space="preserve"> </t>
    </r>
    <r>
      <rPr>
        <rFont val="맑은 고딕"/>
        <color theme="1"/>
        <sz val="9.0"/>
      </rPr>
      <t>시</t>
    </r>
    <r>
      <rPr>
        <rFont val="Calibri"/>
        <color theme="1"/>
        <sz val="9.0"/>
      </rPr>
      <t xml:space="preserve"> </t>
    </r>
    <r>
      <rPr>
        <rFont val="맑은 고딕"/>
        <color theme="1"/>
        <sz val="9.0"/>
      </rPr>
      <t>패널티</t>
    </r>
    <r>
      <rPr>
        <rFont val="Calibri"/>
        <color theme="1"/>
        <sz val="9.0"/>
      </rPr>
      <t>(</t>
    </r>
    <r>
      <rPr>
        <rFont val="맑은 고딕"/>
        <color theme="1"/>
        <sz val="9.0"/>
      </rPr>
      <t>유지보수</t>
    </r>
    <r>
      <rPr>
        <rFont val="Calibri"/>
        <color theme="1"/>
        <sz val="9.0"/>
      </rPr>
      <t xml:space="preserve"> </t>
    </r>
    <r>
      <rPr>
        <rFont val="맑은 고딕"/>
        <color theme="1"/>
        <sz val="9.0"/>
      </rPr>
      <t>대금</t>
    </r>
    <r>
      <rPr>
        <rFont val="Calibri"/>
        <color theme="1"/>
        <sz val="9.0"/>
      </rPr>
      <t xml:space="preserve"> </t>
    </r>
    <r>
      <rPr>
        <rFont val="맑은 고딕"/>
        <color theme="1"/>
        <sz val="9.0"/>
      </rPr>
      <t>등</t>
    </r>
    <r>
      <rPr>
        <rFont val="Calibri"/>
        <color theme="1"/>
        <sz val="9.0"/>
      </rPr>
      <t xml:space="preserve">) </t>
    </r>
    <r>
      <rPr>
        <rFont val="맑은 고딕"/>
        <color theme="1"/>
        <sz val="9.0"/>
      </rPr>
      <t>적용</t>
    </r>
    <r>
      <rPr>
        <rFont val="Calibri"/>
        <color theme="1"/>
        <sz val="9.0"/>
      </rPr>
      <t xml:space="preserve">
</t>
    </r>
    <r>
      <rPr>
        <rFont val="맑은 고딕"/>
        <color theme="1"/>
        <sz val="9.0"/>
      </rPr>
      <t>- 최종</t>
    </r>
    <r>
      <rPr>
        <rFont val="Calibri"/>
        <color theme="1"/>
        <sz val="9.0"/>
      </rPr>
      <t xml:space="preserve"> SLA </t>
    </r>
    <r>
      <rPr>
        <rFont val="맑은 고딕"/>
        <color theme="1"/>
        <sz val="9.0"/>
      </rPr>
      <t>확정</t>
    </r>
    <r>
      <rPr>
        <rFont val="Calibri"/>
        <color theme="1"/>
        <sz val="9.0"/>
      </rPr>
      <t xml:space="preserve"> </t>
    </r>
    <r>
      <rPr>
        <rFont val="맑은 고딕"/>
        <color theme="1"/>
        <sz val="9.0"/>
      </rPr>
      <t>권한은</t>
    </r>
    <r>
      <rPr>
        <rFont val="Calibri"/>
        <color theme="1"/>
        <sz val="9.0"/>
      </rPr>
      <t xml:space="preserve"> </t>
    </r>
    <r>
      <rPr>
        <rFont val="맑은 고딕"/>
        <color theme="1"/>
        <sz val="9.0"/>
      </rPr>
      <t>위원회에</t>
    </r>
    <r>
      <rPr>
        <rFont val="Calibri"/>
        <color theme="1"/>
        <sz val="9.0"/>
      </rPr>
      <t xml:space="preserve"> </t>
    </r>
    <r>
      <rPr>
        <rFont val="맑은 고딕"/>
        <color theme="1"/>
        <sz val="9.0"/>
      </rPr>
      <t>있으며</t>
    </r>
    <r>
      <rPr>
        <rFont val="Calibri"/>
        <color theme="1"/>
        <sz val="9.0"/>
      </rPr>
      <t xml:space="preserve">, </t>
    </r>
    <r>
      <rPr>
        <rFont val="맑은 고딕"/>
        <color theme="1"/>
        <sz val="9.0"/>
      </rPr>
      <t>사업자는</t>
    </r>
    <r>
      <rPr>
        <rFont val="Calibri"/>
        <color theme="1"/>
        <sz val="9.0"/>
      </rPr>
      <t xml:space="preserve"> </t>
    </r>
    <r>
      <rPr>
        <rFont val="맑은 고딕"/>
        <color theme="1"/>
        <sz val="9.0"/>
      </rPr>
      <t>정당한</t>
    </r>
    <r>
      <rPr>
        <rFont val="Calibri"/>
        <color theme="1"/>
        <sz val="9.0"/>
      </rPr>
      <t xml:space="preserve"> </t>
    </r>
    <r>
      <rPr>
        <rFont val="맑은 고딕"/>
        <color theme="1"/>
        <sz val="9.0"/>
      </rPr>
      <t>사유</t>
    </r>
    <r>
      <rPr>
        <rFont val="Calibri"/>
        <color theme="1"/>
        <sz val="9.0"/>
      </rPr>
      <t xml:space="preserve"> </t>
    </r>
    <r>
      <rPr>
        <rFont val="맑은 고딕"/>
        <color theme="1"/>
        <sz val="9.0"/>
      </rPr>
      <t>없이</t>
    </r>
    <r>
      <rPr>
        <rFont val="Calibri"/>
        <color theme="1"/>
        <sz val="9.0"/>
      </rPr>
      <t xml:space="preserve"> </t>
    </r>
    <r>
      <rPr>
        <rFont val="맑은 고딕"/>
        <color theme="1"/>
        <sz val="9.0"/>
      </rPr>
      <t>이를</t>
    </r>
    <r>
      <rPr>
        <rFont val="Calibri"/>
        <color theme="1"/>
        <sz val="9.0"/>
      </rPr>
      <t xml:space="preserve"> </t>
    </r>
    <r>
      <rPr>
        <rFont val="맑은 고딕"/>
        <color theme="1"/>
        <sz val="9.0"/>
      </rPr>
      <t>거부할</t>
    </r>
    <r>
      <rPr>
        <rFont val="Calibri"/>
        <color theme="1"/>
        <sz val="9.0"/>
      </rPr>
      <t xml:space="preserve"> </t>
    </r>
    <r>
      <rPr>
        <rFont val="맑은 고딕"/>
        <color theme="1"/>
        <sz val="9.0"/>
      </rPr>
      <t>수</t>
    </r>
    <r>
      <rPr>
        <rFont val="Calibri"/>
        <color theme="1"/>
        <sz val="9.0"/>
      </rPr>
      <t xml:space="preserve"> </t>
    </r>
    <r>
      <rPr>
        <rFont val="맑은 고딕"/>
        <color theme="1"/>
        <sz val="9.0"/>
      </rPr>
      <t>없음</t>
    </r>
  </si>
  <si>
    <t>데이터 처리 구조(데이터 플랫폼, 파이프라인 등)는 선택적으로 제안할 수 있다.</t>
  </si>
  <si>
    <r>
      <rPr>
        <rFont val="Malgun Gothic"/>
        <color theme="1"/>
        <sz val="9.0"/>
      </rPr>
      <t>데이터 처리 구조(데이터 플랫폼, 파이프라인 등)는 수</t>
    </r>
    <r>
      <rPr>
        <rFont val="맑은 고딕"/>
        <color rgb="FFFF0000"/>
        <sz val="9.0"/>
      </rPr>
      <t>행사 도입 플랫폼을 기본적으로 사용하는 것을 원칙으로하며, 처리구조에 대한 위원회 별도 의견이 있는 경우, 위원회와 협의하여 적용함</t>
    </r>
  </si>
  <si>
    <t>ECR-002-01-04</t>
  </si>
  <si>
    <t>기존 계정계, KMS, 그룹웨어 등 내부 시스템과 연계 가능한 구조를 제공하되 구현 범위 및 허용에 대한 부분은 협의 후 진행한다.</t>
  </si>
  <si>
    <t>계정계·KMS·그룹웨어 연계 구조 적용, 구현범위는 위원회 협의·확정</t>
  </si>
  <si>
    <t>ECR-002-01-05</t>
  </si>
  <si>
    <t>표준 API 기반 연계를 지원해야 하며 시스템 간 결합도를 최소화하여야 한다.</t>
  </si>
  <si>
    <t>표준 API 기반 연계를 지원하고 시스템 간 결합도를 최소화</t>
  </si>
  <si>
    <t>ECR-002-01-06</t>
  </si>
  <si>
    <t>특정 제품, 특정 아키텍처(Kubernetes, 특정 DB 등)에 종속되지 않아야 한다.</t>
  </si>
  <si>
    <r>
      <rPr>
        <rFont val="Malgun Gothic"/>
        <color theme="1"/>
        <sz val="9.0"/>
      </rPr>
      <t xml:space="preserve">특정 제품, 특정 아키텍처(Kubernetes, 특정 DB 등)에 </t>
    </r>
    <r>
      <rPr>
        <rFont val="맑은 고딕"/>
        <color rgb="FFFF0000"/>
        <sz val="9.0"/>
      </rPr>
      <t>종속되지 않도록 시스템 구조를 설계 및 적용</t>
    </r>
  </si>
  <si>
    <t>시스템 인프라 및 장비 구성 기준 정의</t>
  </si>
  <si>
    <t>ECR-003-01-01</t>
  </si>
  <si>
    <t>[인프라 및 HW 구성]</t>
  </si>
  <si>
    <t>성능 및 용량 요구사항
· 동시 사용자 및 업무 처리량을 고려한 인프라를 구성하여야 한다.
· AI 추론 처리 시 응답속도 및 처리량 기준을 충족하여야 한다.
· 데이터 저장 및 검색 성능을 보장하여야 한다.</t>
  </si>
  <si>
    <t>· 동시 사용자 및 업무 처리량을 고려한 인프라를 구성
· AI 추론 처리 시 응답속도 및 처리량 기준을 충족하는 인프라를 구성
· 데이터 저장 및 검색 성능을 보장하는 인프라를 구성</t>
  </si>
  <si>
    <t>· 인프라 설계서 (물리•논리 구성)
 · H/W 구성도 및 시스템 구성도
 · 네트워크 구성도
 · 규격 확인서 (CPU•GPU•Memory 등 세부 사양 대조)
 · 장비설치 계획서
 · 설치확인서(설치결과서)</t>
  </si>
  <si>
    <t>ECR-003-01-02</t>
  </si>
  <si>
    <t>확장성 및 가용성
· Compute, Storage, Network 자원은 수평 확장이 가능하여야 한다.
· 장애 발생 시 서비스 지속이 가능한 고가용성(HA) 구조를 제공하여야 한다. 단, 학습 노드 및 모델 서빙용 스토리지(All-Flash NAS)는 단일 장비 구성을 허용하며, 장애 발생 시 이미 기동된 추론 서비스는 유지되나 신규 기동 및 모델 교체가 제한될 수 있음을 인지한다. NAS 장애에 대한 백업·복구SLA(RTO/RPO)는 별도 정의한다.
· 시스템 증설 시 서비스 중단 없이 확장 가능하여야 한다.</t>
  </si>
  <si>
    <t>· Compute, Storage, Network 자원은 수평 확장이 가능하도록 인프라 구성
· 장애 발생 시 서비스 지속이 가능한 고가용성(HA) 구조를 제공. 단, 학습 노드 및 모델 서빙용 스토리지(All-Flash NAS)는 단일 장비로 구성, 장애 발생 시 이미 기동된 추론 서비스는 유지되나 신규 기동 및 모델 교체가 제한될 수 있음. NAS 장애에 대한 백업·복구SLA(RTO/RPO)는 별도 정의
· 시스템 증설 시 서비스 중단 없이 확장 가능하도록 인프라 구성</t>
  </si>
  <si>
    <t>ECR-003-01-03</t>
  </si>
  <si>
    <t>HW 구성 요구사항 (구색)
· GPU 기반 AI 연산 처리가 가능한 인프라를 구성하여야 한다.
· 고성능 스토리지(NAS/SAN/분산스토리지 등)를 구성하여야 한다.
· 고속 네트워크(10GbE 이상)를 지원하여야 한다.
· 서버, 스토리지, 네트워크 장비는 이중화 구성을 고려하여야 한다.</t>
  </si>
  <si>
    <t>· GPU 기반 AI 연산 처리가 가능한 인프라를 구성
· 고성능 스토리지(NAS/SAN/분산스토리지 등)를 구성
· 고속 네트워크(10GbE 이상)를 지원하는 인프라 구성
· 서버, 스토리지, 네트워크 장비는 이중화 구성</t>
  </si>
  <si>
    <t>ECR-003-01-04</t>
  </si>
  <si>
    <t>참조 구성(최종 목표 형상)
· GPU: NVIDIA H200 141GB × 8장(LLM 학습·대규모 추론)
· GPU: NVIDIA L40S 48GB × 2장(서비스 추론·개발·검증·콜센터)
· 컨테이너 오케스트레이션: Kubernetes 기반 고가용성 클러스터
· 원문·메타·청크·업무 데이터: RDB 정본, 벡터 인덱스: 재생성 가능한 파생 구조
· 고성능 스토리지와 25/100GbE 고속 네트워크
※ 상세 노드 배치·이중화·전력·냉각·BOM은 최종 설계 및 위원회 승인으로 확정한다.</t>
  </si>
  <si>
    <t>· GPU: NVIDIA H200 141GB × 8장(LLM 학습·대규모 추론)으로 도입 및 구성
· GPU: NVIDIA L40S 48GB × 2장(서비스 추론·개발·검증·콜센터) 도입 및 구성
· 컨테이너 오케스트레이션: Kubernetes 기반 고가용성 클러스터로 구성
· 원문·메타·청크·업무 데이터: RDB 정본, 벡터 인덱스: 재생성 가능한 파생 구조로 구성
· 고성능 스토리지와 25/100GbE 고속 네트워크으로 구성
※ 상세 노드 배치·이중화·전력·냉각·BOM은 최종 설계 및 위원회 승인으로 확정</t>
  </si>
  <si>
    <t>ECR-003-01-05</t>
  </si>
  <si>
    <t>동등성 및 유연성
· 명시된 구성과 동등 이상의 성능을 제공하는 대체 아키텍처를 허용한다.
· 특정 HW/SW 제품 및 벤더에 종속되지 않는 구성을 요구한다.</t>
  </si>
  <si>
    <t>· 명시된 구성과 동등 이상의 성능을 제공하는 대체 아키텍처로 구성
· 특정 HW/SW 제품 및 벤더에 종속되지 않는 아키텍처로 구성</t>
  </si>
  <si>
    <t>ECR-003-02-01</t>
  </si>
  <si>
    <t>[ML 예측 모델 연산 자원 운영 방침]</t>
  </si>
  <si>
    <t>ML 예측 모델(차기 변제금 납입 가능성 예측)의 학습 및 배치 추론은 AI 플랫폼 구축을 위해 도입되는 GPU 서버 자원을 공유하여 운영한다.</t>
  </si>
  <si>
    <t>차기 변제금 예측모델 학습·배치추론에 도입 GPU 자원 공유·할당</t>
  </si>
  <si>
    <t>ECR-003-03-01</t>
  </si>
  <si>
    <t>[예측 모델용 데이터 저장소]</t>
  </si>
  <si>
    <t>본 사업에서 개발하는 예측 모델의 학습, 배치 예측, 결과 적재 및 운영에 필요한 범위의 데이터 저장 구조와 처리 기능은 포함된다.</t>
  </si>
  <si>
    <t>예측모델 학습·배치예측·결과적재·운영에 필요한 데이터 저장·처리 구조 포함</t>
  </si>
  <si>
    <t>ECR-003-03-02</t>
  </si>
  <si>
    <t>AI 플랫폼 인프라는 향후 타 플랫폼과의 연계를 고려한 확장 가능한 구조로 설계하여야 한다.</t>
  </si>
  <si>
    <t>AI 플랫폼 인프라는 향후 타 플랫폼과의 연계를 고려한 확장 가능한 구조로 설계</t>
  </si>
  <si>
    <t>시스템 운영 및 관리 기준 정의</t>
  </si>
  <si>
    <t>ECR-004-01-01</t>
  </si>
  <si>
    <t>[운영 및 관리 체계]</t>
  </si>
  <si>
    <t>운영 편의성
· 일상적인 운영 작업(모니터링 확인, 서비스 재시작, 사용량 조회 등)은 웹 UI으로 비전문 인력도 수행 가능하여야 한다. 단, K8s 클러스터 관리, 모델 배포, 장애 복구 등 고급 운영 작업은 수행사가 제공하는 운영 매뉴얼을 기반으로 숙련된 엔지니어가 필요한 수준임을 명시한다.
· 모니터링, 알람 확인, 서비스 상태 조회, 단순 재시작 등 일상 운영은 웹 UI로 제공하여야 한다. 모델 배포, 클러스터 확장 등 고급 작업은 CLI 또는 자동화 스크립트 기반으로 제공하되 상세 운영 절차서를 함께 납품하여야 한다.
· 시스템 상태 및 자원 사용량을 통합 모니터링 할 수 있어야 하며, 상세 GPU 모니터링 방안은 별도 제시 필요하다.</t>
  </si>
  <si>
    <r>
      <rPr>
        <rFont val="맑은 고딕"/>
        <color rgb="FF0000FF"/>
        <sz val="9.0"/>
      </rPr>
      <t xml:space="preserve">[Before]
일상 운영은 Web UI, 고급 작업은 CLI·자동화 스크립트로 제공하고 GPU 포함 통합 모니터링 구성
[After]
일상 운영은 Web UI, 고급 작업은 CLI·자동화 스크립트로 제공하고 GPU 포함 통합 모니터링 구성
</t>
    </r>
    <r>
      <rPr>
        <rFont val="맑은 고딕"/>
        <color rgb="FFFF0000"/>
        <sz val="9.0"/>
      </rPr>
      <t>모니터링·알람·상태조회·재시작·사용량 조회 등 일상 작업은 비전문 운영자가 수행 가능한 UI로 구성</t>
    </r>
  </si>
  <si>
    <t>일상적인 운영 작업'에 대한 Web UI 관련하여 개별 기능에 대한 관리 UI를 발주사와 공유하고 협의 후 개발 및 커스텀 진행 요청(GenOS 기능 대부분이 게시판 형태의 UI를 대부분의 기능 제어에 공용으로 사용하고 있는 것으로 추측되며, 운영부서 조작 편의성을 위해 기존 GenOS 기능에 대한 별도 커스텀이 필요한 부분에 대해 반드시 사전 협의 필요)</t>
  </si>
  <si>
    <t>· 운영 매뉴얼 (GPU•플랫폼•AI 모델 운영)
 · 장애 대응 및 성능 튜닝 가이드
 · 백업•복구 절차서
 · 기술 이전 계획서</t>
  </si>
  <si>
    <t>ECR-004-01-02</t>
  </si>
  <si>
    <t>자동화 및 안정성
· 장애 감지 및 자동 복구(Self-healing) 기능을 제공하여야 한다.
· 로그, 이벤트, 작업 이력을 관리할 수 있어야 한다.
· 백업 및 복구 기능을 제공하여야 한다.</t>
  </si>
  <si>
    <t>Self-healing·로그/이벤트/작업이력·백업/복구 자동화 적용</t>
  </si>
  <si>
    <t>ECR-004-01-03</t>
  </si>
  <si>
    <t>운영 지원
· 구축 완료 후 최소 1년간 기술지원 및 운영지원을 제공하여야 한다.
· GPU, 플랫폼, AI 모델 운영 관련 매뉴얼을 제공하여야 한다.
· 장애 대응, 성능 튜닝, 운영 가이드를 포함하여야 한다.</t>
  </si>
  <si>
    <t>구축 후 1년 이상 기술지원, GPU·플랫폼·모델 운영 매뉴얼과 장애·튜닝 가이드 제공</t>
  </si>
  <si>
    <t>ECR-004-01-04</t>
  </si>
  <si>
    <t>교육 및 기술 이전 · 운영 권한 및 지식의 단계적 이관 계획을 제출하여야 한다.</t>
  </si>
  <si>
    <t>교육 및 기술 이전·운영 권한 및 지식의 단계적 이관 계획을 제출</t>
  </si>
  <si>
    <t>보안 및 시스템 품질 기준 정의</t>
  </si>
  <si>
    <t>ECR-005-01-01</t>
  </si>
  <si>
    <t>[보안 및 성능 품질]</t>
  </si>
  <si>
    <t>보안 요구사항
· 기존 보안 솔루션(V3 등)은 베어메탈 서버(DB 서버· NAS 등)에 적용하고, K8s 컨테이너 환경은 K8s 기본RBAC, NetworkPolicy, Audit Log, 이미지 취약점 스캔으로 동등 수준의 보안을 확보한다. 컨테이너 환경에서의 기존 보안 솔루션 적용 가능 여부는 기술협 상 시 벤더와 협의하여 확정한다.
· 사용자 인증 및 권한관리 기능을 제공하여야 한다.
· 개인정보 보호 기능(마스킹 및 암호화)을 적용하여야 한다.
· 모든 접근 및 처리에 대한 로그를 기록하여야 한다.</t>
  </si>
  <si>
    <t>베어메탈 보안제품과 K8s RBAC·NetworkPolicy·Audit·이미지 스캔을 병행하고 인증·마스킹·암호화·로그 적용</t>
  </si>
  <si>
    <t>· 보안 점검 결과서
 · 성능 테스트 결과서</t>
  </si>
  <si>
    <t>ECR-005-01-02</t>
  </si>
  <si>
    <t>시스템 연계 및 안정성
· 기존 시스템과의 연계 시 운영 영향 최소화하여야 한다.
· 데이터 정합성을 유지하여야 한다.
· 시스템 간 인터페이스 안정성을 확보하여야 한다.</t>
  </si>
  <si>
    <t>기존 시스템 연계 영향 최소화, 데이터 정합성·인터페이스 안정성 확보</t>
  </si>
  <si>
    <t>ECR-005-01-03</t>
  </si>
  <si>
    <t>성능 및 품질 보장
· 응답속도·처리량·동시접속 등 승인된 성능 기준을 충족하여야 한다.
· 운영환경 구축 전에는 최종 GPU 형상(H200 8장·L40S 2장) 중 L40S 1장을 개발·검증용으로 배정하고, 기 구축 상담화면 테스트 환경과 연계하여야 한다.
· 운영 전환 전에는 운영과 동등한 스테이징에서 STT 연동, 추천 스크립트, 개인정보 마스킹, 장애·성능·TA 이중화 시나리오를 검증하여야 한다.
· 테스트 완료 후 개발·검증 자원은 승인된 운영 배치계획에 따라 전환하여야 한다.
· 성능 저하 또는 장애 발생 시 개선 방안과 재검증 결과를 제출하여야 한다.</t>
  </si>
  <si>
    <t>운영동등 스테이징에서 STT·추천·마스킹·장애·성능·TA 이중화를 검증하고 승인된 운영 배치로 전환</t>
  </si>
  <si>
    <t>AI 플랫폼 장비 도입</t>
  </si>
  <si>
    <t>AI 플랫폼 운영을 위한 서버·스토리지·네트워크 장비 도입 규격 정의</t>
  </si>
  <si>
    <t>ECR-006-01-01</t>
  </si>
  <si>
    <t>공통 요구사항 (전체 서버, 장비 공통)</t>
  </si>
  <si>
    <t>제시된 사양 이상이어야 하며, 동급 또는 상위 제안 허용</t>
  </si>
  <si>
    <t>제시 사양 이상·동급/상위 장비로 납품</t>
  </si>
  <si>
    <t>· 규격 확인서 (CPU•GPU•Memory•Storage 등 세부 사양 대조)
 · 장비설치 계획서
 · 설치확인서(설치결과서)
 · 정품 확인서(제품보증서)
 · 라이선스 증서 (OS•관리도구 등)
 · 오픈소스 라이선스 검증 결과서
 · 제조사 기술지원확약서
 · 제조사 물품공급확약서
 · 랙 전력•냉각•케이블링 설치 도면</t>
  </si>
  <si>
    <t>ECR-006-01-02</t>
  </si>
  <si>
    <t>OS는 LTS 버전(Rocky Linux 9.x / RHEL / AlmaLinux / Ubuntu LTS 등) 적용하여 최신 보안 패치 상태로 납품 상세</t>
  </si>
  <si>
    <t>Rocky Linux/RHEL/AlmaLinux/Ubuntu LTS 등 장기지원 OS와 최신 보안패치 적용</t>
  </si>
  <si>
    <t>ECR-006-01-03</t>
  </si>
  <si>
    <t>시스템은 전원 공급장치(PSU), 팬(FAN)은 모두 이중화 Hot-Swap 지원하여야 한다.</t>
  </si>
  <si>
    <t>전원 공급장치(PSU), 팬(FAN)은 모두 이중화 Hot-Swap 지원</t>
  </si>
  <si>
    <t>ECR-006-01-04</t>
  </si>
  <si>
    <t>시스템은 네트워크 인터페이스는 기존 스위치와 호환되는 SFP+/SFP28/100GbE 포트 제공하여야 한다.</t>
  </si>
  <si>
    <t>네트워크 인터페이스는 기존 스위치와 호환되는 SFP+/SFP28/100GbE 포트 제공</t>
  </si>
  <si>
    <t>ECR-006-01-05</t>
  </si>
  <si>
    <t>모든 서버는 전용 관리포트(BMC) 포함</t>
  </si>
  <si>
    <t>ECR-006-01-06</t>
  </si>
  <si>
    <t>시스템은 랙 전력, 냉각, 케이블링(BOM 포함) 및 설치 도면 제출하여야 한다.</t>
  </si>
  <si>
    <t>랙 전력, 냉각, 케이블링(BOM 포함) 및 설치 도면 제출</t>
  </si>
  <si>
    <t>ECR-006-01-07</t>
  </si>
  <si>
    <t>표기된 구축 수량에 필요한 라이선스/펌웨어/드라이버/관리도구 전체 포함</t>
  </si>
  <si>
    <t>ECR-006-02-01</t>
  </si>
  <si>
    <t>Master 노드 (클러스터 제어, 트래픽 관리)</t>
  </si>
  <si>
    <t>- 도입 수량: 3식
- CPU: Intel Xeon Gold 6430(2.1GHz) 32코어 이상 또는 동급 이상
- RAM: 128GB DDR5 4800MT/s 이상
- Disk
· OS 디스크: Enterprise SSD 960GB 이상
· 로컬 스토리지(Rook-Ceph 용): 1.92TB SATA SSD × 4ea 이상
- Network
· 최소 25GbE Dual Port NIC 이상
· LACP(802.3ad) 기반 이중화 지원
- 관리 포트: iLO/iDRAC 등 전용 BMC 1GbE 포트 포함
- 기타
· Kubernetes Control Plane 구성에 적합한 성능 제공
· 분산 스토리지(Ceph) 모니터/메타데이터 노드로 사용 가능할 것</t>
  </si>
  <si>
    <r>
      <rPr>
        <rFont val="Malgun Gothic"/>
        <color theme="1"/>
        <sz val="9.0"/>
      </rPr>
      <t xml:space="preserve">■ Master 노드 (클러스터 제어, 트래픽 관리)
 - 도입 수량: 3식
 - CPU: Intel Xeon 6 Performance 6530P (2.3GHz) 32코어 * 2EA
 - RAM: 128GB DDR5 4800MT/s (16GB * 8EA)
 - Disk
   </t>
    </r>
    <r>
      <rPr>
        <rFont val="Tahoma"/>
        <color theme="1"/>
        <sz val="9.0"/>
      </rPr>
      <t>‧</t>
    </r>
    <r>
      <rPr>
        <rFont val="맑은 고딕"/>
        <color theme="1"/>
        <sz val="9.0"/>
      </rPr>
      <t xml:space="preserve"> OS 디스크: 960GB SSD SATA RI * 2EA
   </t>
    </r>
    <r>
      <rPr>
        <rFont val="Tahoma"/>
        <color theme="1"/>
        <sz val="9.0"/>
      </rPr>
      <t>‧</t>
    </r>
    <r>
      <rPr>
        <rFont val="맑은 고딕"/>
        <color theme="1"/>
        <sz val="9.0"/>
      </rPr>
      <t xml:space="preserve"> 로컬 스토리지(Rook-Ceph 용): 1.92TB SSD SATA RI * 4EA
 - 전원 : Dual, Redundant (1+1),Hot-Plug MHS Power Supply, 1500W MM, Titanium
 - NIC: 듀얼 포트 25GbE SFP28 어댑터, OCP 3.0 NIC +Sec * 2EA
 - OS : RHEL, 1-2SKT, Physical Node, 1YR Premium Sub, 1 Virtual Guest, Digitally Fulfilled</t>
    </r>
  </si>
  <si>
    <t>ECR-006-03-01</t>
  </si>
  <si>
    <t>AI 공통 노드 (LLMOps / ArgoCD / GitLab CI/CD / pipeline 관리)</t>
  </si>
  <si>
    <t>- 도입 수량: 2식
- CPU: Intel Xeon Gold 6430(2.1GHz) 32코어 이상 또는 동급 이상
- RAM: 256GB DDR5 4800MT/s 이상
- Disk
· OS SSD 960GB 이상
· Rook-Ceph 스토리지용 SATA SSD 1.92TB × 4ea 이상
- Network: 25GbE Dual Port NIC 이상, LACP 구성 가능
- 관리 포트: 전용 BMC 포함
- 기타
· LLMOps(모델 관리), GitLab Runner, ArgoCD 등 CI/CD 운영 가능
· Private Registry 및 AI 파이프라인 관리 기능 수행</t>
  </si>
  <si>
    <r>
      <rPr>
        <rFont val="Malgun Gothic"/>
        <color theme="1"/>
        <sz val="9.0"/>
      </rPr>
      <t xml:space="preserve">■ AI공통노드(Worker)  - DELL PowerEdge R770
 - 도입수량: 2식
 - CPU: Intel Xeon 6 Performance 6530P (2.3GHz) 32 코어 * 2EA
 - Memory: 256GB DDR5 6400MT/s (32GB * 8EA)
 - Disk
   </t>
    </r>
    <r>
      <rPr>
        <rFont val="Tahoma"/>
        <color theme="1"/>
        <sz val="9.0"/>
      </rPr>
      <t>‧</t>
    </r>
    <r>
      <rPr>
        <rFont val="맑은 고딕"/>
        <color theme="1"/>
        <sz val="9.0"/>
      </rPr>
      <t xml:space="preserve"> OS 디스크: 960GB SSD SATA RI * 2EA
   </t>
    </r>
    <r>
      <rPr>
        <rFont val="Tahoma"/>
        <color theme="1"/>
        <sz val="9.0"/>
      </rPr>
      <t>‧</t>
    </r>
    <r>
      <rPr>
        <rFont val="맑은 고딕"/>
        <color theme="1"/>
        <sz val="9.0"/>
      </rPr>
      <t xml:space="preserve"> 로컬 스토리지(Rook-Ceph 용): 1.92TB SSD SATA RI * 4EA - RAID 
 - 전원 : Dual, Redundant (1+1),Hot-Plug MHS Power Supply, 1500W MM, Titanium
 - NIC: 듀얼 포트 25GbE SFP28 어댑터, OCP 3.0 NIC +Sec * 2EA
 - OS : RHEL, 1-2SKT, Physical Node, 1YR Premium Sub, 1 Virtual Guest, Digitally Fulfilled</t>
    </r>
  </si>
  <si>
    <t>ECR-006-04-01</t>
  </si>
  <si>
    <t>GPU 인프라 - H200 학습/대규모 추론 및 L40S 서비스 추론/개발·검증</t>
  </si>
  <si>
    <t>- 최종 GPU 총량
  · NVIDIA H200 141GB × 8장: LLM 학습·파인튜닝·대규모 추론용
  · NVIDIA L40S 48GB × 2장: 서비스 추론·개발·검증·콜센터 워크로드용
- 서버 구성
  · H200은 HGX/DGX급 또는 동급 이상의 고대역폭 인터커넥트 구성을 적용한다.
  · L40S는 2개 노드에 각 1장씩 분산 배치하여 이중화 구성을 적용한다.
- 공통 사양
  · CPU: 고성능 서버급 CPU 32코어 이상
  · RAM: H200 노드 512GB 이상, L40S 노드 256GB 이상
  · Disk: NVMe SSD 3TB 이상
  · Network: 100GbE NIC × 2 이상(H200 노드), 25GbE 이상(L40S 노드)
- 운영 기준
  · 학습·추론·개발·검증 워크로드를 논리적으로 격리하고 자원 할당·회수·우선순위·장애 시 재배치 정책을 제공하여야 한다.
  · PER-003 동시접속·응답 성능 목표를 충족하는 용량산정 및 부하테스트 결과를 제출하여야 한다.
  · 랙 전력·냉각·케이블·드라이버·펌웨어·관리도구·라이선스를 포함하여야 한다.</t>
  </si>
  <si>
    <t>■ GPU인프라(LLM학습/추론용) - DELLPowerEdge XE7740
 - 도입수량: 1식
 - CPU: Intel Xeon 6 Performance 6747P (2.7GHz) 48 코어 * 2EA
 - Memory: 512GB DDR5 6400MT/s 이상(32GB * 16EA)
 - DISK: 3.84TB NVMe RI * 3EA
 - 전원 : Octa, 중복(4+4), 핫플러그 MHS 전원 공급 장치, 3200W MM HLAC (200-240Vac), Titanium
 - GPU: NVIDIA H200 NVL 141GB Passive * 8EA
 - NIC: 듀얼 포트 100GbE QSFP56 어댑터, PCIe 전체 높이 +Sec * 2EA
         듀얼 포트 25GbE SFP28 어댑터, OCP 3.0 NIC +Sec
 - OS : 528-BHOX, Red Hat Enterprise Linux,2SKT,1Guest,1Yr PREMIUM Subscription,No Media,Cus Kit</t>
  </si>
  <si>
    <t>ECR-006-05-01</t>
  </si>
  <si>
    <t>데이터베이스 서버 (RDB 및 벡터 DB)</t>
  </si>
  <si>
    <t>- 도입 수량: 2식
- CPU: Intel Xeon Gold 6430(2.1GHz) 32코어 이상 또는 동급 이상
- RAM: 128GB DDR5 이상
- Disk
· OS: SSD 960GB 이상
· 데이터: 1.92TB SSD × 6ea (RAID5 또는 RAID10 구성)
- Network
· 25GbE Dual Port NIC 이상
· 복제 및 클러스터 트래픽 전용 VLAN 구성 가능
- 관리 포트: BMC(iLO/iDRAC) 포함
- 기타
· Vector 검색 엔진 및 RDB 동시 운영 가능
· PITR 백업, 복구 지원 가능한 환경 제공</t>
  </si>
  <si>
    <r>
      <rPr>
        <rFont val="Malgun Gothic"/>
        <color theme="1"/>
        <sz val="9.0"/>
      </rPr>
      <t xml:space="preserve">■ DB 서버 (RDB/Vector) - DELL PowerEdge R770
 - 도입수량; 2식
 - CPU: Intel Xeon 6 Performance 6530P (2.3GHz) 32 코어 * 2EA
 - Memory: 256GB DDR5 6400MT/s (32GB * 8EA)
 - DISK
   </t>
    </r>
    <r>
      <rPr>
        <rFont val="Tahoma"/>
        <color theme="1"/>
        <sz val="9.0"/>
      </rPr>
      <t>‧</t>
    </r>
    <r>
      <rPr>
        <rFont val="맑은 고딕"/>
        <color theme="1"/>
        <sz val="9.0"/>
      </rPr>
      <t xml:space="preserve"> OS 디스크: 960GB SSD SATA RI * 2EA
   </t>
    </r>
    <r>
      <rPr>
        <rFont val="Tahoma"/>
        <color theme="1"/>
        <sz val="9.0"/>
      </rPr>
      <t>‧</t>
    </r>
    <r>
      <rPr>
        <rFont val="맑은 고딕"/>
        <color theme="1"/>
        <sz val="9.0"/>
      </rPr>
      <t xml:space="preserve"> 로컬 스토리지(Rook-Ceph 용): 1.92TB SSD SATA RI * 6EA
 - 전원: Dual, Redundant (1+1),Hot-Plug MHS Power Supply, 1500W MM, Titanium
 - NIC: 듀얼 포트 25GbE SFP28 어댑터, OCP 3.0 NIC +Sec * 2EA
 - OS : RHEL, 1-2SKT, Physical Node, 1YR Premium Sub, 1 Virtual Guest, Digitally Fulfilled</t>
    </r>
  </si>
  <si>
    <t>ECR-006-06-01</t>
  </si>
  <si>
    <t>스토리지(All-Flash NAS)</t>
  </si>
  <si>
    <t>- 도입 수량: 1식
- 용량: NVMe SSD 기반 All-Flash 100TB 이상
- 성능
· IOPS, Throughput, 지연 시간(Latency) 등 제안서에 명확히 제시
- NFS/CIFS/S3 호환 등 멀티 프로토콜 기반
- 기타: 스냅샷, 증분 백업, 버전 관리 기능 제공</t>
  </si>
  <si>
    <t>■ 스토리지 (All – Flash NAS) - NetApp AFF A20 u100TB(7.6TB*20ea) SW ONTAP Base
 - 도입수량: 1식
 - 컨트롤러 : AFF A20 HA System ( 듀얼노드구성)
 - DISK ( 저장장치 ): 7.6TB NVMe SSD × 20ea
 - 네트워크(I/O 모듈): 10/25GbE: 4 포트모듈× 4개(총16포트) /
SFP28(25GbE, SR) 8 개 포함
32G FC: 4 포트모듈× 2개(총8포트) /
Target+Init 겸용
 - OS: ONTAP Base Package (Flash 전용)</t>
  </si>
  <si>
    <t>ECR-006-07-01</t>
  </si>
  <si>
    <t>네트워크 장비 - L2 Network Switch (Service)</t>
  </si>
  <si>
    <t>- 도입 수량: 2식
- 사양: 10GbE × 24Port 이상
- 기능: VLAN, STP/RSTP, LACP, Jumbo Frame, RoCE v2 지원
- Multi-Chassis Link Aggregation 기능 조건 추가(예: MLAG, vPC 또는 동등 기술 지원)</t>
  </si>
  <si>
    <t>■ L2 Network Switch (Service) - CISCO N9K-C93180YC-FX3H
 - Interface (SFP+/SFP28): 1G/10G/25Gbps 24ea (Up to 48ea
with License)
 - Interface (QSFP28): 40G/100Gbps 6ea
 - Management Port: 1ea (RJ - 45 Console)
 - External Port: 1ea
(USB)
 - Switching Capacity: 3.6 Tbps
 -  LPM Routing Table: 1,7
 - Interface (SFP+/SFP28): 1G/10G/25Gbps 24ea (Up to 48ea
with License)
 - Interface (QSFP28): 40G/100Gbps 6ea
 - Management Port:
1ea (RJ- 45 Console)</t>
  </si>
  <si>
    <t>ECR-006-08-01</t>
  </si>
  <si>
    <t>네트워크 장비 - L4/L7 Switch (Service)</t>
  </si>
  <si>
    <t>- 도입 수량: 2식
- 사양: 10GbE × 8Port 이상
- 기능
· L4/L7 로드밸런싱 허용
· SSL Offload 및 헬스체크 지원</t>
  </si>
  <si>
    <t>■ L4/L7 스위치(SERVICE) - RadwareAlteon 6300 12G
 - 도입수량: 2식
 - CPU: Hexa Core 1ea
 - Memory: 32GB
 - HDD : 500GB
 - Management Port: 2ea
 - 1G/10G SFP+ Port: 24ea</t>
  </si>
  <si>
    <t>ECR-006-09-01</t>
  </si>
  <si>
    <t>네트워크 장비 - L2 Network Switch (Storage)</t>
  </si>
  <si>
    <t>- 도입 수량: 2식
- 사양: 100GbE × 24Port 이상
- 스토리지 및 노드 간 고대역폭 전송 지원
- Multi-Chassis Link Aggregation 기능 조건 추가(예: MLAG, vPC 또는 동등 기술 지원)</t>
  </si>
  <si>
    <t>■ L2스위치(Storage) - CISCO N9K- C93180YC- FX3H
 - 도입수량: 2식
 - Interface (SFP+/SFP28): 1G/10G/25Gbps 24ea (Up to 48ea
with License)
 - Interface (QSFP28): 40G/100Gbps 6ea
 - Management Port: 1ea (RJ - 45 Console)
 - External Port: 1ea
(USB)
 - Switching Capacity: 3.6 Tbps
 - LPM Routing Table: 1,7
 - Interface (SFP+/SFP28): 1G/10G/25Gbps 24ea (Up to 48ea
with License)
 - Interface (QSFP28): 40G/100Gbps 6ea
 - Management Port: 1ea (RJ - 45 Console)</t>
  </si>
  <si>
    <t>ECR-006-10-01</t>
  </si>
  <si>
    <t>GPU 랙</t>
  </si>
  <si>
    <t>- 도입 수량: 1식
- 규격: 42U 이상
- 전력: 9,000W 이상 공급 가능하여야 한다
- 구성: 듀얼 PDU, 전면/후면 냉각 흐름 고려</t>
  </si>
  <si>
    <t>KT IDC(강남) 상면 및 RACK 임차 사용</t>
  </si>
  <si>
    <t>콜센터 상담 어시스턴트 서버 및 상담원 모니터 도입 규격 정의</t>
  </si>
  <si>
    <t>ECR-007-01-01</t>
  </si>
  <si>
    <t>공통</t>
  </si>
  <si>
    <t>규격은 제시된 사양 이상이어야 함(동급/상위 대체 허용)</t>
  </si>
  <si>
    <t>제시 규격 이상·동급/상위 장비로 납품</t>
  </si>
  <si>
    <t>· 규격 확인서 (서버•스토리지•SAN 스위치 등 세부 사양 대조)
 · 장비설치 계획서
 · 설치확인서(설치결과서)
 · 정품 확인서(제품보증서)
 · 라이선스 증서 (OS•SAN SW 등)
 · 제조사 기술지원확약서
 · 제조사 물품공급확약서
 · 랙 전력•발열 사전 산정서</t>
  </si>
  <si>
    <t>ECR-007-01-02</t>
  </si>
  <si>
    <t>OS는 LTS 버전(예: Rocky Linux 9.x/RHEL/Ubuntu LTS)로 납품하고, 보안 패치 최신 상태로 설치하여야 한다.</t>
  </si>
  <si>
    <t>Rocky Linux/RHEL/Ubuntu LTS 등 장기지원 OS와 최신 보안패치 적용</t>
  </si>
  <si>
    <t>ECR-007-01-03</t>
  </si>
  <si>
    <t>전원 공급 장치(PSU) 및 팬(Fan)은 핫스왑 가능한 이중화(Redundant) 구조여야 함</t>
  </si>
  <si>
    <t>상담 어시스턴트 서버 PSU·팬 Hot-Swap 이중화 적용</t>
  </si>
  <si>
    <t>ECR-007-01-04</t>
  </si>
  <si>
    <t>랙/전력/발열 사전 산정서를 제출하여야 한다.</t>
  </si>
  <si>
    <t>랙/전력/발열 사전 산정서를 제출</t>
  </si>
  <si>
    <t>ECR-007-01-05</t>
  </si>
  <si>
    <t>시스템은 호환성: Rocky Linux 환경에서 Multipath I/O(MPIO) 구성 및 SAN 연동 최적화 지원하여야 한다.</t>
  </si>
  <si>
    <t>호환성: Rocky Linux 환경에서 Multipath I/O(MPIO) 구성 및 SAN 연동 최적화 지원</t>
  </si>
  <si>
    <t>ECR-007-01-06</t>
  </si>
  <si>
    <t>시스템은 기존 스위치와 호환되는 인터페이스(SFP+ 또는 10G-Base-T) 제공하여야 한다.</t>
  </si>
  <si>
    <t>기존 스위치와 호환되는 인터페이스(SFP+ 또는 10G-Base-T) 제공</t>
  </si>
  <si>
    <t>ECR-007-01-07</t>
  </si>
  <si>
    <t>관리: 원격 제어를 위한 전용 관리 포트(iDRAC, iLO 등) 및 라이선스 포함</t>
  </si>
  <si>
    <t>ECR-007-01-08</t>
  </si>
  <si>
    <t>표기된 도입 수량에 맞춰 필요 라이선스 일체 포함</t>
  </si>
  <si>
    <t>공통 제시 수량, 제시 규격 이상 기준으로 납품·설치 및 정상 동작 검증</t>
  </si>
  <si>
    <t>ECR-007-02-01</t>
  </si>
  <si>
    <t>L7 서버</t>
  </si>
  <si>
    <t>- 도입 수량: 2식
- CPU: Intel Xeon Gold 6430 (2.1GHz) 8코어 이상 1 CPU 또는 동급 이상
- RAM: 32GB DDR5 4800MT/s 이상(메모리 채널 뱅크 구성을 고려하여 장착)
- Disk: 500GB SSD (Enterprise RI) x 2 (RAID 1)
- Network: 10GbE Dual Port NIC 이상</t>
  </si>
  <si>
    <t>■ L7 서버 - DELL PowerEdge R470
 - 도입 수량: 2식
 - CPU:  Intel Xeon 6 Performance 6507P (3.5GHz) 8 코어
 - RAM: 32GB DDR5 6400MT/s (32GB * 1EA)
 - Disk: : 960GB SSD SATA RI * 2EA
 - 전원: 듀얼, 완전 중복(1+1), 핫플러그 MHS 전원 공급 장치,800W MM (100-240Vac)
 - NIC: 듀얼 포트 25GbE SFP28 어댑터, OCP 3.0 NIC +Sec * 2EA
 - OS : RHEL, 1-2SKT, Physical Node, 1YR Premium Sub, 1 Virtual Guest, Digitally Fulfilled</t>
  </si>
  <si>
    <t>ECR-007-03-01</t>
  </si>
  <si>
    <t>콜센터 AP 서버</t>
  </si>
  <si>
    <t>■ 콜센터 AP 서버 - DELL PowerEdge R470
 - 도입 수량: 2식
 - CPU:  Intel Xeon 6 Performance 6507P (3.5GHz) 8 코어
 - RAM: 32GB DDR5 6400MT/s (32GB * 1EA)
 - Disk: : 960GB SSD SATA RI * 2EA
 - 전원: 듀얼, 완전 중복(1+1), 핫플러그 MHS 전원 공급 장치,800W MM (100-240Vac)
 - NIC: 듀얼 포트 25GbE SFP28 어댑터, OCP 3.0 NIC +Sec * 2EA
 - OS : RHEL, 1-2SKT, Physical Node, 1YR Premium Sub, 1 Virtual Guest, Digitally Fulfilled</t>
  </si>
  <si>
    <t>ECR-007-04-01</t>
  </si>
  <si>
    <t>콜센터 DB 서버</t>
  </si>
  <si>
    <t>- 도입 수량: 2식
- CPU: Intel Xeon Gold 6430 (2.1GHz) 16코어 이상 1 CPU 또는 동급 이상
- RAM: 64GB DDR5 4800MT/s 이상(최적 성능을 위해 8GB x 8개 또는 16GB x 4개 구성)
- DISK: 500GB SSD (Enterprise RI) x 2 (RAID 1)
- Network: 10GbE Dual Port NIC 이상, DB 동기화용 별도 1GbE NIC 탑재
- 32Gbps Dual Port FC HBA 탑재 (SAN 스토리지 연결용)</t>
  </si>
  <si>
    <t>■ 콜센터 DB 서버 - DELL PowerEdge R470
 - 도입 수량: 2식
 - CPU:  Intel Xeon 6 Performance 6511P (2.3GHz) 16 코어 
 - RAM: 64GB DDR5 6400MT/s (16GB * 4EA)
 - Disk: : 960GB SSD SATA RI * 2EA
 - 전원: 듀얼, 완전 중복(1+1), 핫플러그 MHS 전원 공급 장치,800W MM (100-240Vac)
 - NIC: 쿼드 포트 1GbE Base-T 어댑터, OCP 3.0 NIC +Sec
         듀얼 포트 25GbE SFP28 어댑터, OCP 3.0 NIC +Sec
 - OS : RHEL, 1-2SKT, Physical Node, 1YR Premium Sub, 1 Virtual Guest, Digitally Fulfilled</t>
  </si>
  <si>
    <t>ECR-007-05-01</t>
  </si>
  <si>
    <t>SAN/NAS 스토리지</t>
  </si>
  <si>
    <t>- 도입 수량: 1식
- Usable 20TB(All-Flash 또는 SSD 계층화 구성 필수)
- 스토리지 컨트롤러: Dual Controller (Active-Active), 시스템 캐시 64GB 이상
- 인터페이스: 32Gbps FC 포트(4개 이상) 및 10GbE NAS 포트(NFS/SMB 지원)
- 성능: 최소 50,000 IOPS 이상 보장
- Network: 32Gb FC SFP+ 트랜시버 * 4개</t>
  </si>
  <si>
    <r>
      <rPr>
        <rFont val="Malgun Gothic"/>
        <color theme="1"/>
        <sz val="9.0"/>
      </rPr>
      <t xml:space="preserve">■ SAN/NAS 스토리지 - NetApp AFF A20 u20TB(3.8TB*10ea) SW ONTAP Base
 - 도입 수량: 1식
 - 컨트롤러: AFF A20 HA System ( 듀얼노드구성)
 - Disk(저장장치): 3.8TB NVMe SSD × 2ea
 - Drive Pack 2X3.8TB, NVMe4, SED (X4025A - 2- A- C)
 - Network(I/O모듈): 10/25GbE: 4포트모듈×1개(총4포트)/SFP+Optical 10Gb Shortwave 포함
   </t>
    </r>
    <r>
      <rPr>
        <rFont val="Tahoma"/>
        <color theme="1"/>
        <sz val="9.0"/>
      </rPr>
      <t>‧</t>
    </r>
    <r>
      <rPr>
        <rFont val="맑은 고딕"/>
        <color theme="1"/>
        <sz val="9.0"/>
      </rPr>
      <t xml:space="preserve"> 32G FC: 4 포트모듈× 1개(총4포트) / Target+Init 겸용
 - OS: ONTAP Base Package (Flash 전용)</t>
    </r>
  </si>
  <si>
    <t>ECR-007-06-01</t>
  </si>
  <si>
    <t>SAN 스위치</t>
  </si>
  <si>
    <t>- 도입 수량: 2식
- 32Gbps 24Port 이상 (최소 16포트 이상 SFP 포함 활성화)
- 부속품: 서서버/스토리지 연결용 32Gb SFP 및 광케이블(OM4, LC-LC) 일체</t>
  </si>
  <si>
    <t>■ SAN 스위치 - Brocade G720
 - 도입 수량: 2식
 - 24P, 32GB SWL SFPs, AC, PORT SIDE EXHAUST AIR FLOW, EB,Dual
 - hot-swappable redundant power supplies with integrated system cooling fans, Rack mount Kit
 - Fibre Channel Cable, LC to LC, 50/125, 5 meter * 12e</t>
  </si>
  <si>
    <t>ECR-007-07-01</t>
  </si>
  <si>
    <t>관리 콘솔 및 표준 랙</t>
  </si>
  <si>
    <t>- 도입 수량: 2식
- KVM 콘솔, 42U 이상 랙, 듀얼 PDU
- 전력, 발열, 케이블 구성도 포함
- BMC 관리망 구성 포함</t>
  </si>
  <si>
    <t>■ 관리 콘솔 - 1U KVM Console
 - 도입 수량: 2식
 - KT IDC(강남) 상면 및 RACK 임차 사용
 - KVM 콘솔: 1U 타입(모니터 · 키보드 · 터치패드통합형 )</t>
  </si>
  <si>
    <t>ECR-007-08-01</t>
  </si>
  <si>
    <t>상담원용 모니터</t>
  </si>
  <si>
    <t>- 도입 수량: 240식
- 화면 크기: 27인치 이상
- 해상도: FHD(1920x1080) 이상
- 연결 인터페이스: HDMI, RGB 필수</t>
  </si>
  <si>
    <t>■ 상담원용 모니터 - DELL E2726HS
 - 도입 수량 : 240식
 - 화면 크기 : 27인치 
 - 해상도 : FHD(1920x1080) 
 - 연결 인터페이스: HDMI 2.1 1Port, DP 1.4 1Port, VGA 1Port</t>
  </si>
  <si>
    <t>위원회 콜센터TA 이중화 장비 도입</t>
  </si>
  <si>
    <t>기 구축 콜센터 TA 시스템 이중화 장비 및 보안 SW 도입 규격 정의</t>
  </si>
  <si>
    <t>ECR-008-01-01</t>
  </si>
  <si>
    <t>공통 요구사항</t>
  </si>
  <si>
    <t>본 요구사항은 기 구축된 콜센터 TA에 대한 이중화 장비 도입을 정의한다.</t>
  </si>
  <si>
    <t>ECS / 위고 / 제논</t>
  </si>
  <si>
    <t>기 구축된 콜센터 TA에 대한 이중화 장비 도입</t>
  </si>
  <si>
    <t>· 규격 확인서 (서버•GPU•솔루션 세부 사양 대조)
 · 장비설치 계획서
 · 설치확인서(설치결과서)
 · 정품 확인서(제품보증서)
 · 라이선스 증서 (TA솔루션•OS•보안SW 등)
 · 제조사 기술지원확약서
 · 제조사 물품공급확약서</t>
  </si>
  <si>
    <t>ECR-008-01-02</t>
  </si>
  <si>
    <t>본 규격은 제시된 사양 이상의 제품이어야 하며, 동급 또는 상위 제안 허용</t>
  </si>
  <si>
    <t>TA 이중화 장비를 제시 사양 이상·동급/상위 제품으로 도입</t>
  </si>
  <si>
    <t>ECR-008-01-03</t>
  </si>
  <si>
    <t>OS는 최신 보안 패치 상태로 납품하여야 함</t>
  </si>
  <si>
    <t>OS는 최신 보안 패치 상태로 납품</t>
  </si>
  <si>
    <t>ECR-008-01-04</t>
  </si>
  <si>
    <t>전원 공급장치(PSU) 및 팬(FAN)은 이중화(Hot-Swap) 구조여야 함</t>
  </si>
  <si>
    <t>TA 이중화 서버 PSU·팬 Hot-Swap 이중화 적용</t>
  </si>
  <si>
    <t>ECR-008-01-05</t>
  </si>
  <si>
    <t>표기된 도입 수량에 맞춘 필요 라이선스 전체 포함</t>
  </si>
  <si>
    <t>공통 요구사항 제시 수량, 제시 규격 이상 기준으로 납품·설치 및 정상 동작 검증</t>
  </si>
  <si>
    <t>ECR-008-01-06</t>
  </si>
  <si>
    <t>기 구축된 TA 시스템과 동일 버전으로 이중화 구성에 적합한 라이선스 형태로 도입</t>
  </si>
  <si>
    <t>ECR-008-02-01</t>
  </si>
  <si>
    <t>TA 솔루션</t>
  </si>
  <si>
    <t>- TA Enterprise v7.0 per Server Engine(위고)
· 도입 수량: 1식</t>
  </si>
  <si>
    <t>TA Enterprise v7.0 per Server Engine(위고) 1식 도입·설치 후 기존 TA와 기능·라이선스 정합성 검증</t>
  </si>
  <si>
    <t>ECR-008-02-02</t>
  </si>
  <si>
    <t>- GPT 요약 엔진
· 도입 수량: 1식
· 상담 내용 자동 요약 기능 제공을 위한 GPT 기반 요약 엔진</t>
  </si>
  <si>
    <t>GPT 요약 엔진 1식 도입·설치 및 기존 TA 기능·라이선스 정합성 검증</t>
  </si>
  <si>
    <t>ECR-008-03-01</t>
  </si>
  <si>
    <t>서버</t>
  </si>
  <si>
    <r>
      <rPr>
        <rFont val="Malgun Gothic"/>
        <color theme="1"/>
        <sz val="9.0"/>
      </rPr>
      <t xml:space="preserve">- TA 이중화 서버
</t>
    </r>
    <r>
      <rPr>
        <rFont val="Tahoma"/>
        <color theme="1"/>
        <sz val="9.0"/>
      </rPr>
      <t>‧</t>
    </r>
    <r>
      <rPr>
        <rFont val="맑은 고딕"/>
        <color theme="1"/>
        <sz val="9.0"/>
      </rPr>
      <t xml:space="preserve"> 도입 수량 : 1식
</t>
    </r>
    <r>
      <rPr>
        <rFont val="Tahoma"/>
        <color theme="1"/>
        <sz val="9.0"/>
      </rPr>
      <t>‧</t>
    </r>
    <r>
      <rPr>
        <rFont val="맑은 고딕"/>
        <color theme="1"/>
        <sz val="9.0"/>
      </rPr>
      <t xml:space="preserve"> CPU : 3.2GHz, 2P/32C 이상
</t>
    </r>
    <r>
      <rPr>
        <rFont val="Tahoma"/>
        <color theme="1"/>
        <sz val="9.0"/>
      </rPr>
      <t>‧</t>
    </r>
    <r>
      <rPr>
        <rFont val="맑은 고딕"/>
        <color theme="1"/>
        <sz val="9.0"/>
      </rPr>
      <t xml:space="preserve"> RAM : 256GB 이상
</t>
    </r>
    <r>
      <rPr>
        <rFont val="Tahoma"/>
        <color theme="1"/>
        <sz val="9.0"/>
      </rPr>
      <t>‧</t>
    </r>
    <r>
      <rPr>
        <rFont val="맑은 고딕"/>
        <color theme="1"/>
        <sz val="9.0"/>
      </rPr>
      <t xml:space="preserve"> Disk : 960GB NVMe SSD × 3ea 이상
</t>
    </r>
    <r>
      <rPr>
        <rFont val="Tahoma"/>
        <color theme="1"/>
        <sz val="9.0"/>
      </rPr>
      <t>‧</t>
    </r>
    <r>
      <rPr>
        <rFont val="맑은 고딕"/>
        <color theme="1"/>
        <sz val="9.0"/>
      </rPr>
      <t xml:space="preserve"> GPU : NVIDIA L40S 48GB × 2ea</t>
    </r>
  </si>
  <si>
    <t>■ TA 서버 - DELL PowerEdge R770
 - 도입 수량 : 1식
 - CPU: Intel Xeon6 Performance 6517P (3.2GHz) 16코어 * 2EA
 - Memory: 256GB DDR5 6400MT/s (32GB * 8EA)
 - DISK: 1.6TB NVMe RI * 3EA
 - 전원 : 듀얼, Fault Tolerant 중복(1+1),핫플러그 MHS PSU,3200W MM HLAC(Only for 200-240Vac)Titanium
 - GPU : NVIDIA L40S 48GB * 2EA
 - NIC: 쿼드 포트 1GbE Base-T 어댑터, OCP 3.0 NIC +Sec
         듀얼 포트 25GbE SFP28 어댑터, OCP 3.0 NIC +Sec
 - OS : RHEL, 1-2SKT, Physical Node, 1YR Premium Sub, 1 Virtual Guest, Digitally Fulfilled</t>
  </si>
  <si>
    <t>ECR-008-03-02</t>
  </si>
  <si>
    <t>- OS: RedHat Enterprise Linux
· 도입 수량: 1식
· 라이선스 기간: 1년 (사업 기간 및 하자보수 기간을 포함한 유효기간 확보)</t>
  </si>
  <si>
    <t>ECR-008-04-01</t>
  </si>
  <si>
    <t>보안 소프트웨어</t>
  </si>
  <si>
    <t>- 서버 백신: V3 Net for Linux Server (AhnLab V3)
· 도입 수량: 1식</t>
  </si>
  <si>
    <t>서버 백신: V3 Net for Linux Server (AhnLab V3) 1식 설치 및 위원회 보안정책 적용·연동 검증</t>
  </si>
  <si>
    <t>ECR-008-04-02</t>
  </si>
  <si>
    <t>- 서버 보안: Red Castle(SGA솔루션즈)
· 도입 수량: 1식</t>
  </si>
  <si>
    <t>서버 보안: Red Castle(SGA솔루션즈) 1식 설치 및 위원회 보안정책 적용·연동 검증</t>
  </si>
  <si>
    <t>ECR-008-04-03</t>
  </si>
  <si>
    <t>- 시스템 접근통제: Hi-PSM Node(넷앤드)
· 도입 수량: 1식
· 적용 대상: Unix, Linux, Windows Server 및 네트워크 장비</t>
  </si>
  <si>
    <t>Hi-PSM Node 1식 설치, Unix/Linux/Windows·네트워크 장비 접근통제 정책 적용·연동 검증</t>
  </si>
  <si>
    <t>ECR-008-04-04</t>
  </si>
  <si>
    <t>- 서버 개인정보 탐지: 서버개인정보 검출시스템 ServerFilter(지란지교)
· 도입 수량: 2식</t>
  </si>
  <si>
    <t>서버 개인정보 탐지: 서버개인정보 검출시스템 ServerFilter(지란지교) 2식 설치 및 위원회 보안정책 적용·연동 검증</t>
  </si>
  <si>
    <t>ECR-008-04-05</t>
  </si>
  <si>
    <t>- 서버 모니터링: 서버관리 에이전트(싸이크로스)
· 도입 수량: 1식</t>
  </si>
  <si>
    <t>서버 모니터링: 서버관리 에이전트(싸이크로스) 1식 설치 및 위원회 보안정책 적용·연동 검증</t>
  </si>
  <si>
    <t>도입 또는 생성 시스템에 설치 되어야 할 보안 SW 도입 규격 정의</t>
  </si>
  <si>
    <t>ECR-009-01-01</t>
  </si>
  <si>
    <t>서버 백신: V3 Net for Linux Server (AhnLab V3)</t>
  </si>
  <si>
    <t>서버 백신: V3 Net for Linux Server (AhnLab V3)를 도입 서버 전체에 설치하고 정책·라이선스·정상 동작 검증</t>
  </si>
  <si>
    <t>· 설치 계획서
 · 설치확인서(설치결과서)
 · 정품 확인서(제품보증서)
 · 라이선스 증서
 · 제조사 기술지원확약서
 · 제조사 물품공급확약서</t>
  </si>
  <si>
    <t>ECR-009-01-02</t>
  </si>
  <si>
    <t>서버 보안: Red Castle(SGA솔루션즈)</t>
  </si>
  <si>
    <t>서버 보안: Red Castle(SGA솔루션즈)를 도입 서버 전체에 설치하고 정책·라이선스·정상 동작 검증</t>
  </si>
  <si>
    <t>ECR-009-01-03</t>
  </si>
  <si>
    <t>- 시스템 접근통제: Hi-PSM Node(넷앤드)
· 적용 대상: Unix, Linux, Windows Server 및 네트워크 장비</t>
  </si>
  <si>
    <t>시스템 접근통제: Hi-PSM Node(넷앤드)를 도입 서버 전체에 설치하고 정책·라이선스·정상 동작 검증</t>
  </si>
  <si>
    <t>ECR-009-01-04</t>
  </si>
  <si>
    <t>서버 개인정보 탐지: 서버개인정보 검출시스템 ServerFilter(지란지교)</t>
  </si>
  <si>
    <t>ServerFilter를 도입 서버 전체에 설치하고 탐지정책·라이선스·동작 검증</t>
  </si>
  <si>
    <t>ECR-009-01-05</t>
  </si>
  <si>
    <t>서버 모니터링: 서버관리 에이전트(싸이크로스)</t>
  </si>
  <si>
    <t>서버 모니터링: 서버관리 에이전트(싸이크로스)를 도입 서버 전체에 설치하고 정책·라이선스·정상 동작 검증</t>
  </si>
  <si>
    <t>ECR-009-02-01</t>
  </si>
  <si>
    <t>도입 수량</t>
  </si>
  <si>
    <t>도입 서버 전체</t>
  </si>
  <si>
    <r>
      <rPr>
        <rFont val="Malgun Gothic"/>
        <color theme="1"/>
        <sz val="9.0"/>
      </rPr>
      <t>ECR-009 보안 소프트웨어를 도입 서버 전체 수량</t>
    </r>
    <r>
      <rPr>
        <rFont val="맑은 고딕"/>
        <color rgb="FFFF0000"/>
        <sz val="9.0"/>
      </rPr>
      <t>(15식)</t>
    </r>
    <r>
      <rPr>
        <rFont val="맑은 고딕"/>
        <color theme="1"/>
        <sz val="9.0"/>
      </rPr>
      <t xml:space="preserve">에 맞춰 설치·적용. </t>
    </r>
    <r>
      <rPr>
        <rFont val="맑은 고딕"/>
        <color rgb="FFFF0000"/>
        <sz val="9.0"/>
      </rPr>
      <t>다만, 서버개인정보 검출시스템 ServerFilter(지란지교)는 16식을 도입하여 설치(ECR-008-04-04 관련)</t>
    </r>
  </si>
  <si>
    <t>WORM 스토리지 구성</t>
  </si>
  <si>
    <t>위변조 방지를 위한 WORM 스토리지 구성</t>
  </si>
  <si>
    <t>ECR-010-01-01</t>
  </si>
  <si>
    <t>netapp의 snaplock 기능을 통해서 WORM (Write Once Read Many) 기능 제공(License 구매하여 WORM 처리)</t>
  </si>
  <si>
    <t>ECR-011-01-01</t>
  </si>
  <si>
    <r>
      <rPr>
        <rFont val="Calibri"/>
        <color theme="1"/>
        <sz val="9.0"/>
      </rPr>
      <t>- pgvector</t>
    </r>
    <r>
      <rPr>
        <rFont val="맑은 고딕"/>
        <color theme="1"/>
        <sz val="9.0"/>
      </rPr>
      <t>가</t>
    </r>
    <r>
      <rPr>
        <rFont val="Calibri"/>
        <color theme="1"/>
        <sz val="9.0"/>
      </rPr>
      <t xml:space="preserve"> </t>
    </r>
    <r>
      <rPr>
        <rFont val="맑은 고딕"/>
        <color theme="1"/>
        <sz val="9.0"/>
      </rPr>
      <t>아닌</t>
    </r>
    <r>
      <rPr>
        <rFont val="Calibri"/>
        <color theme="1"/>
        <sz val="9.0"/>
      </rPr>
      <t xml:space="preserve"> Weaviate</t>
    </r>
    <r>
      <rPr>
        <rFont val="맑은 고딕"/>
        <color theme="1"/>
        <sz val="9.0"/>
      </rPr>
      <t>를</t>
    </r>
    <r>
      <rPr>
        <rFont val="Calibri"/>
        <color theme="1"/>
        <sz val="9.0"/>
      </rPr>
      <t xml:space="preserve"> </t>
    </r>
    <r>
      <rPr>
        <rFont val="맑은 고딕"/>
        <color theme="1"/>
        <sz val="9.0"/>
      </rPr>
      <t>벡터</t>
    </r>
    <r>
      <rPr>
        <rFont val="Calibri"/>
        <color theme="1"/>
        <sz val="9.0"/>
      </rPr>
      <t xml:space="preserve"> </t>
    </r>
    <r>
      <rPr>
        <rFont val="맑은 고딕"/>
        <color theme="1"/>
        <sz val="9.0"/>
      </rPr>
      <t>저장소로</t>
    </r>
    <r>
      <rPr>
        <rFont val="Calibri"/>
        <color theme="1"/>
        <sz val="9.0"/>
      </rPr>
      <t xml:space="preserve"> </t>
    </r>
    <r>
      <rPr>
        <rFont val="맑은 고딕"/>
        <color theme="1"/>
        <sz val="9.0"/>
      </rPr>
      <t>제안</t>
    </r>
    <r>
      <rPr>
        <rFont val="Calibri"/>
        <color theme="1"/>
        <sz val="9.0"/>
      </rPr>
      <t xml:space="preserve">
- AI </t>
    </r>
    <r>
      <rPr>
        <rFont val="맑은 고딕"/>
        <color theme="1"/>
        <sz val="9.0"/>
      </rPr>
      <t>플랫폼</t>
    </r>
    <r>
      <rPr>
        <rFont val="Calibri"/>
        <color theme="1"/>
        <sz val="9.0"/>
      </rPr>
      <t xml:space="preserve"> RDB</t>
    </r>
    <r>
      <rPr>
        <rFont val="맑은 고딕"/>
        <color theme="1"/>
        <sz val="9.0"/>
      </rPr>
      <t>와</t>
    </r>
    <r>
      <rPr>
        <rFont val="Calibri"/>
        <color theme="1"/>
        <sz val="9.0"/>
      </rPr>
      <t xml:space="preserve"> VectorDB</t>
    </r>
    <r>
      <rPr>
        <rFont val="맑은 고딕"/>
        <color theme="1"/>
        <sz val="9.0"/>
      </rPr>
      <t>를</t>
    </r>
    <r>
      <rPr>
        <rFont val="Calibri"/>
        <color theme="1"/>
        <sz val="9.0"/>
      </rPr>
      <t xml:space="preserve"> </t>
    </r>
    <r>
      <rPr>
        <rFont val="맑은 고딕"/>
        <color theme="1"/>
        <sz val="9.0"/>
      </rPr>
      <t>기존</t>
    </r>
    <r>
      <rPr>
        <rFont val="Calibri"/>
        <color theme="1"/>
        <sz val="9.0"/>
      </rPr>
      <t xml:space="preserve"> </t>
    </r>
    <r>
      <rPr>
        <rFont val="맑은 고딕"/>
        <color theme="1"/>
        <sz val="9.0"/>
      </rPr>
      <t>아키텍쳐</t>
    </r>
    <r>
      <rPr>
        <rFont val="Calibri"/>
        <color theme="1"/>
        <sz val="9.0"/>
      </rPr>
      <t xml:space="preserve"> Database Zone</t>
    </r>
    <r>
      <rPr>
        <rFont val="맑은 고딕"/>
        <color theme="1"/>
        <sz val="9.0"/>
      </rPr>
      <t>에서</t>
    </r>
    <r>
      <rPr>
        <rFont val="Calibri"/>
        <color theme="1"/>
        <sz val="9.0"/>
      </rPr>
      <t xml:space="preserve"> Woker</t>
    </r>
    <r>
      <rPr>
        <rFont val="맑은 고딕"/>
        <color theme="1"/>
        <sz val="9.0"/>
      </rPr>
      <t>로</t>
    </r>
    <r>
      <rPr>
        <rFont val="Calibri"/>
        <color theme="1"/>
        <sz val="9.0"/>
      </rPr>
      <t xml:space="preserve"> </t>
    </r>
    <r>
      <rPr>
        <rFont val="맑은 고딕"/>
        <color theme="1"/>
        <sz val="9.0"/>
      </rPr>
      <t>편입</t>
    </r>
    <r>
      <rPr>
        <rFont val="Calibri"/>
        <color theme="1"/>
        <sz val="9.0"/>
      </rPr>
      <t xml:space="preserve">
</t>
    </r>
    <r>
      <rPr>
        <rFont val="맑은 고딕"/>
        <color theme="1"/>
        <sz val="9.0"/>
      </rPr>
      <t>- 원문과</t>
    </r>
    <r>
      <rPr>
        <rFont val="Calibri"/>
        <color theme="1"/>
        <sz val="9.0"/>
      </rPr>
      <t xml:space="preserve"> </t>
    </r>
    <r>
      <rPr>
        <rFont val="맑은 고딕"/>
        <color theme="1"/>
        <sz val="9.0"/>
      </rPr>
      <t>메타데이터</t>
    </r>
    <r>
      <rPr>
        <rFont val="Calibri"/>
        <color theme="1"/>
        <sz val="9.0"/>
      </rPr>
      <t xml:space="preserve">, </t>
    </r>
    <r>
      <rPr>
        <rFont val="맑은 고딕"/>
        <color theme="1"/>
        <sz val="9.0"/>
      </rPr>
      <t>청크는</t>
    </r>
    <r>
      <rPr>
        <rFont val="Calibri"/>
        <color theme="1"/>
        <sz val="9.0"/>
      </rPr>
      <t xml:space="preserve"> RDB</t>
    </r>
    <r>
      <rPr>
        <rFont val="맑은 고딕"/>
        <color theme="1"/>
        <sz val="9.0"/>
      </rPr>
      <t>에</t>
    </r>
    <r>
      <rPr>
        <rFont val="Calibri"/>
        <color theme="1"/>
        <sz val="9.0"/>
      </rPr>
      <t xml:space="preserve"> </t>
    </r>
    <r>
      <rPr>
        <rFont val="맑은 고딕"/>
        <color theme="1"/>
        <sz val="9.0"/>
      </rPr>
      <t>정본으로</t>
    </r>
    <r>
      <rPr>
        <rFont val="Calibri"/>
        <color theme="1"/>
        <sz val="9.0"/>
      </rPr>
      <t xml:space="preserve"> </t>
    </r>
    <r>
      <rPr>
        <rFont val="맑은 고딕"/>
        <color theme="1"/>
        <sz val="9.0"/>
      </rPr>
      <t>보존</t>
    </r>
    <r>
      <rPr>
        <rFont val="Calibri"/>
        <color theme="1"/>
        <sz val="9.0"/>
      </rPr>
      <t xml:space="preserve">, </t>
    </r>
    <r>
      <rPr>
        <rFont val="맑은 고딕"/>
        <color theme="1"/>
        <sz val="9.0"/>
      </rPr>
      <t>벡터</t>
    </r>
    <r>
      <rPr>
        <rFont val="Calibri"/>
        <color theme="1"/>
        <sz val="9.0"/>
      </rPr>
      <t xml:space="preserve"> </t>
    </r>
    <r>
      <rPr>
        <rFont val="맑은 고딕"/>
        <color theme="1"/>
        <sz val="9.0"/>
      </rPr>
      <t>저장소는</t>
    </r>
    <r>
      <rPr>
        <rFont val="Calibri"/>
        <color theme="1"/>
        <sz val="9.0"/>
      </rPr>
      <t xml:space="preserve"> </t>
    </r>
    <r>
      <rPr>
        <rFont val="맑은 고딕"/>
        <color theme="1"/>
        <sz val="9.0"/>
      </rPr>
      <t>재색인으로</t>
    </r>
    <r>
      <rPr>
        <rFont val="Calibri"/>
        <color theme="1"/>
        <sz val="9.0"/>
      </rPr>
      <t xml:space="preserve"> </t>
    </r>
    <r>
      <rPr>
        <rFont val="맑은 고딕"/>
        <color theme="1"/>
        <sz val="9.0"/>
      </rPr>
      <t>복구</t>
    </r>
    <r>
      <rPr>
        <rFont val="Calibri"/>
        <color theme="1"/>
        <sz val="9.0"/>
      </rPr>
      <t xml:space="preserve"> </t>
    </r>
    <r>
      <rPr>
        <rFont val="맑은 고딕"/>
        <color theme="1"/>
        <sz val="9.0"/>
      </rPr>
      <t>가능한</t>
    </r>
    <r>
      <rPr>
        <rFont val="Calibri"/>
        <color theme="1"/>
        <sz val="9.0"/>
      </rPr>
      <t xml:space="preserve"> </t>
    </r>
    <r>
      <rPr>
        <rFont val="맑은 고딕"/>
        <color theme="1"/>
        <sz val="9.0"/>
      </rPr>
      <t>파생</t>
    </r>
    <r>
      <rPr>
        <rFont val="Calibri"/>
        <color theme="1"/>
        <sz val="9.0"/>
      </rPr>
      <t xml:space="preserve"> </t>
    </r>
    <r>
      <rPr>
        <rFont val="맑은 고딕"/>
        <color theme="1"/>
        <sz val="9.0"/>
      </rPr>
      <t>인덱스로</t>
    </r>
    <r>
      <rPr>
        <rFont val="Calibri"/>
        <color theme="1"/>
        <sz val="9.0"/>
      </rPr>
      <t xml:space="preserve"> </t>
    </r>
    <r>
      <rPr>
        <rFont val="맑은 고딕"/>
        <color theme="1"/>
        <sz val="9.0"/>
      </rPr>
      <t>분리</t>
    </r>
    <r>
      <rPr>
        <rFont val="Calibri"/>
        <color theme="1"/>
        <sz val="9.0"/>
      </rPr>
      <t xml:space="preserve"> </t>
    </r>
    <r>
      <rPr>
        <rFont val="맑은 고딕"/>
        <color theme="1"/>
        <sz val="9.0"/>
      </rPr>
      <t>설계</t>
    </r>
    <r>
      <rPr>
        <rFont val="Calibri"/>
        <color theme="1"/>
        <sz val="9.0"/>
      </rPr>
      <t xml:space="preserve">
</t>
    </r>
    <r>
      <rPr>
        <rFont val="맑은 고딕"/>
        <color theme="1"/>
        <sz val="9.0"/>
      </rPr>
      <t>- 벡터</t>
    </r>
    <r>
      <rPr>
        <rFont val="Calibri"/>
        <color theme="1"/>
        <sz val="9.0"/>
      </rPr>
      <t xml:space="preserve"> </t>
    </r>
    <r>
      <rPr>
        <rFont val="맑은 고딕"/>
        <color theme="1"/>
        <sz val="9.0"/>
      </rPr>
      <t>데이터를</t>
    </r>
    <r>
      <rPr>
        <rFont val="Calibri"/>
        <color theme="1"/>
        <sz val="9.0"/>
      </rPr>
      <t xml:space="preserve"> </t>
    </r>
    <r>
      <rPr>
        <rFont val="맑은 고딕"/>
        <color theme="1"/>
        <sz val="9.0"/>
      </rPr>
      <t>관리하고</t>
    </r>
    <r>
      <rPr>
        <rFont val="Calibri"/>
        <color theme="1"/>
        <sz val="9.0"/>
      </rPr>
      <t xml:space="preserve"> </t>
    </r>
    <r>
      <rPr>
        <rFont val="맑은 고딕"/>
        <color theme="1"/>
        <sz val="9.0"/>
      </rPr>
      <t>백업할</t>
    </r>
    <r>
      <rPr>
        <rFont val="Calibri"/>
        <color theme="1"/>
        <sz val="9.0"/>
      </rPr>
      <t xml:space="preserve"> </t>
    </r>
    <r>
      <rPr>
        <rFont val="맑은 고딕"/>
        <color theme="1"/>
        <sz val="9.0"/>
      </rPr>
      <t>수</t>
    </r>
    <r>
      <rPr>
        <rFont val="Calibri"/>
        <color theme="1"/>
        <sz val="9.0"/>
      </rPr>
      <t xml:space="preserve"> </t>
    </r>
    <r>
      <rPr>
        <rFont val="맑은 고딕"/>
        <color theme="1"/>
        <sz val="9.0"/>
      </rPr>
      <t>있는</t>
    </r>
    <r>
      <rPr>
        <rFont val="Calibri"/>
        <color theme="1"/>
        <sz val="9.0"/>
      </rPr>
      <t xml:space="preserve"> </t>
    </r>
    <r>
      <rPr>
        <rFont val="맑은 고딕"/>
        <color theme="1"/>
        <sz val="9.0"/>
      </rPr>
      <t>관리</t>
    </r>
    <r>
      <rPr>
        <rFont val="Calibri"/>
        <color theme="1"/>
        <sz val="9.0"/>
      </rPr>
      <t xml:space="preserve"> UI </t>
    </r>
    <r>
      <rPr>
        <rFont val="맑은 고딕"/>
        <color theme="1"/>
        <sz val="9.0"/>
      </rPr>
      <t>제공</t>
    </r>
    <r>
      <rPr>
        <rFont val="Calibri"/>
        <color theme="1"/>
        <sz val="9.0"/>
      </rPr>
      <t xml:space="preserve">
</t>
    </r>
    <r>
      <rPr>
        <rFont val="맑은 고딕"/>
        <color theme="1"/>
        <sz val="9.0"/>
      </rPr>
      <t>- 수집과</t>
    </r>
    <r>
      <rPr>
        <rFont val="Calibri"/>
        <color theme="1"/>
        <sz val="9.0"/>
      </rPr>
      <t xml:space="preserve"> </t>
    </r>
    <r>
      <rPr>
        <rFont val="맑은 고딕"/>
        <color theme="1"/>
        <sz val="9.0"/>
      </rPr>
      <t>임베딩</t>
    </r>
    <r>
      <rPr>
        <rFont val="Calibri"/>
        <color theme="1"/>
        <sz val="9.0"/>
      </rPr>
      <t xml:space="preserve">, </t>
    </r>
    <r>
      <rPr>
        <rFont val="맑은 고딕"/>
        <color theme="1"/>
        <sz val="9.0"/>
      </rPr>
      <t>검색</t>
    </r>
    <r>
      <rPr>
        <rFont val="Calibri"/>
        <color theme="1"/>
        <sz val="9.0"/>
      </rPr>
      <t xml:space="preserve"> </t>
    </r>
    <r>
      <rPr>
        <rFont val="맑은 고딕"/>
        <color theme="1"/>
        <sz val="9.0"/>
      </rPr>
      <t>로직을</t>
    </r>
    <r>
      <rPr>
        <rFont val="Calibri"/>
        <color theme="1"/>
        <sz val="9.0"/>
      </rPr>
      <t xml:space="preserve"> </t>
    </r>
    <r>
      <rPr>
        <rFont val="맑은 고딕"/>
        <color theme="1"/>
        <sz val="9.0"/>
      </rPr>
      <t>표준</t>
    </r>
    <r>
      <rPr>
        <rFont val="Calibri"/>
        <color theme="1"/>
        <sz val="9.0"/>
      </rPr>
      <t xml:space="preserve"> </t>
    </r>
    <r>
      <rPr>
        <rFont val="맑은 고딕"/>
        <color theme="1"/>
        <sz val="9.0"/>
      </rPr>
      <t>프레임워크로</t>
    </r>
    <r>
      <rPr>
        <rFont val="Calibri"/>
        <color theme="1"/>
        <sz val="9.0"/>
      </rPr>
      <t xml:space="preserve"> </t>
    </r>
    <r>
      <rPr>
        <rFont val="맑은 고딕"/>
        <color theme="1"/>
        <sz val="9.0"/>
      </rPr>
      <t>모듈화하고</t>
    </r>
    <r>
      <rPr>
        <rFont val="Calibri"/>
        <color theme="1"/>
        <sz val="9.0"/>
      </rPr>
      <t xml:space="preserve"> </t>
    </r>
    <r>
      <rPr>
        <rFont val="맑은 고딕"/>
        <color theme="1"/>
        <sz val="9.0"/>
      </rPr>
      <t>타</t>
    </r>
    <r>
      <rPr>
        <rFont val="Calibri"/>
        <color theme="1"/>
        <sz val="9.0"/>
      </rPr>
      <t xml:space="preserve"> </t>
    </r>
    <r>
      <rPr>
        <rFont val="맑은 고딕"/>
        <color theme="1"/>
        <sz val="9.0"/>
      </rPr>
      <t>엔진</t>
    </r>
    <r>
      <rPr>
        <rFont val="Calibri"/>
        <color theme="1"/>
        <sz val="9.0"/>
      </rPr>
      <t xml:space="preserve"> </t>
    </r>
    <r>
      <rPr>
        <rFont val="맑은 고딕"/>
        <color theme="1"/>
        <sz val="9.0"/>
      </rPr>
      <t>재색인</t>
    </r>
    <r>
      <rPr>
        <rFont val="Calibri"/>
        <color theme="1"/>
        <sz val="9.0"/>
      </rPr>
      <t xml:space="preserve"> </t>
    </r>
    <r>
      <rPr>
        <rFont val="맑은 고딕"/>
        <color theme="1"/>
        <sz val="9.0"/>
      </rPr>
      <t>절차와</t>
    </r>
    <r>
      <rPr>
        <rFont val="Calibri"/>
        <color theme="1"/>
        <sz val="9.0"/>
      </rPr>
      <t xml:space="preserve"> </t>
    </r>
    <r>
      <rPr>
        <rFont val="맑은 고딕"/>
        <color theme="1"/>
        <sz val="9.0"/>
      </rPr>
      <t>샘플</t>
    </r>
    <r>
      <rPr>
        <rFont val="Calibri"/>
        <color theme="1"/>
        <sz val="9.0"/>
      </rPr>
      <t xml:space="preserve"> </t>
    </r>
    <r>
      <rPr>
        <rFont val="맑은 고딕"/>
        <color theme="1"/>
        <sz val="9.0"/>
      </rPr>
      <t>코드를</t>
    </r>
    <r>
      <rPr>
        <rFont val="Calibri"/>
        <color theme="1"/>
        <sz val="9.0"/>
      </rPr>
      <t xml:space="preserve"> </t>
    </r>
    <r>
      <rPr>
        <rFont val="맑은 고딕"/>
        <color theme="1"/>
        <sz val="9.0"/>
      </rPr>
      <t>인수인계</t>
    </r>
    <r>
      <rPr>
        <rFont val="Calibri"/>
        <color theme="1"/>
        <sz val="9.0"/>
      </rPr>
      <t xml:space="preserve"> </t>
    </r>
    <r>
      <rPr>
        <rFont val="맑은 고딕"/>
        <color theme="1"/>
        <sz val="9.0"/>
      </rPr>
      <t>문서에</t>
    </r>
    <r>
      <rPr>
        <rFont val="Calibri"/>
        <color theme="1"/>
        <sz val="9.0"/>
      </rPr>
      <t xml:space="preserve"> </t>
    </r>
    <r>
      <rPr>
        <rFont val="맑은 고딕"/>
        <color theme="1"/>
        <sz val="9.0"/>
      </rPr>
      <t>명시</t>
    </r>
    <r>
      <rPr>
        <rFont val="Calibri"/>
        <color theme="1"/>
        <sz val="9.0"/>
      </rPr>
      <t xml:space="preserve">
</t>
    </r>
    <r>
      <rPr>
        <rFont val="맑은 고딕"/>
        <color theme="1"/>
        <sz val="9.0"/>
      </rPr>
      <t>- 스토리지</t>
    </r>
    <r>
      <rPr>
        <rFont val="Calibri"/>
        <color theme="1"/>
        <sz val="9.0"/>
      </rPr>
      <t xml:space="preserve"> </t>
    </r>
    <r>
      <rPr>
        <rFont val="맑은 고딕"/>
        <color theme="1"/>
        <sz val="9.0"/>
      </rPr>
      <t>선택</t>
    </r>
    <r>
      <rPr>
        <rFont val="Calibri"/>
        <color theme="1"/>
        <sz val="9.0"/>
      </rPr>
      <t xml:space="preserve"> </t>
    </r>
    <r>
      <rPr>
        <rFont val="맑은 고딕"/>
        <color theme="1"/>
        <sz val="9.0"/>
      </rPr>
      <t>근거와</t>
    </r>
    <r>
      <rPr>
        <rFont val="Calibri"/>
        <color theme="1"/>
        <sz val="9.0"/>
      </rPr>
      <t xml:space="preserve"> </t>
    </r>
    <r>
      <rPr>
        <rFont val="맑은 고딕"/>
        <color theme="1"/>
        <sz val="9.0"/>
      </rPr>
      <t>복제</t>
    </r>
    <r>
      <rPr>
        <rFont val="Calibri"/>
        <color theme="1"/>
        <sz val="9.0"/>
      </rPr>
      <t xml:space="preserve"> </t>
    </r>
    <r>
      <rPr>
        <rFont val="맑은 고딕"/>
        <color theme="1"/>
        <sz val="9.0"/>
      </rPr>
      <t>간</t>
    </r>
    <r>
      <rPr>
        <rFont val="Calibri"/>
        <color theme="1"/>
        <sz val="9.0"/>
      </rPr>
      <t xml:space="preserve"> </t>
    </r>
    <r>
      <rPr>
        <rFont val="맑은 고딕"/>
        <color theme="1"/>
        <sz val="9.0"/>
      </rPr>
      <t>쓰기</t>
    </r>
    <r>
      <rPr>
        <rFont val="Calibri"/>
        <color theme="1"/>
        <sz val="9.0"/>
      </rPr>
      <t xml:space="preserve"> </t>
    </r>
    <r>
      <rPr>
        <rFont val="맑은 고딕"/>
        <color theme="1"/>
        <sz val="9.0"/>
      </rPr>
      <t>증폭률을</t>
    </r>
    <r>
      <rPr>
        <rFont val="Calibri"/>
        <color theme="1"/>
        <sz val="9.0"/>
      </rPr>
      <t xml:space="preserve"> </t>
    </r>
    <r>
      <rPr>
        <rFont val="맑은 고딕"/>
        <color theme="1"/>
        <sz val="9.0"/>
      </rPr>
      <t>산정</t>
    </r>
    <r>
      <rPr>
        <rFont val="Calibri"/>
        <color theme="1"/>
        <sz val="9.0"/>
      </rPr>
      <t xml:space="preserve">, I/O </t>
    </r>
    <r>
      <rPr>
        <rFont val="맑은 고딕"/>
        <color theme="1"/>
        <sz val="9.0"/>
      </rPr>
      <t>병목</t>
    </r>
    <r>
      <rPr>
        <rFont val="Calibri"/>
        <color theme="1"/>
        <sz val="9.0"/>
      </rPr>
      <t xml:space="preserve"> </t>
    </r>
    <r>
      <rPr>
        <rFont val="맑은 고딕"/>
        <color theme="1"/>
        <sz val="9.0"/>
      </rPr>
      <t>최적화</t>
    </r>
    <r>
      <rPr>
        <rFont val="Calibri"/>
        <color theme="1"/>
        <sz val="9.0"/>
      </rPr>
      <t xml:space="preserve"> </t>
    </r>
    <r>
      <rPr>
        <rFont val="맑은 고딕"/>
        <color theme="1"/>
        <sz val="9.0"/>
      </rPr>
      <t>방안은</t>
    </r>
    <r>
      <rPr>
        <rFont val="Calibri"/>
        <color theme="1"/>
        <sz val="9.0"/>
      </rPr>
      <t xml:space="preserve"> </t>
    </r>
    <r>
      <rPr>
        <rFont val="맑은 고딕"/>
        <color theme="1"/>
        <sz val="9.0"/>
      </rPr>
      <t>협의</t>
    </r>
    <r>
      <rPr>
        <rFont val="Calibri"/>
        <color theme="1"/>
        <sz val="9.0"/>
      </rPr>
      <t xml:space="preserve"> </t>
    </r>
    <r>
      <rPr>
        <rFont val="맑은 고딕"/>
        <color theme="1"/>
        <sz val="9.0"/>
      </rPr>
      <t>후</t>
    </r>
    <r>
      <rPr>
        <rFont val="Calibri"/>
        <color theme="1"/>
        <sz val="9.0"/>
      </rPr>
      <t xml:space="preserve"> </t>
    </r>
    <r>
      <rPr>
        <rFont val="맑은 고딕"/>
        <color theme="1"/>
        <sz val="9.0"/>
      </rPr>
      <t>적용</t>
    </r>
    <r>
      <rPr>
        <rFont val="Calibri"/>
        <color theme="1"/>
        <sz val="9.0"/>
      </rPr>
      <t xml:space="preserve">
</t>
    </r>
    <r>
      <rPr>
        <rFont val="맑은 고딕"/>
        <color theme="1"/>
        <sz val="9.0"/>
      </rPr>
      <t>- 검수</t>
    </r>
    <r>
      <rPr>
        <rFont val="Calibri"/>
        <color theme="1"/>
        <sz val="9.0"/>
      </rPr>
      <t xml:space="preserve"> </t>
    </r>
    <r>
      <rPr>
        <rFont val="맑은 고딕"/>
        <color theme="1"/>
        <sz val="9.0"/>
      </rPr>
      <t>시</t>
    </r>
    <r>
      <rPr>
        <rFont val="Calibri"/>
        <color theme="1"/>
        <sz val="9.0"/>
      </rPr>
      <t xml:space="preserve"> </t>
    </r>
    <r>
      <rPr>
        <rFont val="맑은 고딕"/>
        <color theme="1"/>
        <sz val="9.0"/>
      </rPr>
      <t>노드</t>
    </r>
    <r>
      <rPr>
        <rFont val="Calibri"/>
        <color theme="1"/>
        <sz val="9.0"/>
      </rPr>
      <t xml:space="preserve"> </t>
    </r>
    <r>
      <rPr>
        <rFont val="맑은 고딕"/>
        <color theme="1"/>
        <sz val="9.0"/>
      </rPr>
      <t>종료와</t>
    </r>
    <r>
      <rPr>
        <rFont val="Calibri"/>
        <color theme="1"/>
        <sz val="9.0"/>
      </rPr>
      <t xml:space="preserve"> </t>
    </r>
    <r>
      <rPr>
        <rFont val="맑은 고딕"/>
        <color theme="1"/>
        <sz val="9.0"/>
      </rPr>
      <t>볼륨</t>
    </r>
    <r>
      <rPr>
        <rFont val="Calibri"/>
        <color theme="1"/>
        <sz val="9.0"/>
      </rPr>
      <t xml:space="preserve"> </t>
    </r>
    <r>
      <rPr>
        <rFont val="맑은 고딕"/>
        <color theme="1"/>
        <sz val="9.0"/>
      </rPr>
      <t>단절을</t>
    </r>
    <r>
      <rPr>
        <rFont val="Calibri"/>
        <color theme="1"/>
        <sz val="9.0"/>
      </rPr>
      <t xml:space="preserve"> </t>
    </r>
    <r>
      <rPr>
        <rFont val="맑은 고딕"/>
        <color theme="1"/>
        <sz val="9.0"/>
      </rPr>
      <t>가정한</t>
    </r>
    <r>
      <rPr>
        <rFont val="Calibri"/>
        <color theme="1"/>
        <sz val="9.0"/>
      </rPr>
      <t xml:space="preserve"> </t>
    </r>
    <r>
      <rPr>
        <rFont val="맑은 고딕"/>
        <color theme="1"/>
        <sz val="9.0"/>
      </rPr>
      <t>모의훈련으로</t>
    </r>
    <r>
      <rPr>
        <rFont val="Calibri"/>
        <color theme="1"/>
        <sz val="9.0"/>
      </rPr>
      <t xml:space="preserve"> RTO</t>
    </r>
    <r>
      <rPr>
        <rFont val="맑은 고딕"/>
        <color theme="1"/>
        <sz val="9.0"/>
      </rPr>
      <t>와</t>
    </r>
    <r>
      <rPr>
        <rFont val="Calibri"/>
        <color theme="1"/>
        <sz val="9.0"/>
      </rPr>
      <t xml:space="preserve"> RPO </t>
    </r>
    <r>
      <rPr>
        <rFont val="맑은 고딕"/>
        <color theme="1"/>
        <sz val="9.0"/>
      </rPr>
      <t>기준</t>
    </r>
    <r>
      <rPr>
        <rFont val="Calibri"/>
        <color theme="1"/>
        <sz val="9.0"/>
      </rPr>
      <t xml:space="preserve"> </t>
    </r>
    <r>
      <rPr>
        <rFont val="맑은 고딕"/>
        <color theme="1"/>
        <sz val="9.0"/>
      </rPr>
      <t>충족</t>
    </r>
    <r>
      <rPr>
        <rFont val="Calibri"/>
        <color theme="1"/>
        <sz val="9.0"/>
      </rPr>
      <t xml:space="preserve"> </t>
    </r>
    <r>
      <rPr>
        <rFont val="맑은 고딕"/>
        <color theme="1"/>
        <sz val="9.0"/>
      </rPr>
      <t>여부</t>
    </r>
    <r>
      <rPr>
        <rFont val="Calibri"/>
        <color theme="1"/>
        <sz val="9.0"/>
      </rPr>
      <t xml:space="preserve"> </t>
    </r>
    <r>
      <rPr>
        <rFont val="맑은 고딕"/>
        <color theme="1"/>
        <sz val="9.0"/>
      </rPr>
      <t>검증</t>
    </r>
    <r>
      <rPr>
        <rFont val="Calibri"/>
        <color theme="1"/>
        <sz val="9.0"/>
      </rPr>
      <t xml:space="preserve">
</t>
    </r>
    <r>
      <rPr>
        <rFont val="맑은 고딕"/>
        <color theme="1"/>
        <sz val="9.0"/>
      </rPr>
      <t>- 전</t>
    </r>
    <r>
      <rPr>
        <rFont val="Calibri"/>
        <color theme="1"/>
        <sz val="9.0"/>
      </rPr>
      <t xml:space="preserve"> </t>
    </r>
    <r>
      <rPr>
        <rFont val="맑은 고딕"/>
        <color theme="1"/>
        <sz val="9.0"/>
      </rPr>
      <t>배포를</t>
    </r>
    <r>
      <rPr>
        <rFont val="Calibri"/>
        <color theme="1"/>
        <sz val="9.0"/>
      </rPr>
      <t xml:space="preserve"> Helm </t>
    </r>
    <r>
      <rPr>
        <rFont val="맑은 고딕"/>
        <color theme="1"/>
        <sz val="9.0"/>
      </rPr>
      <t>기반</t>
    </r>
    <r>
      <rPr>
        <rFont val="Calibri"/>
        <color theme="1"/>
        <sz val="9.0"/>
      </rPr>
      <t xml:space="preserve"> IaC</t>
    </r>
    <r>
      <rPr>
        <rFont val="맑은 고딕"/>
        <color theme="1"/>
        <sz val="9.0"/>
      </rPr>
      <t>로</t>
    </r>
    <r>
      <rPr>
        <rFont val="Calibri"/>
        <color theme="1"/>
        <sz val="9.0"/>
      </rPr>
      <t xml:space="preserve"> </t>
    </r>
    <r>
      <rPr>
        <rFont val="맑은 고딕"/>
        <color theme="1"/>
        <sz val="9.0"/>
      </rPr>
      <t>구현</t>
    </r>
    <r>
      <rPr>
        <rFont val="Calibri"/>
        <color theme="1"/>
        <sz val="9.0"/>
      </rPr>
      <t xml:space="preserve">, </t>
    </r>
    <r>
      <rPr>
        <rFont val="맑은 고딕"/>
        <color theme="1"/>
        <sz val="9.0"/>
      </rPr>
      <t>설정값은</t>
    </r>
    <r>
      <rPr>
        <rFont val="Calibri"/>
        <color theme="1"/>
        <sz val="9.0"/>
      </rPr>
      <t xml:space="preserve"> </t>
    </r>
    <r>
      <rPr>
        <rFont val="맑은 고딕"/>
        <color theme="1"/>
        <sz val="9.0"/>
      </rPr>
      <t>주석과</t>
    </r>
    <r>
      <rPr>
        <rFont val="Calibri"/>
        <color theme="1"/>
        <sz val="9.0"/>
      </rPr>
      <t xml:space="preserve"> </t>
    </r>
    <r>
      <rPr>
        <rFont val="맑은 고딕"/>
        <color theme="1"/>
        <sz val="9.0"/>
      </rPr>
      <t>함께</t>
    </r>
    <r>
      <rPr>
        <rFont val="Calibri"/>
        <color theme="1"/>
        <sz val="9.0"/>
      </rPr>
      <t xml:space="preserve"> Git </t>
    </r>
    <r>
      <rPr>
        <rFont val="맑은 고딕"/>
        <color theme="1"/>
        <sz val="9.0"/>
      </rPr>
      <t>이관</t>
    </r>
    <r>
      <rPr>
        <rFont val="Calibri"/>
        <color theme="1"/>
        <sz val="9.0"/>
      </rPr>
      <t xml:space="preserve">, </t>
    </r>
    <r>
      <rPr>
        <rFont val="맑은 고딕"/>
        <color theme="1"/>
        <sz val="9.0"/>
      </rPr>
      <t>시크릿은</t>
    </r>
    <r>
      <rPr>
        <rFont val="Calibri"/>
        <color theme="1"/>
        <sz val="9.0"/>
      </rPr>
      <t xml:space="preserve"> </t>
    </r>
    <r>
      <rPr>
        <rFont val="맑은 고딕"/>
        <color theme="1"/>
        <sz val="9.0"/>
      </rPr>
      <t>위원회가</t>
    </r>
    <r>
      <rPr>
        <rFont val="Calibri"/>
        <color theme="1"/>
        <sz val="9.0"/>
      </rPr>
      <t xml:space="preserve"> </t>
    </r>
    <r>
      <rPr>
        <rFont val="맑은 고딕"/>
        <color theme="1"/>
        <sz val="9.0"/>
      </rPr>
      <t>복호화</t>
    </r>
    <r>
      <rPr>
        <rFont val="Calibri"/>
        <color theme="1"/>
        <sz val="9.0"/>
      </rPr>
      <t xml:space="preserve"> </t>
    </r>
    <r>
      <rPr>
        <rFont val="맑은 고딕"/>
        <color theme="1"/>
        <sz val="9.0"/>
      </rPr>
      <t>가능한</t>
    </r>
    <r>
      <rPr>
        <rFont val="Calibri"/>
        <color theme="1"/>
        <sz val="9.0"/>
      </rPr>
      <t xml:space="preserve"> </t>
    </r>
    <r>
      <rPr>
        <rFont val="맑은 고딕"/>
        <color theme="1"/>
        <sz val="9.0"/>
      </rPr>
      <t>표준</t>
    </r>
    <r>
      <rPr>
        <rFont val="Calibri"/>
        <color theme="1"/>
        <sz val="9.0"/>
      </rPr>
      <t xml:space="preserve"> </t>
    </r>
    <r>
      <rPr>
        <rFont val="맑은 고딕"/>
        <color theme="1"/>
        <sz val="9.0"/>
      </rPr>
      <t>방식으로</t>
    </r>
    <r>
      <rPr>
        <rFont val="Calibri"/>
        <color theme="1"/>
        <sz val="9.0"/>
      </rPr>
      <t xml:space="preserve"> </t>
    </r>
    <r>
      <rPr>
        <rFont val="맑은 고딕"/>
        <color theme="1"/>
        <sz val="9.0"/>
      </rPr>
      <t>관리</t>
    </r>
    <r>
      <rPr>
        <rFont val="Calibri"/>
        <color theme="1"/>
        <sz val="9.0"/>
      </rPr>
      <t xml:space="preserve">
</t>
    </r>
    <r>
      <rPr>
        <rFont val="맑은 고딕"/>
        <color theme="1"/>
        <sz val="9.0"/>
      </rPr>
      <t>- 문서와</t>
    </r>
    <r>
      <rPr>
        <rFont val="Calibri"/>
        <color theme="1"/>
        <sz val="9.0"/>
      </rPr>
      <t xml:space="preserve"> </t>
    </r>
    <r>
      <rPr>
        <rFont val="맑은 고딕"/>
        <color theme="1"/>
        <sz val="9.0"/>
      </rPr>
      <t>인수인계</t>
    </r>
    <r>
      <rPr>
        <rFont val="Calibri"/>
        <color theme="1"/>
        <sz val="9.0"/>
      </rPr>
      <t xml:space="preserve"> </t>
    </r>
    <r>
      <rPr>
        <rFont val="맑은 고딕"/>
        <color theme="1"/>
        <sz val="9.0"/>
      </rPr>
      <t>완료를</t>
    </r>
    <r>
      <rPr>
        <rFont val="Calibri"/>
        <color theme="1"/>
        <sz val="9.0"/>
      </rPr>
      <t xml:space="preserve"> </t>
    </r>
    <r>
      <rPr>
        <rFont val="맑은 고딕"/>
        <color theme="1"/>
        <sz val="9.0"/>
      </rPr>
      <t>검수</t>
    </r>
    <r>
      <rPr>
        <rFont val="Calibri"/>
        <color theme="1"/>
        <sz val="9.0"/>
      </rPr>
      <t xml:space="preserve"> </t>
    </r>
    <r>
      <rPr>
        <rFont val="맑은 고딕"/>
        <color theme="1"/>
        <sz val="9.0"/>
      </rPr>
      <t>조건으로</t>
    </r>
    <r>
      <rPr>
        <rFont val="Calibri"/>
        <color theme="1"/>
        <sz val="9.0"/>
      </rPr>
      <t xml:space="preserve"> </t>
    </r>
    <r>
      <rPr>
        <rFont val="맑은 고딕"/>
        <color theme="1"/>
        <sz val="9.0"/>
      </rPr>
      <t>반영</t>
    </r>
    <r>
      <rPr>
        <rFont val="Calibri"/>
        <color theme="1"/>
        <sz val="9.0"/>
      </rPr>
      <t xml:space="preserve">, </t>
    </r>
    <r>
      <rPr>
        <rFont val="맑은 고딕"/>
        <color theme="1"/>
        <sz val="9.0"/>
      </rPr>
      <t>계약</t>
    </r>
    <r>
      <rPr>
        <rFont val="Calibri"/>
        <color theme="1"/>
        <sz val="9.0"/>
      </rPr>
      <t xml:space="preserve"> </t>
    </r>
    <r>
      <rPr>
        <rFont val="맑은 고딕"/>
        <color theme="1"/>
        <sz val="9.0"/>
      </rPr>
      <t>종료</t>
    </r>
    <r>
      <rPr>
        <rFont val="Calibri"/>
        <color theme="1"/>
        <sz val="9.0"/>
      </rPr>
      <t xml:space="preserve"> </t>
    </r>
    <r>
      <rPr>
        <rFont val="맑은 고딕"/>
        <color theme="1"/>
        <sz val="9.0"/>
      </rPr>
      <t>시</t>
    </r>
    <r>
      <rPr>
        <rFont val="Calibri"/>
        <color theme="1"/>
        <sz val="9.0"/>
      </rPr>
      <t xml:space="preserve"> </t>
    </r>
    <r>
      <rPr>
        <rFont val="맑은 고딕"/>
        <color theme="1"/>
        <sz val="9.0"/>
      </rPr>
      <t>데이터</t>
    </r>
    <r>
      <rPr>
        <rFont val="Calibri"/>
        <color theme="1"/>
        <sz val="9.0"/>
      </rPr>
      <t xml:space="preserve"> </t>
    </r>
    <r>
      <rPr>
        <rFont val="맑은 고딕"/>
        <color theme="1"/>
        <sz val="9.0"/>
      </rPr>
      <t>반환과</t>
    </r>
    <r>
      <rPr>
        <rFont val="Calibri"/>
        <color theme="1"/>
        <sz val="9.0"/>
      </rPr>
      <t xml:space="preserve"> </t>
    </r>
    <r>
      <rPr>
        <rFont val="맑은 고딕"/>
        <color theme="1"/>
        <sz val="9.0"/>
      </rPr>
      <t>삭제</t>
    </r>
    <r>
      <rPr>
        <rFont val="Calibri"/>
        <color theme="1"/>
        <sz val="9.0"/>
      </rPr>
      <t xml:space="preserve"> </t>
    </r>
    <r>
      <rPr>
        <rFont val="맑은 고딕"/>
        <color theme="1"/>
        <sz val="9.0"/>
      </rPr>
      <t>절차</t>
    </r>
    <r>
      <rPr>
        <rFont val="Calibri"/>
        <color theme="1"/>
        <sz val="9.0"/>
      </rPr>
      <t xml:space="preserve"> </t>
    </r>
    <r>
      <rPr>
        <rFont val="맑은 고딕"/>
        <color theme="1"/>
        <sz val="9.0"/>
      </rPr>
      <t>보장</t>
    </r>
  </si>
  <si>
    <t>수행사에서 제공한 서면자료(260821, 금)를 토대로 발주사 내부 회의를 통해 수용여부 결정 예정</t>
  </si>
  <si>
    <t>독립운영 및 배포 파이프라인 투명성 관련</t>
  </si>
  <si>
    <t>ECR-012-01-01</t>
  </si>
  <si>
    <r>
      <rPr>
        <rFont val="Calibri"/>
        <color theme="1"/>
        <sz val="9.0"/>
      </rPr>
      <t xml:space="preserve">- GitOps </t>
    </r>
    <r>
      <rPr>
        <rFont val="맑은 고딕"/>
        <color theme="1"/>
        <sz val="9.0"/>
      </rPr>
      <t>원칙과</t>
    </r>
    <r>
      <rPr>
        <rFont val="Calibri"/>
        <color theme="1"/>
        <sz val="9.0"/>
      </rPr>
      <t xml:space="preserve"> </t>
    </r>
    <r>
      <rPr>
        <rFont val="맑은 고딕"/>
        <color theme="1"/>
        <sz val="9.0"/>
      </rPr>
      <t>및</t>
    </r>
    <r>
      <rPr>
        <rFont val="Calibri"/>
        <color theme="1"/>
        <sz val="9.0"/>
      </rPr>
      <t xml:space="preserve"> OSS </t>
    </r>
    <r>
      <rPr>
        <rFont val="맑은 고딕"/>
        <color theme="1"/>
        <sz val="9.0"/>
      </rPr>
      <t>기반</t>
    </r>
    <r>
      <rPr>
        <rFont val="Calibri"/>
        <color theme="1"/>
        <sz val="9.0"/>
      </rPr>
      <t xml:space="preserve"> </t>
    </r>
    <r>
      <rPr>
        <rFont val="맑은 고딕"/>
        <color theme="1"/>
        <sz val="9.0"/>
      </rPr>
      <t>구축</t>
    </r>
    <r>
      <rPr>
        <rFont val="Calibri"/>
        <color theme="1"/>
        <sz val="9.0"/>
      </rPr>
      <t xml:space="preserve"> </t>
    </r>
    <r>
      <rPr>
        <rFont val="맑은 고딕"/>
        <color theme="1"/>
        <sz val="9.0"/>
      </rPr>
      <t>관련</t>
    </r>
    <r>
      <rPr>
        <rFont val="Calibri"/>
        <color theme="1"/>
        <sz val="9.0"/>
      </rPr>
      <t xml:space="preserve"> </t>
    </r>
    <r>
      <rPr>
        <rFont val="맑은 고딕"/>
        <color theme="1"/>
        <sz val="9.0"/>
      </rPr>
      <t>반복하여</t>
    </r>
    <r>
      <rPr>
        <rFont val="Calibri"/>
        <color theme="1"/>
        <sz val="9.0"/>
      </rPr>
      <t xml:space="preserve"> </t>
    </r>
    <r>
      <rPr>
        <rFont val="맑은 고딕"/>
        <color theme="1"/>
        <sz val="9.0"/>
      </rPr>
      <t>논의하는</t>
    </r>
    <r>
      <rPr>
        <rFont val="Calibri"/>
        <color theme="1"/>
        <sz val="9.0"/>
      </rPr>
      <t xml:space="preserve"> </t>
    </r>
    <r>
      <rPr>
        <rFont val="맑은 고딕"/>
        <color theme="1"/>
        <sz val="9.0"/>
      </rPr>
      <t>것은</t>
    </r>
    <r>
      <rPr>
        <rFont val="Calibri"/>
        <color theme="1"/>
        <sz val="9.0"/>
      </rPr>
      <t xml:space="preserve"> </t>
    </r>
    <r>
      <rPr>
        <rFont val="맑은 고딕"/>
        <color theme="1"/>
        <sz val="9.0"/>
      </rPr>
      <t>제안요청서</t>
    </r>
    <r>
      <rPr>
        <rFont val="Calibri"/>
        <color theme="1"/>
        <sz val="9.0"/>
      </rPr>
      <t>(RFP)</t>
    </r>
    <r>
      <rPr>
        <rFont val="맑은 고딕"/>
        <color theme="1"/>
        <sz val="9.0"/>
      </rPr>
      <t>에</t>
    </r>
    <r>
      <rPr>
        <rFont val="Calibri"/>
        <color theme="1"/>
        <sz val="9.0"/>
      </rPr>
      <t xml:space="preserve"> </t>
    </r>
    <r>
      <rPr>
        <rFont val="맑은 고딕"/>
        <color theme="1"/>
        <sz val="9.0"/>
      </rPr>
      <t>명시된</t>
    </r>
    <r>
      <rPr>
        <rFont val="Calibri"/>
        <color theme="1"/>
        <sz val="9.0"/>
      </rPr>
      <t xml:space="preserve"> </t>
    </r>
    <r>
      <rPr>
        <rFont val="맑은 고딕"/>
        <color theme="1"/>
        <sz val="9.0"/>
      </rPr>
      <t>기본</t>
    </r>
    <r>
      <rPr>
        <rFont val="Calibri"/>
        <color theme="1"/>
        <sz val="9.0"/>
      </rPr>
      <t xml:space="preserve"> </t>
    </r>
    <r>
      <rPr>
        <rFont val="맑은 고딕"/>
        <color theme="1"/>
        <sz val="9.0"/>
      </rPr>
      <t>구축</t>
    </r>
    <r>
      <rPr>
        <rFont val="Calibri"/>
        <color theme="1"/>
        <sz val="9.0"/>
      </rPr>
      <t xml:space="preserve"> </t>
    </r>
    <r>
      <rPr>
        <rFont val="맑은 고딕"/>
        <color theme="1"/>
        <sz val="9.0"/>
      </rPr>
      <t>범위에</t>
    </r>
    <r>
      <rPr>
        <rFont val="Calibri"/>
        <color theme="1"/>
        <sz val="9.0"/>
      </rPr>
      <t xml:space="preserve"> </t>
    </r>
    <r>
      <rPr>
        <rFont val="맑은 고딕"/>
        <color theme="1"/>
        <sz val="9.0"/>
      </rPr>
      <t>해당하므로</t>
    </r>
    <r>
      <rPr>
        <rFont val="Calibri"/>
        <color theme="1"/>
        <sz val="9.0"/>
      </rPr>
      <t xml:space="preserve">, </t>
    </r>
    <r>
      <rPr>
        <rFont val="맑은 고딕"/>
        <color theme="1"/>
        <sz val="9.0"/>
      </rPr>
      <t>이를</t>
    </r>
    <r>
      <rPr>
        <rFont val="Calibri"/>
        <color theme="1"/>
        <sz val="9.0"/>
      </rPr>
      <t xml:space="preserve"> </t>
    </r>
    <r>
      <rPr>
        <rFont val="맑은 고딕"/>
        <color theme="1"/>
        <sz val="9.0"/>
      </rPr>
      <t>별도의</t>
    </r>
    <r>
      <rPr>
        <rFont val="Calibri"/>
        <color theme="1"/>
        <sz val="9.0"/>
      </rPr>
      <t xml:space="preserve"> </t>
    </r>
    <r>
      <rPr>
        <rFont val="맑은 고딕"/>
        <color theme="1"/>
        <sz val="9.0"/>
      </rPr>
      <t>추가</t>
    </r>
    <r>
      <rPr>
        <rFont val="Calibri"/>
        <color theme="1"/>
        <sz val="9.0"/>
      </rPr>
      <t xml:space="preserve"> </t>
    </r>
    <r>
      <rPr>
        <rFont val="맑은 고딕"/>
        <color theme="1"/>
        <sz val="9.0"/>
      </rPr>
      <t>과업이나</t>
    </r>
    <r>
      <rPr>
        <rFont val="Calibri"/>
        <color theme="1"/>
        <sz val="9.0"/>
      </rPr>
      <t xml:space="preserve"> </t>
    </r>
    <r>
      <rPr>
        <rFont val="맑은 고딕"/>
        <color theme="1"/>
        <sz val="9.0"/>
      </rPr>
      <t>비용</t>
    </r>
    <r>
      <rPr>
        <rFont val="Calibri"/>
        <color theme="1"/>
        <sz val="9.0"/>
      </rPr>
      <t xml:space="preserve"> </t>
    </r>
    <r>
      <rPr>
        <rFont val="맑은 고딕"/>
        <color theme="1"/>
        <sz val="9.0"/>
      </rPr>
      <t>산정</t>
    </r>
    <r>
      <rPr>
        <rFont val="Calibri"/>
        <color theme="1"/>
        <sz val="9.0"/>
      </rPr>
      <t xml:space="preserve"> </t>
    </r>
    <r>
      <rPr>
        <rFont val="맑은 고딕"/>
        <color theme="1"/>
        <sz val="9.0"/>
      </rPr>
      <t>대상은</t>
    </r>
    <r>
      <rPr>
        <rFont val="Calibri"/>
        <color theme="1"/>
        <sz val="9.0"/>
      </rPr>
      <t xml:space="preserve"> </t>
    </r>
    <r>
      <rPr>
        <rFont val="맑은 고딕"/>
        <color theme="1"/>
        <sz val="9.0"/>
      </rPr>
      <t>아님</t>
    </r>
    <r>
      <rPr>
        <rFont val="Calibri"/>
        <color theme="1"/>
        <sz val="9.0"/>
      </rPr>
      <t xml:space="preserve">
- (ECR-006)</t>
    </r>
    <r>
      <rPr>
        <rFont val="맑은 고딕"/>
        <color theme="1"/>
        <sz val="9.0"/>
      </rPr>
      <t>에서</t>
    </r>
    <r>
      <rPr>
        <rFont val="Calibri"/>
        <color theme="1"/>
        <sz val="9.0"/>
      </rPr>
      <t xml:space="preserve"> ArgoCD, GitLab CI/CD </t>
    </r>
    <r>
      <rPr>
        <rFont val="맑은 고딕"/>
        <color theme="1"/>
        <sz val="9.0"/>
      </rPr>
      <t>등은</t>
    </r>
    <r>
      <rPr>
        <rFont val="Calibri"/>
        <color theme="1"/>
        <sz val="9.0"/>
      </rPr>
      <t xml:space="preserve"> </t>
    </r>
    <r>
      <rPr>
        <rFont val="맑은 고딕"/>
        <color theme="1"/>
        <sz val="9.0"/>
      </rPr>
      <t>제논</t>
    </r>
    <r>
      <rPr>
        <rFont val="Calibri"/>
        <color theme="1"/>
        <sz val="9.0"/>
      </rPr>
      <t xml:space="preserve"> </t>
    </r>
    <r>
      <rPr>
        <rFont val="맑은 고딕"/>
        <color theme="1"/>
        <sz val="9.0"/>
      </rPr>
      <t>솔루션이</t>
    </r>
    <r>
      <rPr>
        <rFont val="Calibri"/>
        <color theme="1"/>
        <sz val="9.0"/>
      </rPr>
      <t xml:space="preserve"> </t>
    </r>
    <r>
      <rPr>
        <rFont val="맑은 고딕"/>
        <color theme="1"/>
        <sz val="9.0"/>
      </rPr>
      <t>선택적으로</t>
    </r>
    <r>
      <rPr>
        <rFont val="Calibri"/>
        <color theme="1"/>
        <sz val="9.0"/>
      </rPr>
      <t xml:space="preserve"> </t>
    </r>
    <r>
      <rPr>
        <rFont val="맑은 고딕"/>
        <color theme="1"/>
        <sz val="9.0"/>
      </rPr>
      <t>연계할</t>
    </r>
    <r>
      <rPr>
        <rFont val="Calibri"/>
        <color theme="1"/>
        <sz val="9.0"/>
      </rPr>
      <t xml:space="preserve"> </t>
    </r>
    <r>
      <rPr>
        <rFont val="맑은 고딕"/>
        <color theme="1"/>
        <sz val="9.0"/>
      </rPr>
      <t>기능이</t>
    </r>
    <r>
      <rPr>
        <rFont val="Calibri"/>
        <color theme="1"/>
        <sz val="9.0"/>
      </rPr>
      <t xml:space="preserve"> </t>
    </r>
    <r>
      <rPr>
        <rFont val="맑은 고딕"/>
        <color theme="1"/>
        <sz val="9.0"/>
      </rPr>
      <t>아니라</t>
    </r>
    <r>
      <rPr>
        <rFont val="Calibri"/>
        <color theme="1"/>
        <sz val="9.0"/>
      </rPr>
      <t xml:space="preserve"> </t>
    </r>
    <r>
      <rPr>
        <rFont val="맑은 고딕"/>
        <color theme="1"/>
        <sz val="9.0"/>
      </rPr>
      <t>본</t>
    </r>
    <r>
      <rPr>
        <rFont val="Calibri"/>
        <color theme="1"/>
        <sz val="9.0"/>
      </rPr>
      <t xml:space="preserve"> </t>
    </r>
    <r>
      <rPr>
        <rFont val="맑은 고딕"/>
        <color theme="1"/>
        <sz val="9.0"/>
      </rPr>
      <t>사업에서</t>
    </r>
    <r>
      <rPr>
        <rFont val="Calibri"/>
        <color theme="1"/>
        <sz val="9.0"/>
      </rPr>
      <t xml:space="preserve"> </t>
    </r>
    <r>
      <rPr>
        <rFont val="맑은 고딕"/>
        <color theme="1"/>
        <sz val="9.0"/>
      </rPr>
      <t>독립적으로</t>
    </r>
    <r>
      <rPr>
        <rFont val="Calibri"/>
        <color theme="1"/>
        <sz val="9.0"/>
      </rPr>
      <t xml:space="preserve"> </t>
    </r>
    <r>
      <rPr>
        <rFont val="맑은 고딕"/>
        <color theme="1"/>
        <sz val="9.0"/>
      </rPr>
      <t>구축해야</t>
    </r>
    <r>
      <rPr>
        <rFont val="Calibri"/>
        <color theme="1"/>
        <sz val="9.0"/>
      </rPr>
      <t xml:space="preserve"> </t>
    </r>
    <r>
      <rPr>
        <rFont val="맑은 고딕"/>
        <color theme="1"/>
        <sz val="9.0"/>
      </rPr>
      <t>할</t>
    </r>
    <r>
      <rPr>
        <rFont val="Calibri"/>
        <color theme="1"/>
        <sz val="9.0"/>
      </rPr>
      <t xml:space="preserve"> </t>
    </r>
    <r>
      <rPr>
        <rFont val="맑은 고딕"/>
        <color theme="1"/>
        <sz val="9.0"/>
      </rPr>
      <t>필수</t>
    </r>
    <r>
      <rPr>
        <rFont val="Calibri"/>
        <color theme="1"/>
        <sz val="9.0"/>
      </rPr>
      <t xml:space="preserve"> </t>
    </r>
    <r>
      <rPr>
        <rFont val="맑은 고딕"/>
        <color theme="1"/>
        <sz val="9.0"/>
      </rPr>
      <t>인프라임</t>
    </r>
    <r>
      <rPr>
        <rFont val="Calibri"/>
        <color theme="1"/>
        <sz val="9.0"/>
      </rPr>
      <t xml:space="preserve">. </t>
    </r>
    <r>
      <rPr>
        <rFont val="맑은 고딕"/>
        <color theme="1"/>
        <sz val="9.0"/>
      </rPr>
      <t>위원회는</t>
    </r>
    <r>
      <rPr>
        <rFont val="Calibri"/>
        <color theme="1"/>
        <sz val="9.0"/>
      </rPr>
      <t xml:space="preserve"> </t>
    </r>
    <r>
      <rPr>
        <rFont val="맑은 고딕"/>
        <color theme="1"/>
        <sz val="9.0"/>
      </rPr>
      <t>이를</t>
    </r>
    <r>
      <rPr>
        <rFont val="Calibri"/>
        <color theme="1"/>
        <sz val="9.0"/>
      </rPr>
      <t xml:space="preserve"> </t>
    </r>
    <r>
      <rPr>
        <rFont val="맑은 고딕"/>
        <color theme="1"/>
        <sz val="9.0"/>
      </rPr>
      <t>통해</t>
    </r>
    <r>
      <rPr>
        <rFont val="Calibri"/>
        <color theme="1"/>
        <sz val="9.0"/>
      </rPr>
      <t xml:space="preserve"> </t>
    </r>
    <r>
      <rPr>
        <rFont val="맑은 고딕"/>
        <color theme="1"/>
        <sz val="9.0"/>
      </rPr>
      <t>기술</t>
    </r>
    <r>
      <rPr>
        <rFont val="Calibri"/>
        <color theme="1"/>
        <sz val="9.0"/>
      </rPr>
      <t xml:space="preserve"> </t>
    </r>
    <r>
      <rPr>
        <rFont val="맑은 고딕"/>
        <color theme="1"/>
        <sz val="9.0"/>
      </rPr>
      <t>종속</t>
    </r>
    <r>
      <rPr>
        <rFont val="Calibri"/>
        <color theme="1"/>
        <sz val="9.0"/>
      </rPr>
      <t xml:space="preserve"> </t>
    </r>
    <r>
      <rPr>
        <rFont val="맑은 고딕"/>
        <color theme="1"/>
        <sz val="9.0"/>
      </rPr>
      <t>방지</t>
    </r>
    <r>
      <rPr>
        <rFont val="Calibri"/>
        <color theme="1"/>
        <sz val="9.0"/>
      </rPr>
      <t xml:space="preserve">, </t>
    </r>
    <r>
      <rPr>
        <rFont val="맑은 고딕"/>
        <color theme="1"/>
        <sz val="9.0"/>
      </rPr>
      <t>운영</t>
    </r>
    <r>
      <rPr>
        <rFont val="Calibri"/>
        <color theme="1"/>
        <sz val="9.0"/>
      </rPr>
      <t xml:space="preserve"> </t>
    </r>
    <r>
      <rPr>
        <rFont val="맑은 고딕"/>
        <color theme="1"/>
        <sz val="9.0"/>
      </rPr>
      <t>권한</t>
    </r>
    <r>
      <rPr>
        <rFont val="Calibri"/>
        <color theme="1"/>
        <sz val="9.0"/>
      </rPr>
      <t xml:space="preserve"> </t>
    </r>
    <r>
      <rPr>
        <rFont val="맑은 고딕"/>
        <color theme="1"/>
        <sz val="9.0"/>
      </rPr>
      <t>확보</t>
    </r>
    <r>
      <rPr>
        <rFont val="Calibri"/>
        <color theme="1"/>
        <sz val="9.0"/>
      </rPr>
      <t xml:space="preserve">, </t>
    </r>
    <r>
      <rPr>
        <rFont val="맑은 고딕"/>
        <color theme="1"/>
        <sz val="9.0"/>
      </rPr>
      <t>기술</t>
    </r>
    <r>
      <rPr>
        <rFont val="Calibri"/>
        <color theme="1"/>
        <sz val="9.0"/>
      </rPr>
      <t xml:space="preserve"> </t>
    </r>
    <r>
      <rPr>
        <rFont val="맑은 고딕"/>
        <color theme="1"/>
        <sz val="9.0"/>
      </rPr>
      <t>이전</t>
    </r>
    <r>
      <rPr>
        <rFont val="Calibri"/>
        <color theme="1"/>
        <sz val="9.0"/>
      </rPr>
      <t xml:space="preserve"> </t>
    </r>
    <r>
      <rPr>
        <rFont val="맑은 고딕"/>
        <color theme="1"/>
        <sz val="9.0"/>
      </rPr>
      <t>가능성을</t>
    </r>
    <r>
      <rPr>
        <rFont val="Calibri"/>
        <color theme="1"/>
        <sz val="9.0"/>
      </rPr>
      <t xml:space="preserve"> </t>
    </r>
    <r>
      <rPr>
        <rFont val="맑은 고딕"/>
        <color theme="1"/>
        <sz val="9.0"/>
      </rPr>
      <t>보장받아야</t>
    </r>
    <r>
      <rPr>
        <rFont val="Calibri"/>
        <color theme="1"/>
        <sz val="9.0"/>
      </rPr>
      <t xml:space="preserve"> </t>
    </r>
    <r>
      <rPr>
        <rFont val="맑은 고딕"/>
        <color theme="1"/>
        <sz val="9.0"/>
      </rPr>
      <t>함</t>
    </r>
    <r>
      <rPr>
        <rFont val="Calibri"/>
        <color theme="1"/>
        <sz val="9.0"/>
      </rPr>
      <t xml:space="preserve">
</t>
    </r>
    <r>
      <rPr>
        <rFont val="Segoe UI Symbol"/>
        <color theme="1"/>
        <sz val="9.0"/>
      </rPr>
      <t>▪</t>
    </r>
    <r>
      <rPr>
        <rFont val="Calibri"/>
        <color theme="1"/>
        <sz val="9.0"/>
      </rPr>
      <t xml:space="preserve"> </t>
    </r>
    <r>
      <rPr>
        <rFont val="맑은 고딕"/>
        <color theme="1"/>
        <sz val="9.0"/>
      </rPr>
      <t>해당</t>
    </r>
    <r>
      <rPr>
        <rFont val="Calibri"/>
        <color theme="1"/>
        <sz val="9.0"/>
      </rPr>
      <t xml:space="preserve"> </t>
    </r>
    <r>
      <rPr>
        <rFont val="맑은 고딕"/>
        <color theme="1"/>
        <sz val="9.0"/>
      </rPr>
      <t>내용은</t>
    </r>
    <r>
      <rPr>
        <rFont val="Calibri"/>
        <color theme="1"/>
        <sz val="9.0"/>
      </rPr>
      <t xml:space="preserve"> </t>
    </r>
    <r>
      <rPr>
        <rFont val="맑은 고딕"/>
        <color theme="1"/>
        <sz val="9.0"/>
      </rPr>
      <t>사업수행계획서</t>
    </r>
    <r>
      <rPr>
        <rFont val="Calibri"/>
        <color theme="1"/>
        <sz val="9.0"/>
      </rPr>
      <t xml:space="preserve"> </t>
    </r>
    <r>
      <rPr>
        <rFont val="맑은 고딕"/>
        <color theme="1"/>
        <sz val="9.0"/>
      </rPr>
      <t>및</t>
    </r>
    <r>
      <rPr>
        <rFont val="Calibri"/>
        <color theme="1"/>
        <sz val="9.0"/>
      </rPr>
      <t xml:space="preserve"> </t>
    </r>
    <r>
      <rPr>
        <rFont val="맑은 고딕"/>
        <color theme="1"/>
        <sz val="9.0"/>
      </rPr>
      <t>계약</t>
    </r>
    <r>
      <rPr>
        <rFont val="Calibri"/>
        <color theme="1"/>
        <sz val="9.0"/>
      </rPr>
      <t xml:space="preserve"> </t>
    </r>
    <r>
      <rPr>
        <rFont val="맑은 고딕"/>
        <color theme="1"/>
        <sz val="9.0"/>
      </rPr>
      <t>산출물에</t>
    </r>
    <r>
      <rPr>
        <rFont val="Calibri"/>
        <color theme="1"/>
        <sz val="9.0"/>
      </rPr>
      <t xml:space="preserve"> </t>
    </r>
    <r>
      <rPr>
        <rFont val="맑은 고딕"/>
        <color theme="1"/>
        <sz val="9.0"/>
      </rPr>
      <t>명시</t>
    </r>
  </si>
  <si>
    <t>- GenOS는 내부 Gitea 기반 코드 저장소뿐 아니라 외부 Git 저장소(Bitbucket, GitHub, Gitea 등) 연계, Commit/Branch 기준 변경 이력 확인, 승인 기반 운영 이관, 대상 저장소 Push, 내부 컨테이너·패키지 저장소 연계를 지원하는 구조임
- 따라서, 위원회에서 요구하신 GitOps 원칙 기반 배포 투명성, 변경 이력 추적, 승인 기반 배포, 장애 시 이전 Revision 기준 롤백 체계는 수용 가능함
- 서비스를 배포하는 "코드서빙" 기능은 내부 Git 뿐만 아니라 위원회에서 사용하는 Git서버의 커밋을 가져와서 배포할 수 있음
- 개발-운영 이관 배포시에도 위원회의 Git이나 CI/CD 파이프라인과 연동할 수 있도록 제공할 예정이며, 이 과정에서 위원회에서 사용하는 레지스트리 연동도 가능함
- 다만, 위원회가 언급한 ArgoCD, GitLab Runner/CI, Harbor, Nexus 등 특정 OSS 도구의 적용 방식은 위원회 표준 도구, 망분리/DMZ, Proxy, 인증서, 계정/토큰, 레지스트리 정책 등을 확인한 후 상세 설계 단계에서 확정 예정임</t>
  </si>
  <si>
    <t>‘26.6.8 아키텍처 변경 제안 관련</t>
  </si>
  <si>
    <t>ECR-013-01-01</t>
  </si>
  <si>
    <t>RFP 베어메탈 DB Zone을 K8s로 편입, DB·VectorDB를 Operator 기반으로 자동화하는 방식으로 변경 제안함</t>
  </si>
  <si>
    <r>
      <rPr>
        <rFont val="Malgun Gothic"/>
        <color theme="1"/>
        <sz val="9.0"/>
      </rPr>
      <t>- 제안요청서</t>
    </r>
    <r>
      <rPr>
        <rFont val="Calibri"/>
        <color theme="1"/>
        <sz val="9.0"/>
      </rPr>
      <t xml:space="preserve"> p10 “</t>
    </r>
    <r>
      <rPr>
        <rFont val="맑은 고딕"/>
        <color theme="1"/>
        <sz val="9.0"/>
      </rPr>
      <t>통합</t>
    </r>
    <r>
      <rPr>
        <rFont val="Calibri"/>
        <color theme="1"/>
        <sz val="9.0"/>
      </rPr>
      <t xml:space="preserve"> AI</t>
    </r>
    <r>
      <rPr>
        <rFont val="맑은 고딕"/>
        <color theme="1"/>
        <sz val="9.0"/>
      </rPr>
      <t>플랫폼</t>
    </r>
    <r>
      <rPr>
        <rFont val="Calibri"/>
        <color theme="1"/>
        <sz val="9.0"/>
      </rPr>
      <t xml:space="preserve"> </t>
    </r>
    <r>
      <rPr>
        <rFont val="맑은 고딕"/>
        <color theme="1"/>
        <sz val="9.0"/>
      </rPr>
      <t>시스템</t>
    </r>
    <r>
      <rPr>
        <rFont val="Calibri"/>
        <color theme="1"/>
        <sz val="9.0"/>
      </rPr>
      <t xml:space="preserve"> </t>
    </r>
    <r>
      <rPr>
        <rFont val="맑은 고딕"/>
        <color theme="1"/>
        <sz val="9.0"/>
      </rPr>
      <t>개념도”</t>
    </r>
    <r>
      <rPr>
        <rFont val="Calibri"/>
        <color theme="1"/>
        <sz val="9.0"/>
      </rPr>
      <t xml:space="preserve"> </t>
    </r>
    <r>
      <rPr>
        <rFont val="맑은 고딕"/>
        <color theme="1"/>
        <sz val="9.0"/>
      </rPr>
      <t>기준</t>
    </r>
    <r>
      <rPr>
        <rFont val="Calibri"/>
        <color theme="1"/>
        <sz val="9.0"/>
      </rPr>
      <t xml:space="preserve"> Database Zone AI </t>
    </r>
    <r>
      <rPr>
        <rFont val="맑은 고딕"/>
        <color theme="1"/>
        <sz val="9.0"/>
      </rPr>
      <t>플랫폼</t>
    </r>
    <r>
      <rPr>
        <rFont val="Calibri"/>
        <color theme="1"/>
        <sz val="9.0"/>
      </rPr>
      <t xml:space="preserve"> RDB/Vector DB</t>
    </r>
    <r>
      <rPr>
        <rFont val="맑은 고딕"/>
        <color theme="1"/>
        <sz val="9.0"/>
      </rPr>
      <t>서버</t>
    </r>
    <r>
      <rPr>
        <rFont val="Calibri"/>
        <color theme="1"/>
        <sz val="9.0"/>
      </rPr>
      <t xml:space="preserve"> </t>
    </r>
    <r>
      <rPr>
        <rFont val="맑은 고딕"/>
        <color theme="1"/>
        <sz val="9.0"/>
      </rPr>
      <t>이중화</t>
    </r>
    <r>
      <rPr>
        <rFont val="Calibri"/>
        <color theme="1"/>
        <sz val="9.0"/>
      </rPr>
      <t xml:space="preserve"> </t>
    </r>
    <r>
      <rPr>
        <rFont val="맑은 고딕"/>
        <color theme="1"/>
        <sz val="9.0"/>
      </rPr>
      <t>구성을</t>
    </r>
    <r>
      <rPr>
        <rFont val="Calibri"/>
        <color theme="1"/>
        <sz val="9.0"/>
      </rPr>
      <t xml:space="preserve"> AI </t>
    </r>
    <r>
      <rPr>
        <rFont val="맑은 고딕"/>
        <color theme="1"/>
        <sz val="9.0"/>
      </rPr>
      <t>플랫폼</t>
    </r>
    <r>
      <rPr>
        <rFont val="Calibri"/>
        <color theme="1"/>
        <sz val="9.0"/>
      </rPr>
      <t xml:space="preserve"> K8s Cluster Worker node</t>
    </r>
    <r>
      <rPr>
        <rFont val="맑은 고딕"/>
        <color theme="1"/>
        <sz val="9.0"/>
      </rPr>
      <t>로</t>
    </r>
    <r>
      <rPr>
        <rFont val="Calibri"/>
        <color theme="1"/>
        <sz val="9.0"/>
      </rPr>
      <t xml:space="preserve"> </t>
    </r>
    <r>
      <rPr>
        <rFont val="맑은 고딕"/>
        <color theme="1"/>
        <sz val="9.0"/>
      </rPr>
      <t>구성</t>
    </r>
    <r>
      <rPr>
        <rFont val="Calibri"/>
        <color theme="1"/>
        <sz val="9.0"/>
      </rPr>
      <t xml:space="preserve">
</t>
    </r>
    <r>
      <rPr>
        <rFont val="맑은 고딕"/>
        <color theme="1"/>
        <sz val="9.0"/>
      </rPr>
      <t>- 하드웨어와</t>
    </r>
    <r>
      <rPr>
        <rFont val="Calibri"/>
        <color theme="1"/>
        <sz val="9.0"/>
      </rPr>
      <t xml:space="preserve"> </t>
    </r>
    <r>
      <rPr>
        <rFont val="맑은 고딕"/>
        <color theme="1"/>
        <sz val="9.0"/>
      </rPr>
      <t>라이선스</t>
    </r>
    <r>
      <rPr>
        <rFont val="Calibri"/>
        <color theme="1"/>
        <sz val="9.0"/>
      </rPr>
      <t xml:space="preserve">, </t>
    </r>
    <r>
      <rPr>
        <rFont val="맑은 고딕"/>
        <color theme="1"/>
        <sz val="9.0"/>
      </rPr>
      <t>부속</t>
    </r>
    <r>
      <rPr>
        <rFont val="Calibri"/>
        <color theme="1"/>
        <sz val="9.0"/>
      </rPr>
      <t xml:space="preserve"> </t>
    </r>
    <r>
      <rPr>
        <rFont val="맑은 고딕"/>
        <color theme="1"/>
        <sz val="9.0"/>
      </rPr>
      <t>장비</t>
    </r>
    <r>
      <rPr>
        <rFont val="Calibri"/>
        <color theme="1"/>
        <sz val="9.0"/>
      </rPr>
      <t xml:space="preserve"> </t>
    </r>
    <r>
      <rPr>
        <rFont val="맑은 고딕"/>
        <color theme="1"/>
        <sz val="9.0"/>
      </rPr>
      <t>수량</t>
    </r>
    <r>
      <rPr>
        <rFont val="Calibri"/>
        <color theme="1"/>
        <sz val="9.0"/>
      </rPr>
      <t xml:space="preserve"> </t>
    </r>
    <r>
      <rPr>
        <rFont val="맑은 고딕"/>
        <color theme="1"/>
        <sz val="9.0"/>
      </rPr>
      <t>변동을</t>
    </r>
    <r>
      <rPr>
        <rFont val="Calibri"/>
        <color theme="1"/>
        <sz val="9.0"/>
      </rPr>
      <t xml:space="preserve"> </t>
    </r>
    <r>
      <rPr>
        <rFont val="맑은 고딕"/>
        <color theme="1"/>
        <sz val="9.0"/>
      </rPr>
      <t>당초</t>
    </r>
    <r>
      <rPr>
        <rFont val="Calibri"/>
        <color theme="1"/>
        <sz val="9.0"/>
      </rPr>
      <t xml:space="preserve"> </t>
    </r>
    <r>
      <rPr>
        <rFont val="맑은 고딕"/>
        <color theme="1"/>
        <sz val="9.0"/>
      </rPr>
      <t>아키텍처</t>
    </r>
    <r>
      <rPr>
        <rFont val="Calibri"/>
        <color theme="1"/>
        <sz val="9.0"/>
      </rPr>
      <t xml:space="preserve"> </t>
    </r>
    <r>
      <rPr>
        <rFont val="맑은 고딕"/>
        <color theme="1"/>
        <sz val="9.0"/>
      </rPr>
      <t>및</t>
    </r>
    <r>
      <rPr>
        <rFont val="Calibri"/>
        <color theme="1"/>
        <sz val="9.0"/>
      </rPr>
      <t xml:space="preserve"> RFP </t>
    </r>
    <r>
      <rPr>
        <rFont val="맑은 고딕"/>
        <color theme="1"/>
        <sz val="9.0"/>
      </rPr>
      <t>기준과</t>
    </r>
    <r>
      <rPr>
        <rFont val="Calibri"/>
        <color theme="1"/>
        <sz val="9.0"/>
      </rPr>
      <t xml:space="preserve"> </t>
    </r>
    <r>
      <rPr>
        <rFont val="맑은 고딕"/>
        <color theme="1"/>
        <sz val="9.0"/>
      </rPr>
      <t>비교한</t>
    </r>
    <r>
      <rPr>
        <rFont val="Calibri"/>
        <color theme="1"/>
        <sz val="9.0"/>
      </rPr>
      <t xml:space="preserve"> </t>
    </r>
    <r>
      <rPr>
        <rFont val="맑은 고딕"/>
        <color theme="1"/>
        <sz val="9.0"/>
      </rPr>
      <t>계약서와</t>
    </r>
    <r>
      <rPr>
        <rFont val="Calibri"/>
        <color theme="1"/>
        <sz val="9.0"/>
      </rPr>
      <t xml:space="preserve"> </t>
    </r>
    <r>
      <rPr>
        <rFont val="맑은 고딕"/>
        <color theme="1"/>
        <sz val="9.0"/>
      </rPr>
      <t>납품명세서</t>
    </r>
    <r>
      <rPr>
        <rFont val="Calibri"/>
        <color theme="1"/>
        <sz val="9.0"/>
      </rPr>
      <t xml:space="preserve"> </t>
    </r>
    <r>
      <rPr>
        <rFont val="맑은 고딕"/>
        <color theme="1"/>
        <sz val="9.0"/>
      </rPr>
      <t>제출하겠음</t>
    </r>
    <r>
      <rPr>
        <rFont val="Calibri"/>
        <color theme="1"/>
        <sz val="9.0"/>
      </rPr>
      <t xml:space="preserve">
</t>
    </r>
    <r>
      <rPr>
        <rFont val="맑은 고딕"/>
        <color theme="1"/>
        <sz val="9.0"/>
      </rPr>
      <t>- 이중화와</t>
    </r>
    <r>
      <rPr>
        <rFont val="Calibri"/>
        <color theme="1"/>
        <sz val="9.0"/>
      </rPr>
      <t xml:space="preserve"> </t>
    </r>
    <r>
      <rPr>
        <rFont val="맑은 고딕"/>
        <color theme="1"/>
        <sz val="9.0"/>
      </rPr>
      <t>예비부품</t>
    </r>
    <r>
      <rPr>
        <rFont val="Calibri"/>
        <color theme="1"/>
        <sz val="9.0"/>
      </rPr>
      <t xml:space="preserve">, </t>
    </r>
    <r>
      <rPr>
        <rFont val="맑은 고딕"/>
        <color theme="1"/>
        <sz val="9.0"/>
      </rPr>
      <t>장애</t>
    </r>
    <r>
      <rPr>
        <rFont val="Calibri"/>
        <color theme="1"/>
        <sz val="9.0"/>
      </rPr>
      <t xml:space="preserve"> </t>
    </r>
    <r>
      <rPr>
        <rFont val="맑은 고딕"/>
        <color theme="1"/>
        <sz val="9.0"/>
      </rPr>
      <t>분리</t>
    </r>
    <r>
      <rPr>
        <rFont val="Calibri"/>
        <color theme="1"/>
        <sz val="9.0"/>
      </rPr>
      <t xml:space="preserve">, </t>
    </r>
    <r>
      <rPr>
        <rFont val="맑은 고딕"/>
        <color theme="1"/>
        <sz val="9.0"/>
      </rPr>
      <t>운영</t>
    </r>
    <r>
      <rPr>
        <rFont val="Calibri"/>
        <color theme="1"/>
        <sz val="9.0"/>
      </rPr>
      <t xml:space="preserve"> </t>
    </r>
    <r>
      <rPr>
        <rFont val="맑은 고딕"/>
        <color theme="1"/>
        <sz val="9.0"/>
      </rPr>
      <t>콘솔</t>
    </r>
    <r>
      <rPr>
        <rFont val="Calibri"/>
        <color theme="1"/>
        <sz val="9.0"/>
      </rPr>
      <t xml:space="preserve">, </t>
    </r>
    <r>
      <rPr>
        <rFont val="맑은 고딕"/>
        <color theme="1"/>
        <sz val="9.0"/>
      </rPr>
      <t>백업</t>
    </r>
    <r>
      <rPr>
        <rFont val="Calibri"/>
        <color theme="1"/>
        <sz val="9.0"/>
      </rPr>
      <t xml:space="preserve"> </t>
    </r>
    <r>
      <rPr>
        <rFont val="맑은 고딕"/>
        <color theme="1"/>
        <sz val="9.0"/>
      </rPr>
      <t>장비는</t>
    </r>
    <r>
      <rPr>
        <rFont val="Calibri"/>
        <color theme="1"/>
        <sz val="9.0"/>
      </rPr>
      <t xml:space="preserve"> RFP </t>
    </r>
    <r>
      <rPr>
        <rFont val="맑은 고딕"/>
        <color theme="1"/>
        <sz val="9.0"/>
      </rPr>
      <t>대비</t>
    </r>
    <r>
      <rPr>
        <rFont val="Calibri"/>
        <color theme="1"/>
        <sz val="9.0"/>
      </rPr>
      <t xml:space="preserve"> </t>
    </r>
    <r>
      <rPr>
        <rFont val="맑은 고딕"/>
        <color theme="1"/>
        <sz val="9.0"/>
      </rPr>
      <t>축소</t>
    </r>
    <r>
      <rPr>
        <rFont val="Calibri"/>
        <color theme="1"/>
        <sz val="9.0"/>
      </rPr>
      <t xml:space="preserve"> </t>
    </r>
    <r>
      <rPr>
        <rFont val="맑은 고딕"/>
        <color theme="1"/>
        <sz val="9.0"/>
      </rPr>
      <t>없이</t>
    </r>
    <r>
      <rPr>
        <rFont val="Calibri"/>
        <color theme="1"/>
        <sz val="9.0"/>
      </rPr>
      <t xml:space="preserve"> </t>
    </r>
    <r>
      <rPr>
        <rFont val="맑은 고딕"/>
        <color theme="1"/>
        <sz val="9.0"/>
      </rPr>
      <t>유지</t>
    </r>
    <r>
      <rPr>
        <rFont val="Calibri"/>
        <color theme="1"/>
        <sz val="9.0"/>
      </rPr>
      <t xml:space="preserve">
</t>
    </r>
    <r>
      <rPr>
        <rFont val="맑은 고딕"/>
        <color theme="1"/>
        <sz val="9.0"/>
      </rPr>
      <t>- 장비를</t>
    </r>
    <r>
      <rPr>
        <rFont val="Calibri"/>
        <color theme="1"/>
        <sz val="9.0"/>
      </rPr>
      <t xml:space="preserve"> </t>
    </r>
    <r>
      <rPr>
        <rFont val="맑은 고딕"/>
        <color theme="1"/>
        <sz val="9.0"/>
      </rPr>
      <t>기능별</t>
    </r>
    <r>
      <rPr>
        <rFont val="Calibri"/>
        <color theme="1"/>
        <sz val="9.0"/>
      </rPr>
      <t xml:space="preserve"> </t>
    </r>
    <r>
      <rPr>
        <rFont val="맑은 고딕"/>
        <color theme="1"/>
        <sz val="9.0"/>
      </rPr>
      <t>수량으로</t>
    </r>
    <r>
      <rPr>
        <rFont val="Calibri"/>
        <color theme="1"/>
        <sz val="9.0"/>
      </rPr>
      <t xml:space="preserve"> </t>
    </r>
    <r>
      <rPr>
        <rFont val="맑은 고딕"/>
        <color theme="1"/>
        <sz val="9.0"/>
      </rPr>
      <t>명시하여</t>
    </r>
    <r>
      <rPr>
        <rFont val="Calibri"/>
        <color theme="1"/>
        <sz val="9.0"/>
      </rPr>
      <t xml:space="preserve"> </t>
    </r>
    <r>
      <rPr>
        <rFont val="맑은 고딕"/>
        <color theme="1"/>
        <sz val="9.0"/>
      </rPr>
      <t>제공</t>
    </r>
    <r>
      <rPr>
        <rFont val="Calibri"/>
        <color theme="1"/>
        <sz val="9.0"/>
      </rPr>
      <t xml:space="preserve"> </t>
    </r>
    <r>
      <rPr>
        <rFont val="맑은 고딕"/>
        <color theme="1"/>
        <sz val="9.0"/>
      </rPr>
      <t>하겠음</t>
    </r>
    <r>
      <rPr>
        <rFont val="Calibri"/>
        <color theme="1"/>
        <sz val="9.0"/>
      </rPr>
      <t xml:space="preserve">
- DB </t>
    </r>
    <r>
      <rPr>
        <rFont val="맑은 고딕"/>
        <color theme="1"/>
        <sz val="9.0"/>
      </rPr>
      <t>서버</t>
    </r>
    <r>
      <rPr>
        <rFont val="Calibri"/>
        <color theme="1"/>
        <sz val="9.0"/>
      </rPr>
      <t xml:space="preserve"> </t>
    </r>
    <r>
      <rPr>
        <rFont val="맑은 고딕"/>
        <color theme="1"/>
        <sz val="9.0"/>
      </rPr>
      <t>제거</t>
    </r>
    <r>
      <rPr>
        <rFont val="Calibri"/>
        <color theme="1"/>
        <sz val="9.0"/>
      </rPr>
      <t xml:space="preserve"> </t>
    </r>
    <r>
      <rPr>
        <rFont val="맑은 고딕"/>
        <color theme="1"/>
        <sz val="9.0"/>
      </rPr>
      <t>시</t>
    </r>
    <r>
      <rPr>
        <rFont val="Calibri"/>
        <color theme="1"/>
        <sz val="9.0"/>
      </rPr>
      <t xml:space="preserve"> </t>
    </r>
    <r>
      <rPr>
        <rFont val="맑은 고딕"/>
        <color theme="1"/>
        <sz val="9.0"/>
      </rPr>
      <t>상응하는</t>
    </r>
    <r>
      <rPr>
        <rFont val="Calibri"/>
        <color theme="1"/>
        <sz val="9.0"/>
      </rPr>
      <t xml:space="preserve"> Worker</t>
    </r>
    <r>
      <rPr>
        <rFont val="맑은 고딕"/>
        <color theme="1"/>
        <sz val="9.0"/>
      </rPr>
      <t>와</t>
    </r>
    <r>
      <rPr>
        <rFont val="Calibri"/>
        <color theme="1"/>
        <sz val="9.0"/>
      </rPr>
      <t xml:space="preserve"> </t>
    </r>
    <r>
      <rPr>
        <rFont val="맑은 고딕"/>
        <color theme="1"/>
        <sz val="9.0"/>
      </rPr>
      <t>스토리지</t>
    </r>
    <r>
      <rPr>
        <rFont val="Calibri"/>
        <color theme="1"/>
        <sz val="9.0"/>
      </rPr>
      <t xml:space="preserve">, </t>
    </r>
    <r>
      <rPr>
        <rFont val="맑은 고딕"/>
        <color theme="1"/>
        <sz val="9.0"/>
      </rPr>
      <t>이중화</t>
    </r>
    <r>
      <rPr>
        <rFont val="Calibri"/>
        <color theme="1"/>
        <sz val="9.0"/>
      </rPr>
      <t xml:space="preserve">, </t>
    </r>
    <r>
      <rPr>
        <rFont val="맑은 고딕"/>
        <color theme="1"/>
        <sz val="9.0"/>
      </rPr>
      <t>백업</t>
    </r>
    <r>
      <rPr>
        <rFont val="Calibri"/>
        <color theme="1"/>
        <sz val="9.0"/>
      </rPr>
      <t xml:space="preserve">, </t>
    </r>
    <r>
      <rPr>
        <rFont val="맑은 고딕"/>
        <color theme="1"/>
        <sz val="9.0"/>
      </rPr>
      <t>장애복구</t>
    </r>
    <r>
      <rPr>
        <rFont val="Calibri"/>
        <color theme="1"/>
        <sz val="9.0"/>
      </rPr>
      <t xml:space="preserve"> </t>
    </r>
    <r>
      <rPr>
        <rFont val="맑은 고딕"/>
        <color theme="1"/>
        <sz val="9.0"/>
      </rPr>
      <t>수단은</t>
    </r>
    <r>
      <rPr>
        <rFont val="Calibri"/>
        <color theme="1"/>
        <sz val="9.0"/>
      </rPr>
      <t xml:space="preserve"> </t>
    </r>
    <r>
      <rPr>
        <rFont val="맑은 고딕"/>
        <color theme="1"/>
        <sz val="9.0"/>
      </rPr>
      <t>동등</t>
    </r>
    <r>
      <rPr>
        <rFont val="Calibri"/>
        <color theme="1"/>
        <sz val="9.0"/>
      </rPr>
      <t xml:space="preserve"> </t>
    </r>
    <r>
      <rPr>
        <rFont val="맑은 고딕"/>
        <color theme="1"/>
        <sz val="9.0"/>
      </rPr>
      <t>유지하겠음</t>
    </r>
    <r>
      <rPr>
        <rFont val="Calibri"/>
        <color theme="1"/>
        <sz val="9.0"/>
      </rPr>
      <t xml:space="preserve">
</t>
    </r>
    <r>
      <rPr>
        <rFont val="맑은 고딕"/>
        <color theme="1"/>
        <sz val="9.0"/>
      </rPr>
      <t>- 스토리지</t>
    </r>
    <r>
      <rPr>
        <rFont val="Calibri"/>
        <color theme="1"/>
        <sz val="9.0"/>
      </rPr>
      <t xml:space="preserve"> </t>
    </r>
    <r>
      <rPr>
        <rFont val="맑은 고딕"/>
        <color theme="1"/>
        <sz val="9.0"/>
      </rPr>
      <t>통합을</t>
    </r>
    <r>
      <rPr>
        <rFont val="Calibri"/>
        <color theme="1"/>
        <sz val="9.0"/>
      </rPr>
      <t xml:space="preserve"> </t>
    </r>
    <r>
      <rPr>
        <rFont val="맑은 고딕"/>
        <color theme="1"/>
        <sz val="9.0"/>
      </rPr>
      <t>이유로</t>
    </r>
    <r>
      <rPr>
        <rFont val="Calibri"/>
        <color theme="1"/>
        <sz val="9.0"/>
      </rPr>
      <t xml:space="preserve"> </t>
    </r>
    <r>
      <rPr>
        <rFont val="맑은 고딕"/>
        <color theme="1"/>
        <sz val="9.0"/>
      </rPr>
      <t>용량과</t>
    </r>
    <r>
      <rPr>
        <rFont val="Calibri"/>
        <color theme="1"/>
        <sz val="9.0"/>
      </rPr>
      <t xml:space="preserve"> </t>
    </r>
    <r>
      <rPr>
        <rFont val="맑은 고딕"/>
        <color theme="1"/>
        <sz val="9.0"/>
      </rPr>
      <t>성능</t>
    </r>
    <r>
      <rPr>
        <rFont val="Calibri"/>
        <color theme="1"/>
        <sz val="9.0"/>
      </rPr>
      <t xml:space="preserve">, </t>
    </r>
    <r>
      <rPr>
        <rFont val="맑은 고딕"/>
        <color theme="1"/>
        <sz val="9.0"/>
      </rPr>
      <t>이중화를</t>
    </r>
    <r>
      <rPr>
        <rFont val="Calibri"/>
        <color theme="1"/>
        <sz val="9.0"/>
      </rPr>
      <t xml:space="preserve"> </t>
    </r>
    <r>
      <rPr>
        <rFont val="맑은 고딕"/>
        <color theme="1"/>
        <sz val="9.0"/>
      </rPr>
      <t>축소하거나</t>
    </r>
    <r>
      <rPr>
        <rFont val="Calibri"/>
        <color theme="1"/>
        <sz val="9.0"/>
      </rPr>
      <t xml:space="preserve"> </t>
    </r>
    <r>
      <rPr>
        <rFont val="맑은 고딕"/>
        <color theme="1"/>
        <sz val="9.0"/>
      </rPr>
      <t>저사양으로</t>
    </r>
    <r>
      <rPr>
        <rFont val="Calibri"/>
        <color theme="1"/>
        <sz val="9.0"/>
      </rPr>
      <t xml:space="preserve"> </t>
    </r>
    <r>
      <rPr>
        <rFont val="맑은 고딕"/>
        <color theme="1"/>
        <sz val="9.0"/>
      </rPr>
      <t>대체하지</t>
    </r>
    <r>
      <rPr>
        <rFont val="Calibri"/>
        <color theme="1"/>
        <sz val="9.0"/>
      </rPr>
      <t xml:space="preserve"> </t>
    </r>
    <r>
      <rPr>
        <rFont val="맑은 고딕"/>
        <color theme="1"/>
        <sz val="9.0"/>
      </rPr>
      <t>않음</t>
    </r>
    <r>
      <rPr>
        <rFont val="Calibri"/>
        <color theme="1"/>
        <sz val="9.0"/>
      </rPr>
      <t xml:space="preserve">
</t>
    </r>
    <r>
      <rPr>
        <rFont val="맑은 고딕"/>
        <color theme="1"/>
        <sz val="9.0"/>
      </rPr>
      <t>- 분산</t>
    </r>
    <r>
      <rPr>
        <rFont val="Calibri"/>
        <color theme="1"/>
        <sz val="9.0"/>
      </rPr>
      <t xml:space="preserve"> </t>
    </r>
    <r>
      <rPr>
        <rFont val="맑은 고딕"/>
        <color theme="1"/>
        <sz val="9.0"/>
      </rPr>
      <t>스토리지</t>
    </r>
    <r>
      <rPr>
        <rFont val="Calibri"/>
        <color theme="1"/>
        <sz val="9.0"/>
      </rPr>
      <t xml:space="preserve"> </t>
    </r>
    <r>
      <rPr>
        <rFont val="맑은 고딕"/>
        <color theme="1"/>
        <sz val="9.0"/>
      </rPr>
      <t>전환이</t>
    </r>
    <r>
      <rPr>
        <rFont val="Calibri"/>
        <color theme="1"/>
        <sz val="9.0"/>
      </rPr>
      <t xml:space="preserve"> </t>
    </r>
    <r>
      <rPr>
        <rFont val="맑은 고딕"/>
        <color theme="1"/>
        <sz val="9.0"/>
      </rPr>
      <t>운영</t>
    </r>
    <r>
      <rPr>
        <rFont val="Calibri"/>
        <color theme="1"/>
        <sz val="9.0"/>
      </rPr>
      <t xml:space="preserve"> </t>
    </r>
    <r>
      <rPr>
        <rFont val="맑은 고딕"/>
        <color theme="1"/>
        <sz val="9.0"/>
      </rPr>
      <t>단순화에</t>
    </r>
    <r>
      <rPr>
        <rFont val="Calibri"/>
        <color theme="1"/>
        <sz val="9.0"/>
      </rPr>
      <t xml:space="preserve"> </t>
    </r>
    <r>
      <rPr>
        <rFont val="맑은 고딕"/>
        <color theme="1"/>
        <sz val="9.0"/>
      </rPr>
      <t>그치지</t>
    </r>
    <r>
      <rPr>
        <rFont val="Calibri"/>
        <color theme="1"/>
        <sz val="9.0"/>
      </rPr>
      <t xml:space="preserve"> </t>
    </r>
    <r>
      <rPr>
        <rFont val="맑은 고딕"/>
        <color theme="1"/>
        <sz val="9.0"/>
      </rPr>
      <t>않고</t>
    </r>
    <r>
      <rPr>
        <rFont val="Calibri"/>
        <color theme="1"/>
        <sz val="9.0"/>
      </rPr>
      <t xml:space="preserve"> </t>
    </r>
    <r>
      <rPr>
        <rFont val="맑은 고딕"/>
        <color theme="1"/>
        <sz val="9.0"/>
      </rPr>
      <t>물리적</t>
    </r>
    <r>
      <rPr>
        <rFont val="Calibri"/>
        <color theme="1"/>
        <sz val="9.0"/>
      </rPr>
      <t xml:space="preserve"> </t>
    </r>
    <r>
      <rPr>
        <rFont val="맑은 고딕"/>
        <color theme="1"/>
        <sz val="9.0"/>
      </rPr>
      <t>이중화를</t>
    </r>
    <r>
      <rPr>
        <rFont val="Calibri"/>
        <color theme="1"/>
        <sz val="9.0"/>
      </rPr>
      <t xml:space="preserve"> </t>
    </r>
    <r>
      <rPr>
        <rFont val="맑은 고딕"/>
        <color theme="1"/>
        <sz val="9.0"/>
      </rPr>
      <t>동등</t>
    </r>
    <r>
      <rPr>
        <rFont val="Calibri"/>
        <color theme="1"/>
        <sz val="9.0"/>
      </rPr>
      <t xml:space="preserve"> </t>
    </r>
    <r>
      <rPr>
        <rFont val="맑은 고딕"/>
        <color theme="1"/>
        <sz val="9.0"/>
      </rPr>
      <t>이상으로</t>
    </r>
    <r>
      <rPr>
        <rFont val="Calibri"/>
        <color theme="1"/>
        <sz val="9.0"/>
      </rPr>
      <t xml:space="preserve"> </t>
    </r>
    <r>
      <rPr>
        <rFont val="맑은 고딕"/>
        <color theme="1"/>
        <sz val="9.0"/>
      </rPr>
      <t>보장함을</t>
    </r>
    <r>
      <rPr>
        <rFont val="Calibri"/>
        <color theme="1"/>
        <sz val="9.0"/>
      </rPr>
      <t xml:space="preserve"> </t>
    </r>
    <r>
      <rPr>
        <rFont val="맑은 고딕"/>
        <color theme="1"/>
        <sz val="9.0"/>
      </rPr>
      <t>입증하겠음</t>
    </r>
    <r>
      <rPr>
        <rFont val="Calibri"/>
        <color theme="1"/>
        <sz val="9.0"/>
      </rPr>
      <t xml:space="preserve">
</t>
    </r>
    <r>
      <rPr>
        <rFont val="맑은 고딕"/>
        <color theme="1"/>
        <sz val="9.0"/>
      </rPr>
      <t>- 납품물</t>
    </r>
    <r>
      <rPr>
        <rFont val="Calibri"/>
        <color theme="1"/>
        <sz val="9.0"/>
      </rPr>
      <t xml:space="preserve"> </t>
    </r>
    <r>
      <rPr>
        <rFont val="맑은 고딕"/>
        <color theme="1"/>
        <sz val="9.0"/>
      </rPr>
      <t>기준은</t>
    </r>
    <r>
      <rPr>
        <rFont val="Calibri"/>
        <color theme="1"/>
        <sz val="9.0"/>
      </rPr>
      <t xml:space="preserve"> BOM</t>
    </r>
    <r>
      <rPr>
        <rFont val="맑은 고딕"/>
        <color theme="1"/>
        <sz val="9.0"/>
      </rPr>
      <t>과</t>
    </r>
    <r>
      <rPr>
        <rFont val="Calibri"/>
        <color theme="1"/>
        <sz val="9.0"/>
      </rPr>
      <t xml:space="preserve"> </t>
    </r>
    <r>
      <rPr>
        <rFont val="맑은 고딕"/>
        <color theme="1"/>
        <sz val="9.0"/>
      </rPr>
      <t>성능</t>
    </r>
    <r>
      <rPr>
        <rFont val="Calibri"/>
        <color theme="1"/>
        <sz val="9.0"/>
      </rPr>
      <t xml:space="preserve"> </t>
    </r>
    <r>
      <rPr>
        <rFont val="맑은 고딕"/>
        <color theme="1"/>
        <sz val="9.0"/>
      </rPr>
      <t>검증으로</t>
    </r>
    <r>
      <rPr>
        <rFont val="Calibri"/>
        <color theme="1"/>
        <sz val="9.0"/>
      </rPr>
      <t xml:space="preserve"> </t>
    </r>
    <r>
      <rPr>
        <rFont val="맑은 고딕"/>
        <color theme="1"/>
        <sz val="9.0"/>
      </rPr>
      <t>하고</t>
    </r>
    <r>
      <rPr>
        <rFont val="Calibri"/>
        <color theme="1"/>
        <sz val="9.0"/>
      </rPr>
      <t xml:space="preserve">, </t>
    </r>
    <r>
      <rPr>
        <rFont val="맑은 고딕"/>
        <color theme="1"/>
        <sz val="9.0"/>
      </rPr>
      <t>납품</t>
    </r>
    <r>
      <rPr>
        <rFont val="Calibri"/>
        <color theme="1"/>
        <sz val="9.0"/>
      </rPr>
      <t xml:space="preserve"> </t>
    </r>
    <r>
      <rPr>
        <rFont val="맑은 고딕"/>
        <color theme="1"/>
        <sz val="9.0"/>
      </rPr>
      <t>목록과</t>
    </r>
    <r>
      <rPr>
        <rFont val="Calibri"/>
        <color theme="1"/>
        <sz val="9.0"/>
      </rPr>
      <t xml:space="preserve"> </t>
    </r>
    <r>
      <rPr>
        <rFont val="맑은 고딕"/>
        <color theme="1"/>
        <sz val="9.0"/>
      </rPr>
      <t>부하</t>
    </r>
    <r>
      <rPr>
        <rFont val="Calibri"/>
        <color theme="1"/>
        <sz val="9.0"/>
      </rPr>
      <t xml:space="preserve"> </t>
    </r>
    <r>
      <rPr>
        <rFont val="맑은 고딕"/>
        <color theme="1"/>
        <sz val="9.0"/>
      </rPr>
      <t>테스트</t>
    </r>
    <r>
      <rPr>
        <rFont val="Calibri"/>
        <color theme="1"/>
        <sz val="9.0"/>
      </rPr>
      <t xml:space="preserve"> </t>
    </r>
    <r>
      <rPr>
        <rFont val="맑은 고딕"/>
        <color theme="1"/>
        <sz val="9.0"/>
      </rPr>
      <t>범위는</t>
    </r>
    <r>
      <rPr>
        <rFont val="Calibri"/>
        <color theme="1"/>
        <sz val="9.0"/>
      </rPr>
      <t xml:space="preserve"> </t>
    </r>
    <r>
      <rPr>
        <rFont val="맑은 고딕"/>
        <color theme="1"/>
        <sz val="9.0"/>
      </rPr>
      <t>축소</t>
    </r>
    <r>
      <rPr>
        <rFont val="Calibri"/>
        <color theme="1"/>
        <sz val="9.0"/>
      </rPr>
      <t xml:space="preserve"> </t>
    </r>
    <r>
      <rPr>
        <rFont val="맑은 고딕"/>
        <color theme="1"/>
        <sz val="9.0"/>
      </rPr>
      <t>없이</t>
    </r>
    <r>
      <rPr>
        <rFont val="Calibri"/>
        <color theme="1"/>
        <sz val="9.0"/>
      </rPr>
      <t xml:space="preserve"> </t>
    </r>
    <r>
      <rPr>
        <rFont val="맑은 고딕"/>
        <color theme="1"/>
        <sz val="9.0"/>
      </rPr>
      <t>유지</t>
    </r>
    <r>
      <rPr>
        <rFont val="Calibri"/>
        <color theme="1"/>
        <sz val="9.0"/>
      </rPr>
      <t xml:space="preserve">
</t>
    </r>
    <r>
      <rPr>
        <rFont val="맑은 고딕"/>
        <color theme="1"/>
        <sz val="9.0"/>
      </rPr>
      <t>- 설치와</t>
    </r>
    <r>
      <rPr>
        <rFont val="Calibri"/>
        <color theme="1"/>
        <sz val="9.0"/>
      </rPr>
      <t xml:space="preserve"> </t>
    </r>
    <r>
      <rPr>
        <rFont val="맑은 고딕"/>
        <color theme="1"/>
        <sz val="9.0"/>
      </rPr>
      <t>튜닝</t>
    </r>
    <r>
      <rPr>
        <rFont val="Calibri"/>
        <color theme="1"/>
        <sz val="9.0"/>
      </rPr>
      <t xml:space="preserve">, </t>
    </r>
    <r>
      <rPr>
        <rFont val="맑은 고딕"/>
        <color theme="1"/>
        <sz val="9.0"/>
      </rPr>
      <t>장애</t>
    </r>
    <r>
      <rPr>
        <rFont val="Calibri"/>
        <color theme="1"/>
        <sz val="9.0"/>
      </rPr>
      <t xml:space="preserve"> </t>
    </r>
    <r>
      <rPr>
        <rFont val="맑은 고딕"/>
        <color theme="1"/>
        <sz val="9.0"/>
      </rPr>
      <t>대응</t>
    </r>
    <r>
      <rPr>
        <rFont val="Calibri"/>
        <color theme="1"/>
        <sz val="9.0"/>
      </rPr>
      <t xml:space="preserve">, </t>
    </r>
    <r>
      <rPr>
        <rFont val="맑은 고딕"/>
        <color theme="1"/>
        <sz val="9.0"/>
      </rPr>
      <t>패치</t>
    </r>
    <r>
      <rPr>
        <rFont val="Calibri"/>
        <color theme="1"/>
        <sz val="9.0"/>
      </rPr>
      <t xml:space="preserve">, </t>
    </r>
    <r>
      <rPr>
        <rFont val="맑은 고딕"/>
        <color theme="1"/>
        <sz val="9.0"/>
      </rPr>
      <t>백업과</t>
    </r>
    <r>
      <rPr>
        <rFont val="Calibri"/>
        <color theme="1"/>
        <sz val="9.0"/>
      </rPr>
      <t xml:space="preserve"> </t>
    </r>
    <r>
      <rPr>
        <rFont val="맑은 고딕"/>
        <color theme="1"/>
        <sz val="9.0"/>
      </rPr>
      <t>복구</t>
    </r>
    <r>
      <rPr>
        <rFont val="Calibri"/>
        <color theme="1"/>
        <sz val="9.0"/>
      </rPr>
      <t xml:space="preserve">, </t>
    </r>
    <r>
      <rPr>
        <rFont val="맑은 고딕"/>
        <color theme="1"/>
        <sz val="9.0"/>
      </rPr>
      <t>모니터링</t>
    </r>
    <r>
      <rPr>
        <rFont val="Calibri"/>
        <color theme="1"/>
        <sz val="9.0"/>
      </rPr>
      <t xml:space="preserve">, </t>
    </r>
    <r>
      <rPr>
        <rFont val="맑은 고딕"/>
        <color theme="1"/>
        <sz val="9.0"/>
      </rPr>
      <t>보안</t>
    </r>
    <r>
      <rPr>
        <rFont val="Calibri"/>
        <color theme="1"/>
        <sz val="9.0"/>
      </rPr>
      <t xml:space="preserve"> </t>
    </r>
    <r>
      <rPr>
        <rFont val="맑은 고딕"/>
        <color theme="1"/>
        <sz val="9.0"/>
      </rPr>
      <t>설정</t>
    </r>
    <r>
      <rPr>
        <rFont val="Calibri"/>
        <color theme="1"/>
        <sz val="9.0"/>
      </rPr>
      <t xml:space="preserve">, </t>
    </r>
    <r>
      <rPr>
        <rFont val="맑은 고딕"/>
        <color theme="1"/>
        <sz val="9.0"/>
      </rPr>
      <t>전환</t>
    </r>
    <r>
      <rPr>
        <rFont val="Calibri"/>
        <color theme="1"/>
        <sz val="9.0"/>
      </rPr>
      <t xml:space="preserve"> </t>
    </r>
    <r>
      <rPr>
        <rFont val="맑은 고딕"/>
        <color theme="1"/>
        <sz val="9.0"/>
      </rPr>
      <t>지원</t>
    </r>
    <r>
      <rPr>
        <rFont val="Calibri"/>
        <color theme="1"/>
        <sz val="9.0"/>
      </rPr>
      <t xml:space="preserve"> </t>
    </r>
    <r>
      <rPr>
        <rFont val="맑은 고딕"/>
        <color theme="1"/>
        <sz val="9.0"/>
      </rPr>
      <t>등</t>
    </r>
    <r>
      <rPr>
        <rFont val="Calibri"/>
        <color theme="1"/>
        <sz val="9.0"/>
      </rPr>
      <t xml:space="preserve"> </t>
    </r>
    <r>
      <rPr>
        <rFont val="맑은 고딕"/>
        <color theme="1"/>
        <sz val="9.0"/>
      </rPr>
      <t>운영</t>
    </r>
    <r>
      <rPr>
        <rFont val="Calibri"/>
        <color theme="1"/>
        <sz val="9.0"/>
      </rPr>
      <t xml:space="preserve"> </t>
    </r>
    <r>
      <rPr>
        <rFont val="맑은 고딕"/>
        <color theme="1"/>
        <sz val="9.0"/>
      </rPr>
      <t>책임</t>
    </r>
    <r>
      <rPr>
        <rFont val="Calibri"/>
        <color theme="1"/>
        <sz val="9.0"/>
      </rPr>
      <t xml:space="preserve"> </t>
    </r>
    <r>
      <rPr>
        <rFont val="맑은 고딕"/>
        <color theme="1"/>
        <sz val="9.0"/>
      </rPr>
      <t>범위를</t>
    </r>
    <r>
      <rPr>
        <rFont val="Calibri"/>
        <color theme="1"/>
        <sz val="9.0"/>
      </rPr>
      <t xml:space="preserve"> </t>
    </r>
    <r>
      <rPr>
        <rFont val="맑은 고딕"/>
        <color theme="1"/>
        <sz val="9.0"/>
      </rPr>
      <t>계약서에</t>
    </r>
    <r>
      <rPr>
        <rFont val="Calibri"/>
        <color theme="1"/>
        <sz val="9.0"/>
      </rPr>
      <t xml:space="preserve"> </t>
    </r>
    <r>
      <rPr>
        <rFont val="맑은 고딕"/>
        <color theme="1"/>
        <sz val="9.0"/>
      </rPr>
      <t>항목별로</t>
    </r>
    <r>
      <rPr>
        <rFont val="Calibri"/>
        <color theme="1"/>
        <sz val="9.0"/>
      </rPr>
      <t xml:space="preserve"> </t>
    </r>
    <r>
      <rPr>
        <rFont val="맑은 고딕"/>
        <color theme="1"/>
        <sz val="9.0"/>
      </rPr>
      <t>분리</t>
    </r>
    <r>
      <rPr>
        <rFont val="Calibri"/>
        <color theme="1"/>
        <sz val="9.0"/>
      </rPr>
      <t xml:space="preserve"> </t>
    </r>
    <r>
      <rPr>
        <rFont val="맑은 고딕"/>
        <color theme="1"/>
        <sz val="9.0"/>
      </rPr>
      <t>기재</t>
    </r>
  </si>
  <si>
    <t>인터페이스 요구사항</t>
  </si>
  <si>
    <t>SSO 통합 인증·인사정보 연동 인터페이스</t>
  </si>
  <si>
    <t>한 번의 로그인으로 전체 시스템에 접근하는 통합 인증 환경 및 업무담당자 검색을 위한 인사정보시스템 연동 규격 정의</t>
  </si>
  <si>
    <t>INR-001-01-01</t>
  </si>
  <si>
    <t>[기존 SSO 체계 연동]</t>
  </si>
  <si>
    <t>- 시스템은 기존 위원회 SSO 체계와 연계하여 통합 로그인 기능을 제공하여야 한다. 단 한 번의 로그인으로 연결된 모든 대상 업무시스템으로 이동이 가능한 통합 인증 환경을 구축하여야 한다. 연동 대상 시스템 목록 및 연동 방식은 다음과 같다.
· 기간계 시스템: 기존 SSO Agent 연동
· 신규 AI 플랫폼: 표준 프로토콜 기반 연동</t>
  </si>
  <si>
    <t>위원회 SSO와 통합 로그인·단일 세션을 연동하고 대상 시스템·인증방식 협의·확정</t>
  </si>
  <si>
    <t>· 인터페이스 설계서
 · API 적용 가이드</t>
  </si>
  <si>
    <t>INR-001-02-01</t>
  </si>
  <si>
    <t>[플랫폼 호환성]</t>
  </si>
  <si>
    <t>- 시스템은 다음 운영 환경과의 호환성을 보장하여야 한다
· OS: UNIX, Linux (RHEL, CentOS, Ubuntu), Windows Server
· WAS: WebLogic, JEUS, Tomcat, WildFly
· 브라우저: Chrome, Edge (최신 버전 기준)</t>
  </si>
  <si>
    <t>UNIX/Linux/Windows·WebLogic/JEUS/Tomcat/WildFly·Chrome/Edge 호환성 검증</t>
  </si>
  <si>
    <t>INR-001-03-01</t>
  </si>
  <si>
    <t>[연동 인터페이스 제공]</t>
  </si>
  <si>
    <t>- 시스템은 다양한 운영 환경을 고려한 전용 API와 Filter를 제공하여 기존 시스템 소스 수정을 최소화하여야 한다. 다음 연동 방식을 지원하여야 한다
· REST API 기반 인증 토큰 발급/검증
· Servlet Filter 기반 세션 연동
· SAML/OAuth 표준 프로토콜 지원</t>
  </si>
  <si>
    <r>
      <rPr>
        <rFont val="맑은 고딕"/>
        <color rgb="FF0000FF"/>
        <sz val="9.0"/>
      </rPr>
      <t xml:space="preserve">[Before]
전용 API·Filter 제공으로 기존 시스템 소스 변경 최소화
[After]
전용 API·Filter 제공으로 기존 시스템 소스 변경 최소화
</t>
    </r>
    <r>
      <rPr>
        <rFont val="맑은 고딕"/>
        <color rgb="FFFF0000"/>
        <sz val="9.0"/>
      </rPr>
      <t>하기 연동 방식 중 시스템 적합성을 검토하여 우선순위를 부여하여 연동 방식 선정</t>
    </r>
    <r>
      <rPr>
        <rFont val="맑은 고딕"/>
        <color rgb="FF0000FF"/>
        <sz val="9.0"/>
      </rPr>
      <t xml:space="preserve">
</t>
    </r>
    <r>
      <rPr>
        <rFont val="맑은 고딕"/>
        <color rgb="FF0000FF"/>
        <sz val="9.0"/>
      </rPr>
      <t>· REST API 기반 인증 토큰 발급/검증
· Servlet Filter 기반 세션 연동
· SAML/OAuth 표준 프로토콜 지원</t>
    </r>
  </si>
  <si>
    <t>별도 기재한 '연동방식'을 수행방안에서 제외한 부분에 대한 문의(G열에 나열한 연동방식을 모두 수용할 수 있는지 여부)</t>
  </si>
  <si>
    <t>INR-001-03-02</t>
  </si>
  <si>
    <t>연동 가이드 문서 및 샘플 코드를 제공하여야 한다.</t>
  </si>
  <si>
    <t>연동 가이드 문서 및 샘플 코드를 제공</t>
  </si>
  <si>
    <t>INR-001-04-01</t>
  </si>
  <si>
    <t>[인사정보시스템 또는 계정관리시스템(IM시스템) 연동 방식 및 프로토콜]</t>
  </si>
  <si>
    <t>- 인사정보시스템 또는 계정관리시스템(IM시스템) 과의 연동 방식을 정의하여야 한다.
· API 연동: REST API (HTTPS), 실시간 조회
· 배치 연동: 파일 기반(CSV/XML) 또는 DB 직접 조회, 일 단위 동기화</t>
  </si>
  <si>
    <t>인사·계정정보를 REST API 실시간 조회 또는 파일/DB 일배치 방식으로 연동</t>
  </si>
  <si>
    <t>INR-001-04-02</t>
  </si>
  <si>
    <t>연동 방식의 최종 선정은 위원회와 협의하여 확정한다.</t>
  </si>
  <si>
    <t>인사·계정정보 연동 방식은 대상 시스템과 인터페이스 구조 검토 후 위원회 협의·확정</t>
  </si>
  <si>
    <t>INR-001-05-01</t>
  </si>
  <si>
    <t>[인사정보 연동 데이터 항목]</t>
  </si>
  <si>
    <t>- 수신 데이터 항목을 정의하여야 한다:
· 필수: 사번, 성명, 부서명, 직급, 직책, 내선번호, 이메일</t>
  </si>
  <si>
    <t>사번·성명·부서·직급·직책·내선·이메일을 인사정보 필수 연동항목으로 정의</t>
  </si>
  <si>
    <t>INR-001-05-02</t>
  </si>
  <si>
    <t>데이터 형식(문자열/숫자), 최대 길이, 인코딩(UTF-8을 명시하여야 한다.</t>
  </si>
  <si>
    <t>연동 데이터 형식(문자열/숫자)·최대길이·UTF-8 인코딩 정의</t>
  </si>
  <si>
    <t>INR-001-06-01</t>
  </si>
  <si>
    <t>[인사정보 동기화 주기 및 정합성]</t>
  </si>
  <si>
    <t>배치 동기화 주기(일 1회/주 1회)의 기본값 및 관리자 조정 범위를 정의하여야 한다.</t>
  </si>
  <si>
    <t>배치 동기화 주기(일 1회/주 1회)의 기본값 및 관리자 조정 범위를 정의</t>
  </si>
  <si>
    <t>INR-001-06-02</t>
  </si>
  <si>
    <t>인사이동·퇴직 등 변경 발생 시 동기화 처리 방식(전체 교체/증분 반영)을 정의하여야 한다.</t>
  </si>
  <si>
    <t>인사이동·퇴직 등 변경 발생 시 동기화 처리 방식(전체 교체/증분 반영)을 정의</t>
  </si>
  <si>
    <t>언어모델 교체 시 상위 서비스 영향을 최소화하기 위한 표준 인터페이스 구조 정의</t>
  </si>
  <si>
    <t>INR-002-01-01</t>
  </si>
  <si>
    <t>[모델 추상화 레이어]</t>
  </si>
  <si>
    <t>시스템은 상위 서비스(Agent, RAG 등)와 하위 언어모델 간 결합도 를 최소화하는 추상화 레이어를 제공하여야 한다.</t>
  </si>
  <si>
    <t>상위 서비스(Agent, RAG 등)와 하위 언어모델 간 결합도 를 최소화하는 추상화 레이어를 제공</t>
  </si>
  <si>
    <t>INR-002-01-02</t>
  </si>
  <si>
    <t>모델 교체 또는 업그레이드 시 상위 서비스의 코드 수정 없이 설정 변경만으로 전환이 가능하여야 한다.</t>
  </si>
  <si>
    <t>모델 교체 또는 업그레이드 시 상위 서비스의 코드 수정 없이 설정 변경만으로 전환이 가능</t>
  </si>
  <si>
    <t>INR-002-02-01</t>
  </si>
  <si>
    <t>[표준 API 호환]</t>
  </si>
  <si>
    <t>모델 연동 API는 OpenAI API 호환 형식을 지원하여야 한다.</t>
  </si>
  <si>
    <t>모델 연동 API는 OpenAI API 호환 형식을 지원</t>
  </si>
  <si>
    <t>INR-002-02-02</t>
  </si>
  <si>
    <t>향후 정부 표준 모델 API 규격 제정 시 해당 규격으로 전환이 용이 한 구조여야 한다.</t>
  </si>
  <si>
    <t>향후 정부 표준 모델 API 규격으로 용이하게 전환 가능한 구조 적용</t>
  </si>
  <si>
    <t>INR-002-02-03</t>
  </si>
  <si>
    <t>API 버전 관리를 통해 하위 호환성을 보장하여야 한다.</t>
  </si>
  <si>
    <t>API 버전 관리를 통해 하위 호환성을 보장</t>
  </si>
  <si>
    <t>INR-002-03-01</t>
  </si>
  <si>
    <t>[서비스-모델 매핑 구성]</t>
  </si>
  <si>
    <t>각 AI 서비스 (Agent)는 독립된 언어모델 인스턴스에 연결되며, 서비스별 모델 할당은 설정을 통해 관리되어야 한다.</t>
  </si>
  <si>
    <t>각 AI 서비스 (Agent)는 독립된 언어모델 인스턴스에 연결되며, 서비스별 모델 할당은 설정을 통해 관리</t>
  </si>
  <si>
    <t>INR-002-03-02</t>
  </si>
  <si>
    <t>서비스-모델 매핑 구성은 코드 변경 없이 설정 파일 또는 관리자 화면을 통해 변경 가능하여야 한다.</t>
  </si>
  <si>
    <t>서비스-모델 매핑 구성은 코드 변경 없이 설정 파일 또는 관리자 화면을 통해 변경 가능</t>
  </si>
  <si>
    <t>수집 인터페이스 제공</t>
  </si>
  <si>
    <t>INR-003-01-01</t>
  </si>
  <si>
    <t>데이터 수집 파이프라인 인터페이스를 제공</t>
  </si>
  <si>
    <t>시스템은 내부 업무포털 중 위원회가 지정하는 게시판에 등록되는 게시글의 본문 및 첨부파일을 상담지식 Agent 지식베이스로 반자동 수집할 수 있는 데이터 수집 파이프라인 인터페이스를 제공하여야 한다.</t>
  </si>
  <si>
    <t>지정 게시판 본문·첨부파일을 상담지식 Agent 지식베이스로 반자동 수집</t>
  </si>
  <si>
    <t>· 인터페이스 설계서</t>
  </si>
  <si>
    <t>INR-003-02-01</t>
  </si>
  <si>
    <t>증분 인덱싱 파이프라인으로 전달</t>
  </si>
  <si>
    <t>시스템은 수집 대상 게시판·카테고리·문서 유형을 관리자가 지정할 수 있어야 하며, 신규 게시물 등록 시 수집 대상 여부를 자동 판별하고 SFR에서 정의한 증분 인덱싱 파이프라인으로 전달하는 기능을 제공하여야 한다.</t>
  </si>
  <si>
    <t>게시판·카테고리·문서유형별 수집대상 자동판별 후 증분 인덱싱 파이프라인 전달</t>
  </si>
  <si>
    <t>INR-003-03-01</t>
  </si>
  <si>
    <t>지식 저장소 인덱스 구조에 적재</t>
  </si>
  <si>
    <t>시스템은 수집된 문서에 대해 제도 구분·문서 유형·시행일자 등 메타데이터를 자동 또는 반자동으로 태깅하여 SFR에서 정의한 지식 저장소 인덱스 구조에 적재하여야 한다.</t>
  </si>
  <si>
    <t>제도구분·문서유형·시행일자 메타데이터 자동/반자동 태깅 및 지식 인덱스 적재</t>
  </si>
  <si>
    <t>콜센터 상담 어시스턴트 및 회의록 생성 서비스를 위한 STT 엔진 실시간 연동 인터페이스 규격 정의</t>
  </si>
  <si>
    <t>INR-004-01-01</t>
  </si>
  <si>
    <t>[콜센터 STT 실시간 스트리밍 연동]</t>
  </si>
  <si>
    <t>기존 콜센터 STT 엔진의 실시간 스트리밍 출력을 수신하기 위한 연동 인터페이스를 정의하여야 한다.</t>
  </si>
  <si>
    <t>기존 콜센터 STT 엔진의 실시간 스트리밍 출력을 수신하기 위한 연동 인터페이스를 정의</t>
  </si>
  <si>
    <t>INR-004-01-02</t>
  </si>
  <si>
    <t>화자 구분 신호 규격(화자 ID, 발언 시작/종료 타임스탬프, 신뢰도 점수)을 정의하여야 한다.</t>
  </si>
  <si>
    <t>화자 구분 신호 규격(화자 ID, 발언 시작/종료 타임스탬프, 신뢰도 점수)을 정의</t>
  </si>
  <si>
    <t>INR-004-01-03</t>
  </si>
  <si>
    <t>STT 엔진과의 세션 관리(연결 설정, 유지, 종료) 프로토콜을 정의하여야 한다.</t>
  </si>
  <si>
    <t>STT 엔진과의 세션 관리(연결 설정, 유지, 종료) 프로토콜을 정의</t>
  </si>
  <si>
    <t>INR-004-02-01</t>
  </si>
  <si>
    <t>[오류 처리 및 재시도 정책]</t>
  </si>
  <si>
    <t>스트리밍 연결 끊김 시 자동 재연결 정책(재시도 횟수, 간격)을 정의하여야 한다.</t>
  </si>
  <si>
    <t>스트리밍 연결 끊김 시 자동 재연결 정책(재시도 횟수, 간격)을 정의</t>
  </si>
  <si>
    <t>INR-004-02-02</t>
  </si>
  <si>
    <t>변환 실패 시 오류 코드 체계 및 대응 방안을 정의하여야 한다.</t>
  </si>
  <si>
    <t>변환 실패 시 오류 코드 체계 및 대응 방안을 정의</t>
  </si>
  <si>
    <t>협약기관 서비스를 위한 기간계 협약기관 정보 일 배치 자동 수집 인터페이스 규격 정의</t>
  </si>
  <si>
    <t>INR-005-01-01</t>
  </si>
  <si>
    <t>[연동 방식 및 프로토콜]</t>
  </si>
  <si>
    <t>- 기간계 협약기관 정보 수집을 위한 연동 방식을 정의하여야 한다.
· DB 직접 조회, API 연동</t>
  </si>
  <si>
    <t>기간계 협약기관 정보 수집을 위한 연동 방식을 정의·DB 직접 조회, API 연동</t>
  </si>
  <si>
    <t>INR-005-01-02</t>
  </si>
  <si>
    <t>협약기관 정보 연동 방식은 기간계 구조 검토 후 위원회 협의·확정</t>
  </si>
  <si>
    <t>INR-005-02-01</t>
  </si>
  <si>
    <t>[배치 수집 프로토콜]</t>
  </si>
  <si>
    <t>배치 실행 주기: 일 1회 (기본값), 관리자 웹 UI에서 조정 가능</t>
  </si>
  <si>
    <t>INR-005-02-02</t>
  </si>
  <si>
    <t>배치 실행 시각: 업무 시간 외 (기본 02:00), 관리자 설정 가능</t>
  </si>
  <si>
    <t>INR-005-02-03</t>
  </si>
  <si>
    <t>수집 방식: 전체 교체 또는 변경분(신규/수정/삭제) 증분 수집</t>
  </si>
  <si>
    <t>INR-005-02-04</t>
  </si>
  <si>
    <t>배치 수행 결과 리포트(변경 건수, 성공/실패) 생성 규격을 정의하여야 한다.</t>
  </si>
  <si>
    <t>배치 수행 결과 리포트(변경 건수, 성공/실패) 생성 규격을 정의</t>
  </si>
  <si>
    <t>INR-005-03-01</t>
  </si>
  <si>
    <t>[연동 데이터 항목]</t>
  </si>
  <si>
    <t>- 수신 데이터 항목을 정의하여야 한다:
· 필수: 기관명, 협약 유형, 협약 제도 구분, 협약 일자, 상태(유효/해지)
· 선택: 담당자 성명, 담당자 연락처, 담당 업무</t>
  </si>
  <si>
    <t>기관명·협약유형·제도구분·협약일자·상태와 담당자 정보를 연동 항목으로 정의</t>
  </si>
  <si>
    <t>INR-005-03-02</t>
  </si>
  <si>
    <t>데이터 형식(문자열/날짜/코드), 코드 체계(협약 유형, 제도 구분)를 명시하여야 한다.</t>
  </si>
  <si>
    <t>데이터 형식(문자열/날짜/코드), 코드 체계(협약 유형, 제도 구분)를 명시</t>
  </si>
  <si>
    <t>INR-005-04-01</t>
  </si>
  <si>
    <t>[인증 및 보안]</t>
  </si>
  <si>
    <t>인증 방식을 정의하여야 한다.</t>
  </si>
  <si>
    <t>인증 방식을 정의</t>
  </si>
  <si>
    <t>INR-005-04-02</t>
  </si>
  <si>
    <t>폐쇄망 내부 통신 시에도 전송 구간 암호화 적용 여부를 명시하여야 한다.</t>
  </si>
  <si>
    <t>폐쇄망 내부 통신 시에도 전송 구간 암호화 적용 여부를 명시</t>
  </si>
  <si>
    <t>INR-005-05-01</t>
  </si>
  <si>
    <t>[오류 처리]</t>
  </si>
  <si>
    <t>배치 오류 발생 시 기존 데이터 유지 정책 및 관리자 알림 규격을 정의하여야 한다.</t>
  </si>
  <si>
    <t>배치 오류 발생 시 기존 데이터 유지 정책 및 관리자 알림 규격을 정의</t>
  </si>
  <si>
    <t>INR-005-05-02</t>
  </si>
  <si>
    <t>오류 유형(연결 실패/인증 실패/데이터 형식 오류) 코드 체계를 정의하여야 한다.</t>
  </si>
  <si>
    <t>오류 유형(연결 실패/인증 실패/데이터 형식 오류) 코드 체계를 정의</t>
  </si>
  <si>
    <t>생성형 AI 플랫폼의 사용자 인터페이스 설계 및 사용자 경험 기준 정의</t>
  </si>
  <si>
    <t>INR-006-01-01</t>
  </si>
  <si>
    <t>[UI/UX 설계 기준]</t>
  </si>
  <si>
    <t>시스템의 UI/UX 설계는 「디지털정부서비스 UI·UX 가이드라인」을 준수하여야 한다.</t>
  </si>
  <si>
    <t>시스템의 UI/UX 설계는 「디지털정부서비스 UI·UX 가이드라인」을 준수</t>
  </si>
  <si>
    <t>· UI/UX 설계서
 · 사용자 매뉴얼 (관리자용•사용자용)</t>
  </si>
  <si>
    <t>INR-006-01-02</t>
  </si>
  <si>
    <t>사용자의 접근성과 직관성을 높인 최적화된 화면 및 정보 구조를 제공하여야 한다.</t>
  </si>
  <si>
    <t>사용자의 접근성과 직관성을 높인 최적화된 화면 및 정보 구조를 제공</t>
  </si>
  <si>
    <t>INR-006-01-03</t>
  </si>
  <si>
    <t>위원회 내부 업무시스템과의 시각적 통일성을 고려하여 UI를 구성하여야 한다.</t>
  </si>
  <si>
    <t>위원회 내부 업무시스템과의 시각적 통일성을 고려하여 UI를 구성</t>
  </si>
  <si>
    <t>INR-006-02-01</t>
  </si>
  <si>
    <t>[사용자 그룹별 인터페이스]</t>
  </si>
  <si>
    <t>사용자 계정 권한에 따라 맞춤형 UI를 제공하여야 한다(운영자/권한을 부여받은 사용자/일반 사용자/콜센터 상담사)</t>
  </si>
  <si>
    <t>사용자 계정 권한에 따라 맞춤형 UI를 제공(운영자/권한을 부여받은 사용자/일반 사용자/콜센터 상담사)</t>
  </si>
  <si>
    <t>INR-006-02-02</t>
  </si>
  <si>
    <t>관리자 화면은 Agent 관리, 모니터링, 사용자 권한 설정 등 운영 기능에 최적화된 레이아웃을 제공하여야 한다.</t>
  </si>
  <si>
    <t>관리자 화면은 Agent 관리, 모니터링, 사용자 권한 설정 등 운영 기능에 최적화된 레이아웃을 제공</t>
  </si>
  <si>
    <t>INR-006-03-01</t>
  </si>
  <si>
    <t>[대화형 AI 인터페이스]</t>
  </si>
  <si>
    <t>생성형 AI 서비스는 대화형(챗봇형) 프롬프트 인터페이스를 기본으로 제공하여야 한다.</t>
  </si>
  <si>
    <t>대화형(챗봇형) 프롬프트 인터페이스 기본 제공</t>
  </si>
  <si>
    <t>INR-006-03-02</t>
  </si>
  <si>
    <t>AI 응답 영역에 출처 정보, 피드백 버튼 등을 직관적으로 배치해야 하며, 상세 레이아웃은 위원회와 협의하여 확정한다.</t>
  </si>
  <si>
    <t>AI 응답 영역에 출처 정보, 피드백 버튼 등을 직관적으로 배치하고 레이아웃은 위원회 협의 후 확정</t>
  </si>
  <si>
    <t>INR-006-04-01</t>
  </si>
  <si>
    <t>[웹 호환성]</t>
  </si>
  <si>
    <t>「전자정부 웹사이트 품질관리 지침」 을 준수하여야 한다.</t>
  </si>
  <si>
    <t>「전자정부 웹사이트 품질관리 지침」 을 준수</t>
  </si>
  <si>
    <t>INR-006-04-02</t>
  </si>
  <si>
    <t>웹 표준 및 크로스 브라우징 관련 세부 사항은 COR를 따른다.</t>
  </si>
  <si>
    <t>웹 표준 및 크로스 브라우징 관련 세부 사항은 COR를 준수</t>
  </si>
  <si>
    <t>INR-006-05-01</t>
  </si>
  <si>
    <t>[사용자 매뉴얼]</t>
  </si>
  <si>
    <t>관리자용 및 사용자용(사용자·콜센터 상담사) 매뉴얼을 각각 제공하여야 한다.</t>
  </si>
  <si>
    <t>관리자용 및 사용자용(사용자·콜센터 상담사) 매뉴얼을 각각 제공</t>
  </si>
  <si>
    <t>데이터분석 환경(MLOps)-AI 플랫폼 간 연동</t>
  </si>
  <si>
    <t>데이터분석 환경(MLOps)의 모델 데이터를 AI 플랫폼에서 조회·분석할 수 있도록 하는 시스템 간 연동 인터페이스 규격 정의</t>
  </si>
  <si>
    <t>INR-007-01-01</t>
  </si>
  <si>
    <t>[연동대상]</t>
  </si>
  <si>
    <t>AI 플랫폼은 MLOps 및 관련 모델 데이터를 조회,분석에 활용할 수 있어야 한다.</t>
  </si>
  <si>
    <t>MLOps 및 관련 모델 데이터를 조회,분석에 활용 가능</t>
  </si>
  <si>
    <t>INR-007-01-02</t>
  </si>
  <si>
    <t>연동 대상 데이터의 범위는 위원회와 협의하여 확정한다.</t>
  </si>
  <si>
    <t>연동 대상 데이터의 범위는 위원회 협의 후 확정</t>
  </si>
  <si>
    <t>INR-007-02-01</t>
  </si>
  <si>
    <t>[연동방식]</t>
  </si>
  <si>
    <t>AI 플랫폼과 MLOps 간 연동은 직접 DB접근 또는 API 기반 조회 중 업체의 제안 및 위원회와 협의하여 확정한다.</t>
  </si>
  <si>
    <t>AI 플랫폼과 MLOps 간 연동은 직접 DB접근 또는 API 기반 조회 중 업체의 제안 및 위원회 협의 후 확정</t>
  </si>
  <si>
    <t>INR-007-02-02</t>
  </si>
  <si>
    <t>연동 구간의 접근 권한은 RBAC 정책을 준수하여야 한다.</t>
  </si>
  <si>
    <t>연동 구간의 접근 권한은 RBAC 정책을 준수</t>
  </si>
  <si>
    <t>INR-007-03-01</t>
  </si>
  <si>
    <t>[운영 요건]</t>
  </si>
  <si>
    <t>데이터 갱신 이후 AI 플랫폼에서 최신 데이터가 조회 가능한 상태로 유지되어야 한다.</t>
  </si>
  <si>
    <t>데이터 갱신 이후 AI 플랫폼에서 최신 데이터가 조회 가능한 상태로 유지</t>
  </si>
  <si>
    <t>INR-007-03-02</t>
  </si>
  <si>
    <t>연동 장애 발생 시 AI 플랫폼 서비스 전체가 중단되지 않도록 장애 격리 방안을 수립하여야 한다.</t>
  </si>
  <si>
    <t>연동 장애 발생 시 AI 플랫폼 서비스 전체가 중단되지 않도록 장애 격리 방안을 수립</t>
  </si>
  <si>
    <t>INR-008-01-01</t>
  </si>
  <si>
    <t>[Before]
API 개발(I/F 방안은 mccube와 협의하여 수행)
[After]
SFR-034-01-01과 동일하게 기간계 API 개발 범위를 ①협약기관 ②경영정보시스템 ③채권양수도 ④콜센터 고객정보 조회로 목록화</t>
  </si>
  <si>
    <t>SFR-034-01-01 와 유사한 내용
API 연동범위에 대한 확정 필요</t>
  </si>
  <si>
    <t>국가법령정보 공동활용 OPEN API 연동 및 VDB 적재</t>
  </si>
  <si>
    <t>INR-009-01-01</t>
  </si>
  <si>
    <t>국가법령정보(법, 시행령, 시행규칙, 행정규칙 총 75건) 공동활용 OPEN API 연동 및 VDB 적재</t>
  </si>
  <si>
    <r>
      <rPr>
        <rFont val="Malgun Gothic"/>
        <color rgb="FF0000FF"/>
        <sz val="9.0"/>
      </rPr>
      <t xml:space="preserve">[Before]
국가법령정보(법, 시행령, 시행규칙, 행정규칙 총 75건) 공동활용 OPEN API 연동 및 VDB 적재
[After]
국가법령정보(법, 시행령, 시행규칙, 행정규칙 </t>
    </r>
    <r>
      <rPr>
        <rFont val="맑은 고딕"/>
        <color rgb="FFFF0000"/>
        <sz val="9.0"/>
      </rPr>
      <t>총 77건</t>
    </r>
    <r>
      <rPr>
        <rFont val="맑은 고딕"/>
        <color rgb="FF0000FF"/>
        <sz val="9.0"/>
      </rPr>
      <t xml:space="preserve">) 공동활용 OPEN API 연동 및 VDB 적재
</t>
    </r>
  </si>
  <si>
    <t>의견 없음. 다만 사업기간 내 법령정보연동 후 '복지로 API'까지 추가 연동하는 것이 사용자 만족도를 높일 수 있을 것으로 판단됨에 따라 검토 요청</t>
  </si>
  <si>
    <t>데이터 요구사항</t>
  </si>
  <si>
    <t>수집 데이터 범위 및 메타데이터 기준 정의</t>
  </si>
  <si>
    <t>DAR-001-01-01</t>
  </si>
  <si>
    <t>[수집 대상 데이터 정의]</t>
  </si>
  <si>
    <t>내부망 수집 대상: 업무포털 게시자료, 기간계 연동 정보 등 문서의 상세 데이터 목록을 정의하여야 한다.</t>
  </si>
  <si>
    <t>내부망 수집 대상: 업무포털 게시자료, 기간계 연동 정보 등 문서의 데이터 목록을 정의</t>
  </si>
  <si>
    <t>· 수집 데이터 목록 정의서
 · 메타데이터 표준 관리항목 정의서</t>
  </si>
  <si>
    <t>DAR-001-01-02</t>
  </si>
  <si>
    <t>외부망 수집 대상: 공공 API 연동 데이터, 관리자 수기 반입 외부 문서 등의 상세 데이터 목록을 정의하여야 한다.</t>
  </si>
  <si>
    <t>외부망 수집 대상: 공공 API 연동 데이터, 관리자 수기 반입 외부 문서 등의 데이터 목록을 정의</t>
  </si>
  <si>
    <t>DAR-001-01-03</t>
  </si>
  <si>
    <t>각 수집 대상 데이터별 분류 체계, 보안등급, 수집 우선순위를 정의 상세 하여야 한다.</t>
  </si>
  <si>
    <t>수집대상별 분류체계·보안등급·수집 우선순위 정의</t>
  </si>
  <si>
    <t>DAR-001-02-01</t>
  </si>
  <si>
    <t>[메타데이터 정의]</t>
  </si>
  <si>
    <t>문서 수준 및 청크 단위 메타데이터 항목을 정의하고, 상호 관계를 명시하여야 한다.</t>
  </si>
  <si>
    <t>문서 수준 및 청크 단위 메타데이터 항목을 정의하고, 상호 관계를 명시</t>
  </si>
  <si>
    <t>DAR-001-02-02</t>
  </si>
  <si>
    <t>시행일·개정일 등 시계열 정보에 대한 관리 기준 및 시점별 적용 우선순위를 정의하여야 한다.</t>
  </si>
  <si>
    <t>시행일·개정일 등 시계열 정보에 대한 관리 기준 및 시점별 적용 우선순위를 정의</t>
  </si>
  <si>
    <t>DAR-001-02-03</t>
  </si>
  <si>
    <t>RAG 검색 시 필터링 및 가중치 부여에 활용할 항목을 식별하여야 한다.</t>
  </si>
  <si>
    <t>RAG 검색 시 필터링 및 가중치 부여에 활용할 항목을 식별</t>
  </si>
  <si>
    <t>이력·로그·설정 변경 데이터 관리 정책</t>
  </si>
  <si>
    <t>이력·로그 데이터 관리 및 통제 기준 정의</t>
  </si>
  <si>
    <t>DAR-002-01-01</t>
  </si>
  <si>
    <t>[관리 대상 이력·로그 정의]</t>
  </si>
  <si>
    <t>파이프라인 실행 이력(수집·파싱·임베딩 등), 질의·응답 처리 로그, 설정·콘텐츠 변경 이력 등 관리 대상 데이터의 범위를 정의하여야 한다.</t>
  </si>
  <si>
    <t>수집·파싱·임베딩·질의응답·설정변경 이력의 관리대상 범위 정의</t>
  </si>
  <si>
    <t>· 데이터 관리 정책 정의서</t>
  </si>
  <si>
    <t>DAR-002-02-01</t>
  </si>
  <si>
    <t>[관리 정책]</t>
  </si>
  <si>
    <t>이력·로그 데이터의 보존 기간, 저장 방식, 접근 권한 등 관리 기준을 정의하여야 한다.</t>
  </si>
  <si>
    <t>이력·로그 데이터의 보존 기간, 저장 방식, 접근 권한 등 관리 기준을 정의</t>
  </si>
  <si>
    <t>DAR-002-02-02</t>
  </si>
  <si>
    <t>개인정보 및 민감정보는 관련 법령에 따라 마스킹 및 접근통제를 적용하여야 한다.</t>
  </si>
  <si>
    <t>개인정보 및 민감정보는 관련 법령에 따라 마스킹 및 접근통제를 적용</t>
  </si>
  <si>
    <t>DAR-002-02-03</t>
  </si>
  <si>
    <t>세부 로그 항목 및 저장 구조는 사업자가 제안하며 기술협상을 통해 확정한다.</t>
  </si>
  <si>
    <t>세부 로그 항목 및 저장 구조는 사업자가 제안하며 기술협상을 통해 협의·확정</t>
  </si>
  <si>
    <t>사용자 데이터 수집·보존·활용 기준 정의</t>
  </si>
  <si>
    <t>DAR-003-01-01</t>
  </si>
  <si>
    <t>[사용자 활동 데이터 관리]</t>
  </si>
  <si>
    <t>사용자 질의, 응답, 피드백 등 활동 데이터에 대한 수집·보존·활용 기준을 정의하여야 한다.</t>
  </si>
  <si>
    <t>사용자 질의, 응답, 피드백 등 활동 데이터에 대한 수집·보존·활용 기준을 정의</t>
  </si>
  <si>
    <t>DAR-003-01-02</t>
  </si>
  <si>
    <t>Ground Truth 데이터 구축 및 관리 방안을 정의하여야 한다.</t>
  </si>
  <si>
    <t>Ground Truth 데이터 구축 및 관리 방안을 정의</t>
  </si>
  <si>
    <t>DAR-003-01-03</t>
  </si>
  <si>
    <t>보존 기간, 활용 범위, 접근 권한 등을 정의하고, 개인정보 보호는 SER 기준을 따른다.</t>
  </si>
  <si>
    <t>보존 기간, 활용 범위, 접근 권한 등을 정의하고, 개인정보 보호는 SER 기준을 준수</t>
  </si>
  <si>
    <t>DAR-003-01-04</t>
  </si>
  <si>
    <t>세부 관리 기준 및 활용 방식은 사업자가 제안하며 기술협상을 통해 확정한다.</t>
  </si>
  <si>
    <t>세부 관리 기준 및 활용 방식은 사업자가 제안하며 기술협상을 통해 협의·확정</t>
  </si>
  <si>
    <t>데이터 표준·품질·구조 관리 기준 정의</t>
  </si>
  <si>
    <t>DAR-004-01-01</t>
  </si>
  <si>
    <t>[데이터 표준 수립]</t>
  </si>
  <si>
    <t>데이터 표준(용어, 코드, 도메인 등)을 정의하고 관리 방안을 수립하여야 한다.</t>
  </si>
  <si>
    <t>데이터 표준(용어, 코드, 도메인 등)을 정의·관리 방안을 수립</t>
  </si>
  <si>
    <t>· 데이터 표준 사전
 · 데이터베이스 설계서 (ERD 포함)
 · 데이터 품질 검증 결과서</t>
  </si>
  <si>
    <t>DAR-004-01-02</t>
  </si>
  <si>
    <t>행정안전부 공공데이터베이스 표준화 기준 및 위원회 내부 기준을 준 수하여야 한다.</t>
  </si>
  <si>
    <t>행정안전부 공공DB 표준화 기준 및 위원회 내부 표준 준수</t>
  </si>
  <si>
    <t>DAR-004-02-01</t>
  </si>
  <si>
    <t>[데이터 구조 설계 및 품질 관리]</t>
  </si>
  <si>
    <t>데이터 구조(스키마) 설계 및 변경 이력 관리 기준을 정의하여야 한다.</t>
  </si>
  <si>
    <t>데이터 구조(스키마) 설계 및 변경 이력 관리 기준을 정의</t>
  </si>
  <si>
    <t>DAR-004-02-02</t>
  </si>
  <si>
    <t>데이터 값의 정확성·완전성·일관성 확보를 위한 검증 기준 및 품질 관리 지표를 정의하여야 한다.</t>
  </si>
  <si>
    <t>데이터 값의 정확성·완전성·일관성 확보를 위한 검증 기준 및 품질 관리 지표를 정의</t>
  </si>
  <si>
    <t>DAR-004-02-03</t>
  </si>
  <si>
    <t>메타데이터의 최신성 유지 방안 및 원천 데이터 변경 시 반영 체계를 포함하여야 한다.</t>
  </si>
  <si>
    <t>메타데이터의 최신성 유지 방안 및 원천 데이터 변경 시 반영 체계를 포함</t>
  </si>
  <si>
    <t>DAR-004-03-01</t>
  </si>
  <si>
    <t>[공통 기준]</t>
  </si>
  <si>
    <t>관련 법령, 행정안전부 표준 및 내부 규정을 준수하여야 한다.</t>
  </si>
  <si>
    <t>관련 법령, 행정안전부 표준 및 내부 규정을 준수</t>
  </si>
  <si>
    <t>DAR-004-03-02</t>
  </si>
  <si>
    <t>세부 기준 및 관리 수준은 사업자가 제안하며 기술협상을 통해 확정한다.</t>
  </si>
  <si>
    <t>세부 기준 및 관리 수준은 사업자가 제안하며 기술협상을 통해 협의·확정</t>
  </si>
  <si>
    <t>DAR-004-03-03</t>
  </si>
  <si>
    <t>정의된 기준은 위원회의 검토 및 승인 절차를 거쳐 확정되어야 한다.</t>
  </si>
  <si>
    <t>정의된 기준은 위원회의 검토 및 승인 절차를 거쳐 확정</t>
  </si>
  <si>
    <t>DAR-005-01-01</t>
  </si>
  <si>
    <t>테스트 요구사항</t>
  </si>
  <si>
    <t>사업 목표 달성을 위한 테스트 전략·계획의 수립 및 관리</t>
  </si>
  <si>
    <t>TER-001-01-01</t>
  </si>
  <si>
    <t>[테스트 계획 수립]</t>
  </si>
  <si>
    <t>사업자는 단위·통합·시스템·인수 테스트 등 단계별 테스트 전략을 수립하고, 테스트 계획서를 작성하여 위원회의 승인을 득하여야 한다.</t>
  </si>
  <si>
    <t>제논, 위고</t>
  </si>
  <si>
    <t>단위·통합·시스템·인수 테스트 전략·계획 수립 및 위원회 승인 획득</t>
  </si>
  <si>
    <t>· 테스트 계획서 (단계별 범위•일정•절차 포함)
 · 테스트 시나리오 및 테스트 케이스</t>
  </si>
  <si>
    <t>TER-001-01-02</t>
  </si>
  <si>
    <t>테스트 계획서에는 테스트 범위, 대상, 수행 방법, 일정, 환경 구성 방안을 포함하여야 한다.</t>
  </si>
  <si>
    <t>테스트 계획서에는 테스트 범위, 대상, 수행 방법, 일정, 환경 구성 방안을 포함</t>
  </si>
  <si>
    <t>테스트 시나리오 및 테스트 케이스</t>
  </si>
  <si>
    <t>단위·통합·시스템 테스트 수행</t>
  </si>
  <si>
    <t>개발 단계별 테스트의 체계적 수행 및 결함 관리</t>
  </si>
  <si>
    <t>TER-002-01-01</t>
  </si>
  <si>
    <t>[단계별 테스트 수행]</t>
  </si>
  <si>
    <t>사업자는 요구사항을 기반으로 테스트 케이스를 작성하고, 단위·통합·시스템 테스트를 수행하여야 한다.</t>
  </si>
  <si>
    <t>요구사항 기반 테스트케이스 작성 및 단위·통합·시스템 테스트 수행</t>
  </si>
  <si>
    <t>· 단위•통합•시스템 테스트 결과서
 · 결함 시정 조치 내역</t>
  </si>
  <si>
    <t>TER-002-01-02</t>
  </si>
  <si>
    <t>통합 테스트는 시스템 간 인터페이스 정합성 및 데이터 흐름을 검증하고, 시스템 테스트는 기능·성능 요구사항 충족 여부를 위원회 참여 하에 검증하여야 한다.</t>
  </si>
  <si>
    <t>통합테스트로 I/F·데이터 흐름, 시스템테스트로 기능·성능 충족 여부를 위원회 참여로 검증</t>
  </si>
  <si>
    <t>TER-002-01-03</t>
  </si>
  <si>
    <t>결함 발견 시 원인 분석 및 시정 조치를 완료할 때까지 반복 테스트를 수행하여야 한다.</t>
  </si>
  <si>
    <t>결함 발견 시 원인 분석 및 시정 조치를 완료할 때까지 반복 테스트를 수행</t>
  </si>
  <si>
    <t>TER-002-01-04</t>
  </si>
  <si>
    <t>보안 취약점 정적 분석은 SER 기준을 따른다.</t>
  </si>
  <si>
    <t>보안 취약점 정적 분석은 SER 기준을 준수</t>
  </si>
  <si>
    <t>RAG 기반 검색 정확도, 생성형 AI 응답 품질 및 RAG 파이프라인 전 단계에 대한 검증</t>
  </si>
  <si>
    <t>TER-003-01-01</t>
  </si>
  <si>
    <t>[AI 응답 품질 검증]</t>
  </si>
  <si>
    <t>사업자는 RAG 파이프라인의 검색 정확도(재현율·정밀도)와 생성 응답품질(정확성·관련성·환각 발생률)을 검증하는 테스트를 수행하여야 한다.</t>
  </si>
  <si>
    <t>RAG 파이프라인의 검색 정확도(재현율·정밀도)와 생성 응답품질(정확성·관련성·환각 발생률)을 검증하는 테스트를 수행</t>
  </si>
  <si>
    <t>· AI 응답 품질 평가 결과서
 · RAG 파이프라인 검증 결과서</t>
  </si>
  <si>
    <t>TER-003-01-02</t>
  </si>
  <si>
    <t>정량적 합격 기준은 PER에 정의된 기준을 따르며, 구체적 테스트 시나리오 및 평가 데이터셋 규모는 기술협상 시 위원회와 협의하여 확정한다.</t>
  </si>
  <si>
    <t>PER 정량기준 적용, 테스트 시나리오·평가셋 규모는 별도 협의·확정</t>
  </si>
  <si>
    <t>TER-003-02-01</t>
  </si>
  <si>
    <t>[RAG 파이프라인 검증]</t>
  </si>
  <si>
    <t>사업자는 청크 데이터 품질 (표 깨짐, 텍스트 누락, 메타데이터 불일치 등)을 검증하여야 한다.</t>
  </si>
  <si>
    <t>청크 데이터 품질 (표 깨짐, 텍스트 누락, 메타데이터 불일치 등)을 검증</t>
  </si>
  <si>
    <t>TER-003-02-02</t>
  </si>
  <si>
    <t>SFR에서 정의한 검색 프리셋, 동의어 확장, 배치 전략 등 기능별 검색 품질 적합성을 검증하여야 한다.</t>
  </si>
  <si>
    <t>SFR에서 정의한 검색 프리셋, 동의어 확장, 배치 전략 등 기능별 검색 품질 적합성을 검증</t>
  </si>
  <si>
    <t>TER-003-02-03</t>
  </si>
  <si>
    <t>허용 오류율 기준 및 세부 검증 방법은 기술협상을 통해 확정한다.</t>
  </si>
  <si>
    <t>허용 오류율 기준 및 세부 검증 방법은 기술협상을 통해 협의·확정</t>
  </si>
  <si>
    <t>인수 테스트 및 시범운영</t>
  </si>
  <si>
    <t>최종 인수 검증 및 서비스 개시 전 시범운영 수행</t>
  </si>
  <si>
    <t>TER-004-01-01</t>
  </si>
  <si>
    <t>[인수 테스트]</t>
  </si>
  <si>
    <t>인수 테스트는 위원회가 주관하고 사업자가 지원하는 체계로 수행 하여야 한다.</t>
  </si>
  <si>
    <t>인수 테스트는 위원회가 주관하고 사업자가 지원하는 체계로 수행</t>
  </si>
  <si>
    <t>· 인수 테스트 결과서
 · 시범운영 결과 보고서</t>
  </si>
  <si>
    <t>TER-004-01-02</t>
  </si>
  <si>
    <t>실 업무 담당자가 참여하는 사용자 수용 테스트(UAT)를 포함하며, 업무 시나리오 기반 테스트 결과를 제출하여야 한다.</t>
  </si>
  <si>
    <t>실 업무 담당자가 참여하는 사용자 수용 테스트(UAT)를 포함하며, 업무 시나리오 기반 테스트 결과를 제출</t>
  </si>
  <si>
    <t>TER-004-01-03</t>
  </si>
  <si>
    <t>부적합 사항 발견 시 원인과 시정 조치 계획을 제출하고 재시험을 상세 통해 해결 여부를 확인하여야 한다.</t>
  </si>
  <si>
    <t>부적합 사항 발견 시 원인과 시정 조치 계획을 제출·재시험을 통해 해결 여부를 확인</t>
  </si>
  <si>
    <t>TER-004-02-01</t>
  </si>
  <si>
    <t>[시범운영]</t>
  </si>
  <si>
    <t>시스템 개발 완료 후 최소 30일 이상의 시범운영을 수행하고, 그 결과를 보고하여야 한다.</t>
  </si>
  <si>
    <t>시스템 개발 완료 후 최소 30일 이상의 시범운영을 수행하고, 그 결과를 보고</t>
  </si>
  <si>
    <t>TER-004-02-02</t>
  </si>
  <si>
    <t>시범운영 기간 중 성능 모니터링을 실시하고, 발견된 문제점을 보완하여야 한다.</t>
  </si>
  <si>
    <t>시범운영 기간 중 성능 모니터링을 실시하고, 발견된 문제점을 보완</t>
  </si>
  <si>
    <t>TER-004-02-03</t>
  </si>
  <si>
    <t>시범운영 기간은 위원회와 협의하여 조정할 수 있다.</t>
  </si>
  <si>
    <t>시범운영 기간은 위원회 협의 후 조정 가능</t>
  </si>
  <si>
    <t>TER-005-01-01</t>
  </si>
  <si>
    <t>[성능 지표 검증]</t>
  </si>
  <si>
    <t>사업자는 모델 학습 완료 후 검증용 데이터를 활용하여 예측 정확도를 수치로 산출하고 위원회에 보고하여야 한다.</t>
  </si>
  <si>
    <t>PwC</t>
  </si>
  <si>
    <t>모델 학습 완료 후 검증용 데이터를 활용하여 예측 정확도를 수치로 산출하고 위원회에 보고</t>
  </si>
  <si>
    <t>· 예측 모델 성능 검증 결과서</t>
  </si>
  <si>
    <t>TER-005-01-02</t>
  </si>
  <si>
    <t>정확도 측정 방식 및 합격 기준은 기술협상 시 위원회와 협의하여 확정한다. 다만, 사업자는 제안서에 달성 목표값을 명시하여야 한다.</t>
  </si>
  <si>
    <t>예측모델 정확도 산식·합격기준은 별도 협의·확정하고 제안 목표값 명시</t>
  </si>
  <si>
    <t>TER-005-02-01</t>
  </si>
  <si>
    <t>[현업 확인 검증]</t>
  </si>
  <si>
    <t>사업자는 모델이 산출한 이행자별 위험등급 분류 결과를 실무 담당자가 직접 확인하고, 실제 업무에 활용 가능한 수준인지를 검토하는 현업 확인 절차를 수행하고 결과를 제출하여야 한다.</t>
  </si>
  <si>
    <t>위험등급 결과를 현업이 직접 확인해 실무 활용 가능성을 검증하고 결과 제출</t>
  </si>
  <si>
    <t>보안 요구사항</t>
  </si>
  <si>
    <t>RBAC 기반 문서·버전별 접근 권한 통제, 수집 데이터 보안등급 관리 및 외부 데이터 반입 무해화·검증 체계</t>
  </si>
  <si>
    <t>SER-001-01-01</t>
  </si>
  <si>
    <t>[역할 기반 접근 통제(RBAC)]</t>
  </si>
  <si>
    <t>시스템은 사용자의 직급, 직책, 부서, 등급에 따라 문서별, 버전별(현행/과거 /예정) 접근 권한을 제어하여야 한다. 권한 설정은 개별 사용자 단위 또는 그룹(부서/직급) 단위로 가능하여야 한다.</t>
  </si>
  <si>
    <t>직급·직책·부서·등급별 문서·버전 접근권한을 사용자/그룹 단위로 제어</t>
  </si>
  <si>
    <t>· 보안 아키텍처 정의서</t>
  </si>
  <si>
    <t>SER-001-01-02</t>
  </si>
  <si>
    <t>관리자 권한 분리 원칙을 적용하여 플랫폼 관리자와 권한을 부여받은 사용 자의 접근 범위를 구분하여야 한다.</t>
  </si>
  <si>
    <t>플랫폼 관리자와 권한 부여 사용자 간 접근범위 분리</t>
  </si>
  <si>
    <t>SER-001-01-03</t>
  </si>
  <si>
    <t>AI Agent 단위별로 사용자부서그룹별 접근 시 차단 및 로그 기록을 적용하여야 한다.</t>
  </si>
  <si>
    <t>Agent별 사용자·부서·그룹 접근통제 및 차단 로그 기록</t>
  </si>
  <si>
    <t>SER-001-01-04</t>
  </si>
  <si>
    <t>AI 서비스(RAG 검색·인용) 시점의 접근 권한 적용은 본 항목에서 정의한 RBAC 정책을 기반으로 하되, 런타임 적용 기능의 구현은 SFR-011에서 정의한다.</t>
  </si>
  <si>
    <t>SER-001 RBAC 정책을 SFR-011 RAG 검색·인용 런타임 접근통제에 연계</t>
  </si>
  <si>
    <t>SER-001-01-05</t>
  </si>
  <si>
    <t>관리자가 수행하는 문서별·그룹별 접근 권한의 등록·수정·삭제는 본 항목 상세 (SER-001)의 관리 범위에 해당한다.</t>
  </si>
  <si>
    <t>관리자가 수행하는 문서별·그룹별 접근 권한의 등록·수정·삭제는 본 항목 (SER-001)의 관리 범위에 해당</t>
  </si>
  <si>
    <t>SER-001-02-01</t>
  </si>
  <si>
    <t>[수집 데이터 보안등급별 접근 통제]</t>
  </si>
  <si>
    <t>내부망·외부망 수집 데이터의 보안등급(공개/내부/비밀)에 따라 접근 권한 정책을 차등 적용하여야 한다.</t>
  </si>
  <si>
    <t>내부망·외부망 수집 데이터의 보안등급(공개/내부/비밀)에 따라 접근 권한 정책을 차등 적용</t>
  </si>
  <si>
    <t>SER-001-02-02</t>
  </si>
  <si>
    <t>수집 소스별(내부 포털/연계 API/수기 반입) 기본 보안등급 및 관리자 변경 권한을 정의하여야 한다.</t>
  </si>
  <si>
    <t>수집 소스별(내부 포털/연계 API/수기 반입) 기본 보안등급 및 관리자 변경 권한을 정의</t>
  </si>
  <si>
    <t>SER-001-03-01</t>
  </si>
  <si>
    <t>[외부 데이터 반입 무해화 및 검증]</t>
  </si>
  <si>
    <t>대외망에서 수집된 외부 데이터의 내부망 반입 시 포맷 검증, 악성코드 검사, 무해화 처리(매크로·스크립트 제거), 개인정보 포함 여부 탐지 및 프롬프트 인젝션 패턴 스캐닝을 필수 적용하여야 한다.</t>
  </si>
  <si>
    <t>외부데이터 반입 시 포맷·악성코드·무해화·개인정보·프롬프트 인젝션 검증 적용</t>
  </si>
  <si>
    <t>SER-001-03-02</t>
  </si>
  <si>
    <t>반입 데이터는 100% 무해화·악성코드 검사를 수행하고 일방향 망연계를 적용하여야 한다.</t>
  </si>
  <si>
    <t>반입 데이터는 100% 무해화·악성코드 검사를 수행하고 일방향 망연계를 적용</t>
  </si>
  <si>
    <t>SER-001-03-03</t>
  </si>
  <si>
    <t>반입 이력(반입자, 일시, 파일 해시값, 검증 결과)을 감사 로그에 기록하여야 한다.</t>
  </si>
  <si>
    <t>반입 이력(반입자, 일시, 파일 해시값, 검증 결과)을 감사 로그에 기록</t>
  </si>
  <si>
    <t>RAG 파이프라인 전 구간 PII 마스킹·ACL·인젝션 차단, 생성형 AI 특화 위협 대응 및 PII 재구성 방지 실시간 적용</t>
  </si>
  <si>
    <t>SER-002-01-01</t>
  </si>
  <si>
    <t>[개인정보 보호 및 실시간 마스킹]</t>
  </si>
  <si>
    <t>시스템은 학습 데이터 및 질의응답 과정에서 개인식별정보(PII)를 식별하여 마스킹 처리하여야 한다. 사용자 질의 수신 즉시 PII 탐지 및 마스킹을 수행하며, 마스킹 전 원문은 저장·로그·캐시에 보관하지 않아야 한다.</t>
  </si>
  <si>
    <t>질의 수신 즉시 PII 탐지·마스킹하고 마스킹 전 원문은 저장·로그·캐시에서 제외</t>
  </si>
  <si>
    <t>SER-002-01-02</t>
  </si>
  <si>
    <t>오답변 디버깅 목적에 한하여 보안 볼트(접근통제 암호화 저장소, TTL 기반 자동 파기)에 보관할 수 있다.</t>
  </si>
  <si>
    <t>오답변 디버깅 목적에 한하여 보안 볼트(접근통제 암호화 저장소, TTL 기반 자동 파기)에 보관 가능</t>
  </si>
  <si>
    <t>SER-002-01-03</t>
  </si>
  <si>
    <t>PII 마스킹된 데이터 간 조합에 의한 재구성 위험 탐지 방안을 제안서에 제시하여야 한다.</t>
  </si>
  <si>
    <t>PII 마스킹된 데이터 간 조합에 의한 재구성 위험 탐지 방안을 제안서에 제시</t>
  </si>
  <si>
    <t>SER-002-01-04</t>
  </si>
  <si>
    <t>STT 실시간 스트리밍 데이터에 대해 수신 즉시 PII 마스킹을 적용 하고, 통화 종료 시 텍스트·중간 결과·캐시를 자동 삭제하여 잔존 데이터 0건을 검증하여야 한다.</t>
  </si>
  <si>
    <t>STT 수신 즉시 PII 마스킹, 통화 종료 시 텍스트·중간결과·캐시 자동삭제 및 잔존 0건 검증</t>
  </si>
  <si>
    <t>SER-002-02-01</t>
  </si>
  <si>
    <t>[접근 통제 정책 — 실시간 적용]</t>
  </si>
  <si>
    <t>시스템은 사용자 권한에 따라 검색 가능한 문서 범위를 제한하는 접근 통제(ACL)를 RAG 검색 시점에 실시간 적용하여야 한다. 권한 없는 문서가 검색 결과나 답변에 포함되지 않도록 통제하여야 한다.</t>
  </si>
  <si>
    <t>RAG 검색 시 ACL을 실시간 적용해 비인가 문서의 검색결과·답변 노출 차단</t>
  </si>
  <si>
    <t>SER-002-03-01</t>
  </si>
  <si>
    <t>[생성형 AI 특화 위협 대응]</t>
  </si>
  <si>
    <t>시스템은 다음 보안 위협에 대한 탐지·차단 체계를 수립하여야 한다:
(1) 프롬프트 인젝션/탈옥 공격 탐지 및 차단 (최소 1종 이상 방어 기제 구현)
(2) 시스템 프롬프트 유출 방지 (출력 필터링)
(3) 데이터 포이즈닝 방지 (벡터 DB 주입 공격 검수)
(4) 모델 역추론 공격 방지 (파라미터·가중치 접근 통제)</t>
  </si>
  <si>
    <t>프롬프트 인젝션·탈옥·시스템 프롬프트 유출·데이터 포이즈닝 등 생성형 AI 위협 탐지·차단</t>
  </si>
  <si>
    <t>SER-002-03-02</t>
  </si>
  <si>
    <t>사업자는 국정원 AI 보안 가이드북 및 OWASP LLM Top 10을 참조 하여 대응 방안을 제안서에 포함하여야 한다.</t>
  </si>
  <si>
    <t>국정원 AI 보안 가이드북·OWASP LLM Top 10 기반 대응방안 반영</t>
  </si>
  <si>
    <t>SER-002-03-03</t>
  </si>
  <si>
    <t>입력 질의와 생성 답변이 보안적 기준을 위반하지 않는지 실시간 검사해야 하며, DLP 연계 등 기술적 방안은 사업자 제안에 따른다.</t>
  </si>
  <si>
    <t>입력·출력 보안정책 실시간 검사 및 DLP 연계 방안 설계·적용</t>
  </si>
  <si>
    <t>AI 판단·데이터·운영 변경 감사 로그 통합 기록·무결성 보장, 보안 볼트 접근 통제 및 추론 로그 보존기간 정합성 확보</t>
  </si>
  <si>
    <t>SER-003-01-01</t>
  </si>
  <si>
    <t>[로그 기록 및 관리]</t>
  </si>
  <si>
    <t>본 항목은 AI 플랫폼 전체의 감사 로그에 대한 통합 저장·보존·접근통제·무결성 보장·감사 증적 출력 정책을 정의한다.</t>
  </si>
  <si>
    <t>플랫폼 전 영역 감사로그의 통합 저장·보존·접근통제·무결성·증적출력 정책 정의</t>
  </si>
  <si>
    <t>SER-003-01-02</t>
  </si>
  <si>
    <t>각 서비스 계층에서 생성된 로그(SFR-011의 추론 로그, SFR-012의 자원 운영 로그 등)는 본 항목의 통합 관리 체계로 수집·저장된다.</t>
  </si>
  <si>
    <t>SFR 추론·자원운영 등 계층별 로그를 통합 수집·저장</t>
  </si>
  <si>
    <t>SER-003-01-03</t>
  </si>
  <si>
    <t>로그 생성 책임은 해당 기능 요구사항(SFR)에, 로그의 보존·접근통제· 무결성·폐기 정책은 본 항목(SER-003)에 귀속된다.</t>
  </si>
  <si>
    <t>로그 생성은 SFR, 보존·접근·무결성·폐기는 SER-003 책임으로 분리 관리</t>
  </si>
  <si>
    <t>SER-003-01-04</t>
  </si>
  <si>
    <t>시스템은 AI 서비스의 모든 질의·응답, 데이터 변경, 운영 환경 변경에 대한 감사 로그를 기록하여야 한다. 로그에는 수행자, 수행 일시, 대상, 변경 사유, 시스템 환경 정보(모델·프롬프트·데이터 버전)를 포함하여야 한다.</t>
  </si>
  <si>
    <t>질의·응답·데이터변경·운영환경변경 로그에 사용자·시간·Agent·모델·프롬프트·데이터 버전 기록</t>
  </si>
  <si>
    <t>SER-003-01-05</t>
  </si>
  <si>
    <t>로그 데이터는 변경 불가 (Immutable) 형태로 저장하고, 위·변조 검증을 위한 해시값 또는 전자서명을 적용하여야 한다.</t>
  </si>
  <si>
    <t>로그 데이터는 변경 불가 (Immutable) 형태로 저장하고, 위·변조 검증을 위한 해시값 또는 전자서명을 적용</t>
  </si>
  <si>
    <t>SER-003-01-06</t>
  </si>
  <si>
    <t>관리자가 감사 유형별·기간별·수행자별로 통합 조회할 수 있어야 한다.</t>
  </si>
  <si>
    <t>관리자가 감사 유형별·기간별·수행자별로 통합 조회 가능</t>
  </si>
  <si>
    <t>SER-003-02-01</t>
  </si>
  <si>
    <t>[감사 유형별 기록 대상]</t>
  </si>
  <si>
    <t>AI 판단 감사: SFR-011에서 기록한 부적절 질의 필터링, AI 답변 인용 출처, 추론 과정(검색 문서·컨텍스트·프롬프트·응답)의 로그를 수신하여 통합 관리한다. 기록 항목의 구체적 명세는 SFR-011을 따른다.</t>
  </si>
  <si>
    <t>SFR-011 필터링·인용·추론 로그를 수신해 AI 판단 감사로그로 통합 관리</t>
  </si>
  <si>
    <t>SER-003-02-02</t>
  </si>
  <si>
    <t>데이터 변경 감사: 청크·메타데이터·용어 사전의 등록·수정·삭제 시 변경 전후 값 및 승인 이력을 기록하여야 한다.</t>
  </si>
  <si>
    <t>데이터 변경 감사: 청크·메타데이터·용어 사전의 등록·수정·삭제 시 변경 전후 값 및 승인 이력을 기록</t>
  </si>
  <si>
    <t>SER-003-02-03</t>
  </si>
  <si>
    <t>운영 변경 감사: 모델 배포, 프롬프트·가드레일·RAG 설정 변경, 롤백 수행 이력 및 승인 이력을 기록하여야 한다.</t>
  </si>
  <si>
    <t>운영 변경 감사: 모델 배포, 프롬프트·가드레일·RAG 설정 변경, 롤백 수행 이력 및 승인 이력을 기록</t>
  </si>
  <si>
    <t>SER-003-02-04</t>
  </si>
  <si>
    <t>보안 이벤트: PII 마스킹·ACL 위반·인젝션 시도·인증 이벤트·자원 격 리 위반 등을 기록하여야 한다.</t>
  </si>
  <si>
    <t>보안 이벤트: PII 마스킹·ACL 위반·인젝션 시도·인증 이벤트·자원 격 리 위반 등을 기록</t>
  </si>
  <si>
    <t>SER-003-03-01</t>
  </si>
  <si>
    <t>[소명 자료 및 감사 증적]</t>
  </si>
  <si>
    <t>민원·감사·법적 분쟁 시 특정 답변에 대한 소명 자료(질의·답변 원문, 인용 출처, 모델·프롬프트 버전, 추론 과정)를 출력할 수 있어야 한다.</t>
  </si>
  <si>
    <t>질의·답변·출처·모델/프롬프트 버전·추론과정 소명자료 출력</t>
  </si>
  <si>
    <t>SER-003-03-02</t>
  </si>
  <si>
    <t>특정 기간·대상의 변경 이력을 일괄 출력하는 감사 증적 패키지 기능을 제공하여야 한다.</t>
  </si>
  <si>
    <t>특정 기간·대상의 변경 이력을 일괄 출력하는 감사 증적 패키지 기능 제공</t>
  </si>
  <si>
    <t>SER-003-03-03</t>
  </si>
  <si>
    <t>증적 패키지에 마스킹 전 원문이 포함되는 경우 보안 볼트 연계· 관리자 승인·출력물 암호화·열람 후 파기 절차를 적용하여야 한다.</t>
  </si>
  <si>
    <t>증적 패키지에 마스킹 전 원문이 포함되는 경우 보안 볼트 연계·관리자 승인·출력물 암호화·열람 후 파기 절차를 적용</t>
  </si>
  <si>
    <t>SER-003-04-01</t>
  </si>
  <si>
    <t>[보관·접근통제 및 변경관리]</t>
  </si>
  <si>
    <t>감사 로그 보관 기간은 AI 판단 감사(추론 로그) 최소 5년(기술협상 시 협의), 데이터·운영 변경 감사 3년을 기본으로 하며, 관리자가 유형별 차등 설정할 수 있어야 한다.</t>
  </si>
  <si>
    <t>AI 판단 로그 5년·데이터/운영 변경로그 3년 기본 보관, 유형별 기간 설정</t>
  </si>
  <si>
    <t>SER-003-04-02</t>
  </si>
  <si>
    <t>보관 기간 경과 후 자동 아카이빙 또는 삭제 정책을 적용하고, 폐기 이력을 기록하여야 한다.</t>
  </si>
  <si>
    <t>보관 기간 경과 후 자동 아카이빙 또는 삭제 정책을 적용하고, 폐기 이력을 기록</t>
  </si>
  <si>
    <t>SER-003-04-03</t>
  </si>
  <si>
    <t>감사 로그 접근 권한을 RBAC로 통제하고, 열람 이력을 기록하여야 한다.</t>
  </si>
  <si>
    <t>감사 로그 접근 권한을 RBAC로 통제하고, 열람 이력을 기록</t>
  </si>
  <si>
    <t>SER-003-04-04</t>
  </si>
  <si>
    <t>보안 볼트(마스킹 전 원문 보관소)는 지정 보안 관리자만 열람 가능 하며, 암호화 저장·TTL 자동 파기·열람 이력 기록을 적용하여야 한다.</t>
  </si>
  <si>
    <t>보안 볼트(마스킹 전 원문 보관소)는 지정 보안 관리자만 열람 가능하며, 암호화 저장·TTL 자동 파기·열람 이력 기록을 적용</t>
  </si>
  <si>
    <t>SER-003-04-05</t>
  </si>
  <si>
    <t>운영 정책(프롬프트·용어사전·가드레일·RAG 설정 등) 변경은 작성·검 토·승인의 역할 분리를 적용하고, 변경 전후 비교 및 롤백 기능을 지원하여야 한다.</t>
  </si>
  <si>
    <t>프롬프트·용어사전·가드레일·RAG 정책 변경에 작성·검토·승인 분리, 전후 비교·롤백 적용</t>
  </si>
  <si>
    <t>SER-003-04-06</t>
  </si>
  <si>
    <t>SFR-011에서 구현한 3계층 로그 저장 구조(영구 로그/보안 볼트/세션 휘발)의 보존 기간, 접근 권한, 삭제 절차는 본 항목의 기준을 따른다.</t>
  </si>
  <si>
    <t>SFR-011 3계층 로그의 보존기간·접근권한·삭제절차를 SER-003 기준으로 관리</t>
  </si>
  <si>
    <t>사용자 데이터 보관·보호 및 활용 범위 통제</t>
  </si>
  <si>
    <t>사용자 데이터 보관·삭제·PII 마스킹·외부 반출 통제 및 내부 업무 데이터 활용 범위 제한·파인튜닝 금지 보안 체계</t>
  </si>
  <si>
    <t>SER-004-01-01</t>
  </si>
  <si>
    <t>[보관 기간 및 삭제 정책]</t>
  </si>
  <si>
    <t>사용자 데이터(피드백, 대화 이력) 유형별 보관 기간을 관리자가 설정 할 수 있어야 한다. 피드백 기본 1년, 대화 이력 기본 90일로 한다.</t>
  </si>
  <si>
    <t>피드백 1년·대화이력 90일 기본 보관, 유형별 기간 관리자 설정</t>
  </si>
  <si>
    <t>SER-004-01-02</t>
  </si>
  <si>
    <t>보관 기간 경과 후 자동 삭제 또는 익명화 후 아카이빙을 선택 적용할 수 있어야 한다.</t>
  </si>
  <si>
    <t>보관 기간 경과 후 자동 삭제 또는 익명화 후 아카이빙을 선택 적용 가능</t>
  </si>
  <si>
    <t>SER-004-01-03</t>
  </si>
  <si>
    <t>사용자 또는 관리자의 삭제 요청 시 즉시 삭제 또는 유예 삭제(기본 30일) 정책을 적용하고, 처리 이력을 기록하여야 한다.</t>
  </si>
  <si>
    <t>사용자 또는 관리자의 삭제 요청 시 즉시 삭제 또는 유예 삭제(기본 30일) 정책을 적용하고, 처리 이력을 기록</t>
  </si>
  <si>
    <t>SER-004-01-04</t>
  </si>
  <si>
    <t>AI 추론 과정 로그(질의·응답·검색 문서·프롬프트 등)의 보존 기간은 SER-003의 감사 로그 보관 기준(AI 판단 감사 최소 5년)을 따르며, 본 항목의 대화 이력 보관 기간(기본 90일)과는 별도로 관리한다.</t>
  </si>
  <si>
    <t>추론 로그는 5년 감사기준, 대화이력은 90일 기본기준으로 분리 보관</t>
  </si>
  <si>
    <t>SER-004-01-05</t>
  </si>
  <si>
    <t>SFR-011에서 구현한 보안 볼트(마스킹 전 원문 암호화 저장소)의 세부내용 TTL 기반 보관 기간은 본 항목의 삭제 정책과 정합성을 유지하여야 하며, 구체적 기간은 기술협상 시 확정한다.</t>
  </si>
  <si>
    <t>보안 볼트 TTL과 삭제정책을 정합화하고 세부 보관기간은 별도 협의·확정</t>
  </si>
  <si>
    <t>SER-004-02-01</t>
  </si>
  <si>
    <t>[외부 반출 통제 및 접근 권한]</t>
  </si>
  <si>
    <t>사용자 데이터 외부 반출 시 관리자 승인을 필수로 적용하고, 반출 데이터의 마스킹/가명 상태를 유지하여야 한다. 반출 이력(반출자, 승인자, 범위, 파일 해시값)을 기록하여야 한다.</t>
  </si>
  <si>
    <t xml:space="preserve">제논 </t>
  </si>
  <si>
    <t>외부반출 관리자 승인·마스킹 유지·반출자/승인자/범위/해시 이력 기록</t>
  </si>
  <si>
    <t>SER-004-02-02</t>
  </si>
  <si>
    <t>사용자는 자신의 대화 이력만 열람·삭제할 수 있으며, 관리자의 개별 대화 열람은 감사 목적에 한하여 허용하여야 한다.</t>
  </si>
  <si>
    <t>사용자 본인 대화이력 열람·삭제, 관리자 열람은 감사목적으로 제한</t>
  </si>
  <si>
    <t>SER-004-02-03</t>
  </si>
  <si>
    <t>개인정보 마스킹 처리는 정책 기준은 SER-002 및 SER-009를 따르고, AI 서비스 계층에서의 실시간 마스킹 적용은 SFR-011의 PII 마스킹 기능을 통해 수행한다.</t>
  </si>
  <si>
    <t>마스킹 정책은 SER-002·009, 실시간 적용은 SFR-011 기능으로 분리 구현</t>
  </si>
  <si>
    <t>샌드박스·코드 실행 환경 격리, 세션 데이터 자동 삭제, 인프라 자원(GPU) 워크로드 간 격리 보안 통제</t>
  </si>
  <si>
    <t>SER-005-01-01</t>
  </si>
  <si>
    <t>[코드 실행 환경 격리 및 보안]</t>
  </si>
  <si>
    <t>샌드박스 환경은 운영 환경과 논리적·물리적으로 격리하고, 운영 데 이터 및 서비스에 영향을 미치지 않아야 한다.</t>
  </si>
  <si>
    <t>샌드박스 환경은 운영 환경과 논리적·물리적으로 격리하고, 운영 데이터 및 서비스에 영향을 미치지 않아야</t>
  </si>
  <si>
    <t>SER-005-02-01</t>
  </si>
  <si>
    <t>LLM 생성 코드 실행 환경에 다음 보안 통제를 적용하여야 한다:
(1) 네트워크 egress 원천 차단
(2) 파일시스템 접근 제한 (분석 대상 파일만 허용)
(3) CPU·메모리·실행 시간 상한 및 초과 시 강제 종료
(4) 위험 함수(os, subprocess 등) 실행 차단
(5) 허용 라이브러리 화이트리스트 통제
(6) 출력 무해화 처리</t>
  </si>
  <si>
    <t>[Before]
코드 실행 샌드박스에 egress 차단·파일 접근 제한·자원/시간 상한·위험함수 차단·출력 무해화 적용
[After]
코드 실행 샌드박스에 egress 차단·파일 접근 제한·자원/시간 상한·위험함수 차단·출력 무해화 적용
샌드박스는 기본 차단(Deny by Default) 방식으로 허용 라이브러리 화이트리스트를 적용
관리자 설정에서 패키지명·버전·해시·허용 사유를 등록·변경하고 승인·감사 이력을 관리하며, 승인된 오프라인 패키지 저장소에서만 설치되도록 통제</t>
  </si>
  <si>
    <t>'허용 라이브러리 화이트리스트 통제' 누락
화이트리스트 방식 적용 여부와 허용 라이브러리 목록의 등록·변경 관리 방안이 수행방안에 언급되지 않음</t>
  </si>
  <si>
    <t>SER-005-02-02</t>
  </si>
  <si>
    <t>코드 실행 환경은 세션 단위로 생성·폐기하며, 세션 종료 시 업로드 파일·코드·실행 결과·캐시를 자동 삭제하고, 삭제 완료를 검증하여야 한다.</t>
  </si>
  <si>
    <t>세션 종료 시 파일·코드·실행결과·캐시 자동삭제 및 삭제완료 검증</t>
  </si>
  <si>
    <t>SER-005-03-01</t>
  </si>
  <si>
    <t>[인프라 자원 격리 보안]</t>
  </si>
  <si>
    <t>LLM 추론 서비스와 모델 학습 워크로드 간 물리적 또는 논리적 격리를 적용하여 자원 간섭을 방지하여야 한다.</t>
  </si>
  <si>
    <t>LLM 추론 서비스와 모델 학습 워크로드 간 물리적 또는 논리적 격리를 적용하여 자원 간섭을 방지</t>
  </si>
  <si>
    <t>SER-005-03-02</t>
  </si>
  <si>
    <t>코드 실행 샌드박스, 정책 실험, 모델 테스트 환경의 GPU 자원은 운영 환경과 격리된 풀에서 할당하여야 한다.</t>
  </si>
  <si>
    <t>코드 실행 샌드박스, 정책 실험, 모델 테스트 환경의 GPU 자원은 운영 환경과 격리된 풀에서 할당</t>
  </si>
  <si>
    <t>SSO 인증·암호화 및 폐쇄망 운영 보안</t>
  </si>
  <si>
    <t>SSO·2FA·세션 보안, DB·전송구간 암호화, 폐쇄망 운영 원칙 및 외부 패키지 반입 보안 검증 통합 체계</t>
  </si>
  <si>
    <t>SER-006-01-01</t>
  </si>
  <si>
    <t>[인증 보안]</t>
  </si>
  <si>
    <t>GS인증 또는 CC인증 등 공인 보안 인증을 획득한 SSO Agent를 도입 하여 위원회 기존 인증 체계와 연계하여야 한다.</t>
  </si>
  <si>
    <t>GS인증 또는 CC인증 등 공인 보안 인증을 획득한 SSO Agent를 도입 하여 위원회 기존 인증 체계와 연계</t>
  </si>
  <si>
    <t>SER-006-01-02</t>
  </si>
  <si>
    <t>로그인 실패 횟수 제한(기본 5 회) 및 계정 잠금, 세션 타임아웃 (기본 30분) 및 동시 로그인 제한을 적용하여야 한다.</t>
  </si>
  <si>
    <t>로그인 실패 횟수 제한(기본 5 회) 및 계정 잠금, 세션 타임아웃 (기본 30분) 및 동시 로그인 제한을 적용</t>
  </si>
  <si>
    <t>SER-006-01-03</t>
  </si>
  <si>
    <t>관리자 권한 행사(모델 등록, 가드레일 변경 등) 시 2차 인증(2FA)을 필수 적용하여야 한다.</t>
  </si>
  <si>
    <t>관리자 권한 행사(모델 등록, 가드레일 변경 등) 시 2차 인증(2FA)을 필수 적용</t>
  </si>
  <si>
    <t>SER-006-01-04</t>
  </si>
  <si>
    <t>상기 기준치는 위원회 기존 정보보안 정책과 정합성을 확인하여 확정한다.</t>
  </si>
  <si>
    <t>상기 기준치는 위원회 기존 정보보안 정책과 정합성을 확인하여 협의·확정</t>
  </si>
  <si>
    <t>SER-006-02-01</t>
  </si>
  <si>
    <t>[암호화 및 폐쇄망 운영]</t>
  </si>
  <si>
    <t>개인정보 및 민감 데이터 DB에 AES-256 이상 암호화를 적용하고, 암호화 키는 별도 KMS를 통해 관리하여야 한다. 비밀번호는 솔트 적용 일방향 해시(SHA-256 이상)로 저장하여야 한다.</t>
  </si>
  <si>
    <t>민감정보 AES-256 암호화·KMS 키관리, 비밀번호 솔트 해시 저장</t>
  </si>
  <si>
    <t>SER-006-02-02</t>
  </si>
  <si>
    <t>모든 데이터 전송 구간에 TLS 1.2 이상을 적용하고, 내부 서비스 간 통신에도 암호화를 적용하여야 한다.</t>
  </si>
  <si>
    <t>모든 데이터 전송 구간에 TLS 1.2 이상을 적용하고, 내부 서비스 간 통신에도 암호화를 적용</t>
  </si>
  <si>
    <t>SER-006-02-03</t>
  </si>
  <si>
    <t>AI 플랫폼의 모든 컴포넌트는 외부 인터넷이 완전 차단된 폐쇄망 환경에서 100% 독립 작동하여야 한다. 외부 클라우드 모델 API 호출을 금지하며, 모든 모델은 오프라인 패키지 방식으로 반입하여야 한다.</t>
  </si>
  <si>
    <t>외부 인터넷·클라우드 API를 차단하고 모델·패키지는 오프라인 반입·독립 운영</t>
  </si>
  <si>
    <t>SER-006-02-04</t>
  </si>
  <si>
    <t>외부 패키지 반입 시 보안 검증은 SER 기준을 따른다.</t>
  </si>
  <si>
    <t>외부 패키지 반입 시 보안 검증은 SER 기준을 준수</t>
  </si>
  <si>
    <t>SER-006-02-05</t>
  </si>
  <si>
    <t>AI 서비스 계층에서 운영하는 보안 볼트(SFR-011) 등 암호화 저장소는 본 항목의 암호화 기준(AES-256 이상)을 적용하고, 암호화 키는 본 항목에서 정의한 KMS를 통해 관리하여야 한다.</t>
  </si>
  <si>
    <t>보안 볼트 등 암호화 저장소에 AES-256·KMS 키관리 기준 적용</t>
  </si>
  <si>
    <t>SER-006-03-01</t>
  </si>
  <si>
    <t>[백업·복구 및 서비스 연속성]</t>
  </si>
  <si>
    <t>벡터DB·설정 저장소·감사 로그 등 핵심 데이터에 대해 정기 백업을 수행하고, 백업 데이터는 암호화 저장·접근통제·무결성 검증을 적용 하여야 한다.</t>
  </si>
  <si>
    <t>핵심 데이터 정기 백업 및 암호화·접근통제·무결성 검증</t>
  </si>
  <si>
    <t>SER-006-03-02</t>
  </si>
  <si>
    <t>주기적 복구 테스트를 수행하고 결과를 증적으로 보관하여야 한다.</t>
  </si>
  <si>
    <t>주기적 복구 테스트를 수행하고 결과를 증적으로 보관</t>
  </si>
  <si>
    <t>SER-006-03-03</t>
  </si>
  <si>
    <t>핵심 서비스의 RTO/RPO는 위원회 정책에 따라 정의하며, 장애 시 핵심 서비스 우선 복구 정책을 수립하여야 한다.</t>
  </si>
  <si>
    <t>핵심 서비스의 RTO/RPO는 위원회 정책에 따라 정의하며, 장애 시 핵심 서비스 우선 복구 정책을 수립</t>
  </si>
  <si>
    <t>SER-006-03-04</t>
  </si>
  <si>
    <t>SFR-011의 추론 로그 3계층 저장 구조 중 영구 로그 및 보안 볼트는 본 항목의 백업 대상에 포함하며, 백업 데이터의 암호화·접근통제· 무결성 검증 기준을 적용한다.</t>
  </si>
  <si>
    <t>SFR-011 영구로그·보안볼트를 백업대상에 포함하고 암호화·접근통제·무결성 검증 적용</t>
  </si>
  <si>
    <t>에이전트·AI 생성물 보안 통제 및 배포 거버넌스</t>
  </si>
  <si>
    <t>에이전트 데이터 접근·민감정보 검증·승인 배포·회수 거버넌스 및 AI 생성물 식별 태깅·워터마킹 보안 체계</t>
  </si>
  <si>
    <t>SER-007-01-01</t>
  </si>
  <si>
    <t>[에이전트 데이터 접근 및 배포 통제]</t>
  </si>
  <si>
    <t>본 항목은 에이전트의 데이터 접근 정책, 배포 승인 절차, 회수 거버 넌스 등 운영·관리 계층의 보안 통제를 정의한다. 에이전트 런타임 에서의 입·출력 보안 통제(프롬프트 인젝션 탐지·차단, 금칙어 필터링, PII 마스킹 등)는 SFR-011에서 정의한다.</t>
  </si>
  <si>
    <t>Agent 데이터 접근·배포 승인·회수 거버넌스와 SFR-011 입출력 보안 통제 연계</t>
  </si>
  <si>
    <t>SER-007-01-02</t>
  </si>
  <si>
    <t>에이전트 생성 시 연결 가능한 데이터 소스를 사용자 권한에 따라 제한하여야 한다. 민감 등급 데이터는 관리자 승인 없이 학습 데이터로 사용할 수 없도록 통제하여야 한다.</t>
  </si>
  <si>
    <t>사용자 권한별 Agent 데이터소스 제한, 민감등급 학습데이터는 관리자 승인 적용</t>
  </si>
  <si>
    <t>SER-007-01-03</t>
  </si>
  <si>
    <t>배포 요청 시 학습 데이터 내 민감정보 포함 여부를 검증하고, 탐지 시 관리자 검토 대상으로 분류하여야 한다.</t>
  </si>
  <si>
    <t>배포 요청 시 학습 데이터 내 민감정보 포함 여부를 검증하고, 탐지 시 관리자 검토 대상으로 분류</t>
  </si>
  <si>
    <t>SER-007-01-04</t>
  </si>
  <si>
    <t>개인이 제작한 에이전트의 전사 배포 시 관리부서 승인(데이터 보안성·답변 품질·업무 적정성 확인)을 거쳐야 하며, 승인된 에이전트만 전사 공유 목록에 등록하여야 한다.</t>
  </si>
  <si>
    <t>개인 Agent 전사배포 전 데이터 보안·답변 품질·업무 적정성 관리자 승인</t>
  </si>
  <si>
    <t>SER-007-01-05</t>
  </si>
  <si>
    <t>보안·품질 문제 발견 시 즉시 비활성화하고, 사용자 알림 및 회수 사유를 로그로 기록하여야 한다.</t>
  </si>
  <si>
    <t>보안·품질 문제 발견 시 즉시 비활성화하고, 사용자 알림 및 회수 사유를 로그로 기록</t>
  </si>
  <si>
    <t>SER-007-01-06</t>
  </si>
  <si>
    <t>배포 전 학습 데이터 민감정보 검증 시, SFR-011의 PII 탐지 기능을 활용할 수 있으며, 탐지 결과에 대한 관리자 검토·승인 절차는 본 항목을 따른다.</t>
  </si>
  <si>
    <t>SFR-011 PII 탐지결과를 활용해 배포 전 학습데이터 민감정보 검토·승인</t>
  </si>
  <si>
    <t>SER-007-02-01</t>
  </si>
  <si>
    <t>[AI 생성물 식별 및 워터마킹]</t>
  </si>
  <si>
    <t>AI가 생성한 모든 산출물(HWPX, PDF, CSV 등)에 AI 생성물임을 식별할 수 있는 메타데이터 태깅을 적용하여야 한다. 태깅 방식은 사업자 제안에 따른다.</t>
  </si>
  <si>
    <t>HWPX·PDF·CSV 등 AI 생성 산출물에 식별 메타데이터 태깅 적용</t>
  </si>
  <si>
    <t>SER-007-02-02</t>
  </si>
  <si>
    <t>AI 산출물 100% 태깅을 적용하고, 태깅 여부 검증 기능을 제공하여야 한다.</t>
  </si>
  <si>
    <t>AI 산출물 100% 태깅을 적용하고, 태깅 여부 검증 기능 제공</t>
  </si>
  <si>
    <t>SER-007-02-03</t>
  </si>
  <si>
    <t>내부 업무 목적 산출물에 "내부 전용" 표기를 포함하고, 다운로드· 반출 시 권한별 승인 통제 및 반출 이력을 기록하여야 한다.</t>
  </si>
  <si>
    <t>내부 업무 목적 산출물에 "내부 전용" 표기를 포함하고, 다운로드·반출 시 권한별 승인 통제 및 반출 이력을 기록</t>
  </si>
  <si>
    <t>언어모델 파일 무결성 검증·접근 권한·출처 관리 및 오프라인 패키지 반입 보안 검증 체계</t>
  </si>
  <si>
    <t>SER-008-01-01</t>
  </si>
  <si>
    <t>[모델 파일 무결성 및 접근 관리]</t>
  </si>
  <si>
    <t>모델 파일 등록 시 해시값(SHA-256 이상) 검증을 수행하고, 해시값을 메타데이터로 보관하여야 한다.</t>
  </si>
  <si>
    <t>모델 파일 등록 시 해시값(SHA-256 이상) 검증을 수행하고, 해시값을 메타데이터로 보관</t>
  </si>
  <si>
    <t>SER-008-01-02</t>
  </si>
  <si>
    <t>모델 등록·수정·삭제 권한은 지정된 관리자에게만 부여하고, 2단계 승인 워크플로를 지원하여야 한다.</t>
  </si>
  <si>
    <t>모델 등록·수정·삭제 권한은 지정된 관리자에게만 부여하고, 2단계 승인 워크플로를 지원</t>
  </si>
  <si>
    <t>SER-008-01-03</t>
  </si>
  <si>
    <t>모델별 서비스 접근 권한을 사용자 그룹 단위로 설정할 수 있어야 한다.</t>
  </si>
  <si>
    <t>모델별 서비스 접근 권한을 사용자 그룹 단위로 설정 가능</t>
  </si>
  <si>
    <t>SER-008-01-04</t>
  </si>
  <si>
    <t>외부 커뮤니티(HuggingFace 등)에서 다운로드한 모델의 출처 및 라이선스 정보를 기록·관리하여야 한다.</t>
  </si>
  <si>
    <t>외부 커뮤니티(HuggingFace 등)에서 다운로드한 모델의 출처 및 라이선스 정보를 기록·관리</t>
  </si>
  <si>
    <t>SER-008-02-01</t>
  </si>
  <si>
    <t>[오프라인 패키지 반입 보안]</t>
  </si>
  <si>
    <t>외부에서 반입하는 모든 모델 패키지(오픈소스 LLM, 임베딩 모델 등)에 대해 악성코드 검사, 무결성 해시 확인(SHA-256 이상), 라이선스 검토를 수행하여야 한다.</t>
  </si>
  <si>
    <t>외부 모델 패키지 반입 시 악성코드·SHA-256 무결성·라이선스 검증</t>
  </si>
  <si>
    <t>SER-008-02-02</t>
  </si>
  <si>
    <t>반입 승인 절차(신청→보안검증→승인→반입)를 거쳐야 하며, 반입 이력을 감사 로그에 기록하여야 한다.</t>
  </si>
  <si>
    <t>반입 승인 절차(신청→보안검증→승인→반입)를 거쳐야 하며, 반입 이력을 감사 로그에 기록</t>
  </si>
  <si>
    <t>학습 데이터·실시간 입력 개인정보 비식별화, ML 예측모델 가명처리 통제</t>
  </si>
  <si>
    <t>SER-009-01-01</t>
  </si>
  <si>
    <t>[학습 데이터 비식별화 및 검수]</t>
  </si>
  <si>
    <t>민원사례 학습 데이터 업로드 시 문서 내 개인정보를 자동 탐지하는 PII 탐지 기능을 제공하여야 한다.</t>
  </si>
  <si>
    <t>민원사례 학습 데이터 업로드 시 문서 내 개인정보를 자동 탐지하는 PII 탐지 기능 제공</t>
  </si>
  <si>
    <t>SER-009-01-02</t>
  </si>
  <si>
    <t>탐지된 개인정보에 대해 비식별화 처리(마스킹 또는 치환)를 수행하고, 결과를 관리자에게 검수용으로 제시하여야 한다.</t>
  </si>
  <si>
    <t>탐지된 개인정보에 대해 비식별화 처리(마스킹 또는 치환)를 수행하고, 결과를 관리자에게 검수용으로 제시</t>
  </si>
  <si>
    <t>SER-009-01-03</t>
  </si>
  <si>
    <t>비식별화 검수가 완료되지 않은 문서의 지식베이스 적재를 차단하여야 한다.</t>
  </si>
  <si>
    <t>비식별화 검수가 완료되지 않은 문서의 지식베이스 적재를 차단</t>
  </si>
  <si>
    <t>SER-009-01-04</t>
  </si>
  <si>
    <t>실시간 입력 비식별화(AI 추론 전 단계 PII 마스킹)의 기능 구현은 SFR-011을 따르며, 마스킹 대상 정보 유형의 정의·분류 기준 및 비식별화 규칙은 본 항목(SER-009)에서 정의한다.</t>
  </si>
  <si>
    <t>실시간 PII 마스킹은 SFR-011, 정보유형·규칙 정의는 SER-009로 분리 관리</t>
  </si>
  <si>
    <t>SER-009-01-05</t>
  </si>
  <si>
    <t>관리자가 비식별화 대상 유형 및 마스킹 규칙을 웹 UI 환경에서 추가·수정할 수 있어야 한다. SFR-011의 PII 마스킹 기능은 본 항목에서 정의한 규칙을 실시간으로 참조하여 적용한다.</t>
  </si>
  <si>
    <t>관리자가 비식별화 대상 유형 및 마스킹 규칙을 웹 UI 환경에서 추가·수정 가능</t>
  </si>
  <si>
    <t>SER-009-02-01</t>
  </si>
  <si>
    <t>[ML 예측모델 학습 데이터 가명처리 통제]</t>
  </si>
  <si>
    <t>ML 예측모델 학습에 사용되는 이행자 데이터는 가명처리 절차를 거쳐 제공받은 데이터만 사용하여야 한다.</t>
  </si>
  <si>
    <t>pwc</t>
  </si>
  <si>
    <t>ML 예측모델 학습에 사용되는 이행자 데이터는 가명처리 절차를 거쳐 제공받은 데이터만 사용</t>
  </si>
  <si>
    <t>SER-009-02-02</t>
  </si>
  <si>
    <t>가명처리 데이터의 재식별 시도를 금지하고, 재식별 가능성을 주기적으로 점검하여야 한다.</t>
  </si>
  <si>
    <t>가명처리 데이터의 재식별 시도를 금지하고, 재식별 가능성을 주기적으로 점검</t>
  </si>
  <si>
    <t>SER-009-02-03</t>
  </si>
  <si>
    <t>예측 결과(납입 확률, 위험등급)에 대한 접근 권한을 역할 기반으로 통제하고, 결과 다운로드 시 승인 절차 및 로그 기록을 적용하여야 한다.</t>
  </si>
  <si>
    <t>예측결과 RBAC 접근통제, 다운로드 승인·로그 기록</t>
  </si>
  <si>
    <t>SER-009-02-04</t>
  </si>
  <si>
    <t>가명처리 데이터 100% 사용, 재식별 시도 금지를 적용하여야 한다.</t>
  </si>
  <si>
    <t>가명처리 데이터 100% 사용, 재식별 시도 금지를 적용</t>
  </si>
  <si>
    <t>소프트웨어 개발보안 및 취약점 점검</t>
  </si>
  <si>
    <t>시큐어코딩·웹 취약점 점검·보안약점 진단도구 의무 사용 및 보안성 검토</t>
  </si>
  <si>
    <t>SER-010-01-01</t>
  </si>
  <si>
    <t>[시큐어코딩 및 보안약점 진단]</t>
  </si>
  <si>
    <t>사업자는 행정안전부 「소프트웨어 개발보안 가이드」에 따라 시큐어 코딩을 적용하여 개발하여야 한다.</t>
  </si>
  <si>
    <t>행정안전부 「소프트웨어 개발보안 가이드」에 따라 시큐어 코딩을 적용하여 개발</t>
  </si>
  <si>
    <t>· 소스코드 보안약점 진단•조치 결과서
 · 웹 취약점 진단•조치 결과서
 · 보안성 검토 결과 및 조치 결과서</t>
  </si>
  <si>
    <t>SER-010-01-02</t>
  </si>
  <si>
    <t>KISA 인증 소스코드 보안약점 진단도구 또는 이에 준하는 상용 도구를 사용하여 개발 전 과정에서 보안약점을 점검하여야 한다.</t>
  </si>
  <si>
    <t>KISA 인증 소스코드 보안약점 진단도구 또는 이에 준하는 상용 도구를 사용하여 개발 전 과정에서 보안약점을 점검</t>
  </si>
  <si>
    <t>SER-010-01-03</t>
  </si>
  <si>
    <t>고위험 보안약점은 서비스 오픈 전 100% 조치 완료해야 하며, 중위험 이하는 조치 계획서를 제출하여야 한다.</t>
  </si>
  <si>
    <t>고위험 보안약점은 서비스 오픈 전 100% 조치 완료하고 중위험 이하는 조치 계획서를 제출</t>
  </si>
  <si>
    <t>SER-010-02-01</t>
  </si>
  <si>
    <t>[소스코드, 인프라(서버, 네트워크, DB), 웹 취약점 점검 및 보안성 검토]</t>
  </si>
  <si>
    <t>OWASP Top 10 및 국정원 8대 웹 취약점을 포함하여 점검하고 조치 결과를 제출하여야 한다.</t>
  </si>
  <si>
    <t>OWASP Top 10 및 국정원 8대 웹 취약점을 포함하여 점검하고 조치 결과를 제출</t>
  </si>
  <si>
    <t>SER-010-02-02</t>
  </si>
  <si>
    <t>개발 완료 후 보안성 검토 결과서(시큐어코딩 적용 현황, 보안약점 진단 결과, 소스코드, 인프라, 웹 취약점 점검 결과, 미조치 사항 조치 계획)을 위원회에 제출하여야 한다.</t>
  </si>
  <si>
    <t>시큐어코딩·소스·인프라·웹 취약점과 미조치 계획을 포함한 보안성 검토결과 제출</t>
  </si>
  <si>
    <t>SER-010-02-03</t>
  </si>
  <si>
    <t>감리 시 시큐어코딩 이행 증빙을 제출할 수 있어야 한다.</t>
  </si>
  <si>
    <t>감리 시 시큐어코딩 이행 증빙을 제출 가능</t>
  </si>
  <si>
    <t>참여인력 보안서약·장비 통제·자료 반출입·누출금지·종료 시 파기 의무</t>
  </si>
  <si>
    <t>SER-011-01-01</t>
  </si>
  <si>
    <t>[참여인력 보안 관리]</t>
  </si>
  <si>
    <t>사업에 참여하는 모든 인력(하도급업체 포함)은 사업 착수 전 보안서약서를 제출하고 보안 교육을 이수하여야 한다.</t>
  </si>
  <si>
    <t>사업에 참여하는 모든 인력(하도급업체 포함)은 사업 착수 전 보안서약서를 제출·보안 교육을 이수</t>
  </si>
  <si>
    <t>· 보안서약서 (참여인력•대표자)
 · 보안교육 일지
 · 장비•자료 반출입 관리대장
 · 정보시스템 저장매체 완전삭제 확인서
 · 보안확약서</t>
  </si>
  <si>
    <t>SER-011-01-02</t>
  </si>
  <si>
    <t>인력 투입·교체·철수 시 위원회에 사전 통보하고, 철수 인력의 접근 권한을 즉시 회수하여야 한다.</t>
  </si>
  <si>
    <t>인력 투입·교체·철수 시 위원회에 사전 통보하고, 철수 인력의 접근 권한을 즉시 회수</t>
  </si>
  <si>
    <t>SER-011-01-03</t>
  </si>
  <si>
    <t>채무자 정보 등 민감 금융정보에 접근하는 인력에 대해 별도 보안서약 및 접근 권한 관리를 적용하여야 한다.</t>
  </si>
  <si>
    <t>채무자 정보 등 민감 금융정보에 접근하는 인력에 대해 별도 보안서약 및 접근 권한 관리를 적용</t>
  </si>
  <si>
    <t>SER-011-02-01</t>
  </si>
  <si>
    <t>[장소·장비·자료 반출입 통제]</t>
  </si>
  <si>
    <t>사업 수행 장소는 위원회가 지정하거나 승인한 장소에서 수행하여야 한다.</t>
  </si>
  <si>
    <t>사업 수행 장소는 위원회가 지정하거나 승인한 장소에서 수행</t>
  </si>
  <si>
    <t>SER-011-02-02</t>
  </si>
  <si>
    <t>사업 수행 장비는 위원회 보안 정책을 준수하며, 외부 저장매체(USB 등) 사용을 원칙적으로 금지하여야 한다.</t>
  </si>
  <si>
    <t>사업 수행 장비는 위원회 보안 정책을 준수하며, 외부 저장매체(USB 등) 사용을 원칙적으로 금지</t>
  </si>
  <si>
    <t>SER-011-02-03</t>
  </si>
  <si>
    <t>자료 및 프로그램 반출입(전자적 반출 포함)은 위원회 승인을 받고, 반출 입 대상·목적·기간·회수·폐기를 기록하여야 한다.</t>
  </si>
  <si>
    <t>자료 및 프로그램 반출입(전자적 반출 포함)은 위원회 승인을 받고, 반출 입 대상·목적·기간·회수·폐기를 기록</t>
  </si>
  <si>
    <t>SER-011-03-01</t>
  </si>
  <si>
    <t>[사업종료 시 자료 파기 및 반납]</t>
  </si>
  <si>
    <t>사업 종료(또는 계약 해지) 시 모든 사업 관련 자료를 위원회에 반납하거나 복구 불가능한 방법으로 완전 파기하고, 파기 확인서를 제출하여야 한다.</t>
  </si>
  <si>
    <t>사업 종료/해지 시 자료 반납 또는 완전파기 및 파기확인서 제출</t>
  </si>
  <si>
    <t>SER-011-03-02</t>
  </si>
  <si>
    <t>사업자 시스템에 잔존하는 위원회 데이터가 없음을 확인하고 서면으로 제출하여야 한다.</t>
  </si>
  <si>
    <t>사업자 시스템에 잔존하는 위원회 데이터가 없음을 확인하고 서면으로 제출</t>
  </si>
  <si>
    <t>SER-011-03-03</t>
  </si>
  <si>
    <t>누출금지 대상정보(위원회 업무 자료, 시스템 구성 정보, 개인정보·민감 금융정보, 산출물 등)의 범위는 계약서 또는 보안 협약서에 명시하여야 한다.</t>
  </si>
  <si>
    <t>누출금지 대상정보 범위를 계약서·보안협약서에 명시</t>
  </si>
  <si>
    <t>SER-011-03-04</t>
  </si>
  <si>
    <t>국정원 「국가 공공기관 용역업체 보안관리 가이드라인」을 준수하여야 한다.</t>
  </si>
  <si>
    <t>국정원 「국가 공공기관 용역업체 보안관리 가이드라인」을 준수</t>
  </si>
  <si>
    <t>SER-011-04-01</t>
  </si>
  <si>
    <t>[사업수행 보안 관리]</t>
  </si>
  <si>
    <t>수행사는 사업 수행 전 과정에서 위원회의 정보보안 정책 및 관련 지침을 철저히 준수하여야 하며, 보안 정책 미준수로 발생하는 모든 책임은 수행사에 있음.</t>
  </si>
  <si>
    <t>사업 전 과정에 위원회 보안정책·지침 적용, 위반 책임은 수행사 부담</t>
  </si>
  <si>
    <t>보안요구사항</t>
  </si>
  <si>
    <t>정보보안(개발자 유의사항)</t>
  </si>
  <si>
    <t>SER-012-01-01</t>
  </si>
  <si>
    <t>발에 투입된 인력이 사용하고자 하는 PC는 위원회 제공이 원칙. 기존 개인이 사용하는 PC의 경우 개발 종료 시 HDD/SSD는 분리하여 위원회에 제출하며, 외장 HDD, USB는 사용 불가(정보보호관리지침 17조, 19조)
- 적용범위 : 본 사업 참여 인원 전원. 0.2M/M 인원까지 모두 포함</t>
  </si>
  <si>
    <r>
      <rPr>
        <rFont val="Malgun Gothic"/>
        <color theme="1"/>
        <sz val="9.0"/>
      </rPr>
      <t>- 개발</t>
    </r>
    <r>
      <rPr>
        <rFont val="Calibri"/>
        <color theme="1"/>
        <sz val="9.0"/>
      </rPr>
      <t xml:space="preserve"> PC</t>
    </r>
    <r>
      <rPr>
        <rFont val="맑은 고딕"/>
        <color theme="1"/>
        <sz val="9.0"/>
      </rPr>
      <t>는</t>
    </r>
    <r>
      <rPr>
        <rFont val="Calibri"/>
        <color theme="1"/>
        <sz val="9.0"/>
      </rPr>
      <t xml:space="preserve"> </t>
    </r>
    <r>
      <rPr>
        <rFont val="맑은 고딕"/>
        <color theme="1"/>
        <sz val="9.0"/>
      </rPr>
      <t>위원회에서</t>
    </r>
    <r>
      <rPr>
        <rFont val="Calibri"/>
        <color theme="1"/>
        <sz val="9.0"/>
      </rPr>
      <t xml:space="preserve"> </t>
    </r>
    <r>
      <rPr>
        <rFont val="맑은 고딕"/>
        <color theme="1"/>
        <sz val="9.0"/>
      </rPr>
      <t>제공하는</t>
    </r>
    <r>
      <rPr>
        <rFont val="Calibri"/>
        <color theme="1"/>
        <sz val="9.0"/>
      </rPr>
      <t xml:space="preserve"> </t>
    </r>
    <r>
      <rPr>
        <rFont val="맑은 고딕"/>
        <color theme="1"/>
        <sz val="9.0"/>
      </rPr>
      <t>장비</t>
    </r>
    <r>
      <rPr>
        <rFont val="Calibri"/>
        <color theme="1"/>
        <sz val="9.0"/>
      </rPr>
      <t xml:space="preserve"> </t>
    </r>
    <r>
      <rPr>
        <rFont val="맑은 고딕"/>
        <color theme="1"/>
        <sz val="9.0"/>
      </rPr>
      <t>사용</t>
    </r>
    <r>
      <rPr>
        <rFont val="Calibri"/>
        <color theme="1"/>
        <sz val="9.0"/>
      </rPr>
      <t xml:space="preserve">
</t>
    </r>
    <r>
      <rPr>
        <rFont val="Segoe UI Symbol"/>
        <color theme="1"/>
        <sz val="9.0"/>
      </rPr>
      <t xml:space="preserve">- </t>
    </r>
    <r>
      <rPr>
        <rFont val="맑은 고딕"/>
        <color theme="1"/>
        <sz val="9.0"/>
      </rPr>
      <t>모니터</t>
    </r>
    <r>
      <rPr>
        <rFont val="Calibri"/>
        <color theme="1"/>
        <sz val="9.0"/>
      </rPr>
      <t>(1</t>
    </r>
    <r>
      <rPr>
        <rFont val="맑은 고딕"/>
        <color theme="1"/>
        <sz val="9.0"/>
      </rPr>
      <t>대</t>
    </r>
    <r>
      <rPr>
        <rFont val="Calibri"/>
        <color theme="1"/>
        <sz val="9.0"/>
      </rPr>
      <t xml:space="preserve">) </t>
    </r>
    <r>
      <rPr>
        <rFont val="맑은 고딕"/>
        <color theme="1"/>
        <sz val="9.0"/>
      </rPr>
      <t>사업자에서</t>
    </r>
    <r>
      <rPr>
        <rFont val="Calibri"/>
        <color theme="1"/>
        <sz val="9.0"/>
      </rPr>
      <t xml:space="preserve"> </t>
    </r>
    <r>
      <rPr>
        <rFont val="맑은 고딕"/>
        <color theme="1"/>
        <sz val="9.0"/>
      </rPr>
      <t>추가</t>
    </r>
    <r>
      <rPr>
        <rFont val="Calibri"/>
        <color theme="1"/>
        <sz val="9.0"/>
      </rPr>
      <t xml:space="preserve"> </t>
    </r>
    <r>
      <rPr>
        <rFont val="맑은 고딕"/>
        <color theme="1"/>
        <sz val="9.0"/>
      </rPr>
      <t>반입</t>
    </r>
  </si>
  <si>
    <t>SER-012-01-02</t>
  </si>
  <si>
    <t>인터넷 전용 PC 제공(내부 인터넷), 
- 그 외 인터넷 사용 불가(와이파이 공유기, 태블릿PC, 모바일 핫스팟 연결 등)
- 외부에서 작업(퇴근 후) → 내부 반입 방식이 현실적 대안, 외부 메일 계정에서 받은 자료를 직원이 수신해 내부망 반입절차를 거쳐야 함</t>
  </si>
  <si>
    <t>위원회에서 제공하는 인터넷 전용 PC(6대) 사용</t>
  </si>
  <si>
    <t>ML 예측 모델 및 데이터 분석 환경</t>
  </si>
  <si>
    <t>SER-013-01-01</t>
  </si>
  <si>
    <t>보안정책, RFP와 제안서 정합성 검토</t>
  </si>
  <si>
    <t>모델 구축 전 과정에 보안 지침(데이터 비식별화 등)을 적용</t>
  </si>
  <si>
    <t>품질 요구사항</t>
  </si>
  <si>
    <t>언어모델 운영 및 교체에 관한 품질 관리 기준 정의</t>
  </si>
  <si>
    <t>QUR-001-01-01</t>
  </si>
  <si>
    <t>[운영 매뉴얼 제공]</t>
  </si>
  <si>
    <t>모델 등록·교체·롤백 절차에 대한 운영 매뉴얼을 제공하여야 한다.</t>
  </si>
  <si>
    <t>모델 등록·교체·롤백 절차에 대한 운영 매뉴얼을 제공</t>
  </si>
  <si>
    <t>· 언어모델 운영 매뉴얼 (모델 교체•롤백 절차 포함)
 · 장애대응 매뉴얼 (모델 장애 시 대응 절차)</t>
  </si>
  <si>
    <t>QUR-001-01-02</t>
  </si>
  <si>
    <t>모델별 최적 파라미터 설정 가이드를 제공하여야 한다.</t>
  </si>
  <si>
    <t>모델별 최적 파라미터 설정 가이드를 제공</t>
  </si>
  <si>
    <t>QUR-001-01-03</t>
  </si>
  <si>
    <t>장애 발생 시 대응 절차를 포함하여야 한다.</t>
  </si>
  <si>
    <t>장애 발생 시 대응 절차를 포함</t>
  </si>
  <si>
    <t>QUR-001-02-01</t>
  </si>
  <si>
    <t>[모델 교체 절차서]</t>
  </si>
  <si>
    <t>모델 교체 시 사전 준비사항, 교체 절차, 검증 방법, 롤백 절차를 상세 포함한 표준 절차서를 제공하여야 한다. 교체 절차는 SFR에서 정의한 설명 세부내용 비업무 시간(야간·주말) 계획 점검 방식을 기준으로 작성하며, 구 모델 백업 보존 및 복원 절차를 포함하여야 한다.</t>
  </si>
  <si>
    <t>사전준비→교체→검증→롤백 절차와 비업무시간 점검·구모델 백업·복원 기준을 표준화</t>
  </si>
  <si>
    <t>QUR-001-02-02</t>
  </si>
  <si>
    <t>정부 표준 모델 도입 시나리오에 대한 대응 절차를 포함하여야 한다.</t>
  </si>
  <si>
    <t>정부 표준 모델 도입 시나리오에 대한 대응 절차를 포함</t>
  </si>
  <si>
    <t>QUR-001-03-01</t>
  </si>
  <si>
    <t>[기술 이전]</t>
  </si>
  <si>
    <t>모델 관리 기능에 대한 교육을 AI 플랫폼 운영 부서 담당자를 대상 으로 최소 8시간 이상 실시하여야 한다.</t>
  </si>
  <si>
    <t>AI 플랫폼 운영담당자 대상 모델 관리 교육 8시간 이상 실시</t>
  </si>
  <si>
    <t>QUR-001-03-02</t>
  </si>
  <si>
    <t>교육 내용: 모델 등록/교체, 버전 관리, 성능 모니터링, 장애 대응</t>
  </si>
  <si>
    <t>생성형 AI 응답 품질 관리</t>
  </si>
  <si>
    <t>생성형 AI 시스템의 응답 품질을 지속적으로 관리하기 위한 기준 및 절차 정의</t>
  </si>
  <si>
    <t>QUR-002-01-01</t>
  </si>
  <si>
    <t>[응답 품질 공통 프레임워크]</t>
  </si>
  <si>
    <t>모든 사전 구축 AI 서비스의 공통 품질 평가 기준(정확성·관련성·완 전성·일관성·환각률)을 수립하고 문서화하여야 한다.</t>
  </si>
  <si>
    <t>모든 사전 구축 AI 서비스의 공통 품질 평가 기준(정확성·관련성·완 전성·일관성·환각률)을 수립·문서화</t>
  </si>
  <si>
    <t>· 응답 품질 관리 기준서 (평가 기준•개선 절차 포함)
 · 응답 품질 모니터링 리포트 (주간•월간 품질 추이 및 개선 이력 포함)</t>
  </si>
  <si>
    <t>QUR-002-01-02</t>
  </si>
  <si>
    <t>할루시네이션(Hallucination) 발생률 모니터링 기준을 수립하여야 한다.</t>
  </si>
  <si>
    <t>할루시네이션(Hallucination) 발생률 모니터링 기준 수립</t>
  </si>
  <si>
    <t>QUR-002-01-03</t>
  </si>
  <si>
    <t>업무 유형별 응답 품질 기준을 차등 적용할 수 있어야 한다. 상세</t>
  </si>
  <si>
    <t>업무유형별 응답 품질 기준과 합격 임계값 차등 적용</t>
  </si>
  <si>
    <t>QUR-002-01-04</t>
  </si>
  <si>
    <t>사전 구축 AI 서비스(Agent) 차이점은 아래와 같이 정의한다:
· Agent 상담지식: 의도 분류 정확성, 근거 인용 정확성, 추론 경로 투명성
· Agent 데이터길잡이: 코드 실행 정합성(필터·집계·컬럼), 문서분석 정합성, PII 탐지
· Agent 문서작성 지원: 톤 적합성(격식·문체·호칭), 사실 보존성, 번역 충실도, FAQ 원천 정합성
· Agent 민원처리 지원: 유사 사례 매칭(유형·쟁점·제도), 서면 답변 품질, PII 비식별화
· Agent 업무담당자 검색: 담당자 매칭 정확성
· Agent 협약기관 검색: 검색 정확성(정확·유사·약칭), 배치 동기화 정합성
· Agent 채권양수도 추론: 추론 정확성(목록·정렬·역방향), 증분 추가 정합성
· Agent 사내규정 검색: 조항 인용 정확성, 현행 우선 참조, 자동 탐지 적시성, 의무 안내</t>
  </si>
  <si>
    <t>Agent별 핵심 품질지표(의도·근거·코드·톤·매칭·추론·현행성)를 분리 정의하고 유형별 평가표 적용</t>
  </si>
  <si>
    <t>QUR-002-02-01</t>
  </si>
  <si>
    <t>[응답 품질 모니터링]</t>
  </si>
  <si>
    <t>사용자 피드백(긍정/부정) 수집·분석 체계를 제공하여야 한다.</t>
  </si>
  <si>
    <t>사용자 피드백(긍정/부정) 수집·분석 체계 구성</t>
  </si>
  <si>
    <t>QUR-002-02-02</t>
  </si>
  <si>
    <t>부정 피드백 발생 시 질의-응답 이력을 추적하고 원인을 분석할 수 있어야 한다.</t>
  </si>
  <si>
    <t>부정 피드백 발생 시 질의-응답 이력을 추적하고 원인을 분석 가능</t>
  </si>
  <si>
    <t>QUR-002-02-03</t>
  </si>
  <si>
    <t>응답 품질 현황을 주간/월간 단위로 리포트할 수 있어야 한다.</t>
  </si>
  <si>
    <t>응답 품질 현황을 주간/월간 단위로 리포트 가능</t>
  </si>
  <si>
    <t>QUR-002-02-04</t>
  </si>
  <si>
    <t>AI 서비스 유형별 품질 지표를 구분하여 모니터링하고, 유형별 품질 추이를 비교 조회할 수 있어야 한다.</t>
  </si>
  <si>
    <t>AI 서비스 유형별 품질 지표를 구분하여 모니터링하고, 유형별 품질 추이를 비교 조회 가능</t>
  </si>
  <si>
    <t>QUR-002-03-01</t>
  </si>
  <si>
    <t>[응답 품질 개선 절차]
※ 자동 채점 평가 지표 및 모니터링 대시보드 품질 지표의 정의는 TER에서 정의한다.</t>
  </si>
  <si>
    <t>품질 기준 미달 응답에 대한 개선 절차(프롬프트 수정, RAG 데이터 보완, 모델 파라미터 조정 등)를 문서화하여야 한다.</t>
  </si>
  <si>
    <t>품질 기준 미달 응답에 대한 개선 절차(프롬프트 수정, RAG 데이터 보완, 모델 파라미터 조정 등)를 문서화</t>
  </si>
  <si>
    <t>QUR-002-03-02</t>
  </si>
  <si>
    <t>품질 개선 이력을 기록하고 관리하여야 한다.</t>
  </si>
  <si>
    <t>품질 개선 이력을 기록하고 관리</t>
  </si>
  <si>
    <t>RAG 시스템의 지식베이스(문서, 벡터 DB) 품질을 유지하기 위한 기준 및 절차 정의</t>
  </si>
  <si>
    <t>QUR-003-01-01</t>
  </si>
  <si>
    <t>[문서 품질 기준]</t>
  </si>
  <si>
    <t>지식베이스에 등록되는 문서의 품질 기준(최신성, 정확성, 공식성)을 수립하고 문서화하여야 한다.</t>
  </si>
  <si>
    <t>지식베이스에 등록되는 문서의 품질 기준(최신성, 정확성, 공식성)을 수립·문서화</t>
  </si>
  <si>
    <t>· 지식베이스 품질 관리 기준서 (문서 품질•갱신•임베딩 관리 절차 포함)</t>
  </si>
  <si>
    <t>QUR-003-01-02</t>
  </si>
  <si>
    <t>문서 등록 시 품질 검증 절차(검토자 승인 등)를 제공하여야 한다.</t>
  </si>
  <si>
    <t>문서 등록 시 품질 검증 절차(검토자 승인 등)를 제공</t>
  </si>
  <si>
    <t>QUR-003-02-01</t>
  </si>
  <si>
    <t>[임베딩 품질 관리]</t>
  </si>
  <si>
    <t>문서 파싱 및 청킹 결과의 품질을 검증하는 방안을 제시하여야 한다.</t>
  </si>
  <si>
    <t>문서 파싱 및 청킹 결과의 품질을 검증하는 방안 제시</t>
  </si>
  <si>
    <t>QUR-003-02-02</t>
  </si>
  <si>
    <t>임베딩 품질(검색 정확도) 측정 기준 및 방법을 제시하여야 한다.</t>
  </si>
  <si>
    <t>임베딩 품질(검색 정확도) 측정 기준 및 방법을 제시</t>
  </si>
  <si>
    <t>QUR-003-02-03</t>
  </si>
  <si>
    <t>임베딩 품질 저하 시 재임베딩 절차를 문서화하여야 한다.</t>
  </si>
  <si>
    <t>임베딩 품질 저하 시 재임베딩 절차를 문서화</t>
  </si>
  <si>
    <t>QUR-003-03-01</t>
  </si>
  <si>
    <t>[지식베이스 갱신 관리]
※ 청크 품질 검수 기준, 검색 프리셋·동의어·배치전략 품질 검증은 TER에서 정의한다.</t>
  </si>
  <si>
    <t>지식에 대한 제정, 개정 등 지식베이스 갱신 절차를 수립하여야 한다.</t>
  </si>
  <si>
    <t>지식에 대한 제정, 개정 등 지식베이스 갱신 절차 수립</t>
  </si>
  <si>
    <t>QUR-003-03-02</t>
  </si>
  <si>
    <t>문서 버전 관리 및 변경 이력 추적 기능을 제공하여야 한다.</t>
  </si>
  <si>
    <t>문서 버전 관리 및 변경 이력 추적 기능 제공</t>
  </si>
  <si>
    <t>QUR-003-03-03</t>
  </si>
  <si>
    <t>구버전 문서와 신버전 문서의 병행 관리 방안을 제시하여야 한다.</t>
  </si>
  <si>
    <t>구버전 문서와 신버전 문서의 병행 관리 방안 제시</t>
  </si>
  <si>
    <t>프롬프트 라이브러리에 등록된 프롬프트의 품질을 유지하기 위한 기준 및 절차 정의</t>
  </si>
  <si>
    <t>QUR-004-01-01</t>
  </si>
  <si>
    <t>[프롬프트 품질 기준]</t>
  </si>
  <si>
    <t>표준 프롬프트 등록 시 품질 검증 기준(명확성, 일관성, 응답 유도 적절성)을 수립하여야 한다.</t>
  </si>
  <si>
    <t>표준 프롬프트 등록 시 품질 검증 기준(명확성, 일관성, 응답 유도 적절성)을 수립</t>
  </si>
  <si>
    <t>· 프롬프트 품질 관리 기준서 (등록 검증•효과성 평가•유지보수 절차)</t>
  </si>
  <si>
    <t>QUR-004-01-02</t>
  </si>
  <si>
    <t>프롬프트 작성 가이드라인을 제공하여야 한다.</t>
  </si>
  <si>
    <t>프롬프트 작성 가이드라인을 제공</t>
  </si>
  <si>
    <t>QUR-004-02-01</t>
  </si>
  <si>
    <t>[프롬프트 효과성 평가]</t>
  </si>
  <si>
    <t>프롬프트별 사용 빈도, 사용자 평점, 응답 품질을 연계 분석하는 상세 기능을 제공하여야 한다.</t>
  </si>
  <si>
    <t>프롬프트별 사용 빈도, 사용자 평점, 응답 품질을 연계 분석하는 기능 제공</t>
  </si>
  <si>
    <t>QUR-004-02-02</t>
  </si>
  <si>
    <t>저품질 프롬프트(낮은 평점, 부정 피드백 다수) 식별 및 개선 절차를 수립하여야 한다.</t>
  </si>
  <si>
    <t>저품질 프롬프트(낮은 평점, 부정 피드백 다수) 식별 및 개선 절차 수립</t>
  </si>
  <si>
    <t>QUR-004-02-03</t>
  </si>
  <si>
    <t>문서 유형별 구조 템플릿 및 톤 프롬프트(SFR-015)에 대해, 동일 입력을 반복 실행했을 때 출력 구조·문체가 일관되게 유지되는지를 검증하는 기준 및 절차를 수립하여야 한다.</t>
  </si>
  <si>
    <t>문서유형별 구조·톤 프롬프트의 반복실행 출력 구조·문체 일관성 검증</t>
  </si>
  <si>
    <t>QUR-004-03-01</t>
  </si>
  <si>
    <t>[프롬프트 유지보수]</t>
  </si>
  <si>
    <t>모델 교체 시 프롬프트 호환성 검증 절차를 수립하여야 한다.</t>
  </si>
  <si>
    <t>모델 교체 시 프롬프트 호환성 검증 절차 수립</t>
  </si>
  <si>
    <t>QUR-004-03-02</t>
  </si>
  <si>
    <t>업무 변경 시 관련 프롬프트 갱신 절차를 수립하여야 한다.</t>
  </si>
  <si>
    <t>업무 변경 시 관련 프롬프트 갱신 절차 수립</t>
  </si>
  <si>
    <t>SW 사업 품질보증에 관한 일반적 조직·절차·인증 기준 정의</t>
  </si>
  <si>
    <t>QUR-005-01-01</t>
  </si>
  <si>
    <t>[통합 품질보증(QA) 계획 수립 및 수행]</t>
  </si>
  <si>
    <t>사업자는 품질관리 전담 조직(또는 담당자)을 지정하고, 품질관리 계획서에 품질보증 조직·역할·책임을 명시하여야 한다.</t>
  </si>
  <si>
    <t>품질관리 전담 조직(또는 담당자)을 지정하고, 품질관리 계획서에 품질보증 조직·역할·책임을 명시</t>
  </si>
  <si>
    <t>· 품질관리 계획서 (품질보증 조직•역할•책임, 단계별 품질보증 활동 절차 포함)</t>
  </si>
  <si>
    <t>QUR-005-01-02</t>
  </si>
  <si>
    <t>SW 개발 전 과정에 걸쳐 품질보증 활동(검토, 감사, 시정 조치)을 수행하고, 그 결과를 문서화하여야 한다.</t>
  </si>
  <si>
    <t>SW 개발 전 과정에 걸쳐 품질보증 활동(검토, 감사, 시정 조치)을 수행하고, 그 결과를 문서화</t>
  </si>
  <si>
    <t>QUR-005-01-03</t>
  </si>
  <si>
    <t>데이터베이스(DB) 및 데이터 값에 대한 품질 진단을 수행하고, 개선 결과를 보고하여야 한다.</t>
  </si>
  <si>
    <t>데이터베이스(DB) 및 데이터 값에 대한 품질 진단을 수행하고, 개선 결과를 보고</t>
  </si>
  <si>
    <t>QUR-005-02-01</t>
  </si>
  <si>
    <t>[시스템 가용성 보장 및 장애 복구]</t>
  </si>
  <si>
    <t>시스템은 통상적인 업무시간 운영을 보장하고, 계획된 점검 시간 외에는 정상 운영을 유지하여야 한다.</t>
  </si>
  <si>
    <t>통상적인 업무시간 운영을 보장하고, 계획된 점검 시간 외에는 정상 운영을 유지</t>
  </si>
  <si>
    <t>QUR-005-02-02</t>
  </si>
  <si>
    <t>결함 및 장애 발생 시 목표 복구 시간(RTO) 내 처리해야 하며, 데 이터 유실 방지를 위한 백업·복구 체계를 수립하여야 한다.</t>
  </si>
  <si>
    <t>결함 및 장애 발생 시 목표 복구 시간(RTO) 내 처리하고 데이터 유실 방지를 위한 백업·복구 체계를 수립</t>
  </si>
  <si>
    <t>QUR-005-03-01</t>
  </si>
  <si>
    <t>[변경 및 형상 관리]</t>
  </si>
  <si>
    <t>초기 협의된 요구사항의 변경 발생 시, 공식적인 변경관리 절차를 통해 승인을 획득한 후 반영하여야 한다.</t>
  </si>
  <si>
    <t>초기 협의된 요구사항의 변경 발생 시, 공식적인 변경관리 절차를 통해 승인을 획득한 후 반영</t>
  </si>
  <si>
    <t>QUR-005-03-02</t>
  </si>
  <si>
    <t>프로그램 소스코드, 산출물 등의 일관성을 유지하기 위한 형상관리 (버전 관리) 방안을 수립하여야 한다.</t>
  </si>
  <si>
    <t>프로그램 소스코드, 산출물 등의 일관성을 유지하기 위한 형상관리 (버전 관리) 방안을 수립</t>
  </si>
  <si>
    <t>제약 사항</t>
  </si>
  <si>
    <t>공공 정보화사업 관련 법령 및 규정 준수 의무</t>
  </si>
  <si>
    <t>COR-001-01-01</t>
  </si>
  <si>
    <t>[법령·지침 준수]</t>
  </si>
  <si>
    <t>사업자는 다음 법령 및 지침을 준수하여 사업을 수행하여야 한다:
· 「행정기관 및 공공기관 정보시스템 구축·운영 지침」(행정안전부 고시)
· 「소프트웨어 진흥법」 및 관련 하위규정
· 「개인정보 보호법」 및 관련 규칙·지침·가이드
· 「전자정부법」 및 관련 고시
· 「인공지능 발전과 신뢰 기반 조성 등에 관한 기본법」 및 동법 시행령
· 「공공분야 인공지능 도입을 위한 실무자 안내서」</t>
  </si>
  <si>
    <t>[Before]
공공 정보시스템 지침·SW진흥법·개인정보보호법·전자정부법·AI기본법 등 법령 준수표와 증적 관리
[After]
공공 정보시스템 지침·SW진흥법·개인정보보호법·전자정부법·AI기본법 및 「공공분야 인공지능 도입을 위한 실무자 안내서」와 2026년 5월 개정 「국가 사이버보안 기본지침」 등 법령 준수표와 증적 관리
최신본의 적용 조항을 검토하여 법령·지침 준수표와 보안 설계·점검 체크리스트에 반영</t>
  </si>
  <si>
    <t>「공공분야 인공지능 도입을 위한 실무자 안내서」 누락
국가 사이버보안 기본지침(26.5월 개정) 검토 요청</t>
  </si>
  <si>
    <t>· 법령·지침 준수 확인서 (적용 법령 목록 및 준수 현황)
 · 기술적용계획표
 · 기술적용결과표</t>
  </si>
  <si>
    <t>COR-001-01-02</t>
  </si>
  <si>
    <t>사업 추진 기간 내 적용 법령·규정에 변경이 발생할 경우 위원회와 협의 하여 반영하여야 한다.</t>
  </si>
  <si>
    <t>사업 추진 기간 내 적용 법령·규정에 변경이 발생할 경우 위원회 협의 후 반영</t>
  </si>
  <si>
    <t>COR-001-02-01</t>
  </si>
  <si>
    <t>[예측 모델 학습 데이터 목적 외 사용 금지]</t>
  </si>
  <si>
    <t>예측 모델 학습에 사용되는 채무조정 이용자 데이터는 「신용정보의 이용 및 보호에 관한 법률」 및 「개인정보 보호법」에 따른 가명처리 절차를 거쳐 제공된다.</t>
  </si>
  <si>
    <t>가명처리 완료된 채무조정 이용자 데이터만 예측모델 학습·검증에 사용</t>
  </si>
  <si>
    <t>COR-001-02-02</t>
  </si>
  <si>
    <t>수행사는 위원회로부터 제공받은 가명처리 데이터를 본 사업 목적(모델 학습 및 검증) 외의 용도로 사용하거나 제3자에게 제공할 수 없다.</t>
  </si>
  <si>
    <t>위원회로부터 제공받은 가명처리 데이터를 본 사업 목적(모델 학습 및 검증) 외의 용도로 사용하거나 제3자에게 제공 금지</t>
  </si>
  <si>
    <t>COR-001-03-01</t>
  </si>
  <si>
    <t>[기술적용계획 수립 및 제출]</t>
  </si>
  <si>
    <t>사업자는 「행정기관 및 공공기관 정보시스템 구축·운영 지침」 [별지9] ' 기술적용계획표'를 작성하여 사업수행계획서에 포함하여야 한다.</t>
  </si>
  <si>
    <t>「행정기관 및 공공기관 정보시스템 구축·운영 지침」 [별지9] ' 기술적용계획표'를 작성·사업수행계획서에 포함</t>
  </si>
  <si>
    <t>COR-001-03-02</t>
  </si>
  <si>
    <t>사업 완료 시 '기술적용결과표'를 작성하여 제출하여야 한다.</t>
  </si>
  <si>
    <t>사업 완료 시 '기술적용결과표'를 작성·제출</t>
  </si>
  <si>
    <t>개발 언어, 프레임워크, 웹 표준 등 기술 제약 조건</t>
  </si>
  <si>
    <t>COR-002-01-01</t>
  </si>
  <si>
    <t>[개발 표준]</t>
  </si>
  <si>
    <t>웹 애플리케이션은 HTML5 기반으로 개발하여야 하며, ActiveX 및 Flash 등 비표준 기술을 사용할 수 없다.</t>
  </si>
  <si>
    <t>HTML5 기반으로 개발하고 ActiveX·Flash 등 비표준 기술 배제</t>
  </si>
  <si>
    <t>COR-002-01-02</t>
  </si>
  <si>
    <t>개발 언어는 제조사의 지속적 기술지원이 가능하고 유지관리가 용이한 범용적 언어를 사용하여야 한다. 세부사항은 위원회와 협의하여 정한다.</t>
  </si>
  <si>
    <t>지속 기술지원·유지관리가 가능한 범용 개발언어 적용, 세부사항 위원회 협의·확정</t>
  </si>
  <si>
    <t>COR-002-01-03</t>
  </si>
  <si>
    <t>부득이한 경우를 제외하고 특정 기술에 종속되지 않는 개방형 기술로 구현하여야 한다.</t>
  </si>
  <si>
    <t>부득이한 경우를 제외하고 특정 기술에 종속되지 않는 개방형 기술로 구현</t>
  </si>
  <si>
    <t>사업 수행 과정의 저작권·지식재산권 관련 제약 조건</t>
  </si>
  <si>
    <t>COR-003-01-01</t>
  </si>
  <si>
    <t>[지식재산권 귀속]</t>
  </si>
  <si>
    <t>본 사업 수행 결과 발생하는 지식재산권(산출물, 소스코드, 문서 등)은 위원회와 사업자가 공동으로 소유함을 원칙으로 한다. 단, 사업의 특수성을 고려하여 별도 협의할 수 있다.</t>
  </si>
  <si>
    <t>산출물·소스코드·문서 지식재산권은 위원회·사업자 공동소유 원칙 적용</t>
  </si>
  <si>
    <t>· 오픈소스 라이선스 검증 결과서</t>
  </si>
  <si>
    <t>COR-003-01-02</t>
  </si>
  <si>
    <t>사업자가 사업 착수 전부터 보유한 고유 기술·소프트웨어의 지식재 산권은 사업자에게 귀속하되, 위원회는 본 사업 목적 범위 내에서 사용할 수 있다.</t>
  </si>
  <si>
    <t>사업자 선행 보유 기술·S/W 지식재산권은 사업자 귀속, 위원회는 사업목적 범위에서 사용</t>
  </si>
  <si>
    <t>COR-003-02-01</t>
  </si>
  <si>
    <t>[제3자 권리 침해 책임]</t>
  </si>
  <si>
    <t>제3자의 특허권, 저작권, 상표권 기타 지식재산권을 침해하여 발생하는 손해배상 및 민·형사상 일체의 책임은 사업자가 부담한다.</t>
  </si>
  <si>
    <t>제3자의 특허권, 저작권, 상표권 기타 지식재산권을 침해하여 발생하는 손해배상 및 민·형사상 일체의 책임은 사업자가 부담</t>
  </si>
  <si>
    <t>COR-003-02-02</t>
  </si>
  <si>
    <t>시스템 구축 시 사용되는 모든 디자인, 폰트, 이미지, 콘텐츠는 저작권법에 위배되지 않아야 한다.</t>
  </si>
  <si>
    <t>시스템 구축 시 사용되는 모든 디자인, 폰트, 이미지, 콘텐츠는 저작권법에 위배되지 않아야</t>
  </si>
  <si>
    <t>COR-003-03-01</t>
  </si>
  <si>
    <t>[오픈소스 라이선스 관리]</t>
  </si>
  <si>
    <t>오픈소스 소프트웨어(OSS) 사용 시 라이선스 조건, 보안, 유지관리 가능성 등을 위원회와 사전 협의 및 승인 후 사용하여야 한다.</t>
  </si>
  <si>
    <t>오픈소스 소프트웨어(OSS) 사용 시 라이선스 조건, 보안, 유지관리 가능성 등을 위원회와 사전 협의 및 승인 후 사용</t>
  </si>
  <si>
    <t>COR-003-03-02</t>
  </si>
  <si>
    <t>사업 완료 시 사용된 오픈소스 목록, 라이선스 유형, 의무사항 이행 현황을 포함한 검증 결과서를 제출하여야 한다.</t>
  </si>
  <si>
    <t>사업 완료 시 사용된 오픈소스 목록, 라이선스 유형, 의무사항 이행 현황을 포함한 검증 결과서를 제출</t>
  </si>
  <si>
    <t>정보시스템 감리 대응 및 사업 내용 변경에 관한 제약 조건</t>
  </si>
  <si>
    <t>COR-004-01-01</t>
  </si>
  <si>
    <t>[감리 대응]</t>
  </si>
  <si>
    <t>본 사업에 대한 감리가 수행될 경우 사업자는 감리법인의 점검에 필요한 산출물을 작성·제출하고, 감리 수행을 적극 지원하여야 한다.</t>
  </si>
  <si>
    <t>감리가 수행될 경우 사업자는 감리법인의 점검에 필요한 산출물을 작성·제출하고, 감리 수행을 적극 지원</t>
  </si>
  <si>
    <t>· 감리 대응 산출물 (감리 시정조치 이행 결과서)
 · 개인정보 영향평가 협조 자료</t>
  </si>
  <si>
    <t>COR-004-01-02</t>
  </si>
  <si>
    <t>감리 결과에 따른 시정 조치를 이행하여야 한다.</t>
  </si>
  <si>
    <t>감리 결과에 따른 시정 조치를 이행</t>
  </si>
  <si>
    <t>COR-004-02-01</t>
  </si>
  <si>
    <t>[개인정보영향평가 협조]</t>
  </si>
  <si>
    <t>본 사업에 대한 개인정보영향평가가 수행될 경우 사업자는 영향평 가사의 점검에 필요한 산출물을 작성·제출하고, 평가 수행을 적극 지원하여야 한다.</t>
  </si>
  <si>
    <t>개인정보영향평가가 수행될 경우 사업자는 영향평가사의 점검에 필요한 산출물을 작성·제출하고, 평가 수행을 적극 지원</t>
  </si>
  <si>
    <t>COR-004-02-02</t>
  </si>
  <si>
    <t>평가 결과에 따른 시정 조치를 이행하여야 한다.</t>
  </si>
  <si>
    <t>평가 결과에 따른 시정 조치를 이행</t>
  </si>
  <si>
    <t>COR-004-03-01</t>
  </si>
  <si>
    <t>[설계변경]</t>
  </si>
  <si>
    <t>위원회의 방침 또는 사정에 따라 과업 수행 내용의 변경이 있을 경우 상호 협의하여 설계를 변경할 수 있다.</t>
  </si>
  <si>
    <t>위원회의 방침 또는 사정에 따라 과업 수행 내용의 변경이 있을 경우 협의하여 설계를 변경 가능</t>
  </si>
  <si>
    <t>COR-004-03-02</t>
  </si>
  <si>
    <t>본 제안요청서에 명시되지 아니한 사항이라도 사업 목적 달성을 위하여 필요한 경우 상호 합의하여 결정할 수 있다.</t>
  </si>
  <si>
    <t>본 제안요청서에 명시되지 아니한 사항이라도 사업 목적 달성을 위하여 필요한 경우 상호 합의하여 결정 가능</t>
  </si>
  <si>
    <t>기존 운영 시스템과의 호환성 확보 및 영향 최소화</t>
  </si>
  <si>
    <t>COR-005-01-01</t>
  </si>
  <si>
    <t>[호환성 확보]</t>
  </si>
  <si>
    <t>신규 구축 시스템은 기존 위원회 운영 시스템(SSO, 업무포털 등)에 영향을 상세 주지 않아야 하며, 기존 시스템과 호환되어 정상 동작하여야 한다.</t>
  </si>
  <si>
    <t>기존 SSO·업무포털 영향 최소화 및 호환성·정상동작 검증</t>
  </si>
  <si>
    <t>· 기존 시스템 호환성 검증 결과서</t>
  </si>
  <si>
    <t>COR-005-01-02</t>
  </si>
  <si>
    <t>사업 수행 중 위원회의 ICT 인프라 환경이 변경되는 경우 이를 반영하여야 한다.</t>
  </si>
  <si>
    <t>사업 수행 중 위원회의 ICT 인프라 환경이 변경되는 경우 이를 반영</t>
  </si>
  <si>
    <t>COR-005-01-03</t>
  </si>
  <si>
    <t>의사결정이 필요한 기술·도구 선정, 화면 흐름, 코드 분류 등 향후 운영과 유지관리에 영향을 주는 사항은 위원회와 사전 협의하여야 한다.</t>
  </si>
  <si>
    <t>의사결정이 필요한 기술·도구 선정, 화면 흐름, 코드 분류 등 향후 운영과 유지관리에 영향을 주는 사항은 위원회와 사전 협의</t>
  </si>
  <si>
    <t>AI 플랫폼(기존 콜센터 포함) 상면료 및 전용회선료</t>
  </si>
  <si>
    <t>AI 플랫폼(기존 콜센터 포함) 상면료 및 전용회선료 비용</t>
  </si>
  <si>
    <t>COR-006-01-01</t>
  </si>
  <si>
    <t>사업자는 제안서 내 IDC 입주 구성도 및 네트워크 연결 방안을 명시하여야 함</t>
  </si>
  <si>
    <t>제안서 내 IDC 입주 구성도 및 네트워크 연결 방안을 명시</t>
  </si>
  <si>
    <t>COR-006-01-02</t>
  </si>
  <si>
    <t>전용회선 구성은 위원회 폐쇄망 보안 정책을 준수하여야 함</t>
  </si>
  <si>
    <t>전용회선 구성은 위원회 폐쇄망 보안 정책을 준수</t>
  </si>
  <si>
    <t>COR-006-02-01</t>
  </si>
  <si>
    <t>비용 반영 범위</t>
  </si>
  <si>
    <t>사업자는 제안서 작성 및 사업비 산정 시 아래 항목을 사업 기간 내 발생 비용으로 포함하여야 함('26.5월~12월/변동가능)
· IDC 상면료: 위원회 서버룸 이전에 따라 '26년에 부과되는 IDC 랙 상면 임차 비용
· 전용회선료: IDC-위원회 간 내부망 연결을 위한 전용회선 임차 비용</t>
  </si>
  <si>
    <t>2026년 사업기간 IDC 랙 상면료와 IDC-위원회 전용회선료를 사업비에 포함</t>
  </si>
  <si>
    <t>COR-006-02-02</t>
  </si>
  <si>
    <t>27년 이후 발생하는 상면료 및 전용회선료는 본 사업 범위에 포함 하지 않으며, 위원회가 별도 예산으로 부담함</t>
  </si>
  <si>
    <t>2027년 이후 상면료·전용회선료는 사업범위 제외, 위원회 별도 예산 부담</t>
  </si>
  <si>
    <t>사업자 귀책 사유 및 장애 복구 지연 시 제재 및 지연배상금 부과 기준</t>
  </si>
  <si>
    <t>COR-007-01-01</t>
  </si>
  <si>
    <t>사업자의 명백한 귀책 사유 또는 조건 사항 미이행 등으로 사업에 지장을 초래하거나 비용을 발생시키는 경우 사업자에게 지연배상금을 부과할 수 있음</t>
  </si>
  <si>
    <t>귀책사유·조건 미이행으로 일정·비용 영향 발생 시 지연배상금 조건 적용</t>
  </si>
  <si>
    <t>COR-007-02-01</t>
  </si>
  <si>
    <t>제안사는 사업 기간 및 하자보수 기간 중, 장애 신고 접수 후 장애 복구 조치 시간 기준 이내에 장애를 복구하여야 하며, 장애 복구 조치 시간을 초과하였을 때 국가계약법 시행규칙 제75조에 따라 지연배상금을 부과할 수 있음</t>
  </si>
  <si>
    <t>사업 기간 및 하자보수 기간 중 사업자의 관리부실(시스템 조작 오류, 점검 불성실 이행 등)로 발생한 장애로 판단될 때 장애 발생 시점으로부터 장애 복구 시점까지의 시간을 지연시간으로 하여 지연배상금을 부과할 수 있음</t>
  </si>
  <si>
    <t>관리부실 장애는 발생~복구 시간을 지연시간으로 산정해 국가계약법 기준 배상금 적용</t>
  </si>
  <si>
    <t>하도급 관리기준</t>
  </si>
  <si>
    <t>COR-008-01-01</t>
  </si>
  <si>
    <t>사업자 소속 이외의 인력은 하도급으로 간주하며, 하도급 계약 시 관계 법률을 준용하여 사전 승인을 받아야 함</t>
  </si>
  <si>
    <t>사업자 외 인력은 하도급으로 관리하고 관계법령에 따른 위원회 사전승인 획득</t>
  </si>
  <si>
    <t>COR-008-01-02</t>
  </si>
  <si>
    <t>본 사업의 일부를 하도급하려는 경우 사업금액의 100분의 50을 초과할 수 없으며 재하도급은 불허함</t>
  </si>
  <si>
    <t>하도급 금액은 사업비 50% 이내로 제한하고 재하도급 불허</t>
  </si>
  <si>
    <t>COR-008-01-03</t>
  </si>
  <si>
    <t>하도급 업체 투입 인력에 대한 관리방안을 제시하여야 함</t>
  </si>
  <si>
    <t>하도급 업체 투입 인력에 대한 관리방안 제시</t>
  </si>
  <si>
    <t>COR-008-01-04</t>
  </si>
  <si>
    <t>사업 도중 협력업체 변경 및 신규 지정은 사전에 위원회의 승인을 득하여야 함</t>
  </si>
  <si>
    <t>협력업체 변경·신규 지정 전 위원회 사전승인 획득</t>
  </si>
  <si>
    <t>COR-008-01-05</t>
  </si>
  <si>
    <t>본 사업에 대한 계약체결 이후 계약상대자는 하도급 계약이 승인 받은 대로 준수되고 있는지 확인할 수 있는 증빙서류를 주기적으로 제출하여 위원회의 확인을 받아야 하며, 승인받은 대로 이행하지 않은 경우 위원회는 계약상대자에게 시정을 요구할 수 있음</t>
  </si>
  <si>
    <t>하도급 승인 이행 증빙을 정기 제출하고 미이행 시 위원회 시정요구 즉시 조치</t>
  </si>
  <si>
    <t>프로젝트관리 요구사항</t>
  </si>
  <si>
    <t>프로젝트 관리 요구사항</t>
  </si>
  <si>
    <t>사업수행 조직 구성, PM 요건, 투입인력 관리 및 교체 절차 정의</t>
  </si>
  <si>
    <t>PMR-001-01-01</t>
  </si>
  <si>
    <t>[사업수행 조직 구성]</t>
  </si>
  <si>
    <t>사업자는 안정적인 사업수행을 위해 사업 수행조직, 역할, 업무분장을 포함한 조직 구성안을 사업수행계획서에 제시하여야 한다.</t>
  </si>
  <si>
    <t>안정적인 사업수행을 위해 사업 수행조직, 역할, 업무분장을 포함한 조직 구성안을 사업수행계획서에 반영</t>
  </si>
  <si>
    <t>· 사업수행계획서(조직구성도, 역할분장표, 인력투입계획 포함)</t>
  </si>
  <si>
    <t>PMR-001-02-01</t>
  </si>
  <si>
    <t>[사업관리자(PM) 요건]</t>
  </si>
  <si>
    <t>PM은 사업자 소속의 정규직원으로서, 입찰공고일 기준 현 재직자여야 한다.</t>
  </si>
  <si>
    <t>사업자 소속 정규직·입찰공고일 기준 재직자를 PM으로 배치</t>
  </si>
  <si>
    <t>PMR-001-02-02</t>
  </si>
  <si>
    <t>PM은 AI 플랫폼 또는 생성형 AI 관련 시스템 구축 사업에서 관리자 (PM/PL) 경력을 보유한 전문 인력이어야 한다.</t>
  </si>
  <si>
    <t>AI 플랫폼·생성형 AI 구축 PM/PL 경력 보유 전문인력 배치</t>
  </si>
  <si>
    <t>PMR-001-02-03</t>
  </si>
  <si>
    <t>PM은 사업 전 기간 상주하여 전담해야 하며, 위원회의 동의 없이 교체할 수 없다.</t>
  </si>
  <si>
    <t>PM 전 기간 상주·전담, 위원회 동의 없는 교체 금지</t>
  </si>
  <si>
    <t>PMR-001-03-01</t>
  </si>
  <si>
    <t>[투입인력 관리 및 교체]</t>
  </si>
  <si>
    <t>사업 착수 시 제안한 투입인력은 위원회 동의 없이 임의 교체할 수 없다.</t>
  </si>
  <si>
    <t>사업 착수 시 제안한 투입인력은 위원회 동의 없이 임의 교체 금지</t>
  </si>
  <si>
    <t>PMR-001-03-02</t>
  </si>
  <si>
    <t>불가피한 인력교체 시 교체 14일 전까지 동등 이상 자격의 대체 인력을 투입해야 하며, 인수인계 계획 및 보안교육·서약서 작성 결과를 사전에 제출하여야 한다.</t>
  </si>
  <si>
    <t>인력교체 14일 전 동급 이상 대체인력·인수인계계획·보안교육 증빙 제출</t>
  </si>
  <si>
    <t>PMR-001-03-03</t>
  </si>
  <si>
    <t>위원회는 참여인력이 부적합하다고 판단될 경우 교체를 요구할 수 있 으며, 사업자는 요구일로부터 15일 이내에 교체하여야 한다.</t>
  </si>
  <si>
    <t>부적합 인력 교체요구 시 15일 이내 동급 이상 대체인력 투입</t>
  </si>
  <si>
    <t>PMR-001-03-04</t>
  </si>
  <si>
    <t>인력교체로 인한 사업의 불안정화 및 품질 저하가 발생해서는 안 된다.</t>
  </si>
  <si>
    <t>인력교체 전후 품질·일정 공백이 없도록 병행 인수인계와 안정화 수행</t>
  </si>
  <si>
    <t>사업 추진 현황의 정기·비정기 보고 체계 및 절차 정의</t>
  </si>
  <si>
    <t>PMR-002-01-01</t>
  </si>
  <si>
    <t>[사업수행계획서 제출]</t>
  </si>
  <si>
    <t>사업자는 계약체결 후 14일 이내에 사업수행계획서를 제출해야 하며, 위 원회의 승인을 득한 후 사업을 수행하여야 한다.</t>
  </si>
  <si>
    <t>계약 후 14일 이내 사업수행계획서 제출 및 위원회 승인 후 착수</t>
  </si>
  <si>
    <t>· 사업수행계획서
 · 주간보고서
 · 월간보고서
 · 착수/중간/완료보고서
 · 회의록</t>
  </si>
  <si>
    <t>PMR-002-01-02</t>
  </si>
  <si>
    <t>사업수행계획서에는 제안요청서·제안서·기술협상 결과서의 내용을 반영 하여야 한다.</t>
  </si>
  <si>
    <t>사업수행계획서에는 제안요청서·제안서·기술협상 결과서의 내용을 반영</t>
  </si>
  <si>
    <t>PMR-002-02-01</t>
  </si>
  <si>
    <t>[정기보고]</t>
  </si>
  <si>
    <t>주간보고: 진도관리(계획 대비 실적), 문제점 및 특이사항, 차주 계획 (매주 1회)</t>
  </si>
  <si>
    <t>PMR-002-02-02</t>
  </si>
  <si>
    <t>월간보고: 진첩률, 당월 실적 및 익월 계획, 공정단계별 승인 사항 (매월 1회)</t>
  </si>
  <si>
    <t>월 1회 진척률·당월 실적·익월 계획·공정단계별 승인사항 보고</t>
  </si>
  <si>
    <t>PMR-002-03-01</t>
  </si>
  <si>
    <t>[비정기보고]</t>
  </si>
  <si>
    <t>착수보고: 사업 추진전략 및 세부 진행계획, 업무분장 및 협조사항</t>
  </si>
  <si>
    <t>PMR-002-03-02</t>
  </si>
  <si>
    <t>중간보고: 개발 상황 및 현안 보고 (사업 진행률 50~70% 시점 또는 위원회 요청 시)</t>
  </si>
  <si>
    <t>진행률 50~70% 또는 위원회 요청 시 개발현황·현안 중간보고 수행</t>
  </si>
  <si>
    <t>PMR-002-03-03</t>
  </si>
  <si>
    <t>완료보고: 전체 추진 단계의 수행 결과 보고</t>
  </si>
  <si>
    <t>PMR-002-03-04</t>
  </si>
  <si>
    <t>수시보고: 긴급 이슈사항 및 위험요소 발생 시</t>
  </si>
  <si>
    <t>긴급 이슈·위험요소 발생 시 수시보고 수행</t>
  </si>
  <si>
    <t>PMR-002-04-01</t>
  </si>
  <si>
    <t>[보고 형식]</t>
  </si>
  <si>
    <t>보고 형식, 시기, 방법 등 세부사항은 위원회와 협의하여 조정할 수 있다.</t>
  </si>
  <si>
    <t>보고 형식, 시기, 방법 등 세부사항은 위원회 협의 후 조정 가능</t>
  </si>
  <si>
    <t>산출물 정의, 제출 시기, 검수 절차 및 법적 행정 정보 제출 의무 정의</t>
  </si>
  <si>
    <t>PMR-003-01-01</t>
  </si>
  <si>
    <t>[산출물 정의 및 제출]</t>
  </si>
  <si>
    <t>사업자는 개발방법론에 기반하여 공정별 산출물 목록을 사업수행 계획서에 정의하고, 위원회와 협의 후 확정하여야 한다.</t>
  </si>
  <si>
    <t>개발방법론에 기반하여 공정별 산출물 목록을 사업수행 계획서에 정의하고, 위원회와 협의 후 확정</t>
  </si>
  <si>
    <t>· 산출물 정의서
 · 공정별 산출물 일체
 · 완료보고서
 · 검사결과 확인서
 · 형상관리 계획서
 · SW사업정보 저장소 제출 데이터 일체</t>
  </si>
  <si>
    <t>PMR-003-01-02</t>
  </si>
  <si>
    <t>각 산출물은 정의된 단계와 시기에 따라 위원회에 제출하여야 한다.</t>
  </si>
  <si>
    <t>각 산출물은 정의된 단계와 시기에 따라 위원회에 제출</t>
  </si>
  <si>
    <t>PMR-003-01-03</t>
  </si>
  <si>
    <t>산출물 작성 및 제출에 소요되는 일체의 비용은 사업자가 부담한다.</t>
  </si>
  <si>
    <t>산출물 작성 및 제출에 소요되는 일체의 비용은 사업자가 부담</t>
  </si>
  <si>
    <t>PMR-003-02-01</t>
  </si>
  <si>
    <t>[주요 산출물 (예시)]</t>
  </si>
  <si>
    <t>착수 단계: 사업수행계획서(WBS 포함), 인력투입계획서, 보안서약서 일체</t>
  </si>
  <si>
    <t>PMR-003-02-02</t>
  </si>
  <si>
    <t>분석·설계 단계: 요구사항정의서, 요구사항추적표, 아키텍처설계서, 화면설계서, 인터페이스설계서, 데이터베이스설계서</t>
  </si>
  <si>
    <t>PMR-003-02-03</t>
  </si>
  <si>
    <t>구현·테스트 단계: 소스코드, 테스트계획서/결과서, 보안취약점진단 결과서</t>
  </si>
  <si>
    <t>PMR-003-02-04</t>
  </si>
  <si>
    <t>완료 단계: 사용자/관리자 매뉴얼, 시스템설치결과서, 교육결과서, 하자보수확약서, 완료보고서</t>
  </si>
  <si>
    <t>PMR-003-02-05</t>
  </si>
  <si>
    <t>최종 산출물 목록 및 수량은 위원회와 협의하여 확정한다.</t>
  </si>
  <si>
    <t>최종 산출물 목록 및 수량은 위원회 협의 후 확정</t>
  </si>
  <si>
    <t>PMR-003-03-01</t>
  </si>
  <si>
    <t>[검수 절차]</t>
  </si>
  <si>
    <t>검수는 완료보고서 접수일로부터 14일 이내에 실시한다.</t>
  </si>
  <si>
    <t>검수는 완료보고서 접수일로부터 14일 이내에 실시</t>
  </si>
  <si>
    <t>PMR-003-03-02</t>
  </si>
  <si>
    <t>계약서, 제안서, 사업수행계획서 등과 일치하지 않을 경우 지체 없이 보완 후 재검수를 받아야 한다.</t>
  </si>
  <si>
    <t>계약서·제안서·수행계획서 불일치 사항 즉시 보완 후 재검수</t>
  </si>
  <si>
    <t>프로젝트 지원 요구사항</t>
  </si>
  <si>
    <t>PMR-003-03-03</t>
  </si>
  <si>
    <t>사업자는 과업 완료 15일 전에 보고서 초안을 제출하여 사전 심의를 받아야 한다.</t>
  </si>
  <si>
    <t>과업 완료 15일 전 보고서 초안 제출 및 사전심의 반영</t>
  </si>
  <si>
    <t>PMR-003-03-04</t>
  </si>
  <si>
    <t>프로그램 소스는 형상관리가 가능하도록 명명규칙·버전·도구 등을 구성하여 제출하여야 한다.</t>
  </si>
  <si>
    <t>프로그램 소스는 형상관리가 가능하도록 명명규칙·버전·도구 등을 구성하여 제출</t>
  </si>
  <si>
    <t>PMR-003-04-01</t>
  </si>
  <si>
    <t>[SW사업정보 저장소 데이터 제출]</t>
  </si>
  <si>
    <t>사업자는 「소프트웨어 진흥법」 제46조에 따라 SW사업정보(사업 수행 및 실적 정보) 데이터를 작성하여 SW사업정보 저장소(www.spir.kr)에 제출하여야 한다.</t>
  </si>
  <si>
    <t>SW사업 수행·실적 정보를 작성해 SW사업정보저장소에 제출</t>
  </si>
  <si>
    <t>PMR-003-04-02</t>
  </si>
  <si>
    <t>데이터 작성 및 제출 세부사항은 www.spir.kr 자료실의 'SW사업정보 저장소 데이터 제출 안내' 문서를 따른다.</t>
  </si>
  <si>
    <t>데이터 작성 및 제출 세부사항은 www.spir.kr 자료실의 'SW사업정보 저장소 데이터 제출 안내' 문서를 준수</t>
  </si>
  <si>
    <t>PMR-003-04-03</t>
  </si>
  <si>
    <t>1차 제출(계약 후 1개월 이내): 사업정보, 기능점수 정보(간이법)</t>
  </si>
  <si>
    <t>PMR-003-04-04</t>
  </si>
  <si>
    <t>2차 제출(최종 검수 시): 사업정보, 수준조사 정보, 기능점수 정보(정 통법), 등록데이터 검증자료</t>
  </si>
  <si>
    <t>역할별 교육과정 및 기술이전·운영역량 내재화로 개시 후 자체운영 지원</t>
  </si>
  <si>
    <t>PMR-003-04-05</t>
  </si>
  <si>
    <t>기능점수 데이터의 신뢰성 확보를 위해 사업수행 인원 중 기능점수 산정 능력 보유자를 포함하여야 한다.</t>
  </si>
  <si>
    <t>PSR-001-01-01</t>
  </si>
  <si>
    <t>기능점수 데이터의 신뢰성 확보를 위해 사업수행 인원 중 기능점수 산정 능력 보유자를 포함</t>
  </si>
  <si>
    <t>[교육 계획 수립]</t>
  </si>
  <si>
    <t>사업자는 시범운영 개시 2주 전까지 교육훈련계획서를 위원회에 제출 하고 승인을 득하여야 한다.</t>
  </si>
  <si>
    <t>시범운영 개시 2주 전까지 교육훈련계획서를 위원회 제출·승인</t>
  </si>
  <si>
    <t>· 교육훈련계획서
 · 교육 결과서
 · 사용자 매뉴얼 (관리자용·일반사용자용)
 · MLOps 운영 Runbook
 · 기술이전 계획서
 · 기술이전 결과서 (인수인계 체크리스트 포함)</t>
  </si>
  <si>
    <t>PMR-003-05-01</t>
  </si>
  <si>
    <t>[범정부 정보자원 현행화]</t>
  </si>
  <si>
    <t>사업 완료 시 범정부 정보자원관리시스템(IRM) 또는 EA 시스템에 신규 구축·변경된 정보자원 내역을 등록하여야 한다.</t>
  </si>
  <si>
    <t>사업 완료 시 범정부 정보자원관리시스템(IRM) 또는 EA 시스템에 신규 구축·변경된 정보자원 내역을 등록</t>
  </si>
  <si>
    <t>PSR-001-01-02</t>
  </si>
  <si>
    <t>교육계획서에는 교육 목적·대상·일정·강사·교재·일반사용자 자율 교육용 자료 제공 계획을 포함하여야 한다.</t>
  </si>
  <si>
    <t>사업 추진일정·위험요소 관리 및 개발방법론 적용 방안 정의</t>
  </si>
  <si>
    <t>PMR-004-01-01</t>
  </si>
  <si>
    <t>[일정 관리]</t>
  </si>
  <si>
    <t>교육 목적·대상·일정·강사·교재·일반사용자 자율학습 자료 제공계획을 교육훈련계획서에 반영</t>
  </si>
  <si>
    <t>사업자는 전체 및 세부 추진일정을 WBS(작업명세구조)로 수립하고, 공정 간 상호연계가 가능하도록 작성하여야 한다.</t>
  </si>
  <si>
    <t>전체·세부 추진일정을 WBS로 수립하고 공정 간 선후행·연계관계 관리</t>
  </si>
  <si>
    <t>· 사업수행계획서(WBS, 개발방법론 적용 계획 포함)
 · 위험관리대장</t>
  </si>
  <si>
    <t>PSR-001-02-01</t>
  </si>
  <si>
    <t>PMR-004-01-02</t>
  </si>
  <si>
    <t>[역할별 교육 과정]</t>
  </si>
  <si>
    <t>일정 계획에는 활동 도출, 기간 산정, 자원 할당의 적절성을 고려한 상세 일정을 포함하여야 한다.</t>
  </si>
  <si>
    <t>사업자의 공식 교육 대상은 관리자(시스템 운영자)로 한정한다.</t>
  </si>
  <si>
    <t>일정 계획에는 활동 도출, 기간 산정, 자원 할당의 적절성을 고려한 일정을 포함</t>
  </si>
  <si>
    <t>사업자의 공식 교육 대상은 관리자(시스템 운영자)로 한정</t>
  </si>
  <si>
    <t>PMR-004-01-03</t>
  </si>
  <si>
    <t>업무 진첩도 관리 방법·절차를 제시하고, 계획 대비 지연 발생 시 대응 방안을 포함하여야 한다.</t>
  </si>
  <si>
    <t>공정진척 관리 절차와 계획 대비 지연 대응방안 수립</t>
  </si>
  <si>
    <t>PSR-001-02-02</t>
  </si>
  <si>
    <t>일반사용자 교육은 교육받은 관리자가 자체적으로 수행하며, 사업자는 이를 위한 교육 자료 일체를 제공하는 것으로 역할을 한정한다. (프롬프트 라이브러리 활용 가이드, 피드백 방법 안내 등)</t>
  </si>
  <si>
    <t>관리자 교육 후 일반사용자 자체교육이 가능하도록 프롬프트·피드백 활용자료 일체 제공</t>
  </si>
  <si>
    <t>PMR-004-01-04</t>
  </si>
  <si>
    <t>프로젝트 일정은 위원회의 요구가 있을 경우 구축기간 내에서 조정 할 수 있다.</t>
  </si>
  <si>
    <t>프로젝트 일정은 위원회의 요구가 있을 경우 구축기간 내에서 조정 가능</t>
  </si>
  <si>
    <t>PSR-001-02-03</t>
  </si>
  <si>
    <t>교육시간 및 횟수는 위원회와 협의하여 확정한다.</t>
  </si>
  <si>
    <t>PMR-004-02-01</t>
  </si>
  <si>
    <t>[개발방법론]</t>
  </si>
  <si>
    <t>생성형 AI 플랫폼 구축 사업에 적합한 개발방법론을 제시하고 적용하여야 한다.</t>
  </si>
  <si>
    <t>교육시간 및 횟수는 위원회 협의 후 확정</t>
  </si>
  <si>
    <t>생성형 AI 플랫폼 구축에 적합한 개발방법론 제시·적용</t>
  </si>
  <si>
    <t>PMR-004-02-02</t>
  </si>
  <si>
    <t>PSR-001-02-04</t>
  </si>
  <si>
    <t>각 단계별 활용 도구(분석·설계·개발·테스트 도구)와 기법의 적절성을 제시하여야 한다.</t>
  </si>
  <si>
    <t>관리자 교육 커리큘럼은 다음 항목을 포함하여야 한다.
· RAG 파이프라인 운영(문서 등록·청킹·인덱싱·벡터DB 관리)
· 프롬프트 관리 및 정책 변경 승인 워크플로
· 모델 등록·교체·롤백 절차
· 보안 가드레일 설정 및 감사 로그 조회
· 품질 모니터링 대시보드 활용 및 골든셋 평가
· 모델 성능 지표(정확도, 응답 품질, 지연시간 등) 모니터링 및 이상 징후 판단 기준
· 데이터 드리프트·개념 드리프트 발생 여부 확인 및 재학습 트리거 판단 절차
· 골든셋 갱신 기준 및 평가 결과 해석·활용 방법
· 임베딩 모델·LLM 버전 변경 시 영향 범위 검토 및 롤백 절차
· 지식화 파이프라인 실행 이력 조회 및 오류 재처리 절차
· 벡터 인덱스 최적화(재색인·압축) 실행 시점 판단 및 수동 실행 방법
· MLOps 운영 실무</t>
  </si>
  <si>
    <t>각 단계별 활용 도구(분석·설계·개발·테스트 도구)와 기법의 적절성을 제시</t>
  </si>
  <si>
    <t>RAG·프롬프트·모델·보안·품질·드리프트·인덱스·MLOps 운영을 포함한 관리자 실습형 커리큘럼 구성</t>
  </si>
  <si>
    <t>PMR-004-02-03</t>
  </si>
  <si>
    <t>사업기간 중 요구사항 또는 과업 범위의 변경이 발생하는 경우 이를 유연하게 수용할 수 있는 변경관리 방안을 포함하여야 한다.</t>
  </si>
  <si>
    <t>사업기간 중 요구사항 또는 과업 범위의 변경이 발생하는 경우 이를 유연하게 수용할 수 있는 변경관리 방안을 포함</t>
  </si>
  <si>
    <t>PSR-001-03-01</t>
  </si>
  <si>
    <t>[교육 실시 및 횟수]</t>
  </si>
  <si>
    <t>사업 기간 중 관리자 대상 교육을 최소 2회(중간·완료 단계) 실시하여야 한다.</t>
  </si>
  <si>
    <t>사업 기간 중 관리자 대상 교육을 최소 2회(중간·완료 단계) 실시</t>
  </si>
  <si>
    <t>PMR-004-03-01</t>
  </si>
  <si>
    <t>[위험 관리]</t>
  </si>
  <si>
    <t>사업자는 사업 수행 시 발생 가능한 위험요소를 유형별(일정 지연, 품질 저하, 보안 사고, 요구사항 변경, 인력 이탈 등)로 식별하고, 영향도 및 발생 가능성을 분류하여 제시하여야 한다.</t>
  </si>
  <si>
    <t>일정·품질·보안·변경·인력이탈 위험을 식별하고 영향도·발생가능성 기준으로 등급화</t>
  </si>
  <si>
    <t>PSR-001-03-02</t>
  </si>
  <si>
    <t>사업 완료 전 위원회 운영 담당자를 대상으로 MLOps 운영 인수인계 교육을 시스템 조작 교육과 분리하여 별도 실시하여야 한다. 인수인계 교육에는 다음 항목을 포함하여야 한다:
· 운영 환경 구성(모델 서버, 파이프라인, 벡터 DB) 전체 아키텍처 설명
· 정기 점검 항목 및 주기(일별·주별·월별) 체크리스트 전달
· 장애 유형별 초동 대응 절차 및 에스컬레이션 기준
· 모델·프롬프트·데이터 변경 이력 관리 방법 및 감사 로그 활용
· 운영 중 성능 저하 발생 시 원인 분석 및 조치 흐름(Runbook 기반)</t>
  </si>
  <si>
    <t>아키텍처·정기점검·장애대응·변경이력·성능저하 조치를 포함한 MLOps 인수인계 교육 별도 실시</t>
  </si>
  <si>
    <t>PMR-004-03-02</t>
  </si>
  <si>
    <t>위험 유형별 예방 조치 및 발생 시 사후 대처 방안을 구체적으로 제시하여야 한다. 특히 생성형 AI 사업 특성을 고려하여 LLM 응답 품질 저하, GPU 자원 부족, RAG 파이프라인 장애, 모델 교체 시 호환성 이슈 등 AI 고유 위험에 대한 대응 방안을 포함하여야 한다.</t>
  </si>
  <si>
    <t>LLM 품질·GPU 자원·RAG 장애·모델 호환성 등 AI 고유 위험의 예방·대응 방안 수립</t>
  </si>
  <si>
    <t>PSR-001-03-03</t>
  </si>
  <si>
    <t>인수인계 교육 결과는 서면으로 위원회에 제출하고 확인을 득하여야 한다.</t>
  </si>
  <si>
    <t>인수인계 교육결과를 서면 제출하고 위원회 확인 획득</t>
  </si>
  <si>
    <t>PMR-004-03-03</t>
  </si>
  <si>
    <t>발생된 이슈·위험에 대해 지속적으로 추적·관리하고, 조치 결과를 주간/월간 보고에 포함하여야 한다.</t>
  </si>
  <si>
    <t>발생된 이슈·위험에 대해 지속적으로 추적·관리하고, 조치 결과를 주간/월간 보고에 포함</t>
  </si>
  <si>
    <t>PSR-001-04-01</t>
  </si>
  <si>
    <t>[교육 자료 제공]</t>
  </si>
  <si>
    <t>PMR-004-03-04</t>
  </si>
  <si>
    <t>관리자 매뉴얼 및 일반사용자 자율 교육용 자료를 각각 제작·제공하여야 한다. 일반사용자용 자료는 관리자가 부서 내 교육에 즉시 활용 가능한 수준으로 작성하여야 한다.</t>
  </si>
  <si>
    <t>긴급 이슈 발생 시 수시 보고 및 회의를 통해 즉시 대응하여야 한다.</t>
  </si>
  <si>
    <t>관리자 매뉴얼 및 일반사용자 자율 교육용 자료를 각각 제작·제공</t>
  </si>
  <si>
    <t>긴급 이슈 발생 시 수시 보고 및 회의를 통해 즉시 대응</t>
  </si>
  <si>
    <t>PMR-004-03-05</t>
  </si>
  <si>
    <t>AI 안전성 이행 납품물 및 보고를 하여야 하며, 착수 후 1개월 이 내 고영향 AI 해당 여부 검토 보고서 제출, ML모델 개발 완료 전 모델별 모델카드(AI 설명서) 납품, 검수 전 XAI 기능 실연 테스트 통과하여야 함</t>
  </si>
  <si>
    <t>PSR-001-04-02</t>
  </si>
  <si>
    <t>[Before]
고영향 AI 검토보고서·모델카드·XAI 실연 결과를 단계별 안전성 증적으로 제출
[After]
하기의 세가지 산출물에 대한 제출시점과 의견 정리
① 고영향 AI 해당 여부 검토 보고서: 착수 후 1개월 이내 ▶ AI거버넌스 규정/지침이 만들어진 후, 소급해서 작성 및 제출 (※데이터마트가 9월말에나 생성되기때문에 마트가 만들어 진 후 1개월 이내로 고려중이며, 지침/규정 하에 결정된 위험평가기준에 따라 평가되므로 AI업무규정 및 지침이 신설되는 것을 전제로 함) ② 모델카드(AI 설명서): ML모델 개발 완료 전 ▶ 수용
③ XAI 기능 실연 테스트: 검수 전 '통과 ▶ 통과에 대한 판정 기준에 대해서 추가 논의 필요하며, AI설명모델로 출력기준으로 제안</t>
  </si>
  <si>
    <t>교육 교재는 신규 인력 교육 및 순환보직 인수인계에 활용 가능하 도록 작성하여야 한다.</t>
  </si>
  <si>
    <t>RFP에서는 AI 안전성 납품물의 제출 시기를 각각 특정하고 있으나
(① 고영향 AI 해당 여부 검토 보고서: 착수 후 1개월 이내 ② 모델카드(AI 설명서): ML모델 개발 완료 전 ③ XAI 기능 실연 테스트: 검수 전 '통과')
수행방안은 '단계별 안전성 증적으로 제출'로 요약되어 시기가 명시되지 않았고 XAI는 '통과'가 '실연 결과 제출'로 완화된 것으로 이해. 각 산출물의 제출 시점과 XAI 실연 테스트의 합격 판정 기준에 대한 추가 논의 필요</t>
  </si>
  <si>
    <t>신규인력 교육·순환보직 인수인계에 즉시 활용 가능한 교재 작성</t>
  </si>
  <si>
    <t>요구사항의 추적 관리, 변경 통제 및 이행 확인 절차 정의</t>
  </si>
  <si>
    <t>PSR-001-04-03</t>
  </si>
  <si>
    <t>PMR-005-01-01</t>
  </si>
  <si>
    <t>[요구사항 추적 관리]</t>
  </si>
  <si>
    <t>MLOps 운영 Runbook을 별도 문서로 작성·제공하여야 한다. Runbook에는 정기 점검, 장애 대응, 모델 교체·롤백, 재학습 트리 거 판단, 파이프라인 오류 처리 절차를 포함하여야 한다.</t>
  </si>
  <si>
    <t>사업자는 기능/비기능 요구사항을 빠짐없이 관리하고, 각 요구사항이 분석·설계·구현·테스트 단계의 산출물에 어떻게 반영되었는지 확인할 수 있도록 추적 관리하여야 한다.</t>
  </si>
  <si>
    <t>정기점검·장애대응·모델 교체/롤백·재학습 판단·파이프라인 오류처리 Runbook 제공</t>
  </si>
  <si>
    <t>기능·비기능 요구사항을 분석→설계→구현→테스트 산출물까지 추적 관리</t>
  </si>
  <si>
    <t>· 사업수행계획서(위험관리 계획 포함)
 · 위험관리대장</t>
  </si>
  <si>
    <t>PSR-001-04-04</t>
  </si>
  <si>
    <t>교육에 소요되는 교재 및 경비는 사업자가 부담한다.</t>
  </si>
  <si>
    <t>교육에 소요되는 교재 및 경비는 사업자가 부담</t>
  </si>
  <si>
    <t>PMR-005-01-02</t>
  </si>
  <si>
    <t>요구사항 추적표를 작성하여 사업 기간 동안 지속적으로 갱신·관리 하여야 한다.</t>
  </si>
  <si>
    <t>요구사항 추적표를 작성·사업 기간 동안 지속적으로 갱신·관리</t>
  </si>
  <si>
    <t>PSR-001-05-01</t>
  </si>
  <si>
    <t>[기술이전 범위 및 방법]</t>
  </si>
  <si>
    <t>기술이전 대상 목록과 방법(교육, 매뉴얼, 기술자료 제공)을 명확히 제시하여야 한다.</t>
  </si>
  <si>
    <t>기술이전 대상 목록과 방법(교육, 매뉴얼, 기술자료 제공)을 명확히 제시</t>
  </si>
  <si>
    <t>PMR-005-02-01</t>
  </si>
  <si>
    <t>[변경 관리]</t>
  </si>
  <si>
    <t>사업 수행 중 요구사항 변경이 발생할 경우 변경관리 절차(변경 요청 설명 세부내용 →영향 분석→승인→반영→검증)를 통해 정식 승인을 획득한 후 반영 하여야 한다.</t>
  </si>
  <si>
    <t>요구변경 요청→영향분석→승인→반영→검증 절차 적용</t>
  </si>
  <si>
    <t>PSR-001-05-02</t>
  </si>
  <si>
    <t>기술이전 범위는 다음을 포함하여야 한다:
· 시스템 아키텍처(인프라 구성, 네트워크, 컨테이너 오케스트레이션)
· RAG 파이프라인 전체(문서파싱→청킹→승인→인덱싱→벡터DB→검색→생성)
· LLM 모델 등록·교체·롤백 절차 및 최적 파라미터 설정
· 운영 절차(일상점검, 정기점검, 배치작업 관리)
· 장애 대응 방법(유형별 장애 대처, 비상 복구, 백업/복구 절차)
· GPU 자원 관리 및 모니터링
· MLOps 운영 기초(모델 성능 모니터링, 재학습 트리거 판단, 파이프라인 이력 관리 등)</t>
  </si>
  <si>
    <t>PMR-005-02-02</t>
  </si>
  <si>
    <t>초기 협의된 요구사항에서 변경관리 절차를 통해 승인된 요구사항을 최종 베이스라인으로 간주한다.</t>
  </si>
  <si>
    <t>아키텍처·RAG·LLM·운영·장애·GPU·MLOps 전 영역을 매뉴얼과 실습으로 기술이전</t>
  </si>
  <si>
    <t>초기 협의된 요구사항에서 변경관리 절차를 통해 승인된 요구사항을 최종 베이스라인으로 간주</t>
  </si>
  <si>
    <t>PSR-001-05-03</t>
  </si>
  <si>
    <t>PMR-005-03-01</t>
  </si>
  <si>
    <t>사업추진 과정에서 생산된 모든 문서, 산출물, 매뉴얼, 적용기술이 체계적으로 이전되었음을 운영담당자로부터 확인받아야 한다.</t>
  </si>
  <si>
    <t>[이행 확인]</t>
  </si>
  <si>
    <t>제공이 확정된 요구사항의 이행 여부는 테스트 및 검증 활동을 통해 확인하며, 예상된 결과가 도출되었을 경우 요구사항을 충족한 것으로 평가한다.</t>
  </si>
  <si>
    <t>문서·산출물·매뉴얼·적용기술 이전 완료 여부를 운영담당자 확인으로 종료</t>
  </si>
  <si>
    <t>테스트·검증 결과로 요구사항 이행 여부 확인 및 충족 판정</t>
  </si>
  <si>
    <t>위원회 사전 서면 승인, 기술지원, 인수인계 등 관련</t>
  </si>
  <si>
    <t>PSR-001-06-01</t>
  </si>
  <si>
    <t>PMR-006-01-01</t>
  </si>
  <si>
    <t>[비개발자 운영 환경 정의]</t>
  </si>
  <si>
    <t>프로그래밍 지식 없이도 관리자가 Web 기반 관리 UI를 통해 자체 운영할 수 있는 범위를 명확히 정의하여야 한다.</t>
  </si>
  <si>
    <t>프로그래밍 지식 없이도 관리자가 Web 기반 관리 UI를 통해 자체 운영할 수 있는 범위를 명확히 정의</t>
  </si>
  <si>
    <t>PSR-001-06-02</t>
  </si>
  <si>
    <t>Web 기반 관리 UI에서 수행 가능해야 하는 기능 범위는 각 SFR 요구사항에서 정의한 관리자 기능을 따르며, 최소한 다음 영역을 포함하여야 한다:
· 데이터·지식 관리(문서 등록, 청크 검수, 인덱싱 설정, 용어사전 관리 등)
· 검색·생성 파라미터(검색 가중치, 컨텍스트 압축, Grounding 정책 등)
· 모델·자원 관리(LLM 설정, 모델 라우팅, GPU Quota 등)
· 프롬프트·에이전트 거버넌스(프롬프트 버전관리, 승인·배포 등)
· 보안·정책·감사(가드레일, 비식별화, 권한, 보관정책 등)
· 품질·평가·운영(골든셋, 대시보드, 정책변경 워크플로 등)</t>
  </si>
  <si>
    <t>데이터·검색·모델·프롬프트·보안·품질 운영 기능을 Web 관리 UI에서 비개발자가 수행하도록 구성</t>
  </si>
  <si>
    <r>
      <rPr>
        <rFont val="Malgun Gothic"/>
        <color theme="1"/>
        <sz val="9.0"/>
      </rPr>
      <t>- 주요</t>
    </r>
    <r>
      <rPr>
        <rFont val="Calibri"/>
        <color theme="1"/>
        <sz val="9.0"/>
      </rPr>
      <t xml:space="preserve"> </t>
    </r>
    <r>
      <rPr>
        <rFont val="맑은 고딕"/>
        <color theme="1"/>
        <sz val="9.0"/>
      </rPr>
      <t>아키텍처</t>
    </r>
    <r>
      <rPr>
        <rFont val="Calibri"/>
        <color theme="1"/>
        <sz val="9.0"/>
      </rPr>
      <t xml:space="preserve"> </t>
    </r>
    <r>
      <rPr>
        <rFont val="맑은 고딕"/>
        <color theme="1"/>
        <sz val="9.0"/>
      </rPr>
      <t>변경은</t>
    </r>
    <r>
      <rPr>
        <rFont val="Calibri"/>
        <color theme="1"/>
        <sz val="9.0"/>
      </rPr>
      <t xml:space="preserve"> </t>
    </r>
    <r>
      <rPr>
        <rFont val="맑은 고딕"/>
        <color theme="1"/>
        <sz val="9.0"/>
      </rPr>
      <t>위원회</t>
    </r>
    <r>
      <rPr>
        <rFont val="Calibri"/>
        <color theme="1"/>
        <sz val="9.0"/>
      </rPr>
      <t xml:space="preserve"> </t>
    </r>
    <r>
      <rPr>
        <rFont val="맑은 고딕"/>
        <color theme="1"/>
        <sz val="9.0"/>
      </rPr>
      <t>사전</t>
    </r>
    <r>
      <rPr>
        <rFont val="Calibri"/>
        <color theme="1"/>
        <sz val="9.0"/>
      </rPr>
      <t xml:space="preserve"> </t>
    </r>
    <r>
      <rPr>
        <rFont val="맑은 고딕"/>
        <color theme="1"/>
        <sz val="9.0"/>
      </rPr>
      <t>서면</t>
    </r>
    <r>
      <rPr>
        <rFont val="Calibri"/>
        <color theme="1"/>
        <sz val="9.0"/>
      </rPr>
      <t xml:space="preserve"> </t>
    </r>
    <r>
      <rPr>
        <rFont val="맑은 고딕"/>
        <color theme="1"/>
        <sz val="9.0"/>
      </rPr>
      <t>승인</t>
    </r>
    <r>
      <rPr>
        <rFont val="Calibri"/>
        <color theme="1"/>
        <sz val="9.0"/>
      </rPr>
      <t xml:space="preserve"> </t>
    </r>
    <r>
      <rPr>
        <rFont val="맑은 고딕"/>
        <color theme="1"/>
        <sz val="9.0"/>
      </rPr>
      <t>사항으로</t>
    </r>
    <r>
      <rPr>
        <rFont val="Calibri"/>
        <color theme="1"/>
        <sz val="9.0"/>
      </rPr>
      <t xml:space="preserve"> </t>
    </r>
    <r>
      <rPr>
        <rFont val="맑은 고딕"/>
        <color theme="1"/>
        <sz val="9.0"/>
      </rPr>
      <t>함</t>
    </r>
    <r>
      <rPr>
        <rFont val="Calibri"/>
        <color theme="1"/>
        <sz val="9.0"/>
      </rPr>
      <t xml:space="preserve">
</t>
    </r>
    <r>
      <rPr>
        <rFont val="맑은 고딕"/>
        <color theme="1"/>
        <sz val="9.0"/>
      </rPr>
      <t>- 수집</t>
    </r>
    <r>
      <rPr>
        <rFont val="Calibri"/>
        <color theme="1"/>
        <sz val="9.0"/>
      </rPr>
      <t>·</t>
    </r>
    <r>
      <rPr>
        <rFont val="맑은 고딕"/>
        <color theme="1"/>
        <sz val="9.0"/>
      </rPr>
      <t>임베딩</t>
    </r>
    <r>
      <rPr>
        <rFont val="Calibri"/>
        <color theme="1"/>
        <sz val="9.0"/>
      </rPr>
      <t>·</t>
    </r>
    <r>
      <rPr>
        <rFont val="맑은 고딕"/>
        <color theme="1"/>
        <sz val="9.0"/>
      </rPr>
      <t>검색</t>
    </r>
    <r>
      <rPr>
        <rFont val="Calibri"/>
        <color theme="1"/>
        <sz val="9.0"/>
      </rPr>
      <t>·</t>
    </r>
    <r>
      <rPr>
        <rFont val="맑은 고딕"/>
        <color theme="1"/>
        <sz val="9.0"/>
      </rPr>
      <t>재색인</t>
    </r>
    <r>
      <rPr>
        <rFont val="Calibri"/>
        <color theme="1"/>
        <sz val="9.0"/>
      </rPr>
      <t xml:space="preserve"> </t>
    </r>
    <r>
      <rPr>
        <rFont val="맑은 고딕"/>
        <color theme="1"/>
        <sz val="9.0"/>
      </rPr>
      <t>로직은</t>
    </r>
    <r>
      <rPr>
        <rFont val="Calibri"/>
        <color theme="1"/>
        <sz val="9.0"/>
      </rPr>
      <t xml:space="preserve"> </t>
    </r>
    <r>
      <rPr>
        <rFont val="맑은 고딕"/>
        <color theme="1"/>
        <sz val="9.0"/>
      </rPr>
      <t>표준</t>
    </r>
    <r>
      <rPr>
        <rFont val="Calibri"/>
        <color theme="1"/>
        <sz val="9.0"/>
      </rPr>
      <t xml:space="preserve"> </t>
    </r>
    <r>
      <rPr>
        <rFont val="맑은 고딕"/>
        <color theme="1"/>
        <sz val="9.0"/>
      </rPr>
      <t>프레임워크</t>
    </r>
    <r>
      <rPr>
        <rFont val="Calibri"/>
        <color theme="1"/>
        <sz val="9.0"/>
      </rPr>
      <t xml:space="preserve"> </t>
    </r>
    <r>
      <rPr>
        <rFont val="맑은 고딕"/>
        <color theme="1"/>
        <sz val="9.0"/>
      </rPr>
      <t>기반으로</t>
    </r>
    <r>
      <rPr>
        <rFont val="Calibri"/>
        <color theme="1"/>
        <sz val="9.0"/>
      </rPr>
      <t xml:space="preserve"> </t>
    </r>
    <r>
      <rPr>
        <rFont val="맑은 고딕"/>
        <color theme="1"/>
        <sz val="9.0"/>
      </rPr>
      <t>모듈화</t>
    </r>
    <r>
      <rPr>
        <rFont val="Calibri"/>
        <color theme="1"/>
        <sz val="9.0"/>
      </rPr>
      <t xml:space="preserve">
</t>
    </r>
    <r>
      <rPr>
        <rFont val="맑은 고딕"/>
        <color theme="1"/>
        <sz val="9.0"/>
      </rPr>
      <t>- 모든</t>
    </r>
    <r>
      <rPr>
        <rFont val="Calibri"/>
        <color theme="1"/>
        <sz val="9.0"/>
      </rPr>
      <t xml:space="preserve"> </t>
    </r>
    <r>
      <rPr>
        <rFont val="맑은 고딕"/>
        <color theme="1"/>
        <sz val="9.0"/>
      </rPr>
      <t>핵심</t>
    </r>
    <r>
      <rPr>
        <rFont val="Calibri"/>
        <color theme="1"/>
        <sz val="9.0"/>
      </rPr>
      <t xml:space="preserve"> </t>
    </r>
    <r>
      <rPr>
        <rFont val="맑은 고딕"/>
        <color theme="1"/>
        <sz val="9.0"/>
      </rPr>
      <t>설정값은</t>
    </r>
    <r>
      <rPr>
        <rFont val="Calibri"/>
        <color theme="1"/>
        <sz val="9.0"/>
      </rPr>
      <t xml:space="preserve"> </t>
    </r>
    <r>
      <rPr>
        <rFont val="맑은 고딕"/>
        <color theme="1"/>
        <sz val="9.0"/>
      </rPr>
      <t>코드와</t>
    </r>
    <r>
      <rPr>
        <rFont val="Calibri"/>
        <color theme="1"/>
        <sz val="9.0"/>
      </rPr>
      <t xml:space="preserve"> </t>
    </r>
    <r>
      <rPr>
        <rFont val="맑은 고딕"/>
        <color theme="1"/>
        <sz val="9.0"/>
      </rPr>
      <t>함께</t>
    </r>
    <r>
      <rPr>
        <rFont val="Calibri"/>
        <color theme="1"/>
        <sz val="9.0"/>
      </rPr>
      <t xml:space="preserve"> Git </t>
    </r>
    <r>
      <rPr>
        <rFont val="맑은 고딕"/>
        <color theme="1"/>
        <sz val="9.0"/>
      </rPr>
      <t>저장소에서</t>
    </r>
    <r>
      <rPr>
        <rFont val="Calibri"/>
        <color theme="1"/>
        <sz val="9.0"/>
      </rPr>
      <t xml:space="preserve"> </t>
    </r>
    <r>
      <rPr>
        <rFont val="맑은 고딕"/>
        <color theme="1"/>
        <sz val="9.0"/>
      </rPr>
      <t>관리하고</t>
    </r>
    <r>
      <rPr>
        <rFont val="Calibri"/>
        <color theme="1"/>
        <sz val="9.0"/>
      </rPr>
      <t xml:space="preserve"> </t>
    </r>
    <r>
      <rPr>
        <rFont val="맑은 고딕"/>
        <color theme="1"/>
        <sz val="9.0"/>
      </rPr>
      <t>문서화</t>
    </r>
    <r>
      <rPr>
        <rFont val="Calibri"/>
        <color theme="1"/>
        <sz val="9.0"/>
      </rPr>
      <t xml:space="preserve"> (</t>
    </r>
    <r>
      <rPr>
        <rFont val="맑은 고딕"/>
        <color theme="1"/>
        <sz val="9.0"/>
      </rPr>
      <t>한글</t>
    </r>
    <r>
      <rPr>
        <rFont val="Calibri"/>
        <color theme="1"/>
        <sz val="9.0"/>
      </rPr>
      <t xml:space="preserve"> </t>
    </r>
    <r>
      <rPr>
        <rFont val="맑은 고딕"/>
        <color theme="1"/>
        <sz val="9.0"/>
      </rPr>
      <t>주석</t>
    </r>
    <r>
      <rPr>
        <rFont val="Calibri"/>
        <color theme="1"/>
        <sz val="9.0"/>
      </rPr>
      <t xml:space="preserve"> </t>
    </r>
    <r>
      <rPr>
        <rFont val="맑은 고딕"/>
        <color theme="1"/>
        <sz val="9.0"/>
      </rPr>
      <t>포함</t>
    </r>
    <r>
      <rPr>
        <rFont val="Calibri"/>
        <color theme="1"/>
        <sz val="9.0"/>
      </rPr>
      <t xml:space="preserve">)
</t>
    </r>
    <r>
      <rPr>
        <rFont val="맑은 고딕"/>
        <color theme="1"/>
        <sz val="9.0"/>
      </rPr>
      <t>- 운영</t>
    </r>
    <r>
      <rPr>
        <rFont val="Calibri"/>
        <color theme="1"/>
        <sz val="9.0"/>
      </rPr>
      <t xml:space="preserve"> </t>
    </r>
    <r>
      <rPr>
        <rFont val="맑은 고딕"/>
        <color theme="1"/>
        <sz val="9.0"/>
      </rPr>
      <t>전환</t>
    </r>
    <r>
      <rPr>
        <rFont val="Calibri"/>
        <color theme="1"/>
        <sz val="9.0"/>
      </rPr>
      <t xml:space="preserve"> </t>
    </r>
    <r>
      <rPr>
        <rFont val="맑은 고딕"/>
        <color theme="1"/>
        <sz val="9.0"/>
      </rPr>
      <t>전</t>
    </r>
    <r>
      <rPr>
        <rFont val="Calibri"/>
        <color theme="1"/>
        <sz val="9.0"/>
      </rPr>
      <t xml:space="preserve"> </t>
    </r>
    <r>
      <rPr>
        <rFont val="맑은 고딕"/>
        <color theme="1"/>
        <sz val="9.0"/>
      </rPr>
      <t>위원회</t>
    </r>
    <r>
      <rPr>
        <rFont val="Calibri"/>
        <color theme="1"/>
        <sz val="9.0"/>
      </rPr>
      <t xml:space="preserve"> </t>
    </r>
    <r>
      <rPr>
        <rFont val="맑은 고딕"/>
        <color theme="1"/>
        <sz val="9.0"/>
      </rPr>
      <t>검수용</t>
    </r>
    <r>
      <rPr>
        <rFont val="Calibri"/>
        <color theme="1"/>
        <sz val="9.0"/>
      </rPr>
      <t xml:space="preserve"> </t>
    </r>
    <r>
      <rPr>
        <rFont val="맑은 고딕"/>
        <color theme="1"/>
        <sz val="9.0"/>
      </rPr>
      <t>스테이징</t>
    </r>
    <r>
      <rPr>
        <rFont val="Calibri"/>
        <color theme="1"/>
        <sz val="9.0"/>
      </rPr>
      <t xml:space="preserve"> </t>
    </r>
    <r>
      <rPr>
        <rFont val="맑은 고딕"/>
        <color theme="1"/>
        <sz val="9.0"/>
      </rPr>
      <t>환경을</t>
    </r>
    <r>
      <rPr>
        <rFont val="Calibri"/>
        <color theme="1"/>
        <sz val="9.0"/>
      </rPr>
      <t xml:space="preserve"> </t>
    </r>
    <r>
      <rPr>
        <rFont val="맑은 고딕"/>
        <color theme="1"/>
        <sz val="9.0"/>
      </rPr>
      <t>운영과</t>
    </r>
    <r>
      <rPr>
        <rFont val="Calibri"/>
        <color theme="1"/>
        <sz val="9.0"/>
      </rPr>
      <t xml:space="preserve"> </t>
    </r>
    <r>
      <rPr>
        <rFont val="맑은 고딕"/>
        <color theme="1"/>
        <sz val="9.0"/>
      </rPr>
      <t>동등</t>
    </r>
    <r>
      <rPr>
        <rFont val="Calibri"/>
        <color theme="1"/>
        <sz val="9.0"/>
      </rPr>
      <t xml:space="preserve"> </t>
    </r>
    <r>
      <rPr>
        <rFont val="맑은 고딕"/>
        <color theme="1"/>
        <sz val="9.0"/>
      </rPr>
      <t>사양으로</t>
    </r>
    <r>
      <rPr>
        <rFont val="Calibri"/>
        <color theme="1"/>
        <sz val="9.0"/>
      </rPr>
      <t xml:space="preserve"> </t>
    </r>
    <r>
      <rPr>
        <rFont val="맑은 고딕"/>
        <color theme="1"/>
        <sz val="9.0"/>
      </rPr>
      <t>별도</t>
    </r>
    <r>
      <rPr>
        <rFont val="Calibri"/>
        <color theme="1"/>
        <sz val="9.0"/>
      </rPr>
      <t xml:space="preserve"> </t>
    </r>
    <r>
      <rPr>
        <rFont val="맑은 고딕"/>
        <color theme="1"/>
        <sz val="9.0"/>
      </rPr>
      <t>제공</t>
    </r>
    <r>
      <rPr>
        <rFont val="Calibri"/>
        <color theme="1"/>
        <sz val="9.0"/>
      </rPr>
      <t xml:space="preserve">
</t>
    </r>
    <r>
      <rPr>
        <rFont val="맑은 고딕"/>
        <color theme="1"/>
        <sz val="9.0"/>
      </rPr>
      <t>- 운영자</t>
    </r>
    <r>
      <rPr>
        <rFont val="Calibri"/>
        <color theme="1"/>
        <sz val="9.0"/>
      </rPr>
      <t xml:space="preserve"> </t>
    </r>
    <r>
      <rPr>
        <rFont val="맑은 고딕"/>
        <color theme="1"/>
        <sz val="9.0"/>
      </rPr>
      <t>권한</t>
    </r>
    <r>
      <rPr>
        <rFont val="Calibri"/>
        <color theme="1"/>
        <sz val="9.0"/>
      </rPr>
      <t xml:space="preserve"> </t>
    </r>
    <r>
      <rPr>
        <rFont val="맑은 고딕"/>
        <color theme="1"/>
        <sz val="9.0"/>
      </rPr>
      <t>및</t>
    </r>
    <r>
      <rPr>
        <rFont val="Calibri"/>
        <color theme="1"/>
        <sz val="9.0"/>
      </rPr>
      <t xml:space="preserve"> </t>
    </r>
    <r>
      <rPr>
        <rFont val="맑은 고딕"/>
        <color theme="1"/>
        <sz val="9.0"/>
      </rPr>
      <t>라이선스</t>
    </r>
    <r>
      <rPr>
        <rFont val="Calibri"/>
        <color theme="1"/>
        <sz val="9.0"/>
      </rPr>
      <t xml:space="preserve"> </t>
    </r>
    <r>
      <rPr>
        <rFont val="맑은 고딕"/>
        <color theme="1"/>
        <sz val="9.0"/>
      </rPr>
      <t>소유권은</t>
    </r>
    <r>
      <rPr>
        <rFont val="Calibri"/>
        <color theme="1"/>
        <sz val="9.0"/>
      </rPr>
      <t xml:space="preserve"> </t>
    </r>
    <r>
      <rPr>
        <rFont val="맑은 고딕"/>
        <color theme="1"/>
        <sz val="9.0"/>
      </rPr>
      <t>위원회</t>
    </r>
    <r>
      <rPr>
        <rFont val="Calibri"/>
        <color theme="1"/>
        <sz val="9.0"/>
      </rPr>
      <t>(</t>
    </r>
    <r>
      <rPr>
        <rFont val="맑은 고딕"/>
        <color theme="1"/>
        <sz val="9.0"/>
      </rPr>
      <t>위원회</t>
    </r>
    <r>
      <rPr>
        <rFont val="Calibri"/>
        <color theme="1"/>
        <sz val="9.0"/>
      </rPr>
      <t>)</t>
    </r>
    <r>
      <rPr>
        <rFont val="맑은 고딕"/>
        <color theme="1"/>
        <sz val="9.0"/>
      </rPr>
      <t>에</t>
    </r>
    <r>
      <rPr>
        <rFont val="Calibri"/>
        <color theme="1"/>
        <sz val="9.0"/>
      </rPr>
      <t xml:space="preserve"> </t>
    </r>
    <r>
      <rPr>
        <rFont val="맑은 고딕"/>
        <color theme="1"/>
        <sz val="9.0"/>
      </rPr>
      <t>귀속하며</t>
    </r>
    <r>
      <rPr>
        <rFont val="Calibri"/>
        <color theme="1"/>
        <sz val="9.0"/>
      </rPr>
      <t xml:space="preserve">, </t>
    </r>
    <r>
      <rPr>
        <rFont val="맑은 고딕"/>
        <color theme="1"/>
        <sz val="9.0"/>
      </rPr>
      <t>사업자는</t>
    </r>
    <r>
      <rPr>
        <rFont val="Calibri"/>
        <color theme="1"/>
        <sz val="9.0"/>
      </rPr>
      <t xml:space="preserve"> </t>
    </r>
    <r>
      <rPr>
        <rFont val="맑은 고딕"/>
        <color theme="1"/>
        <sz val="9.0"/>
      </rPr>
      <t>계약</t>
    </r>
    <r>
      <rPr>
        <rFont val="Calibri"/>
        <color theme="1"/>
        <sz val="9.0"/>
      </rPr>
      <t xml:space="preserve"> </t>
    </r>
    <r>
      <rPr>
        <rFont val="맑은 고딕"/>
        <color theme="1"/>
        <sz val="9.0"/>
      </rPr>
      <t>기간</t>
    </r>
    <r>
      <rPr>
        <rFont val="Calibri"/>
        <color theme="1"/>
        <sz val="9.0"/>
      </rPr>
      <t xml:space="preserve"> </t>
    </r>
    <r>
      <rPr>
        <rFont val="맑은 고딕"/>
        <color theme="1"/>
        <sz val="9.0"/>
      </rPr>
      <t>내</t>
    </r>
    <r>
      <rPr>
        <rFont val="Calibri"/>
        <color theme="1"/>
        <sz val="9.0"/>
      </rPr>
      <t xml:space="preserve"> </t>
    </r>
    <r>
      <rPr>
        <rFont val="맑은 고딕"/>
        <color theme="1"/>
        <sz val="9.0"/>
      </rPr>
      <t>기술지원만</t>
    </r>
    <r>
      <rPr>
        <rFont val="Calibri"/>
        <color theme="1"/>
        <sz val="9.0"/>
      </rPr>
      <t xml:space="preserve"> </t>
    </r>
    <r>
      <rPr>
        <rFont val="맑은 고딕"/>
        <color theme="1"/>
        <sz val="9.0"/>
      </rPr>
      <t>제공</t>
    </r>
    <r>
      <rPr>
        <rFont val="Calibri"/>
        <color theme="1"/>
        <sz val="9.0"/>
      </rPr>
      <t xml:space="preserve">
</t>
    </r>
    <r>
      <rPr>
        <rFont val="맑은 고딕"/>
        <color theme="1"/>
        <sz val="9.0"/>
      </rPr>
      <t>- 장애</t>
    </r>
    <r>
      <rPr>
        <rFont val="Calibri"/>
        <color theme="1"/>
        <sz val="9.0"/>
      </rPr>
      <t xml:space="preserve"> </t>
    </r>
    <r>
      <rPr>
        <rFont val="맑은 고딕"/>
        <color theme="1"/>
        <sz val="9.0"/>
      </rPr>
      <t>대응</t>
    </r>
    <r>
      <rPr>
        <rFont val="Calibri"/>
        <color theme="1"/>
        <sz val="9.0"/>
      </rPr>
      <t>·</t>
    </r>
    <r>
      <rPr>
        <rFont val="맑은 고딕"/>
        <color theme="1"/>
        <sz val="9.0"/>
      </rPr>
      <t>백업</t>
    </r>
    <r>
      <rPr>
        <rFont val="Calibri"/>
        <color theme="1"/>
        <sz val="9.0"/>
      </rPr>
      <t>·</t>
    </r>
    <r>
      <rPr>
        <rFont val="맑은 고딕"/>
        <color theme="1"/>
        <sz val="9.0"/>
      </rPr>
      <t>복구</t>
    </r>
    <r>
      <rPr>
        <rFont val="Calibri"/>
        <color theme="1"/>
        <sz val="9.0"/>
      </rPr>
      <t>·</t>
    </r>
    <r>
      <rPr>
        <rFont val="맑은 고딕"/>
        <color theme="1"/>
        <sz val="9.0"/>
      </rPr>
      <t>재색인은</t>
    </r>
    <r>
      <rPr>
        <rFont val="Calibri"/>
        <color theme="1"/>
        <sz val="9.0"/>
      </rPr>
      <t xml:space="preserve"> </t>
    </r>
    <r>
      <rPr>
        <rFont val="맑은 고딕"/>
        <color theme="1"/>
        <sz val="9.0"/>
      </rPr>
      <t>위원회</t>
    </r>
    <r>
      <rPr>
        <rFont val="Calibri"/>
        <color theme="1"/>
        <sz val="9.0"/>
      </rPr>
      <t xml:space="preserve"> </t>
    </r>
    <r>
      <rPr>
        <rFont val="맑은 고딕"/>
        <color theme="1"/>
        <sz val="9.0"/>
      </rPr>
      <t>운영</t>
    </r>
    <r>
      <rPr>
        <rFont val="Calibri"/>
        <color theme="1"/>
        <sz val="9.0"/>
      </rPr>
      <t xml:space="preserve"> </t>
    </r>
    <r>
      <rPr>
        <rFont val="맑은 고딕"/>
        <color theme="1"/>
        <sz val="9.0"/>
      </rPr>
      <t>인력이</t>
    </r>
    <r>
      <rPr>
        <rFont val="Calibri"/>
        <color theme="1"/>
        <sz val="9.0"/>
      </rPr>
      <t xml:space="preserve"> </t>
    </r>
    <r>
      <rPr>
        <rFont val="맑은 고딕"/>
        <color theme="1"/>
        <sz val="9.0"/>
      </rPr>
      <t>단독</t>
    </r>
    <r>
      <rPr>
        <rFont val="Calibri"/>
        <color theme="1"/>
        <sz val="9.0"/>
      </rPr>
      <t xml:space="preserve"> </t>
    </r>
    <r>
      <rPr>
        <rFont val="맑은 고딕"/>
        <color theme="1"/>
        <sz val="9.0"/>
      </rPr>
      <t>수행</t>
    </r>
    <r>
      <rPr>
        <rFont val="Calibri"/>
        <color theme="1"/>
        <sz val="9.0"/>
      </rPr>
      <t xml:space="preserve"> </t>
    </r>
    <r>
      <rPr>
        <rFont val="맑은 고딕"/>
        <color theme="1"/>
        <sz val="9.0"/>
      </rPr>
      <t>가능한</t>
    </r>
    <r>
      <rPr>
        <rFont val="Calibri"/>
        <color theme="1"/>
        <sz val="9.0"/>
      </rPr>
      <t xml:space="preserve"> </t>
    </r>
    <r>
      <rPr>
        <rFont val="맑은 고딕"/>
        <color theme="1"/>
        <sz val="9.0"/>
      </rPr>
      <t>수준으로</t>
    </r>
    <r>
      <rPr>
        <rFont val="Calibri"/>
        <color theme="1"/>
        <sz val="9.0"/>
      </rPr>
      <t xml:space="preserve"> </t>
    </r>
    <r>
      <rPr>
        <rFont val="맑은 고딕"/>
        <color theme="1"/>
        <sz val="9.0"/>
      </rPr>
      <t>인수인계</t>
    </r>
    <r>
      <rPr>
        <rFont val="Calibri"/>
        <color theme="1"/>
        <sz val="9.0"/>
      </rPr>
      <t xml:space="preserve">
</t>
    </r>
    <r>
      <rPr>
        <rFont val="맑은 고딕"/>
        <color theme="1"/>
        <sz val="9.0"/>
      </rPr>
      <t>- 벡터</t>
    </r>
    <r>
      <rPr>
        <rFont val="Calibri"/>
        <color theme="1"/>
        <sz val="9.0"/>
      </rPr>
      <t xml:space="preserve"> DB·RDB</t>
    </r>
    <r>
      <rPr>
        <rFont val="맑은 고딕"/>
        <color theme="1"/>
        <sz val="9.0"/>
      </rPr>
      <t>는</t>
    </r>
    <r>
      <rPr>
        <rFont val="Calibri"/>
        <color theme="1"/>
        <sz val="9.0"/>
      </rPr>
      <t xml:space="preserve"> </t>
    </r>
    <r>
      <rPr>
        <rFont val="맑은 고딕"/>
        <color theme="1"/>
        <sz val="9.0"/>
      </rPr>
      <t>위원회가</t>
    </r>
    <r>
      <rPr>
        <rFont val="Calibri"/>
        <color theme="1"/>
        <sz val="9.0"/>
      </rPr>
      <t xml:space="preserve"> </t>
    </r>
    <r>
      <rPr>
        <rFont val="맑은 고딕"/>
        <color theme="1"/>
        <sz val="9.0"/>
      </rPr>
      <t>전용</t>
    </r>
    <r>
      <rPr>
        <rFont val="Calibri"/>
        <color theme="1"/>
        <sz val="9.0"/>
      </rPr>
      <t xml:space="preserve"> API </t>
    </r>
    <r>
      <rPr>
        <rFont val="맑은 고딕"/>
        <color theme="1"/>
        <sz val="9.0"/>
      </rPr>
      <t>학습</t>
    </r>
    <r>
      <rPr>
        <rFont val="Calibri"/>
        <color theme="1"/>
        <sz val="9.0"/>
      </rPr>
      <t xml:space="preserve"> </t>
    </r>
    <r>
      <rPr>
        <rFont val="맑은 고딕"/>
        <color theme="1"/>
        <sz val="9.0"/>
      </rPr>
      <t>없이</t>
    </r>
    <r>
      <rPr>
        <rFont val="Calibri"/>
        <color theme="1"/>
        <sz val="9.0"/>
      </rPr>
      <t xml:space="preserve"> </t>
    </r>
    <r>
      <rPr>
        <rFont val="맑은 고딕"/>
        <color theme="1"/>
        <sz val="9.0"/>
      </rPr>
      <t>직접</t>
    </r>
    <r>
      <rPr>
        <rFont val="Calibri"/>
        <color theme="1"/>
        <sz val="9.0"/>
      </rPr>
      <t xml:space="preserve"> </t>
    </r>
    <r>
      <rPr>
        <rFont val="맑은 고딕"/>
        <color theme="1"/>
        <sz val="9.0"/>
      </rPr>
      <t>조회</t>
    </r>
    <r>
      <rPr>
        <rFont val="Calibri"/>
        <color theme="1"/>
        <sz val="9.0"/>
      </rPr>
      <t>·</t>
    </r>
    <r>
      <rPr>
        <rFont val="맑은 고딕"/>
        <color theme="1"/>
        <sz val="9.0"/>
      </rPr>
      <t>수정</t>
    </r>
    <r>
      <rPr>
        <rFont val="Calibri"/>
        <color theme="1"/>
        <sz val="9.0"/>
      </rPr>
      <t>·</t>
    </r>
    <r>
      <rPr>
        <rFont val="맑은 고딕"/>
        <color theme="1"/>
        <sz val="9.0"/>
      </rPr>
      <t>백업할</t>
    </r>
    <r>
      <rPr>
        <rFont val="Calibri"/>
        <color theme="1"/>
        <sz val="9.0"/>
      </rPr>
      <t xml:space="preserve"> </t>
    </r>
    <r>
      <rPr>
        <rFont val="맑은 고딕"/>
        <color theme="1"/>
        <sz val="9.0"/>
      </rPr>
      <t>수</t>
    </r>
    <r>
      <rPr>
        <rFont val="Calibri"/>
        <color theme="1"/>
        <sz val="9.0"/>
      </rPr>
      <t xml:space="preserve"> </t>
    </r>
    <r>
      <rPr>
        <rFont val="맑은 고딕"/>
        <color theme="1"/>
        <sz val="9.0"/>
      </rPr>
      <t>있는</t>
    </r>
    <r>
      <rPr>
        <rFont val="Calibri"/>
        <color theme="1"/>
        <sz val="9.0"/>
      </rPr>
      <t xml:space="preserve"> </t>
    </r>
    <r>
      <rPr>
        <rFont val="맑은 고딕"/>
        <color theme="1"/>
        <sz val="9.0"/>
      </rPr>
      <t>관리</t>
    </r>
    <r>
      <rPr>
        <rFont val="Calibri"/>
        <color theme="1"/>
        <sz val="9.0"/>
      </rPr>
      <t xml:space="preserve"> </t>
    </r>
    <r>
      <rPr>
        <rFont val="맑은 고딕"/>
        <color theme="1"/>
        <sz val="9.0"/>
      </rPr>
      <t>콘솔</t>
    </r>
    <r>
      <rPr>
        <rFont val="Calibri"/>
        <color theme="1"/>
        <sz val="9.0"/>
      </rPr>
      <t xml:space="preserve"> </t>
    </r>
    <r>
      <rPr>
        <rFont val="맑은 고딕"/>
        <color theme="1"/>
        <sz val="9.0"/>
      </rPr>
      <t>제공</t>
    </r>
    <r>
      <rPr>
        <rFont val="Calibri"/>
        <color theme="1"/>
        <sz val="9.0"/>
      </rPr>
      <t xml:space="preserve">
</t>
    </r>
    <r>
      <rPr>
        <rFont val="맑은 고딕"/>
        <color theme="1"/>
        <sz val="9.0"/>
      </rPr>
      <t>- 계약</t>
    </r>
    <r>
      <rPr>
        <rFont val="Calibri"/>
        <color theme="1"/>
        <sz val="9.0"/>
      </rPr>
      <t xml:space="preserve"> </t>
    </r>
    <r>
      <rPr>
        <rFont val="맑은 고딕"/>
        <color theme="1"/>
        <sz val="9.0"/>
      </rPr>
      <t>종료</t>
    </r>
    <r>
      <rPr>
        <rFont val="Calibri"/>
        <color theme="1"/>
        <sz val="9.0"/>
      </rPr>
      <t xml:space="preserve"> </t>
    </r>
    <r>
      <rPr>
        <rFont val="맑은 고딕"/>
        <color theme="1"/>
        <sz val="9.0"/>
      </rPr>
      <t>시</t>
    </r>
    <r>
      <rPr>
        <rFont val="Calibri"/>
        <color theme="1"/>
        <sz val="9.0"/>
      </rPr>
      <t xml:space="preserve"> </t>
    </r>
    <r>
      <rPr>
        <rFont val="맑은 고딕"/>
        <color theme="1"/>
        <sz val="9.0"/>
      </rPr>
      <t>데이터</t>
    </r>
    <r>
      <rPr>
        <rFont val="Calibri"/>
        <color theme="1"/>
        <sz val="9.0"/>
      </rPr>
      <t xml:space="preserve"> </t>
    </r>
    <r>
      <rPr>
        <rFont val="맑은 고딕"/>
        <color theme="1"/>
        <sz val="9.0"/>
      </rPr>
      <t>이관</t>
    </r>
    <r>
      <rPr>
        <rFont val="Calibri"/>
        <color theme="1"/>
        <sz val="9.0"/>
      </rPr>
      <t>·</t>
    </r>
    <r>
      <rPr>
        <rFont val="맑은 고딕"/>
        <color theme="1"/>
        <sz val="9.0"/>
      </rPr>
      <t>삭제</t>
    </r>
    <r>
      <rPr>
        <rFont val="Calibri"/>
        <color theme="1"/>
        <sz val="9.0"/>
      </rPr>
      <t>·</t>
    </r>
    <r>
      <rPr>
        <rFont val="맑은 고딕"/>
        <color theme="1"/>
        <sz val="9.0"/>
      </rPr>
      <t>검증</t>
    </r>
    <r>
      <rPr>
        <rFont val="Calibri"/>
        <color theme="1"/>
        <sz val="9.0"/>
      </rPr>
      <t xml:space="preserve"> </t>
    </r>
    <r>
      <rPr>
        <rFont val="맑은 고딕"/>
        <color theme="1"/>
        <sz val="9.0"/>
      </rPr>
      <t>절차를</t>
    </r>
    <r>
      <rPr>
        <rFont val="Calibri"/>
        <color theme="1"/>
        <sz val="9.0"/>
      </rPr>
      <t xml:space="preserve"> </t>
    </r>
    <r>
      <rPr>
        <rFont val="맑은 고딕"/>
        <color theme="1"/>
        <sz val="9.0"/>
      </rPr>
      <t>별도</t>
    </r>
    <r>
      <rPr>
        <rFont val="Calibri"/>
        <color theme="1"/>
        <sz val="9.0"/>
      </rPr>
      <t xml:space="preserve"> Exit Plan</t>
    </r>
    <r>
      <rPr>
        <rFont val="맑은 고딕"/>
        <color theme="1"/>
        <sz val="9.0"/>
      </rPr>
      <t>으로</t>
    </r>
    <r>
      <rPr>
        <rFont val="Calibri"/>
        <color theme="1"/>
        <sz val="9.0"/>
      </rPr>
      <t xml:space="preserve"> </t>
    </r>
    <r>
      <rPr>
        <rFont val="맑은 고딕"/>
        <color theme="1"/>
        <sz val="9.0"/>
      </rPr>
      <t>제출</t>
    </r>
    <r>
      <rPr>
        <rFont val="Calibri"/>
        <color theme="1"/>
        <sz val="9.0"/>
      </rPr>
      <t xml:space="preserve">
</t>
    </r>
    <r>
      <rPr>
        <rFont val="맑은 고딕"/>
        <color theme="1"/>
        <sz val="9.0"/>
      </rPr>
      <t>- 평가</t>
    </r>
    <r>
      <rPr>
        <rFont val="Calibri"/>
        <color theme="1"/>
        <sz val="9.0"/>
      </rPr>
      <t xml:space="preserve"> </t>
    </r>
    <r>
      <rPr>
        <rFont val="맑은 고딕"/>
        <color theme="1"/>
        <sz val="9.0"/>
      </rPr>
      <t>지표는</t>
    </r>
    <r>
      <rPr>
        <rFont val="Calibri"/>
        <color theme="1"/>
        <sz val="9.0"/>
      </rPr>
      <t xml:space="preserve"> </t>
    </r>
    <r>
      <rPr>
        <rFont val="맑은 고딕"/>
        <color theme="1"/>
        <sz val="9.0"/>
      </rPr>
      <t>상담</t>
    </r>
    <r>
      <rPr>
        <rFont val="Calibri"/>
        <color theme="1"/>
        <sz val="9.0"/>
      </rPr>
      <t xml:space="preserve"> </t>
    </r>
    <r>
      <rPr>
        <rFont val="맑은 고딕"/>
        <color theme="1"/>
        <sz val="9.0"/>
      </rPr>
      <t>적합도</t>
    </r>
    <r>
      <rPr>
        <rFont val="Calibri"/>
        <color theme="1"/>
        <sz val="9.0"/>
      </rPr>
      <t xml:space="preserve">, </t>
    </r>
    <r>
      <rPr>
        <rFont val="맑은 고딕"/>
        <color theme="1"/>
        <sz val="9.0"/>
      </rPr>
      <t>출처</t>
    </r>
    <r>
      <rPr>
        <rFont val="Calibri"/>
        <color theme="1"/>
        <sz val="9.0"/>
      </rPr>
      <t xml:space="preserve"> </t>
    </r>
    <r>
      <rPr>
        <rFont val="맑은 고딕"/>
        <color theme="1"/>
        <sz val="9.0"/>
      </rPr>
      <t>제시</t>
    </r>
    <r>
      <rPr>
        <rFont val="Calibri"/>
        <color theme="1"/>
        <sz val="9.0"/>
      </rPr>
      <t xml:space="preserve">, </t>
    </r>
    <r>
      <rPr>
        <rFont val="맑은 고딕"/>
        <color theme="1"/>
        <sz val="9.0"/>
      </rPr>
      <t>최신성</t>
    </r>
    <r>
      <rPr>
        <rFont val="Calibri"/>
        <color theme="1"/>
        <sz val="9.0"/>
      </rPr>
      <t xml:space="preserve">, </t>
    </r>
    <r>
      <rPr>
        <rFont val="맑은 고딕"/>
        <color theme="1"/>
        <sz val="9.0"/>
      </rPr>
      <t>재현성을</t>
    </r>
    <r>
      <rPr>
        <rFont val="Calibri"/>
        <color theme="1"/>
        <sz val="9.0"/>
      </rPr>
      <t xml:space="preserve"> </t>
    </r>
    <r>
      <rPr>
        <rFont val="맑은 고딕"/>
        <color theme="1"/>
        <sz val="9.0"/>
      </rPr>
      <t>우선하되</t>
    </r>
    <r>
      <rPr>
        <rFont val="Calibri"/>
        <color theme="1"/>
        <sz val="9.0"/>
      </rPr>
      <t xml:space="preserve"> </t>
    </r>
    <r>
      <rPr>
        <rFont val="맑은 고딕"/>
        <color theme="1"/>
        <sz val="9.0"/>
      </rPr>
      <t>정확도를</t>
    </r>
    <r>
      <rPr>
        <rFont val="Calibri"/>
        <color theme="1"/>
        <sz val="9.0"/>
      </rPr>
      <t xml:space="preserve"> </t>
    </r>
    <r>
      <rPr>
        <rFont val="맑은 고딕"/>
        <color theme="1"/>
        <sz val="9.0"/>
      </rPr>
      <t>하한</t>
    </r>
    <r>
      <rPr>
        <rFont val="Calibri"/>
        <color theme="1"/>
        <sz val="9.0"/>
      </rPr>
      <t xml:space="preserve"> </t>
    </r>
    <r>
      <rPr>
        <rFont val="맑은 고딕"/>
        <color theme="1"/>
        <sz val="9.0"/>
      </rPr>
      <t>기준으로</t>
    </r>
    <r>
      <rPr>
        <rFont val="Calibri"/>
        <color theme="1"/>
        <sz val="9.0"/>
      </rPr>
      <t xml:space="preserve"> </t>
    </r>
    <r>
      <rPr>
        <rFont val="맑은 고딕"/>
        <color theme="1"/>
        <sz val="9.0"/>
      </rPr>
      <t>병행</t>
    </r>
    <r>
      <rPr>
        <rFont val="Calibri"/>
        <color theme="1"/>
        <sz val="9.0"/>
      </rPr>
      <t xml:space="preserve"> </t>
    </r>
    <r>
      <rPr>
        <rFont val="맑은 고딕"/>
        <color theme="1"/>
        <sz val="9.0"/>
      </rPr>
      <t>관리</t>
    </r>
    <r>
      <rPr>
        <rFont val="Calibri"/>
        <color theme="1"/>
        <sz val="9.0"/>
      </rPr>
      <t xml:space="preserve">
- RAG </t>
    </r>
    <r>
      <rPr>
        <rFont val="맑은 고딕"/>
        <color theme="1"/>
        <sz val="9.0"/>
      </rPr>
      <t>응답은</t>
    </r>
    <r>
      <rPr>
        <rFont val="Calibri"/>
        <color theme="1"/>
        <sz val="9.0"/>
      </rPr>
      <t xml:space="preserve"> </t>
    </r>
    <r>
      <rPr>
        <rFont val="맑은 고딕"/>
        <color theme="1"/>
        <sz val="9.0"/>
      </rPr>
      <t>내부</t>
    </r>
    <r>
      <rPr>
        <rFont val="Calibri"/>
        <color theme="1"/>
        <sz val="9.0"/>
      </rPr>
      <t xml:space="preserve"> </t>
    </r>
    <r>
      <rPr>
        <rFont val="맑은 고딕"/>
        <color theme="1"/>
        <sz val="9.0"/>
      </rPr>
      <t>규정</t>
    </r>
    <r>
      <rPr>
        <rFont val="Calibri"/>
        <color theme="1"/>
        <sz val="9.0"/>
      </rPr>
      <t>·FAQ·</t>
    </r>
    <r>
      <rPr>
        <rFont val="맑은 고딕"/>
        <color theme="1"/>
        <sz val="9.0"/>
      </rPr>
      <t>사례와</t>
    </r>
    <r>
      <rPr>
        <rFont val="Calibri"/>
        <color theme="1"/>
        <sz val="9.0"/>
      </rPr>
      <t xml:space="preserve"> </t>
    </r>
    <r>
      <rPr>
        <rFont val="맑은 고딕"/>
        <color theme="1"/>
        <sz val="9.0"/>
      </rPr>
      <t>연결된</t>
    </r>
    <r>
      <rPr>
        <rFont val="Calibri"/>
        <color theme="1"/>
        <sz val="9.0"/>
      </rPr>
      <t xml:space="preserve"> </t>
    </r>
    <r>
      <rPr>
        <rFont val="맑은 고딕"/>
        <color theme="1"/>
        <sz val="9.0"/>
      </rPr>
      <t>근거를</t>
    </r>
    <r>
      <rPr>
        <rFont val="Calibri"/>
        <color theme="1"/>
        <sz val="9.0"/>
      </rPr>
      <t xml:space="preserve"> </t>
    </r>
    <r>
      <rPr>
        <rFont val="맑은 고딕"/>
        <color theme="1"/>
        <sz val="9.0"/>
      </rPr>
      <t>반드시</t>
    </r>
    <r>
      <rPr>
        <rFont val="Calibri"/>
        <color theme="1"/>
        <sz val="9.0"/>
      </rPr>
      <t xml:space="preserve"> </t>
    </r>
    <r>
      <rPr>
        <rFont val="맑은 고딕"/>
        <color theme="1"/>
        <sz val="9.0"/>
      </rPr>
      <t>표시</t>
    </r>
    <r>
      <rPr>
        <rFont val="Calibri"/>
        <color theme="1"/>
        <sz val="9.0"/>
      </rPr>
      <t xml:space="preserve">
</t>
    </r>
    <r>
      <rPr>
        <rFont val="맑은 고딕"/>
        <color theme="1"/>
        <sz val="9.0"/>
      </rPr>
      <t>- 미답변</t>
    </r>
    <r>
      <rPr>
        <rFont val="Calibri"/>
        <color theme="1"/>
        <sz val="9.0"/>
      </rPr>
      <t>·</t>
    </r>
    <r>
      <rPr>
        <rFont val="맑은 고딕"/>
        <color theme="1"/>
        <sz val="9.0"/>
      </rPr>
      <t>불확실</t>
    </r>
    <r>
      <rPr>
        <rFont val="Calibri"/>
        <color theme="1"/>
        <sz val="9.0"/>
      </rPr>
      <t xml:space="preserve"> </t>
    </r>
    <r>
      <rPr>
        <rFont val="맑은 고딕"/>
        <color theme="1"/>
        <sz val="9.0"/>
      </rPr>
      <t>응답은</t>
    </r>
    <r>
      <rPr>
        <rFont val="Calibri"/>
        <color theme="1"/>
        <sz val="9.0"/>
      </rPr>
      <t xml:space="preserve"> </t>
    </r>
    <r>
      <rPr>
        <rFont val="맑은 고딕"/>
        <color theme="1"/>
        <sz val="9.0"/>
      </rPr>
      <t>직원</t>
    </r>
    <r>
      <rPr>
        <rFont val="Calibri"/>
        <color theme="1"/>
        <sz val="9.0"/>
      </rPr>
      <t xml:space="preserve"> </t>
    </r>
    <r>
      <rPr>
        <rFont val="맑은 고딕"/>
        <color theme="1"/>
        <sz val="9.0"/>
      </rPr>
      <t>전환</t>
    </r>
    <r>
      <rPr>
        <rFont val="Calibri"/>
        <color theme="1"/>
        <sz val="9.0"/>
      </rPr>
      <t xml:space="preserve"> </t>
    </r>
    <r>
      <rPr>
        <rFont val="맑은 고딕"/>
        <color theme="1"/>
        <sz val="9.0"/>
      </rPr>
      <t>경로로</t>
    </r>
    <r>
      <rPr>
        <rFont val="Calibri"/>
        <color theme="1"/>
        <sz val="9.0"/>
      </rPr>
      <t xml:space="preserve"> </t>
    </r>
    <r>
      <rPr>
        <rFont val="맑은 고딕"/>
        <color theme="1"/>
        <sz val="9.0"/>
      </rPr>
      <t>연결</t>
    </r>
    <r>
      <rPr>
        <rFont val="Calibri"/>
        <color theme="1"/>
        <sz val="9.0"/>
      </rPr>
      <t xml:space="preserve">
</t>
    </r>
    <r>
      <rPr>
        <rFont val="맑은 고딕"/>
        <color theme="1"/>
        <sz val="9.0"/>
      </rPr>
      <t>- 신규</t>
    </r>
    <r>
      <rPr>
        <rFont val="Calibri"/>
        <color theme="1"/>
        <sz val="9.0"/>
      </rPr>
      <t xml:space="preserve"> </t>
    </r>
    <r>
      <rPr>
        <rFont val="맑은 고딕"/>
        <color theme="1"/>
        <sz val="9.0"/>
      </rPr>
      <t>규정</t>
    </r>
    <r>
      <rPr>
        <rFont val="Calibri"/>
        <color theme="1"/>
        <sz val="9.0"/>
      </rPr>
      <t xml:space="preserve"> </t>
    </r>
    <r>
      <rPr>
        <rFont val="맑은 고딕"/>
        <color theme="1"/>
        <sz val="9.0"/>
      </rPr>
      <t>추가</t>
    </r>
    <r>
      <rPr>
        <rFont val="Calibri"/>
        <color theme="1"/>
        <sz val="9.0"/>
      </rPr>
      <t xml:space="preserve"> </t>
    </r>
    <r>
      <rPr>
        <rFont val="맑은 고딕"/>
        <color theme="1"/>
        <sz val="9.0"/>
      </rPr>
      <t>시</t>
    </r>
    <r>
      <rPr>
        <rFont val="Calibri"/>
        <color theme="1"/>
        <sz val="9.0"/>
      </rPr>
      <t xml:space="preserve"> </t>
    </r>
    <r>
      <rPr>
        <rFont val="맑은 고딕"/>
        <color theme="1"/>
        <sz val="9.0"/>
      </rPr>
      <t>재학습</t>
    </r>
    <r>
      <rPr>
        <rFont val="Calibri"/>
        <color theme="1"/>
        <sz val="9.0"/>
      </rPr>
      <t xml:space="preserve"> </t>
    </r>
    <r>
      <rPr>
        <rFont val="맑은 고딕"/>
        <color theme="1"/>
        <sz val="9.0"/>
      </rPr>
      <t>없이</t>
    </r>
    <r>
      <rPr>
        <rFont val="Calibri"/>
        <color theme="1"/>
        <sz val="9.0"/>
      </rPr>
      <t xml:space="preserve"> </t>
    </r>
    <r>
      <rPr>
        <rFont val="맑은 고딕"/>
        <color theme="1"/>
        <sz val="9.0"/>
      </rPr>
      <t>지식베이스</t>
    </r>
    <r>
      <rPr>
        <rFont val="Calibri"/>
        <color theme="1"/>
        <sz val="9.0"/>
      </rPr>
      <t xml:space="preserve"> </t>
    </r>
    <r>
      <rPr>
        <rFont val="맑은 고딕"/>
        <color theme="1"/>
        <sz val="9.0"/>
      </rPr>
      <t>갱신만으로도</t>
    </r>
    <r>
      <rPr>
        <rFont val="Calibri"/>
        <color theme="1"/>
        <sz val="9.0"/>
      </rPr>
      <t xml:space="preserve"> </t>
    </r>
    <r>
      <rPr>
        <rFont val="맑은 고딕"/>
        <color theme="1"/>
        <sz val="9.0"/>
      </rPr>
      <t>반영</t>
    </r>
    <r>
      <rPr>
        <rFont val="Calibri"/>
        <color theme="1"/>
        <sz val="9.0"/>
      </rPr>
      <t xml:space="preserve"> </t>
    </r>
    <r>
      <rPr>
        <rFont val="맑은 고딕"/>
        <color theme="1"/>
        <sz val="9.0"/>
      </rPr>
      <t>가능해야</t>
    </r>
    <r>
      <rPr>
        <rFont val="Calibri"/>
        <color theme="1"/>
        <sz val="9.0"/>
      </rPr>
      <t xml:space="preserve"> </t>
    </r>
    <r>
      <rPr>
        <rFont val="맑은 고딕"/>
        <color theme="1"/>
        <sz val="9.0"/>
      </rPr>
      <t>함</t>
    </r>
  </si>
  <si>
    <r>
      <rPr>
        <rFont val="Malgun Gothic"/>
        <color rgb="FF0000FF"/>
        <sz val="9.0"/>
      </rPr>
      <t xml:space="preserve">[Before]
- 주요 아키텍처 변경은 위원회 사전 서면 승인 후 진행
- 수집과 임베딩, 검색, 재색인 로직을 표준 프레임워크 기반으로 모듈화하겠음
- 핵심 설정값을 코드와 함께 Git 저장소에서 관리하고 한글 주석을 포함해 문서화하겠음
- 운영 전환 전 위원회 검수용 스테이징 환경을 쿠버네티스 namespace 분리로 제공(운영 HW리소스가 충분하지 않아서 최소 구성해야함)
- 운영자 권한과 라이선스 소유권은 라이선스 계약 내용에 따라 위원회에 귀속
- 장애 대응과 백업, 복구, 재색인을 위원회 운영 인력이 단독 수행 가능한 수준으로 인수인계
- 벡터 DB와 RDB를 전용 API 학습 없이 직접 조회하고 수정, 백업할 수 있는 관리 콘솔 제공
- 계약 종료 시 데이터 이관과 삭제, 검증 절차를 별도 Exit Plan으로 제출
- 어시스턴트 및 ML 모델에 적합한 평가 지표를 사전 고객과 협의하고 성능 품질 목표를 수립하여 측정 및 공유 예정
- 답변 출처 확인할 수 있는 UI 구성 예정
- 답변을 위한 정보 불충분 시 추가 정보 요청 및 담당 직원 안내 로직 구현 예정
- VDB 인덱스 추가로 대처할 수 있도록 설계 예정
[After]
- 주요 아키텍처 변경은 위원회 사전 서면 승인 후 진행
- 수집과 임베딩, 검색, 재색인 로직을 표준 프레임워크 기반으로 모듈화하겠음
- 핵심 설정값을 코드와 함께 Git 저장소에서 관리하고 한글 주석을 포함해 문서화하겠음
- 운영 전환 전 위원회 검수용 스테이징 환경을 쿠버네티스 namespace 분리로 제공(운영 HW리소스가 충분하지 않아서 최소 구성해야함)
- 운영자 권한과 라이선스 소유권은 라이선스 계약 내용에 따라 위원회에 귀속
- 장애 대응과 백업, 복구, 재색인을 위원회 운영 인력이 단독 수행 가능한 수준으로 인수인계
- 벡터 DB와 RDB를 전용 API 학습 없이 직접 조회하고 수정, 백업할 수 있는 관리 콘솔 제공
- 계약 종료 시 데이터 이관과 삭제, 검증 절차를 별도 Exit Plan으로 제출
- 어시스턴트 및 ML 모델에 적합한 평가 지표를 사전 고객과 협의하고 성능 품질 목표를 수립하여 측정 및 공유 예정
</t>
    </r>
    <r>
      <rPr>
        <rFont val="맑은 고딕"/>
        <color rgb="FFFF0000"/>
        <sz val="9.0"/>
      </rPr>
      <t xml:space="preserve">- 모든 RAG 응답에 내부 규정·FAQ·사례와 연결된 문서명·페이지·조항 등 근거를 필수 표시
- 근거가 없거나 임계값 미만이면 답변을 제한하고 추가 확인 또는 담당자 전환 경로를 제공하며, UI와 품질 테스트 케이스로 검증
</t>
    </r>
    <r>
      <rPr>
        <rFont val="맑은 고딕"/>
        <color rgb="FF0000FF"/>
        <sz val="9.0"/>
      </rPr>
      <t>- VDB 인덱스 추가로 대처할 수 있도록 설계 예정</t>
    </r>
  </si>
  <si>
    <t>G열은 'RAG 응답은 내부 규정·FAQ·사례와 연결된 근거를 반드시 표시'를 요구하나, 수행방안은 '답변 출처 확인할 수 있는 UI 구성 예정'으로 다소 완화된 표현으로 이해됨. 근거 연결 대상과 필수 표시 여부는 매우 중요한 부분으로 판단.</t>
  </si>
  <si>
    <t>PSR-001-07-01</t>
  </si>
  <si>
    <t>[순환보직 대응]</t>
  </si>
  <si>
    <t>담당자 변경 시 활용할 수 있는 인수인계 체크리스트 및 절차서를 제공하여야 한다. 체크리스트에는 MLOps 운영 관련 항목(모델 버전 현황, 골든셋 상태, 파이프라인 이상 여부 등)을 포함하여야 한다.</t>
  </si>
  <si>
    <t>모델버전·골든셋·파이프라인 상태를 포함한 담당자 변경 인수인계 체크리스트 제공</t>
  </si>
  <si>
    <t>기타 위에서 정하지 아니한 사항</t>
  </si>
  <si>
    <t>PMR-007-01-01</t>
  </si>
  <si>
    <t>PSR-001-07-02</t>
  </si>
  <si>
    <t>자주 묻는 운영 질문(FAQ)을 정리하여 제공하여야 한다.</t>
  </si>
  <si>
    <t>자주 묻는 운영 질문(FAQ)을 정리하여 제공</t>
  </si>
  <si>
    <r>
      <rPr>
        <rFont val="Malgun Gothic"/>
        <color theme="1"/>
        <sz val="9.0"/>
      </rPr>
      <t>- 본</t>
    </r>
    <r>
      <rPr>
        <rFont val="Calibri"/>
        <color theme="1"/>
        <sz val="9.0"/>
      </rPr>
      <t xml:space="preserve"> </t>
    </r>
    <r>
      <rPr>
        <rFont val="맑은 고딕"/>
        <color theme="1"/>
        <sz val="9.0"/>
      </rPr>
      <t>기술협상서에</t>
    </r>
    <r>
      <rPr>
        <rFont val="Calibri"/>
        <color theme="1"/>
        <sz val="9.0"/>
      </rPr>
      <t xml:space="preserve"> </t>
    </r>
    <r>
      <rPr>
        <rFont val="맑은 고딕"/>
        <color theme="1"/>
        <sz val="9.0"/>
      </rPr>
      <t>명시된</t>
    </r>
    <r>
      <rPr>
        <rFont val="Calibri"/>
        <color theme="1"/>
        <sz val="9.0"/>
      </rPr>
      <t xml:space="preserve"> </t>
    </r>
    <r>
      <rPr>
        <rFont val="맑은 고딕"/>
        <color theme="1"/>
        <sz val="9.0"/>
      </rPr>
      <t>사항은</t>
    </r>
    <r>
      <rPr>
        <rFont val="Calibri"/>
        <color theme="1"/>
        <sz val="9.0"/>
      </rPr>
      <t xml:space="preserve"> </t>
    </r>
    <r>
      <rPr>
        <rFont val="맑은 고딕"/>
        <color theme="1"/>
        <sz val="9.0"/>
      </rPr>
      <t>제안서에</t>
    </r>
    <r>
      <rPr>
        <rFont val="Calibri"/>
        <color theme="1"/>
        <sz val="9.0"/>
      </rPr>
      <t xml:space="preserve"> </t>
    </r>
    <r>
      <rPr>
        <rFont val="맑은 고딕"/>
        <color theme="1"/>
        <sz val="9.0"/>
      </rPr>
      <t>우선한다</t>
    </r>
    <r>
      <rPr>
        <rFont val="Calibri"/>
        <color theme="1"/>
        <sz val="9.0"/>
      </rPr>
      <t xml:space="preserve">.
</t>
    </r>
    <r>
      <rPr>
        <rFont val="맑은 고딕"/>
        <color theme="1"/>
        <sz val="9.0"/>
      </rPr>
      <t>- 본</t>
    </r>
    <r>
      <rPr>
        <rFont val="Calibri"/>
        <color theme="1"/>
        <sz val="9.0"/>
      </rPr>
      <t xml:space="preserve"> </t>
    </r>
    <r>
      <rPr>
        <rFont val="맑은 고딕"/>
        <color theme="1"/>
        <sz val="9.0"/>
      </rPr>
      <t>기술협상서에</t>
    </r>
    <r>
      <rPr>
        <rFont val="Calibri"/>
        <color theme="1"/>
        <sz val="9.0"/>
      </rPr>
      <t xml:space="preserve"> </t>
    </r>
    <r>
      <rPr>
        <rFont val="맑은 고딕"/>
        <color theme="1"/>
        <sz val="9.0"/>
      </rPr>
      <t>별도로</t>
    </r>
    <r>
      <rPr>
        <rFont val="Calibri"/>
        <color theme="1"/>
        <sz val="9.0"/>
      </rPr>
      <t xml:space="preserve"> </t>
    </r>
    <r>
      <rPr>
        <rFont val="맑은 고딕"/>
        <color theme="1"/>
        <sz val="9.0"/>
      </rPr>
      <t>정하지</t>
    </r>
    <r>
      <rPr>
        <rFont val="Calibri"/>
        <color theme="1"/>
        <sz val="9.0"/>
      </rPr>
      <t xml:space="preserve"> </t>
    </r>
    <r>
      <rPr>
        <rFont val="맑은 고딕"/>
        <color theme="1"/>
        <sz val="9.0"/>
      </rPr>
      <t>않은</t>
    </r>
    <r>
      <rPr>
        <rFont val="Calibri"/>
        <color theme="1"/>
        <sz val="9.0"/>
      </rPr>
      <t xml:space="preserve"> </t>
    </r>
    <r>
      <rPr>
        <rFont val="맑은 고딕"/>
        <color theme="1"/>
        <sz val="9.0"/>
      </rPr>
      <t>사항은</t>
    </r>
    <r>
      <rPr>
        <rFont val="Calibri"/>
        <color theme="1"/>
        <sz val="9.0"/>
      </rPr>
      <t xml:space="preserve"> </t>
    </r>
    <r>
      <rPr>
        <rFont val="맑은 고딕"/>
        <color theme="1"/>
        <sz val="9.0"/>
      </rPr>
      <t>제안요청서</t>
    </r>
    <r>
      <rPr>
        <rFont val="Calibri"/>
        <color theme="1"/>
        <sz val="9.0"/>
      </rPr>
      <t>(RFP)</t>
    </r>
    <r>
      <rPr>
        <rFont val="맑은 고딕"/>
        <color theme="1"/>
        <sz val="9.0"/>
      </rPr>
      <t>의</t>
    </r>
    <r>
      <rPr>
        <rFont val="Calibri"/>
        <color theme="1"/>
        <sz val="9.0"/>
      </rPr>
      <t xml:space="preserve"> </t>
    </r>
    <r>
      <rPr>
        <rFont val="맑은 고딕"/>
        <color theme="1"/>
        <sz val="9.0"/>
      </rPr>
      <t>요구사항을</t>
    </r>
    <r>
      <rPr>
        <rFont val="Calibri"/>
        <color theme="1"/>
        <sz val="9.0"/>
      </rPr>
      <t xml:space="preserve"> </t>
    </r>
    <r>
      <rPr>
        <rFont val="맑은 고딕"/>
        <color theme="1"/>
        <sz val="9.0"/>
      </rPr>
      <t>따르며</t>
    </r>
    <r>
      <rPr>
        <rFont val="Calibri"/>
        <color theme="1"/>
        <sz val="9.0"/>
      </rPr>
      <t xml:space="preserve">, </t>
    </r>
    <r>
      <rPr>
        <rFont val="맑은 고딕"/>
        <color theme="1"/>
        <sz val="9.0"/>
      </rPr>
      <t>사업자는</t>
    </r>
    <r>
      <rPr>
        <rFont val="Calibri"/>
        <color theme="1"/>
        <sz val="9.0"/>
      </rPr>
      <t xml:space="preserve"> </t>
    </r>
    <r>
      <rPr>
        <rFont val="맑은 고딕"/>
        <color theme="1"/>
        <sz val="9.0"/>
      </rPr>
      <t>이를</t>
    </r>
    <r>
      <rPr>
        <rFont val="Calibri"/>
        <color theme="1"/>
        <sz val="9.0"/>
      </rPr>
      <t xml:space="preserve"> </t>
    </r>
    <r>
      <rPr>
        <rFont val="맑은 고딕"/>
        <color theme="1"/>
        <sz val="9.0"/>
      </rPr>
      <t>본</t>
    </r>
    <r>
      <rPr>
        <rFont val="Calibri"/>
        <color theme="1"/>
        <sz val="9.0"/>
      </rPr>
      <t xml:space="preserve"> </t>
    </r>
    <r>
      <rPr>
        <rFont val="맑은 고딕"/>
        <color theme="1"/>
        <sz val="9.0"/>
      </rPr>
      <t>사업의</t>
    </r>
    <r>
      <rPr>
        <rFont val="Calibri"/>
        <color theme="1"/>
        <sz val="9.0"/>
      </rPr>
      <t xml:space="preserve"> </t>
    </r>
    <r>
      <rPr>
        <rFont val="맑은 고딕"/>
        <color theme="1"/>
        <sz val="9.0"/>
      </rPr>
      <t>구축</t>
    </r>
    <r>
      <rPr>
        <rFont val="Calibri"/>
        <color theme="1"/>
        <sz val="9.0"/>
      </rPr>
      <t xml:space="preserve"> </t>
    </r>
    <r>
      <rPr>
        <rFont val="맑은 고딕"/>
        <color theme="1"/>
        <sz val="9.0"/>
      </rPr>
      <t>범위로</t>
    </r>
    <r>
      <rPr>
        <rFont val="Calibri"/>
        <color theme="1"/>
        <sz val="9.0"/>
      </rPr>
      <t xml:space="preserve"> </t>
    </r>
    <r>
      <rPr>
        <rFont val="맑은 고딕"/>
        <color theme="1"/>
        <sz val="9.0"/>
      </rPr>
      <t>이행한다</t>
    </r>
    <r>
      <rPr>
        <rFont val="Calibri"/>
        <color theme="1"/>
        <sz val="9.0"/>
      </rPr>
      <t xml:space="preserve">. 
</t>
    </r>
    <r>
      <rPr>
        <rFont val="맑은 고딕"/>
        <color theme="1"/>
        <sz val="9.0"/>
      </rPr>
      <t>- 문서</t>
    </r>
    <r>
      <rPr>
        <rFont val="Calibri"/>
        <color theme="1"/>
        <sz val="9.0"/>
      </rPr>
      <t xml:space="preserve"> </t>
    </r>
    <r>
      <rPr>
        <rFont val="맑은 고딕"/>
        <color theme="1"/>
        <sz val="9.0"/>
      </rPr>
      <t>간</t>
    </r>
    <r>
      <rPr>
        <rFont val="Calibri"/>
        <color theme="1"/>
        <sz val="9.0"/>
      </rPr>
      <t xml:space="preserve"> </t>
    </r>
    <r>
      <rPr>
        <rFont val="맑은 고딕"/>
        <color theme="1"/>
        <sz val="9.0"/>
      </rPr>
      <t>해석상</t>
    </r>
    <r>
      <rPr>
        <rFont val="Calibri"/>
        <color theme="1"/>
        <sz val="9.0"/>
      </rPr>
      <t xml:space="preserve"> </t>
    </r>
    <r>
      <rPr>
        <rFont val="맑은 고딕"/>
        <color theme="1"/>
        <sz val="9.0"/>
      </rPr>
      <t>상충이</t>
    </r>
    <r>
      <rPr>
        <rFont val="Calibri"/>
        <color theme="1"/>
        <sz val="9.0"/>
      </rPr>
      <t xml:space="preserve"> </t>
    </r>
    <r>
      <rPr>
        <rFont val="맑은 고딕"/>
        <color theme="1"/>
        <sz val="9.0"/>
      </rPr>
      <t>있는</t>
    </r>
    <r>
      <rPr>
        <rFont val="Calibri"/>
        <color theme="1"/>
        <sz val="9.0"/>
      </rPr>
      <t xml:space="preserve"> </t>
    </r>
    <r>
      <rPr>
        <rFont val="맑은 고딕"/>
        <color theme="1"/>
        <sz val="9.0"/>
      </rPr>
      <t>경우</t>
    </r>
    <r>
      <rPr>
        <rFont val="Calibri"/>
        <color theme="1"/>
        <sz val="9.0"/>
      </rPr>
      <t xml:space="preserve"> </t>
    </r>
    <r>
      <rPr>
        <rFont val="맑은 고딕"/>
        <color theme="1"/>
        <sz val="9.0"/>
      </rPr>
      <t>적용</t>
    </r>
    <r>
      <rPr>
        <rFont val="Calibri"/>
        <color theme="1"/>
        <sz val="9.0"/>
      </rPr>
      <t xml:space="preserve"> </t>
    </r>
    <r>
      <rPr>
        <rFont val="Segoe UI Symbol"/>
        <color theme="1"/>
        <sz val="9.0"/>
      </rPr>
      <t>①</t>
    </r>
    <r>
      <rPr>
        <rFont val="맑은 고딕"/>
        <color theme="1"/>
        <sz val="9.0"/>
      </rPr>
      <t>기술협상서</t>
    </r>
    <r>
      <rPr>
        <rFont val="Calibri"/>
        <color theme="1"/>
        <sz val="9.0"/>
      </rPr>
      <t xml:space="preserve"> </t>
    </r>
    <r>
      <rPr>
        <rFont val="Segoe UI Symbol"/>
        <color theme="1"/>
        <sz val="9.0"/>
      </rPr>
      <t>②</t>
    </r>
    <r>
      <rPr>
        <rFont val="맑은 고딕"/>
        <color theme="1"/>
        <sz val="9.0"/>
      </rPr>
      <t>제안요청서</t>
    </r>
    <r>
      <rPr>
        <rFont val="Calibri"/>
        <color theme="1"/>
        <sz val="9.0"/>
      </rPr>
      <t xml:space="preserve"> </t>
    </r>
    <r>
      <rPr>
        <rFont val="Segoe UI Symbol"/>
        <color theme="1"/>
        <sz val="9.0"/>
      </rPr>
      <t>③</t>
    </r>
    <r>
      <rPr>
        <rFont val="맑은 고딕"/>
        <color theme="1"/>
        <sz val="9.0"/>
      </rPr>
      <t>제안서</t>
    </r>
    <r>
      <rPr>
        <rFont val="Calibri"/>
        <color theme="1"/>
        <sz val="9.0"/>
      </rPr>
      <t xml:space="preserve">, </t>
    </r>
    <r>
      <rPr>
        <rFont val="Segoe UI Symbol"/>
        <color theme="1"/>
        <sz val="9.0"/>
      </rPr>
      <t>④</t>
    </r>
    <r>
      <rPr>
        <rFont val="맑은 고딕"/>
        <color theme="1"/>
        <sz val="9.0"/>
      </rPr>
      <t>기술협상</t>
    </r>
    <r>
      <rPr>
        <rFont val="Calibri"/>
        <color theme="1"/>
        <sz val="9.0"/>
      </rPr>
      <t xml:space="preserve"> </t>
    </r>
    <r>
      <rPr>
        <rFont val="맑은 고딕"/>
        <color theme="1"/>
        <sz val="9.0"/>
      </rPr>
      <t>회의록에</t>
    </r>
    <r>
      <rPr>
        <rFont val="Calibri"/>
        <color theme="1"/>
        <sz val="9.0"/>
      </rPr>
      <t xml:space="preserve"> </t>
    </r>
    <r>
      <rPr>
        <rFont val="맑은 고딕"/>
        <color theme="1"/>
        <sz val="9.0"/>
      </rPr>
      <t>따른다</t>
    </r>
    <r>
      <rPr>
        <rFont val="Calibri"/>
        <color theme="1"/>
        <sz val="9.0"/>
      </rPr>
      <t xml:space="preserve"> </t>
    </r>
    <r>
      <rPr>
        <rFont val="맑은 고딕"/>
        <color theme="1"/>
        <sz val="9.0"/>
      </rPr>
      <t>위원회의</t>
    </r>
    <r>
      <rPr>
        <rFont val="Calibri"/>
        <color theme="1"/>
        <sz val="9.0"/>
      </rPr>
      <t xml:space="preserve"> </t>
    </r>
    <r>
      <rPr>
        <rFont val="맑은 고딕"/>
        <color theme="1"/>
        <sz val="9.0"/>
      </rPr>
      <t>요청은</t>
    </r>
    <r>
      <rPr>
        <rFont val="Calibri"/>
        <color theme="1"/>
        <sz val="9.0"/>
      </rPr>
      <t xml:space="preserve"> RFP</t>
    </r>
    <r>
      <rPr>
        <rFont val="맑은 고딕"/>
        <color theme="1"/>
        <sz val="9.0"/>
      </rPr>
      <t>에</t>
    </r>
    <r>
      <rPr>
        <rFont val="Calibri"/>
        <color theme="1"/>
        <sz val="9.0"/>
      </rPr>
      <t xml:space="preserve"> </t>
    </r>
    <r>
      <rPr>
        <rFont val="맑은 고딕"/>
        <color theme="1"/>
        <sz val="9.0"/>
      </rPr>
      <t>명시된</t>
    </r>
    <r>
      <rPr>
        <rFont val="Calibri"/>
        <color theme="1"/>
        <sz val="9.0"/>
      </rPr>
      <t xml:space="preserve"> </t>
    </r>
    <r>
      <rPr>
        <rFont val="맑은 고딕"/>
        <color theme="1"/>
        <sz val="9.0"/>
      </rPr>
      <t>요구사항의</t>
    </r>
    <r>
      <rPr>
        <rFont val="Calibri"/>
        <color theme="1"/>
        <sz val="9.0"/>
      </rPr>
      <t xml:space="preserve"> </t>
    </r>
    <r>
      <rPr>
        <rFont val="맑은 고딕"/>
        <color theme="1"/>
        <sz val="9.0"/>
      </rPr>
      <t>이행</t>
    </r>
    <r>
      <rPr>
        <rFont val="Calibri"/>
        <color theme="1"/>
        <sz val="9.0"/>
      </rPr>
      <t xml:space="preserve"> </t>
    </r>
    <r>
      <rPr>
        <rFont val="맑은 고딕"/>
        <color theme="1"/>
        <sz val="9.0"/>
      </rPr>
      <t>방식을</t>
    </r>
    <r>
      <rPr>
        <rFont val="Calibri"/>
        <color theme="1"/>
        <sz val="9.0"/>
      </rPr>
      <t xml:space="preserve"> </t>
    </r>
    <r>
      <rPr>
        <rFont val="맑은 고딕"/>
        <color theme="1"/>
        <sz val="9.0"/>
      </rPr>
      <t>구체화하는</t>
    </r>
    <r>
      <rPr>
        <rFont val="Calibri"/>
        <color theme="1"/>
        <sz val="9.0"/>
      </rPr>
      <t xml:space="preserve"> </t>
    </r>
    <r>
      <rPr>
        <rFont val="맑은 고딕"/>
        <color theme="1"/>
        <sz val="9.0"/>
      </rPr>
      <t>범위</t>
    </r>
    <r>
      <rPr>
        <rFont val="Calibri"/>
        <color theme="1"/>
        <sz val="9.0"/>
      </rPr>
      <t xml:space="preserve"> </t>
    </r>
    <r>
      <rPr>
        <rFont val="맑은 고딕"/>
        <color theme="1"/>
        <sz val="9.0"/>
      </rPr>
      <t>내에서</t>
    </r>
    <r>
      <rPr>
        <rFont val="Calibri"/>
        <color theme="1"/>
        <sz val="9.0"/>
      </rPr>
      <t xml:space="preserve"> </t>
    </r>
    <r>
      <rPr>
        <rFont val="맑은 고딕"/>
        <color theme="1"/>
        <sz val="9.0"/>
      </rPr>
      <t>적용한다</t>
    </r>
    <r>
      <rPr>
        <rFont val="Calibri"/>
        <color theme="1"/>
        <sz val="9.0"/>
      </rPr>
      <t xml:space="preserve">.
</t>
    </r>
    <r>
      <rPr>
        <rFont val="맑은 고딕"/>
        <color theme="1"/>
        <sz val="9.0"/>
      </rPr>
      <t>- 본</t>
    </r>
    <r>
      <rPr>
        <rFont val="Calibri"/>
        <color theme="1"/>
        <sz val="9.0"/>
      </rPr>
      <t xml:space="preserve"> </t>
    </r>
    <r>
      <rPr>
        <rFont val="맑은 고딕"/>
        <color theme="1"/>
        <sz val="9.0"/>
      </rPr>
      <t>협상서</t>
    </r>
    <r>
      <rPr>
        <rFont val="Calibri"/>
        <color theme="1"/>
        <sz val="9.0"/>
      </rPr>
      <t xml:space="preserve"> </t>
    </r>
    <r>
      <rPr>
        <rFont val="맑은 고딕"/>
        <color theme="1"/>
        <sz val="9.0"/>
      </rPr>
      <t>각</t>
    </r>
    <r>
      <rPr>
        <rFont val="Calibri"/>
        <color theme="1"/>
        <sz val="9.0"/>
      </rPr>
      <t xml:space="preserve"> </t>
    </r>
    <r>
      <rPr>
        <rFont val="맑은 고딕"/>
        <color theme="1"/>
        <sz val="9.0"/>
      </rPr>
      <t>항목의</t>
    </r>
    <r>
      <rPr>
        <rFont val="Calibri"/>
        <color theme="1"/>
        <sz val="9.0"/>
      </rPr>
      <t xml:space="preserve"> </t>
    </r>
    <r>
      <rPr>
        <rFont val="맑은 고딕"/>
        <color theme="1"/>
        <sz val="9.0"/>
      </rPr>
      <t>수용여부란에</t>
    </r>
    <r>
      <rPr>
        <rFont val="Calibri"/>
        <color theme="1"/>
        <sz val="9.0"/>
      </rPr>
      <t xml:space="preserve"> </t>
    </r>
    <r>
      <rPr>
        <rFont val="맑은 고딕"/>
        <color theme="1"/>
        <sz val="9.0"/>
      </rPr>
      <t>사업자가</t>
    </r>
    <r>
      <rPr>
        <rFont val="Calibri"/>
        <color theme="1"/>
        <sz val="9.0"/>
      </rPr>
      <t xml:space="preserve"> </t>
    </r>
    <r>
      <rPr>
        <rFont val="맑은 고딕"/>
        <color theme="1"/>
        <sz val="9.0"/>
      </rPr>
      <t>명시적으로</t>
    </r>
    <r>
      <rPr>
        <rFont val="Calibri"/>
        <color theme="1"/>
        <sz val="9.0"/>
      </rPr>
      <t xml:space="preserve"> </t>
    </r>
    <r>
      <rPr>
        <rFont val="맑은 고딕"/>
        <color theme="1"/>
        <sz val="9.0"/>
      </rPr>
      <t>수용을</t>
    </r>
    <r>
      <rPr>
        <rFont val="Calibri"/>
        <color theme="1"/>
        <sz val="9.0"/>
      </rPr>
      <t xml:space="preserve"> </t>
    </r>
    <r>
      <rPr>
        <rFont val="맑은 고딕"/>
        <color theme="1"/>
        <sz val="9.0"/>
      </rPr>
      <t>기재하고</t>
    </r>
    <r>
      <rPr>
        <rFont val="Calibri"/>
        <color theme="1"/>
        <sz val="9.0"/>
      </rPr>
      <t xml:space="preserve"> </t>
    </r>
    <r>
      <rPr>
        <rFont val="맑은 고딕"/>
        <color theme="1"/>
        <sz val="9.0"/>
      </rPr>
      <t>서명한</t>
    </r>
    <r>
      <rPr>
        <rFont val="Calibri"/>
        <color theme="1"/>
        <sz val="9.0"/>
      </rPr>
      <t xml:space="preserve"> </t>
    </r>
    <r>
      <rPr>
        <rFont val="맑은 고딕"/>
        <color theme="1"/>
        <sz val="9.0"/>
      </rPr>
      <t>것에</t>
    </r>
    <r>
      <rPr>
        <rFont val="Calibri"/>
        <color theme="1"/>
        <sz val="9.0"/>
      </rPr>
      <t xml:space="preserve"> </t>
    </r>
    <r>
      <rPr>
        <rFont val="맑은 고딕"/>
        <color theme="1"/>
        <sz val="9.0"/>
      </rPr>
      <t>한하여</t>
    </r>
    <r>
      <rPr>
        <rFont val="Calibri"/>
        <color theme="1"/>
        <sz val="9.0"/>
      </rPr>
      <t xml:space="preserve"> </t>
    </r>
    <r>
      <rPr>
        <rFont val="맑은 고딕"/>
        <color theme="1"/>
        <sz val="9.0"/>
      </rPr>
      <t>합의로</t>
    </r>
    <r>
      <rPr>
        <rFont val="Calibri"/>
        <color theme="1"/>
        <sz val="9.0"/>
      </rPr>
      <t xml:space="preserve"> </t>
    </r>
    <r>
      <rPr>
        <rFont val="맑은 고딕"/>
        <color theme="1"/>
        <sz val="9.0"/>
      </rPr>
      <t>본다</t>
    </r>
    <r>
      <rPr>
        <rFont val="Calibri"/>
        <color theme="1"/>
        <sz val="9.0"/>
      </rPr>
      <t xml:space="preserve">. </t>
    </r>
    <r>
      <rPr>
        <rFont val="맑은 고딕"/>
        <color theme="1"/>
        <sz val="9.0"/>
      </rPr>
      <t>공란</t>
    </r>
    <r>
      <rPr>
        <rFont val="Calibri"/>
        <color theme="1"/>
        <sz val="9.0"/>
      </rPr>
      <t xml:space="preserve"> </t>
    </r>
    <r>
      <rPr>
        <rFont val="맑은 고딕"/>
        <color theme="1"/>
        <sz val="9.0"/>
      </rPr>
      <t>또는</t>
    </r>
    <r>
      <rPr>
        <rFont val="Calibri"/>
        <color theme="1"/>
        <sz val="9.0"/>
      </rPr>
      <t xml:space="preserve"> </t>
    </r>
    <r>
      <rPr>
        <rFont val="맑은 고딕"/>
        <color theme="1"/>
        <sz val="9.0"/>
      </rPr>
      <t>미기재는</t>
    </r>
    <r>
      <rPr>
        <rFont val="Calibri"/>
        <color theme="1"/>
        <sz val="9.0"/>
      </rPr>
      <t xml:space="preserve"> </t>
    </r>
    <r>
      <rPr>
        <rFont val="맑은 고딕"/>
        <color theme="1"/>
        <sz val="9.0"/>
      </rPr>
      <t>합의로</t>
    </r>
    <r>
      <rPr>
        <rFont val="Calibri"/>
        <color theme="1"/>
        <sz val="9.0"/>
      </rPr>
      <t xml:space="preserve"> </t>
    </r>
    <r>
      <rPr>
        <rFont val="맑은 고딕"/>
        <color theme="1"/>
        <sz val="9.0"/>
      </rPr>
      <t>간주하지</t>
    </r>
    <r>
      <rPr>
        <rFont val="Calibri"/>
        <color theme="1"/>
        <sz val="9.0"/>
      </rPr>
      <t xml:space="preserve"> </t>
    </r>
    <r>
      <rPr>
        <rFont val="맑은 고딕"/>
        <color theme="1"/>
        <sz val="9.0"/>
      </rPr>
      <t>아니하며</t>
    </r>
    <r>
      <rPr>
        <rFont val="Calibri"/>
        <color theme="1"/>
        <sz val="9.0"/>
      </rPr>
      <t xml:space="preserve">, </t>
    </r>
    <r>
      <rPr>
        <rFont val="맑은 고딕"/>
        <color theme="1"/>
        <sz val="9.0"/>
      </rPr>
      <t>조건부</t>
    </r>
    <r>
      <rPr>
        <rFont val="Calibri"/>
        <color theme="1"/>
        <sz val="9.0"/>
      </rPr>
      <t xml:space="preserve"> </t>
    </r>
    <r>
      <rPr>
        <rFont val="맑은 고딕"/>
        <color theme="1"/>
        <sz val="9.0"/>
      </rPr>
      <t>수용은</t>
    </r>
    <r>
      <rPr>
        <rFont val="Calibri"/>
        <color theme="1"/>
        <sz val="9.0"/>
      </rPr>
      <t xml:space="preserve"> </t>
    </r>
    <r>
      <rPr>
        <rFont val="맑은 고딕"/>
        <color theme="1"/>
        <sz val="9.0"/>
      </rPr>
      <t>기재된</t>
    </r>
    <r>
      <rPr>
        <rFont val="Calibri"/>
        <color theme="1"/>
        <sz val="9.0"/>
      </rPr>
      <t xml:space="preserve"> </t>
    </r>
    <r>
      <rPr>
        <rFont val="맑은 고딕"/>
        <color theme="1"/>
        <sz val="9.0"/>
      </rPr>
      <t>조건이</t>
    </r>
    <r>
      <rPr>
        <rFont val="Calibri"/>
        <color theme="1"/>
        <sz val="9.0"/>
      </rPr>
      <t xml:space="preserve"> </t>
    </r>
    <r>
      <rPr>
        <rFont val="맑은 고딕"/>
        <color theme="1"/>
        <sz val="9.0"/>
      </rPr>
      <t>위원회</t>
    </r>
    <r>
      <rPr>
        <rFont val="Calibri"/>
        <color theme="1"/>
        <sz val="9.0"/>
      </rPr>
      <t xml:space="preserve"> </t>
    </r>
    <r>
      <rPr>
        <rFont val="맑은 고딕"/>
        <color theme="1"/>
        <sz val="9.0"/>
      </rPr>
      <t>승인을</t>
    </r>
    <r>
      <rPr>
        <rFont val="Calibri"/>
        <color theme="1"/>
        <sz val="9.0"/>
      </rPr>
      <t xml:space="preserve"> </t>
    </r>
    <r>
      <rPr>
        <rFont val="맑은 고딕"/>
        <color theme="1"/>
        <sz val="9.0"/>
      </rPr>
      <t>얻은</t>
    </r>
    <r>
      <rPr>
        <rFont val="Calibri"/>
        <color theme="1"/>
        <sz val="9.0"/>
      </rPr>
      <t xml:space="preserve"> </t>
    </r>
    <r>
      <rPr>
        <rFont val="맑은 고딕"/>
        <color theme="1"/>
        <sz val="9.0"/>
      </rPr>
      <t>경우에</t>
    </r>
    <r>
      <rPr>
        <rFont val="Calibri"/>
        <color theme="1"/>
        <sz val="9.0"/>
      </rPr>
      <t xml:space="preserve"> </t>
    </r>
    <r>
      <rPr>
        <rFont val="맑은 고딕"/>
        <color theme="1"/>
        <sz val="9.0"/>
      </rPr>
      <t>한하여</t>
    </r>
    <r>
      <rPr>
        <rFont val="Calibri"/>
        <color theme="1"/>
        <sz val="9.0"/>
      </rPr>
      <t xml:space="preserve"> </t>
    </r>
    <r>
      <rPr>
        <rFont val="맑은 고딕"/>
        <color theme="1"/>
        <sz val="9.0"/>
      </rPr>
      <t>효력을</t>
    </r>
    <r>
      <rPr>
        <rFont val="Calibri"/>
        <color theme="1"/>
        <sz val="9.0"/>
      </rPr>
      <t xml:space="preserve"> </t>
    </r>
    <r>
      <rPr>
        <rFont val="맑은 고딕"/>
        <color theme="1"/>
        <sz val="9.0"/>
      </rPr>
      <t>갖는다</t>
    </r>
    <r>
      <rPr>
        <rFont val="Calibri"/>
        <color theme="1"/>
        <sz val="9.0"/>
      </rPr>
      <t>.</t>
    </r>
  </si>
  <si>
    <t>- 본 기술협상서에 명시된 사항은 제안서에 우선하여 적용
- 본 기술협상서에 별도로 정하지 않은 사항은 제안요청서(RFP)의 요구사항을 따르며, 이를 본 사업의 구축 범위로 이행함 
- 문서 간 해석상 상충이 있는 경우 적용 ①기술협상서 ②제안요청서 ③제안서, ④기술협상 회의록에 따름. 위원회의 요청은 RFP에 명시된 요구사항의 이행 방식을 구체화하는 범위 내에서 적용
- 본 협상서 각 항목의 수용여부란에 사업자가 명시적으로 수용을 기재하고 서명한 것에 한하여 합의로 보며, 공란 또는 미기재는 합의로 간주하지 아니함. 조건부 수용은 기재된 조건이 위원회 승인을 얻은 경우에 한하여 효력을 갖으며 이행함</t>
  </si>
  <si>
    <t>PSR-001-08-01</t>
  </si>
  <si>
    <t>[지속적 기술 지원]</t>
  </si>
  <si>
    <t>사업자는 시스템 개발 중이나 개발 후에 관련 분야 최신 정보기술 에 대한 지속적인 정보 제공에 응하여야 한다. 위원회가 향후 기능 보완을 하고자 할 경우 필요한 기술 사항을 지원하여야 한다.</t>
  </si>
  <si>
    <t>최신 정보기술 동향을 지속 공유하고 향후 기능보완에 필요한 기술자문 지원</t>
  </si>
  <si>
    <t>PSR-001-08-02</t>
  </si>
  <si>
    <t>정부 표준 모델 도입 등 모델 교체 시나리오에 대한 절차서를 제공 하여야 한다.</t>
  </si>
  <si>
    <t>정부 표준 모델 도입 등 모델 교체 시나리오에 대한 절차서를 제공</t>
  </si>
  <si>
    <t>서비스 개시 후 안정화 활동, 장애 대응, 하자보수 및 유지관리 체계 정의</t>
  </si>
  <si>
    <t>PSR-002-01-01</t>
  </si>
  <si>
    <t>[안정화 기간 및 활동]</t>
  </si>
  <si>
    <t>시스템 서비스 개시 이후 안정화 기간을 위원회와 상호 협의하여 결정한다(최소 1개월 이상 권고).</t>
  </si>
  <si>
    <t>서비스 개시 이후 안정화 기간을 위원회 협의로 확정(최소 1개월 이상 권고)</t>
  </si>
  <si>
    <t>· 안정화 수행 결과 보고서
 · 장애 대응 보고서 (장애 발생 시)
 · SLA 정의서
 · 하자보수 지원계획서
 · 하자보증확약서
 · 시스템 유지관리 방안 (대상·방식·SLA·비용 산정 포함)</t>
  </si>
  <si>
    <t>PSR-002-01-02</t>
  </si>
  <si>
    <t>안정화 기간 동안 다음 활동을 수행하여야 한다:
· 시스템 상태 모니터링 및 기록(GPU 사용률, 응답시간, 오류율)
· 예방점검(벡터DB 인덱스 상태, 모델 추론 성능, 디스크 사용량)
· 비상 연락 체계 가동
· 품질 모니터링 대시보드 기반 이상징후 추적</t>
  </si>
  <si>
    <t>안정화 기간 GPU·응답·오류 모니터링, 벡터DB·모델·디스크 예방점검, 비상연락체계 운영</t>
  </si>
  <si>
    <t>PSR-002-01-03</t>
  </si>
  <si>
    <t>안정화 기간 동안 파트별 최소 1명의 기술 인력이 상주하여 지원하여야 한다.</t>
  </si>
  <si>
    <t>컨설팅 요구사항</t>
  </si>
  <si>
    <t>안정화 기간 동안 파트별 최소 1명의 기술 인력이 상주하여 지원</t>
  </si>
  <si>
    <t>PSR-002-02-01</t>
  </si>
  <si>
    <t>[상시 모니터링 및 사전 경보 체계]</t>
  </si>
  <si>
    <t>시스템 주요 구성요소(웹 서버, API 서버, 벡터 DB, LLM 서비스 등)에 대한 상시 모니터링 체계를 운영하여야 한다.</t>
  </si>
  <si>
    <t>시스템 주요 구성요소(웹 서버, API 서버, 벡터 DB, LLM 서비스 등)에 대한 상시 모니터링 체계를 운영</t>
  </si>
  <si>
    <t>PSR-002-02-02</t>
  </si>
  <si>
    <t>장애 징후 감지 시 사전 경보가 가능하도록 임계치 기반 알림 체계를 구성하여야 한다.</t>
  </si>
  <si>
    <t>장애 징후 감지 시 사전 경보가 가능하도록 임계치 기반 알림 체계를 구성</t>
  </si>
  <si>
    <t>PSR-002-03-01</t>
  </si>
  <si>
    <t>[장애 유형별 대응 체계]</t>
  </si>
  <si>
    <t>발생 가능한 장애 요소를 유형별로 구분하여 제시하고, 유형별 대응 방안을 문서로 제출하여야 한다.
· GPU 장애(메모리 오류, 과열, Failover)
· LLM 추론 장애(응답 지연, 모델 로딩 실패)
· 벡터DB 장애(인덱스 손상, 클러스터 노드 탈락)
· RAG 파이프라인 장애(파싱 실패, 인덱싱 지연)
· SSO 인증 장애</t>
  </si>
  <si>
    <t>장애유형별 원인·영향·대응방안을 정의해 장애대응 문서로 제출</t>
  </si>
  <si>
    <t>위원회 업무 환경 분석, AI 도입 전략·로드맵 수립, 과제 발굴 및 변화관리 방안 정의</t>
  </si>
  <si>
    <t>CNR-001-01-01</t>
  </si>
  <si>
    <t>[현황 분석]</t>
  </si>
  <si>
    <t>사업자는 위원회의 현행 업무 프로세스, 정보시스템 현황, 데이터 환경을 분석하고, 생성형 AI 적용 대상 업무를 구체화하여야 한다.</t>
  </si>
  <si>
    <t>- 외부 환경분석: AI기본법, 신용정보법, 금융분야 AI 가이드라인 등 법·제도, 기술 동향, 운영환경 분석
 -내부 현황분석: 상담/접수 → 심사 → 채무조정 → 사후관리 4대 업무 Flow 기반으로 ① 업무 프로세스 ② 데이터 ③ 시스템·인프라 ④ AI 거버넌스 4개 영역 검토
 -담당자 인터뷰: 경영진/부서장/실무자 3계층 구분 인터뷰로 Pain Point 도출
 -벤치마킹: 동종(캠코, 서민금융진흥원) / 선도(국민건강보험공단, 한국장학재단, 신한은행 등 ) 기관 분석
 -산출물: 현황분석 보고서</t>
  </si>
  <si>
    <t>· 현황분석서 (As-Is 업무·시스템·데이터 환경 분석)
 · AI 도입 전략 및 단계별 로드맵 (전사 확산·예측모델 확장 포함)
 · 변화관리 계획서 (사용자 그룹별 채택 촉진 방안 포함)
 · AI 운영관리규정(안) (내규 수준)
 · AI 윤리·보안 가이드라인(안)
 · AI 위험관리 절차서(안)</t>
  </si>
  <si>
    <t>PSR-002-03-02</t>
  </si>
  <si>
    <t>사업자는 장애 발생에 대한 처리 및 시스템의 정상적 운영을 위한 지원을 하여야 한다.</t>
  </si>
  <si>
    <t>장애 발생에 대한 처리 및 시스템의 정상적 운영을 위한 지원을</t>
  </si>
  <si>
    <t>CNR-001-01-02</t>
  </si>
  <si>
    <t>콜센터, 현장 상담, 본사 업무 등 사용자 그룹별 업무 특성 및 AI 활용 시나리오를 도출하여야 한다.</t>
  </si>
  <si>
    <t>- 사용자 그룹 정의: 콜센터 / 현장상담 / 본사업무 / 관리자 4개 그룹별 업무 특성 분석
 - 그룹별 시나리오 작성:
  ㄴ 콜센터: AI상담봇·STT 기반 실시간 상담 지원
  ㄴ 현장상담: 최적 채무조정제도 추천, 상담 스크립트 자동생성
  ㄴ 본사업무: RAG 기반 법령·규정 검색, 문서 요약·작성 지원
  ㄴ 관리자: 대시보드 기반 의사결정 지원
 - 산출물: 사용자 그룹별 AI Use-Case 시나리오 정의서</t>
  </si>
  <si>
    <t>PSR-002-03-03</t>
  </si>
  <si>
    <t>장애 발생 시 원인분석 및 복구 등 즉각 조치가 가능하도록 기술지원 부서 및 전문 인력을 확보하여 항시 운영 가능하도록 하여야 한다.</t>
  </si>
  <si>
    <t>CNR-001-02-01</t>
  </si>
  <si>
    <t>[단계별 도입 로드맵 수립]</t>
  </si>
  <si>
    <t>분석 결과를 바탕으로 생성형 AI 플랫폼의 단계별 도입 전략 (To-Be) 및 우선순위를 제시하여야 한다.</t>
  </si>
  <si>
    <t>장애 발생 시 원인분석 및 복구 등 즉각 조치가 가능하도록 기술지원 부서 및 전문 인력을 확보하여 항시 운영 가능하도록</t>
  </si>
  <si>
    <t>- 개선기회 도출: 취약점 → 시사점 → 개선기회 → To-Be 방향성 4단계 정의
 - 과제 우선순위 평가: Scoring Matrix 적용
  ㄴ 비즈니스 효과성(경쟁우위,위험성, 투자효과) × 실행 용이성(기술/자원/연계)
 - 단계 구분: ① Pilot ② 단기(Quick-Win) ③ 중장기 과제로 구분
 - 산출물: To-Be 과제 정의서, 우선순위 평가표, 단계별 도입 로드맵</t>
  </si>
  <si>
    <t>CNR-001-02-02</t>
  </si>
  <si>
    <t>PSR-002-03-04</t>
  </si>
  <si>
    <t>기대효과 및 성과지표(KPI) 도출 방안을 포함하여야 한다.</t>
  </si>
  <si>
    <t>장애 통보 후 원격 또는 현장방문으로 4시간 이내에 1차 조치가 되어야 한다.</t>
  </si>
  <si>
    <t>- 기대효과 정의: 정량(처리시간 단축률, 자동화율, 상담응대율) + 정성(서비스 품질, 직원 만족도)
 - KPI 설정: 과제별 Baseline 측정 → 목표치 설정 → 측정주기 정의
 - 산출물: 과제별 KPI 정의서 (지표·산식·Baseline·목표·측정방법)</t>
  </si>
  <si>
    <t>장애 통보 후 원격 또는 현장방문으로 4시간 이내에 1차 조치가</t>
  </si>
  <si>
    <t>CNR-001-02-03</t>
  </si>
  <si>
    <t>PSR-002-03-05</t>
  </si>
  <si>
    <t>시범운영 결과를 기반으로 전사 확산 로드맵 및 추가 서비스 발굴 방안을 제시하여야 한다.</t>
  </si>
  <si>
    <t>장애 등급에 따른 대응 시간(인지→조치 착수→복구 완료) 기준을 준수하여야 하며, 장애 등급별 세부 시간 기준은 기술협상 시 확정한다.</t>
  </si>
  <si>
    <t>- Pilot 결과 분석: 성능지표·사용자 만족도·운영 안정성 종합 평가
 - 확산 로드맵: '26 Q3 Pilot → '27 단기 → '27 이후 중장기 단계적 확산
 - 추가 서비스 발굴: Design Thinking 워크샵, AI Challenge 경진대회를 통한 현업 주도 Use-Case 지속 발굴
 - 산출물: 전사 확산 로드맵, 신규 서비스 후보 Pool</t>
  </si>
  <si>
    <t>[Before]
장애등급별 인지→조치→복구 기준 준수, 세부 대응시간은 별도 협의·확정
[After]
장애 등급에 따른 대응 시간(인지→조치 착수→복구 완료) 기준 및 장애 등급별 세부 시간 기준은 기술협상에 따름</t>
  </si>
  <si>
    <t>RTO는 기술협상 별첨자료에 따름을 기재 요청</t>
  </si>
  <si>
    <t>CNR-001-02-04</t>
  </si>
  <si>
    <t>예측 모델 기반 확장 방안(Macro 트랙 확장, 위험등급별 대응 전략 고도화 등)을 2차 사업 확산 로드맵으로 제시하여야 한다.</t>
  </si>
  <si>
    <t>- 3대 예측 모델 고도화 방향:
  ㄴ SFR-024 차기 변제금 납입 가능성 예측 → 위험등급별 선제 대응
  ㄴ SFR-025 최적 채무조정제도 진단 추천 → 신규 진입자 매칭 정확도 향상
  ㄴ SFR-026 소액대출 이용자 연체 예측 → 고위험군 사전관리
 - Macro 트랙 확장 방안: 개별 이용자 → 포트폴리오 단위 위험 예측, 거시경제지표 연계 모델 확장
 - 위험등급별 대응 전략 고도화: 등급별 차별화 상담·관리 프로세스 정립
 - 산출물: 2차 사업 확산 로드맵, 예측 모델 확장 청사진</t>
  </si>
  <si>
    <t>PSR-002-03-06</t>
  </si>
  <si>
    <t>장애 원인 분석, 재발 방지 대책을 수립하고 장애 보고서를 제출하여야 한다.</t>
  </si>
  <si>
    <t>장애 원인 분석, 재발 방지 대책을 수립·장애 보고서를 제출</t>
  </si>
  <si>
    <t>CNR-001-02-05</t>
  </si>
  <si>
    <t>구체적인 확산 일정 및 범위는 위원회와 협의하여 확정한다.</t>
  </si>
  <si>
    <t>- 위원회 협의체 운영: 정기 Steering Committee 및 실무 Working Group 구성
 - 반복 검토 체계: 일정·범위·예산 변경요인 발생 시 즉시 협의·반영
 - 산출물: 확산 추진 일정표(위원회 승인본), 범위 정의서</t>
  </si>
  <si>
    <t>PSR-002-04-01</t>
  </si>
  <si>
    <t>[서비스 수준 및 점검 체계]</t>
  </si>
  <si>
    <t>장애 대응시간, 복구시간 등 서비스 수준(SLA)을 정의하여야 한다. 구체적인 SLA 항목 및 기준은 사업자 제안 및 기술협상을 통해 확정한다.</t>
  </si>
  <si>
    <t>[Before]
장애 대응·복구시간 SLA 정의, 세부 기준은 별도 협의·확정
[After]
장애 대응시간, 복구시간 등 서비스 수준(SLA) 및 구체적인 SLA 항목과 기준은 기술협상에 따름</t>
  </si>
  <si>
    <t>CNR-001-03-01</t>
  </si>
  <si>
    <t>[신규 과제 발굴 및 타당성 검증]</t>
  </si>
  <si>
    <t>AI 모델 도입 및 서비스 구현을 위한 신규 과제(PoC)를 발굴하고, 타당성 검증을 위한 실증 방안을 제시하여야 한다.</t>
  </si>
  <si>
    <t>- PoC 후보 발굴: 과제 우선순위 평가 결과 기반 Pilot 후보 선정
 - 타당성 검증 프레임:
  ㄴ 기술 타당성 (모델 정확도, 인프라 적합성)
  ㄴ 업무 타당성 (현업 수용성, 프로세스 적합성)
  ㄴ 경제 타당성 (ROI, TCO)
 - 실증 절차: 데이터 확보 → 모델 개발(MLOps) → 성능평가(AR/F1/SHAP) → 현업 검증 → 확산 결정흐름의 방안 검토
 - 산출물: 신규과제(PoC) 과제 정의서, 실증 계획서</t>
  </si>
  <si>
    <t>PSR-002-04-02</t>
  </si>
  <si>
    <t>CNR-001-04-01</t>
  </si>
  <si>
    <t>정기 점검, 예방 점검, 성능 점검 체계를 포함하여야 한다.</t>
  </si>
  <si>
    <t>[변화관리 및 확산 전략]</t>
  </si>
  <si>
    <t>생성형 AI 도입에 따른 업무 프로세스 변화, 사용자 저항 요인을 분 석하고, 단계별 변화관리 방안을 수립하여야 한다.</t>
  </si>
  <si>
    <t>정기 점검, 예방 점검, 성능 점검 체계를 포함</t>
  </si>
  <si>
    <t>- 3단계 변화관리 모델 적용:
  ㄴ Getting into AI: 심리적 저항 해소, 기초 지식 전파 (AI 리터러시 교육)
  ㄴ Expanding with AI: 실무 적용 역량 강화 (변화리더 Track, Design Thinking 워크샵)
  ㄴ Normalizing AI: 표준 업무화 및 자생적 혁신 문화 (AI Challenge, 표준 프로세스 정립)
 - 저항요인 분석: 직무·직급·세대별 인터뷰 및 설문 통해 진단
 - 산출물: 변화관리 마스터플랜, 단계별 실행계획서</t>
  </si>
  <si>
    <t>CNR-001-04-02</t>
  </si>
  <si>
    <t>사용자 그룹별 맞춤형 채택 촉진 방안(교육, 홍보, 인센티브 등)을 제시하여야 한다.</t>
  </si>
  <si>
    <t>PSR-002-04-03</t>
  </si>
  <si>
    <t>PwC으 타사 레퍼런스 모델 기반으로 Customization
 - 교육: 콜센터/현장상담/본사/관리자 그룹별 + 직급별(임원/일반/실무) 차별화 커리큘럼
 - 홍보: 카드뉴스, 웹툰, 뉴스레터 등 가시성 높은 정기 홍보물 발간
 - 인센티브: AI Challenge 경진대회, 우수사례 포상, 변화리더 인증제
 - 산출물: 그룹별 채택 촉진 실행계획서, 교육 커리큘럼</t>
  </si>
  <si>
    <t>서비스 가용성 및 안정성 확보 방안을 제시하여야 한다.</t>
  </si>
  <si>
    <t>서비스 가용성 및 안정성 확보 방안 제시</t>
  </si>
  <si>
    <t>CNR-001-05-01</t>
  </si>
  <si>
    <t>[기타]</t>
  </si>
  <si>
    <t>「인공지능 발전과 신뢰 기반 조성 등에 관한 기본법」 및 동법 시행령의 주요 의무사항(투명성, 고영향 AI판단 기준 등)을 반영한 내부 관리 체계를 수립하여야 한다.</t>
  </si>
  <si>
    <t>- 법적 요구사항 진단:
  ㄴ 고영향 AI 판단 기준 로직트리화 (활용영역·권익영향)
  ㄴ 투명성 의무(생성형 AI) 적용 대상·표시 기준 정의
  ㄴ 안전성 확보 의무 — 위험관리·모니터링 체계 수립
 - AI TRiSM 프레임워크 적용: Trust(신뢰성)·Risk(위험)·Security(보안) 통합관리
 - AI Readiness Assessment: 진단 체크리스트 기반 As-Is 진단 → Gap → 개선과제 도출
 - 산출물: AI Readiness 진단 보고서, 고영향 AI 판단 가이드, 위험관리 체계도</t>
  </si>
  <si>
    <t>PSR-002-04-04</t>
  </si>
  <si>
    <t>SLA 미달 시 대응 방안을 포함하여야 한다.</t>
  </si>
  <si>
    <t>SLA 미달 시 대응 방안을 포함</t>
  </si>
  <si>
    <t>CNR-001-05-02</t>
  </si>
  <si>
    <t>사업자는 위원회가 AI거버넌스를 자율적으로 운영할 수 있도록 제규정 (안)을 산출물로 제출하여야 한다.</t>
  </si>
  <si>
    <t>위원회와 업무범위 및 산출물 수준에 대한 협의 : PwC Asset 기반 표준 내부 규정 안 제시 -&gt; 내부규정안에 맞게 Customization은 신복위 자체 프로세스를 통해 진행 
 3계층 규정 체계 설계:
  ㄴ AI 정책 (총괄 준법 기준): AI 윤리원칙, 거버넌스 운영규정
  ㄴ AI 위험관리 내규: 위험 식별·평가·처리 절차, 등급 분류 기준
  ㄴ 실무 매뉴얼: 기획/개발/운영 단계별 체크리스트, 서비스 위험평가서, 모니터링 계획서
 - 운영 체계 정립: AI 심의기구, AI 거버넌스 전담조직 R&amp;R 정의
 - 자율운영 지원: 위원회 자체 점검·운영 가능한 Toolkit 및 교육자료 동시 제공
 - 산출물: AI 운영관리규정(案), 윤리·보안 가이드라인(案), 위험관리 절차서(案), 실무 체크리스트 Set</t>
  </si>
  <si>
    <t>PSR-002-05-01</t>
  </si>
  <si>
    <t>[시스템 연속성 보장]</t>
  </si>
  <si>
    <t>백업 및 복구 방안을 문서화하여 산출물로 제시하여야 한다.</t>
  </si>
  <si>
    <t>백업 및 복구 방안을 문서화하여 산출물로 제시</t>
  </si>
  <si>
    <t>업무·데이터·응용·인프라·보안 관점의 목표시스템 아키텍처 설계 및 세부 요건 정의</t>
  </si>
  <si>
    <t>CNR-002-01-01</t>
  </si>
  <si>
    <t>[목표시스템 아키텍처 설계]</t>
  </si>
  <si>
    <t>사업자는 업무, 데이터, 응용, 인프라, 보안 관점별 최적의 아키텍처 (표준 방안)를 선정하고 검증하여야 한다.</t>
  </si>
  <si>
    <t>업무·데이터·응용·인프라·보안 관점의 목표 아키텍처 대안 비교·검증</t>
  </si>
  <si>
    <t>· 데이터 품질 핵심지표(CTQ) 정의서
 · 상세 요건 정의서</t>
  </si>
  <si>
    <t>PSR-002-05-02</t>
  </si>
  <si>
    <t>벡터DB 자동백업(일 1회 이상), PITR 복구, 모델 파일 백업 절차를 포함하여야 한다.</t>
  </si>
  <si>
    <t>벡터DB 자동백업(일 1회 이상), PITR 복구, 모델 파일 백업 절차를 포함</t>
  </si>
  <si>
    <t>CNR-002-01-02</t>
  </si>
  <si>
    <t>To-Be 시스템 전체 구성도(논리서버, DB, 네트워크 포함)를 도식화 하고 세부 요건을 정의하여야 한다.</t>
  </si>
  <si>
    <t>논리서버·DB·네트워크를 포함한 To-Be 전체 구성도와 세부 요건 정의</t>
  </si>
  <si>
    <t>PSR-002-05-03</t>
  </si>
  <si>
    <t>CNR-002-01-03</t>
  </si>
  <si>
    <t>시스템 연속성 보장 및 장애 발생 대응 계획서를 사업 종료 시 완료 보고서에 포함하여 제출하여야 한다.</t>
  </si>
  <si>
    <t>데이터 관점에서 지식 자산(규정·지침·매뉴얼 등)의 수집·분류·갱신·폐기에 관한 거버넌스 체계를 설계하고, 데이터 소유자·관리자·사용자 간 역할과 책임을 정의하여야 한다.</t>
  </si>
  <si>
    <t>지식자산 수집·분류·갱신·폐기 절차와 소유자·관리자·사용자 R&amp;R 설계</t>
  </si>
  <si>
    <t>시스템 연속성 보장 및 장애 발생 대응 계획서를 사업 종료 시 완료 보고서에 포함하여 제출</t>
  </si>
  <si>
    <t>CNR-002-01-04</t>
  </si>
  <si>
    <t>지식베이스에 등록되는 데이터의 품질 기준(정확성, 최신성, 완전성)과 검증 절차를 수립하고, 품질 측정 지표 및 모니터링 방안을 제시하여야 한다.</t>
  </si>
  <si>
    <t>지식베이스 정확성·최신성·완전성 기준, 검증절차·측정지표·모니터링 방안 수립</t>
  </si>
  <si>
    <t>PSR-002-06-01</t>
  </si>
  <si>
    <t>[하자보수 기간 및 범위]</t>
  </si>
  <si>
    <t>사업자는 최종검수 완료일로부터 1년간 무상 하자보수를 실시하여야 한다.</t>
  </si>
  <si>
    <t>최종검수 완료일로부터 1년간 무상 하자보수를 실시</t>
  </si>
  <si>
    <t>CNR-002-02-01</t>
  </si>
  <si>
    <t>[요건 정의 및 검증]</t>
  </si>
  <si>
    <t>제안요청서의 요구사항을 기반으로 상세 요건을 명세화하고, 위원회와 협의를 통해 확정하여야 한다.</t>
  </si>
  <si>
    <t>RFP 요구를 상세 요건으로 분해하고 인터뷰·워크숍·검토회의로 협의·확정</t>
  </si>
  <si>
    <t>PSR-002-06-02</t>
  </si>
  <si>
    <t>하자보수 범위는 다음을 포함한다:
· 응용 소프트웨어(플랫폼 전체, AI Agent, 관리자 콘솔)
· 도입 하드웨어(GPU 서버, 벡터DB 서버 등)
· 도입 상용 소프트웨어(HWP 변환 엔진, SSO Agent, 워크플로 스케줄러 등)
· 오픈소스 소프트웨어(벡터DB, LLM 프레임워크 등)</t>
  </si>
  <si>
    <t>플랫폼·Agent·관리자콘솔·도입 H/W·상용SW·오픈소스를 1년 무상 하자보수 범위에 포함</t>
  </si>
  <si>
    <t>CNR-002-02-02</t>
  </si>
  <si>
    <t>설계된 아키텍처의 기술적 타당성, 확장성, 보안성을 검증하여야 한다.</t>
  </si>
  <si>
    <t>목표 아키텍처의 기술 타당성·확장성·보안성 검토 및 검증결과 문서화</t>
  </si>
  <si>
    <t>PSR-002-06-03</t>
  </si>
  <si>
    <t>하자보수 범위를 초과하여 유상으로 처리되는 유지보수 사항에 대해서는 대상범위와 유상처리 기준을 명확하게 제시하여야 한다.</t>
  </si>
  <si>
    <t>유상 유지보수 대상범위·처리기준을 무상 하자보수 범위와 구분해 제시</t>
  </si>
  <si>
    <t>PSR-002-07-01</t>
  </si>
  <si>
    <t>[하자보수 지원 체계]</t>
  </si>
  <si>
    <t>하자보수 기간 중 시스템 장애 또는 중대한 결함이 발생하는 경우 문제 해결 시까지 필요한 인력을 투입하여 조치하여야 한다.</t>
  </si>
  <si>
    <t>하자보수 기간 중 시스템 장애 또는 중대한 결함이 발생하는 경우 문제 해결 시까지 필요한 인력을 투입하여 조치</t>
  </si>
  <si>
    <t>PSR-002-07-02</t>
  </si>
  <si>
    <t>하자보수 지원방안에 지원 범위, 지원 방법, 비상연락 체계를 포함 하여 제시하여야 한다.</t>
  </si>
  <si>
    <t>하자보수 지원방안에 지원 범위, 지원 방법, 비상연락 체계를 포함 하여 제시</t>
  </si>
  <si>
    <t>PSR-002-07-03</t>
  </si>
  <si>
    <t>긴급 수리, 성능 개선 지원 및 방문 지원관리 서비스를 제공하여야 한다.</t>
  </si>
  <si>
    <t>긴급 수리, 성능 개선 지원 및 방문 지원관리 서비스를 제공</t>
  </si>
  <si>
    <t>PSR-002-07-04</t>
  </si>
  <si>
    <t>하자보수 기간 중 OS 및 각종 S/W의 보안 패치를 무상으로 제공 하여야 한다.</t>
  </si>
  <si>
    <t>하자보수 기간 중 OS 및 각종 S/W의 보안 패치를 무상으로 제공</t>
  </si>
  <si>
    <t>PSR-002-08-01</t>
  </si>
  <si>
    <t>[H/W·S/W 품질 보증]</t>
  </si>
  <si>
    <t>신규 도입되는 S/W 및 H/W는 기술지원과 부품공급을 최소 5년 이상 보장할 수 있어야 한다.</t>
  </si>
  <si>
    <t>신규 도입되는 S/W 및 H/W는 기술지원과 부품공급을 최소 5년 이상 보장 가능</t>
  </si>
  <si>
    <t>PSR-002-08-02</t>
  </si>
  <si>
    <t>공급되는 장비 및 부품의 생산 중단 시 최소 3개월 전에 서면으로 통보하고, 예비부품 사전확보 및 대체품 지속운용 대책을 강구하여야 한다.</t>
  </si>
  <si>
    <t>공급되는 장비 및 부품의 생산 중단 시 최소 3개월 전에 서면으로 통보하고, 예비부품 사전확보 및 대체품 지속운용 대책을 강구</t>
  </si>
  <si>
    <t>PSR-002-08-03</t>
  </si>
  <si>
    <t>사업 종료 시 하자보증확약서를 제출해야 하며, 하자보증 이행으로 발생하는 모든 비용은 사업자가 부담하여야 한다.</t>
  </si>
  <si>
    <t>사업 종료 시 하자보증확약서를 제출·하자보증 이행으로 발생하는 모든 비용은 사업자가 부담</t>
  </si>
  <si>
    <t>PSR-002-09-01</t>
  </si>
  <si>
    <t>[유지관리 정책]</t>
  </si>
  <si>
    <t>하자보수 기간 종료 후 유지관리 대상, 방식, 비용 산정 방식을 제시 하여야 한다.</t>
  </si>
  <si>
    <t>하자보수 기간 종료 후 유지관리 대상, 방식, 비용 산정 방식을 제시</t>
  </si>
  <si>
    <t>PSR-002-09-02</t>
  </si>
  <si>
    <t>유지관리 범위(인프라/응용프로그램/데이터)와 SLA 항목 및 지표를 정의하여야 한다.</t>
  </si>
  <si>
    <t>유지관리 범위(인프라/응용프로그램/데이터)와 SLA 항목 및 지표를 정의</t>
  </si>
  <si>
    <t>PSR-002-09-03</t>
  </si>
  <si>
    <t>유지관리 업무 처리 절차(접수→분류→처리→검증→완료)를 수립하고, 장애 등급별 대응 기준 및 에스컬레이션 체계를 정의하여야 한다.</t>
  </si>
  <si>
    <t>접수→분류→처리→검증→완료 절차와 장애등급별 에스컬레이션 체계 수립</t>
  </si>
  <si>
    <t>PSR-002-09-04</t>
  </si>
  <si>
    <t>유지관리 대상은 본 사업을 통해 구축된 생성형 AI 플랫폼 전체(응용 소프트웨어, 에이전트, 관리자 콘솔, RAG 파이프라인, 벡터 DB, 연계 인터페이스 등)를 포함하여야 한다.</t>
  </si>
  <si>
    <t>플랫폼·Agent·관리콘솔·RAG·벡터DB·연계 I/F 전체를 유지관리 대상으로 지정</t>
  </si>
  <si>
    <t>기존 콜센터 STT/솔루션 도입업체의 하도급 참여 구조 및 인터페이스 구축 역할 정의
(※ 본 위원회 콜센터에는 실시간 STT 엔진, 화자 분리 엔진, 통화 의도(Intent) 분석 및 상담기록 자동등록 기능이 GPU 서버 기반으로 구축·운영되고 있다. 본 사업의 콜센터 상담 어시스턴트는 기존 시스템을 고도화하는 것으로, 기존 도입업체의 기술 참여가 전제된다.)</t>
  </si>
  <si>
    <t>PSR-003-01-01</t>
  </si>
  <si>
    <t>[기술 참여 구조 정의]</t>
  </si>
  <si>
    <t>기존 콜센터에 도입된 STT 엔진 및 관련 솔루션의 도입업체가 본 사업에 참여하여 기술 연동을 수행하는 체계를 정의하여야 한다.</t>
  </si>
  <si>
    <t>기존 콜센터에 도입된 STT 엔진 및 관련 솔루션의 도입업체가 본 사업에 참여하여 기술 연동을 수행하는 체계를 정의</t>
  </si>
  <si>
    <t>· STT 연동 인터페이스 설계서</t>
  </si>
  <si>
    <t>PSR-003-01-02</t>
  </si>
  <si>
    <t>기술 참여 범위를 명확히 정의하여야 한다
· STT 엔진 설치·설정 및 온프레미스 환경 최적화
· AI 플랫폼과의 실시간 스트리밍 연동 인터페이스 구축
· 화자 분리(Speaker Diarization) 엔진 설치·연동
· 위원회 도메인 용어 파인튜닝 지원</t>
  </si>
  <si>
    <t>ECS</t>
  </si>
  <si>
    <t>STT 설치·온프레미스 최적화·실시간 스트리밍·화자분리·도메인 용어 튜닝의 참여 범위 정의</t>
  </si>
  <si>
    <t>PSR-003-02-01</t>
  </si>
  <si>
    <t>[인터페이스 구축 역할 분담]</t>
  </si>
  <si>
    <t>원사업자(AI 플랫폼 구축)와 기존 도입업체(STT/솔루션) 간 인터페이스 구축 역할을 명확히 분담하여야 한다
· 원사업자 책임: AI 플랫폼 측 수신 모듈 개발, 데이터 처리 파이프라인 구축, Agent 서비스 통합
· 기존 도입업체 책임: STT 엔진 측 송신 모듈 개발, 스트리밍 API 제공, 화자 분리 결과 전달 규격 구현</t>
  </si>
  <si>
    <t>제논
ECS</t>
  </si>
  <si>
    <t>원사업자는 수신·파이프라인·Agent 통합, 기존업체는 STT 송신·API·화자분리 규격 구현으로 역할 분담</t>
  </si>
  <si>
    <t>PSR-003-02-02</t>
  </si>
  <si>
    <t>인터페이스 규격에 따른 구현 및 통합 테스트 절차를 정의하여야 한다.</t>
  </si>
  <si>
    <t>인터페이스 규격에 따른 구현 및 통합 테스트 절차를 정의</t>
  </si>
  <si>
    <t>PSR-003-03-01</t>
  </si>
  <si>
    <t>[기술 지원 및 협업 체계]</t>
  </si>
  <si>
    <t>기존 도입업체의 기술 지원 범위(설치, 연동 테스트, 파인튜닝, 장애 대응)를 정의하여야 한다.</t>
  </si>
  <si>
    <t>기존 도입업체의 기술 지원 범위(설치, 연동 테스트, 파인튜닝, 장애 대응)를 정의</t>
  </si>
  <si>
    <t>PSR-003-03-02</t>
  </si>
  <si>
    <t>사업 기간 중 기술 협의 채널(정기 회의, 이슈 트래킹) 운영 방안을 제시하여야 한다.</t>
  </si>
  <si>
    <t>사업 기간 중 기술 협의 채널(정기 회의, 이슈 트래킹) 운영 방안 제시</t>
  </si>
  <si>
    <t>PSR-003-03-03</t>
  </si>
  <si>
    <t>하자보수 기간 중 STT 엔진 관련 장애 대응 책임 및 절차를 정의하여야 한다.</t>
  </si>
  <si>
    <t>하자보수 기간 중 STT 엔진 관련 장애 대응 책임 및 절차를 정의</t>
  </si>
  <si>
    <t>PSR-003-04-01</t>
  </si>
  <si>
    <t>STT 엔진 연동 완료 검수 기준(정상 연동 확인, 성능 기준 충족, 인터페이스 규격 준수)을 정의하여야 한다.</t>
  </si>
  <si>
    <t>STT 엔진 연동 완료 검수 기준(정상 연동 확인, 성능 기준 충족, 인터페이스 규격 준수)을 정의</t>
  </si>
  <si>
    <t>PSR-003-04-02</t>
  </si>
  <si>
    <t>원사업자-기존 도입업체 공동 통합 테스트 수행 및 결과 보고 절차를 정의하여야 한다.</t>
  </si>
  <si>
    <t>원사업자-기존 도입업체 공동 통합 테스트 수행 및 결과 보고 절차를 정의</t>
  </si>
  <si>
    <t>AI 모델 및 파이프라인 운영 관리</t>
  </si>
  <si>
    <t>생성형 AI 특화 구성요소 및 ML 예측 모델의 지속적 운영 관리 체계 정의</t>
  </si>
  <si>
    <t>PSR-004-01-01</t>
  </si>
  <si>
    <t>[LLM 모델 운영 관리]</t>
  </si>
  <si>
    <t>언어모델의 성능 모니터링, 모델 교체·롤백 절차를 운영 매뉴얼에 따라 수행하여야 한다.</t>
  </si>
  <si>
    <t>언어모델의 성능 모니터링, 모델 교체·롤백 절차를 운영 매뉴얼에 따라 수행</t>
  </si>
  <si>
    <t>· 운영 현황 보고서(월간)
 · 모델 성능 평가 보고서(분기)</t>
  </si>
  <si>
    <t>PSR-004-01-02</t>
  </si>
  <si>
    <t>모델 업데이트 또는 교체 시 위원회의 사전 승인을 득하여야 한다.</t>
  </si>
  <si>
    <t>모델 업데이트·교체 전 위원회 사전승인 획득</t>
  </si>
  <si>
    <t>PSR-004-02-01</t>
  </si>
  <si>
    <t>[RAG 파이프라인 운영 관리]</t>
  </si>
  <si>
    <t>지식베이스 갱신(문서 추가·변경·삭제), 임베딩 모델 재학습, 벡터 인 덱스 최적화 등의 정기적 운영 활동을 수행하여야 한다.</t>
  </si>
  <si>
    <t>지식베이스 갱신(문서 추가·변경·삭제), 임베딩 모델 재학습, 벡터 인 덱스 최적화 등의 정기적 운영 활동을 수행</t>
  </si>
  <si>
    <t>PSR-004-02-02</t>
  </si>
  <si>
    <t>응답 품질 저하 발생 시 원인 분석 및 개선 조치를 수행하여야 한다.</t>
  </si>
  <si>
    <t>응답 품질 저하 발생 시 원인 분석 및 개선 조치를 수행</t>
  </si>
  <si>
    <t>PSR-004-03-01</t>
  </si>
  <si>
    <t>[ML 예측 모델 운영 관리]</t>
  </si>
  <si>
    <t>수행사는 차기 변제금 납입 가능성 예측 모델의 배치 예측 파이프 라인을 정기적으로 운영하고, 실패 발생 시 원인 분석 및 재처리를 상세 지원하여야 한다.</t>
  </si>
  <si>
    <t>차기 변제금 납입 가능성 예측 모델의 배치 예측 파이프라인을 정기적으로 운영하고, 실패 발생 시 원인 분석 및 재처리를 지원</t>
  </si>
  <si>
    <t>PSR-004-03-02</t>
  </si>
  <si>
    <t>마트 데이터 갱신 주기에 따른 데이터 적재 운영을 지원하고, 적재 이상 발생 시 즉시 대응하여야 한다.</t>
  </si>
  <si>
    <t>마트 데이터 갱신 주기에 따른 데이터 적재 운영을 지원하고, 적재 이상 발생 시 즉시 대응</t>
  </si>
  <si>
    <t>PSR-004-03-03</t>
  </si>
  <si>
    <t>분기 1회 이상 모델 성능 지표를 산출하고, 재학습 필요 여부를 검토하여 위원회에 보고하여야 한다.</t>
  </si>
  <si>
    <t>분기 1회 이상 모델 성능 지표를 산출하고, 재학습 필요 여부를 검토하여 위원회에 보고</t>
  </si>
  <si>
    <t>PSR-004-03-04</t>
  </si>
  <si>
    <t>재학습 수행 시 위원회의 사전 승인을 득하여야 하며, 이전 모델 버전으로의 롤백 절차를 포함한 운영 매뉴얼을 제공하여야 한다.</t>
  </si>
  <si>
    <t>재학습 전 위원회 승인, 이전 모델 롤백 절차를 운영매뉴얼에 반영</t>
  </si>
  <si>
    <t>PSR-004-04-01</t>
  </si>
  <si>
    <t>[전문 운영 인프라 관리]</t>
  </si>
  <si>
    <t>사업자는 다음 전문 운영 영역에 대한 운영 및 기술지원을 포함하여야 한다:
· GPU 서버 운영 및 자원관리
· 컨테이너 기반 플랫폼(Kubernetes 등) 운영
· AI 모델 배포 및 운영(MLOps)
· LLM 모델 적용 및 성능 개선(튜닝 포함)</t>
  </si>
  <si>
    <t>GPU·Kubernetes·MLOps·LLM 모델 운영 및 성능개선 전문 기술지원 제공</t>
  </si>
  <si>
    <t>PSR-004-04-02</t>
  </si>
  <si>
    <t>각 영역에 대해 모니터링, 장애 대응, 성능 최적화 기능을 포함하여야 한다.</t>
  </si>
  <si>
    <t>각 영역에 대해 모니터링, 장애 대응, 성능 최적화 기능을 포함</t>
  </si>
  <si>
    <t>PSR-004-04-03</t>
  </si>
  <si>
    <t>특정 기술 또는 특정 인력에 종속되지 않는 운영체계를 제공하여야 한다.</t>
  </si>
  <si>
    <t>특정 기술 또는 특정 인력에 종속되지 않는 운영체계 구성</t>
  </si>
  <si>
    <t>PSR-004-04-04</t>
  </si>
  <si>
    <t>운영 자동화 및 관리도구를 활용하여 운영 난이도를 최소화하여야 한다.</t>
  </si>
  <si>
    <t>운영 자동화 및 관리도구를 활용하여 운영 난이도를 최소화</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</si>
</sst>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numFmts>
  <fonts count="30">
    <font>
      <sz val="10.0"/>
      <color rgb="FF000000"/>
      <name val="Arial"/>
      <scheme val="minor"/>
    </font>
    <font>
      <b/>
      <sz val="20.0"/>
      <color rgb="FF000000"/>
      <name val="Malgun Gothic"/>
    </font>
    <font>
      <sz val="10.0"/>
      <color rgb="FF000000"/>
      <name val="Malgun Gothic"/>
    </font>
    <font>
      <sz val="11.0"/>
      <color rgb="FF000000"/>
      <name val="Malgun Gothic"/>
    </font>
    <font>
      <b/>
      <sz val="11.0"/>
      <color rgb="FF000000"/>
      <name val="Malgun Gothic"/>
    </font>
    <font/>
    <font>
      <sz val="11.0"/>
      <color theme="1"/>
      <name val="Malgun Gothic"/>
    </font>
    <font>
      <b/>
      <sz val="11.0"/>
      <color theme="1"/>
      <name val="Malgun Gothic"/>
    </font>
    <font>
      <b/>
      <sz val="25.0"/>
      <color rgb="FF000000"/>
      <name val="Malgun Gothic"/>
    </font>
    <font>
      <b/>
      <sz val="20.0"/>
      <color theme="1"/>
      <name val="Malgun Gothic"/>
    </font>
    <font>
      <sz val="10.0"/>
      <color rgb="FF000000"/>
      <name val="Arial"/>
    </font>
    <font>
      <b/>
      <sz val="11.0"/>
      <color rgb="FFFFFFFF"/>
      <name val="Malgun Gothic"/>
    </font>
    <font>
      <b/>
      <sz val="28.0"/>
      <color rgb="FFFFFFFF"/>
      <name val="Malgun Gothic"/>
    </font>
    <font>
      <b/>
      <sz val="12.0"/>
      <color rgb="FF000000"/>
      <name val="Malgun Gothic"/>
    </font>
    <font>
      <b/>
      <sz val="10.0"/>
      <color rgb="FFFFFFFF"/>
      <name val="Malgun Gothic"/>
    </font>
    <font>
      <b/>
      <sz val="14.0"/>
      <color rgb="FF000000"/>
      <name val="Malgun Gothic"/>
    </font>
    <font>
      <b/>
      <sz val="10.0"/>
      <color theme="0"/>
      <name val="Malgun Gothic"/>
    </font>
    <font>
      <b/>
      <sz val="13.0"/>
      <color rgb="FF000000"/>
      <name val="Malgun Gothic"/>
    </font>
    <font>
      <sz val="9.0"/>
      <color theme="1"/>
      <name val="Malgun Gothic"/>
    </font>
    <font>
      <sz val="9.0"/>
      <color rgb="FF000000"/>
      <name val="Malgun Gothic"/>
    </font>
    <font>
      <sz val="8.0"/>
      <color rgb="FF000000"/>
      <name val="Malgun Gothic"/>
    </font>
    <font>
      <sz val="9.0"/>
      <color rgb="FF0000FF"/>
      <name val="Malgun Gothic"/>
    </font>
    <font>
      <sz val="11.0"/>
      <color rgb="FFFF0000"/>
      <name val="Malgun Gothic"/>
    </font>
    <font>
      <b/>
      <sz val="10.0"/>
      <color theme="1"/>
      <name val="Malgun Gothic"/>
    </font>
    <font>
      <sz val="9.0"/>
      <color theme="1"/>
      <name val="Arial"/>
      <scheme val="minor"/>
    </font>
    <font>
      <sz val="10.0"/>
      <color theme="1"/>
      <name val="Malgun Gothic"/>
    </font>
    <font>
      <sz val="9.0"/>
      <color rgb="FFFF0000"/>
      <name val="Malgun Gothic"/>
    </font>
    <font>
      <sz val="9.0"/>
      <color theme="0"/>
      <name val="Malgun Gothic"/>
    </font>
    <font>
      <sz val="11.0"/>
      <color rgb="FF0000FF"/>
      <name val="Malgun Gothic"/>
    </font>
    <font>
      <sz val="10.0"/>
      <color rgb="FF0000FF"/>
      <name val="Malgun Gothic"/>
    </font>
  </fonts>
  <fills count="17">
    <fill>
      <patternFill patternType="none"/>
    </fill>
    <fill>
      <patternFill patternType="lightGray"/>
    </fill>
    <fill>
      <patternFill patternType="solid">
        <fgColor rgb="FFC0C0C0"/>
        <bgColor rgb="FFC0C0C0"/>
      </patternFill>
    </fill>
    <fill>
      <patternFill patternType="solid">
        <fgColor rgb="FFC5D9F1"/>
        <bgColor rgb="FFC5D9F1"/>
      </patternFill>
    </fill>
    <fill>
      <patternFill patternType="solid">
        <fgColor rgb="FFFFFFFF"/>
        <bgColor rgb="FFFFFFFF"/>
      </patternFill>
    </fill>
    <fill>
      <patternFill patternType="solid">
        <fgColor rgb="FF1F4E79"/>
        <bgColor rgb="FF1F4E79"/>
      </patternFill>
    </fill>
    <fill>
      <patternFill patternType="solid">
        <fgColor rgb="FF333333"/>
        <bgColor rgb="FF333333"/>
      </patternFill>
    </fill>
    <fill>
      <patternFill patternType="solid">
        <fgColor rgb="FFEBF3FB"/>
        <bgColor rgb="FFEBF3FB"/>
      </patternFill>
    </fill>
    <fill>
      <patternFill patternType="solid">
        <fgColor rgb="FFFFA766"/>
        <bgColor rgb="FFFFA766"/>
      </patternFill>
    </fill>
    <fill>
      <patternFill patternType="solid">
        <fgColor rgb="FFFEE1CC"/>
        <bgColor rgb="FFFEE1CC"/>
      </patternFill>
    </fill>
    <fill>
      <patternFill patternType="solid">
        <fgColor rgb="FFFFC7CE"/>
        <bgColor rgb="FFFFC7CE"/>
      </patternFill>
    </fill>
    <fill>
      <patternFill patternType="solid">
        <fgColor rgb="FFFFFF00"/>
        <bgColor rgb="FFFFFF00"/>
      </patternFill>
    </fill>
    <fill>
      <patternFill patternType="solid">
        <fgColor rgb="FFD1F1DA"/>
        <bgColor rgb="FFD1F1DA"/>
      </patternFill>
    </fill>
    <fill>
      <patternFill patternType="solid">
        <fgColor rgb="FFBC8D03"/>
        <bgColor rgb="FFBC8D03"/>
      </patternFill>
    </fill>
    <fill>
      <patternFill patternType="solid">
        <fgColor theme="0"/>
        <bgColor theme="0"/>
      </patternFill>
    </fill>
    <fill>
      <patternFill patternType="solid">
        <fgColor theme="6"/>
        <bgColor theme="6"/>
      </patternFill>
    </fill>
    <fill>
      <patternFill patternType="solid">
        <fgColor rgb="FFC22114"/>
        <bgColor rgb="FFC22114"/>
      </patternFill>
    </fill>
  </fills>
  <borders count="43">
    <border/>
    <border>
      <left style="thin">
        <color rgb="FF000000"/>
      </left>
      <right style="thin">
        <color rgb="FF000000"/>
      </right>
      <top style="thin">
        <color rgb="FF000000"/>
      </top>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left/>
      <top/>
      <bottom/>
    </border>
    <border>
      <top/>
      <bottom/>
    </border>
    <border>
      <left/>
      <right style="thin">
        <color rgb="FF000000"/>
      </right>
      <top style="thin">
        <color rgb="FF000000"/>
      </top>
    </border>
    <border>
      <right/>
      <top/>
      <bottom/>
    </border>
    <border>
      <left style="thin">
        <color rgb="FF000000"/>
      </left>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B8CCE4"/>
      </left>
      <top style="thin">
        <color rgb="FFB8CCE4"/>
      </top>
      <bottom style="thin">
        <color rgb="FFB8CCE4"/>
      </bottom>
    </border>
    <border>
      <top style="thin">
        <color rgb="FFB8CCE4"/>
      </top>
      <bottom style="thin">
        <color rgb="FFB8CCE4"/>
      </bottom>
    </border>
    <border>
      <left/>
      <right style="thin">
        <color rgb="FF000000"/>
      </right>
      <bottom style="thin">
        <color rgb="FF000000"/>
      </bottom>
    </border>
    <border>
      <right style="thin">
        <color rgb="FFB8CCE4"/>
      </right>
      <top style="thin">
        <color rgb="FFB8CCE4"/>
      </top>
      <bottom style="thin">
        <color rgb="FFB8CCE4"/>
      </bottom>
    </border>
    <border>
      <right/>
      <top style="thin">
        <color rgb="FFB8CCE4"/>
      </top>
      <bottom style="thin">
        <color rgb="FFB8CCE4"/>
      </bottom>
    </border>
    <border>
      <left style="thin">
        <color rgb="FF000000"/>
      </left>
      <right style="thin">
        <color rgb="FF000000"/>
      </right>
      <bottom style="thin">
        <color rgb="FF000000"/>
      </bottom>
    </border>
    <border>
      <left style="thin">
        <color rgb="FFB8CCE4"/>
      </left>
      <right style="thin">
        <color rgb="FFB8CCE4"/>
      </right>
      <top style="thin">
        <color rgb="FFB8CCE4"/>
      </top>
      <bottom style="thin">
        <color rgb="FFB8CCE4"/>
      </bottom>
    </border>
    <border>
      <left style="thin">
        <color rgb="FF000000"/>
      </left>
      <right style="thin">
        <color rgb="FF000000"/>
      </right>
    </border>
    <border>
      <left style="thin">
        <color rgb="FFB8CCE4"/>
      </left>
      <right style="thin">
        <color rgb="FFB8CCE4"/>
      </right>
      <top style="thin">
        <color rgb="FFB8CCE4"/>
      </top>
    </border>
    <border>
      <left style="thin">
        <color rgb="FFB8CCE4"/>
      </left>
      <right style="thin">
        <color rgb="FFB8CCE4"/>
      </right>
    </border>
    <border>
      <left style="thin">
        <color rgb="FFB8CCE4"/>
      </left>
      <right style="thin">
        <color rgb="FFB8CCE4"/>
      </right>
      <bottom style="thin">
        <color rgb="FFB8CCE4"/>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style="thin">
        <color rgb="FF000000"/>
      </right>
      <top/>
      <bottom style="thin">
        <color rgb="FF000000"/>
      </bottom>
    </border>
    <border>
      <left/>
      <right/>
      <top/>
      <bottom/>
    </border>
    <border>
      <right style="thin">
        <color rgb="FF000000"/>
      </right>
    </border>
    <border>
      <left style="thin">
        <color rgb="FFB8CCE4"/>
      </left>
      <right style="thin">
        <color rgb="FFB8CCE4"/>
      </right>
      <top style="thin">
        <color rgb="FFB8CCE4"/>
      </top>
      <bottom/>
    </border>
    <border>
      <left style="thin">
        <color rgb="FFB8CCE4"/>
      </left>
      <right style="thin">
        <color rgb="FFB8CCE4"/>
      </right>
      <top/>
      <bottom style="thin">
        <color rgb="FFB8CCE4"/>
      </bottom>
    </border>
    <border>
      <left style="thin">
        <color rgb="FFB8CCE4"/>
      </left>
      <right style="thin">
        <color rgb="FFB8CCE4"/>
      </right>
      <top style="thin">
        <color rgb="FFB8CCE4"/>
      </top>
      <bottom style="thin">
        <color rgb="FFB3CEFA"/>
      </bottom>
    </border>
    <border>
      <left style="thin">
        <color rgb="FFB8CCE4"/>
      </left>
      <right style="thin">
        <color rgb="FFB8CCE4"/>
      </right>
      <bottom/>
    </border>
    <border>
      <left style="thin">
        <color rgb="FFB8CCE4"/>
      </left>
      <right style="thin">
        <color rgb="FFB8CCE4"/>
      </right>
      <top style="thin">
        <color rgb="FFB3CEFA"/>
      </top>
      <bottom style="thin">
        <color rgb="FFB3CEFA"/>
      </bottom>
    </border>
    <border>
      <left style="thin">
        <color rgb="FFB3CEFA"/>
      </left>
      <right style="thin">
        <color rgb="FFB3CEFA"/>
      </right>
      <top style="thin">
        <color rgb="FFB3CEFA"/>
      </top>
      <bottom style="thin">
        <color rgb="FFB3CEFA"/>
      </bottom>
    </border>
    <border>
      <left/>
      <top/>
      <bottom style="thin">
        <color rgb="FFB8CCE4"/>
      </bottom>
    </border>
    <border>
      <top/>
      <bottom style="thin">
        <color rgb="FFB8CCE4"/>
      </bottom>
    </border>
    <border>
      <right/>
      <top/>
      <bottom style="thin">
        <color rgb="FFB8CCE4"/>
      </bottom>
    </border>
    <border>
      <left style="thin">
        <color rgb="FFB8CCE4"/>
      </left>
      <right style="thin">
        <color rgb="FFB8CCE4"/>
      </right>
      <top/>
      <bottom/>
    </border>
    <border>
      <left style="thin">
        <color rgb="FFB8CCE4"/>
      </left>
      <right style="thin">
        <color rgb="FFB8CCE4"/>
      </right>
      <top/>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3" numFmtId="0" xfId="0" applyAlignment="1" applyFont="1">
      <alignment horizontal="center"/>
    </xf>
    <xf borderId="0" fillId="0" fontId="3" numFmtId="0" xfId="0" applyFont="1"/>
    <xf borderId="0" fillId="0" fontId="3" numFmtId="0" xfId="0" applyAlignment="1" applyFont="1">
      <alignment horizontal="left" vertical="top"/>
    </xf>
    <xf borderId="1" fillId="2" fontId="4" numFmtId="0" xfId="0" applyAlignment="1" applyBorder="1" applyFill="1" applyFont="1">
      <alignment horizontal="center"/>
    </xf>
    <xf borderId="0" fillId="0" fontId="1" numFmtId="0" xfId="0" applyFont="1"/>
    <xf borderId="2" fillId="2" fontId="4" numFmtId="0" xfId="0" applyAlignment="1" applyBorder="1" applyFill="1" applyFont="1">
      <alignment horizontal="center"/>
    </xf>
    <xf borderId="3" fillId="0" fontId="5" numFmtId="0" xfId="0" applyBorder="1" applyFont="1"/>
    <xf borderId="4" fillId="0" fontId="5" numFmtId="0" xfId="0" applyBorder="1" applyFont="1"/>
    <xf borderId="0" fillId="0" fontId="3" numFmtId="0" xfId="0" applyAlignment="1" applyFont="1">
      <alignment horizontal="right"/>
    </xf>
    <xf borderId="0" fillId="0" fontId="6" numFmtId="0" xfId="0" applyFont="1"/>
    <xf borderId="1" fillId="0" fontId="3" numFmtId="0" xfId="0" applyAlignment="1" applyBorder="1" applyFont="1">
      <alignment horizontal="center"/>
    </xf>
    <xf borderId="0" fillId="0" fontId="6" numFmtId="0" xfId="0" applyAlignment="1" applyFont="1">
      <alignment horizontal="center"/>
    </xf>
    <xf borderId="3" fillId="0" fontId="3" numFmtId="0" xfId="0" applyAlignment="1" applyBorder="1" applyFont="1">
      <alignment horizontal="center"/>
    </xf>
    <xf borderId="0" fillId="0" fontId="6" numFmtId="164" xfId="0" applyAlignment="1" applyFont="1" applyNumberFormat="1">
      <alignment horizontal="right"/>
    </xf>
    <xf borderId="5" fillId="3" fontId="7" numFmtId="0" xfId="0" applyAlignment="1" applyBorder="1" applyFill="1" applyFont="1">
      <alignment horizontal="center" shrinkToFit="0" vertical="center" wrapText="1"/>
    </xf>
    <xf borderId="6" fillId="0" fontId="5" numFmtId="0" xfId="0" applyBorder="1" applyFont="1"/>
    <xf borderId="0" fillId="0" fontId="1" numFmtId="0" xfId="0" applyAlignment="1" applyFont="1">
      <alignment horizontal="right"/>
    </xf>
    <xf borderId="7" fillId="3" fontId="7" numFmtId="0" xfId="0" applyAlignment="1" applyBorder="1" applyFill="1" applyFont="1">
      <alignment horizontal="center" shrinkToFit="0" vertical="center" wrapText="1"/>
    </xf>
    <xf borderId="8" fillId="4" fontId="8" numFmtId="0" xfId="0" applyAlignment="1" applyBorder="1" applyFill="1" applyFont="1">
      <alignment horizontal="center" shrinkToFit="0" vertical="center" wrapText="1"/>
    </xf>
    <xf borderId="0" fillId="0" fontId="9" numFmtId="0" xfId="0" applyAlignment="1" applyFont="1">
      <alignment horizontal="right"/>
    </xf>
    <xf borderId="1" fillId="3" fontId="7" numFmtId="0" xfId="0" applyAlignment="1" applyBorder="1" applyFill="1" applyFont="1">
      <alignment horizontal="center" shrinkToFit="0" vertical="center" wrapText="1"/>
    </xf>
    <xf borderId="9" fillId="0" fontId="5" numFmtId="0" xfId="0" applyBorder="1" applyFont="1"/>
    <xf borderId="10" fillId="3" fontId="7" numFmtId="0" xfId="0" applyAlignment="1" applyBorder="1" applyFill="1" applyFont="1">
      <alignment horizontal="center" shrinkToFit="0" vertical="center" wrapText="1"/>
    </xf>
    <xf borderId="2" fillId="3" fontId="7" numFmtId="0" xfId="0" applyAlignment="1" applyBorder="1" applyFill="1" applyFont="1">
      <alignment horizontal="center" shrinkToFit="0" vertical="center" wrapText="1"/>
    </xf>
    <xf borderId="11" fillId="0" fontId="5" numFmtId="0" xfId="0" applyBorder="1" applyFont="1"/>
    <xf borderId="0" fillId="0" fontId="2" numFmtId="0" xfId="0" applyAlignment="1" applyFont="1">
      <alignment vertical="center"/>
    </xf>
    <xf borderId="12" fillId="3" fontId="7" numFmtId="0" xfId="0" applyAlignment="1" applyBorder="1" applyFill="1" applyFont="1">
      <alignment horizontal="center" shrinkToFit="0" vertical="center" wrapText="1"/>
    </xf>
    <xf borderId="0" fillId="0" fontId="10" numFmtId="0" xfId="0" applyFont="1"/>
    <xf borderId="1" fillId="0" fontId="6" numFmtId="0" xfId="0" applyAlignment="1" applyBorder="1" applyFont="1">
      <alignment horizontal="center"/>
    </xf>
    <xf borderId="3" fillId="0" fontId="6" numFmtId="0" xfId="0" applyAlignment="1" applyBorder="1" applyFont="1">
      <alignment horizontal="center"/>
    </xf>
    <xf borderId="13" fillId="0" fontId="5" numFmtId="0" xfId="0" applyBorder="1" applyFont="1"/>
    <xf borderId="14" fillId="0" fontId="5" numFmtId="0" xfId="0" applyBorder="1" applyFont="1"/>
    <xf borderId="15" fillId="5" fontId="11" numFmtId="0" xfId="0" applyAlignment="1" applyBorder="1" applyFill="1" applyFont="1">
      <alignment horizontal="center" shrinkToFit="0" vertical="center" wrapText="1"/>
    </xf>
    <xf borderId="8" fillId="6" fontId="12" numFmtId="0" xfId="0" applyAlignment="1" applyBorder="1" applyFill="1" applyFont="1">
      <alignment horizontal="right"/>
    </xf>
    <xf borderId="16" fillId="0" fontId="5" numFmtId="0" xfId="0" applyBorder="1" applyFont="1"/>
    <xf borderId="17" fillId="0" fontId="5" numFmtId="0" xfId="0" applyBorder="1" applyFont="1"/>
    <xf borderId="18" fillId="0" fontId="5" numFmtId="0" xfId="0" applyBorder="1" applyFont="1"/>
    <xf borderId="15" fillId="0" fontId="3" numFmtId="0" xfId="0" applyAlignment="1" applyBorder="1" applyFont="1">
      <alignment horizontal="center" shrinkToFit="0" vertical="center" wrapText="1"/>
    </xf>
    <xf borderId="7" fillId="0" fontId="3" numFmtId="0" xfId="0" applyBorder="1" applyFont="1"/>
    <xf borderId="1" fillId="0" fontId="3" numFmtId="0" xfId="0" applyBorder="1" applyFont="1"/>
    <xf borderId="19" fillId="0" fontId="5" numFmtId="0" xfId="0" applyBorder="1" applyFont="1"/>
    <xf borderId="20" fillId="0" fontId="5" numFmtId="0" xfId="0" applyBorder="1" applyFont="1"/>
    <xf borderId="12" fillId="0" fontId="6" numFmtId="0" xfId="0" applyAlignment="1" applyBorder="1" applyFont="1">
      <alignment horizontal="center" shrinkToFit="0" vertical="center" wrapText="1"/>
    </xf>
    <xf borderId="1" fillId="0" fontId="6" numFmtId="0" xfId="0" applyAlignment="1" applyBorder="1" applyFont="1">
      <alignment horizontal="center" shrinkToFit="0" vertical="center" wrapText="1"/>
    </xf>
    <xf borderId="0" fillId="0" fontId="13" numFmtId="0" xfId="0" applyAlignment="1" applyFont="1">
      <alignment horizontal="right"/>
    </xf>
    <xf borderId="1" fillId="0" fontId="6" numFmtId="0" xfId="0" applyAlignment="1" applyBorder="1" applyFont="1">
      <alignment horizontal="left" shrinkToFit="0" vertical="center" wrapText="1"/>
    </xf>
    <xf borderId="0" fillId="0" fontId="3" numFmtId="0" xfId="0" applyAlignment="1" applyFont="1">
      <alignment shrinkToFit="0" vertical="center" wrapText="1"/>
    </xf>
    <xf borderId="0" fillId="0" fontId="6" numFmtId="0" xfId="0" applyAlignment="1" applyFont="1">
      <alignment shrinkToFit="0" vertical="center" wrapText="1"/>
    </xf>
    <xf borderId="0" fillId="0" fontId="3" numFmtId="0" xfId="0" applyAlignment="1" applyFont="1">
      <alignment horizontal="center" shrinkToFit="0" vertical="center" wrapText="1"/>
    </xf>
    <xf borderId="0" fillId="0" fontId="3" numFmtId="165" xfId="0" applyAlignment="1" applyFont="1" applyNumberFormat="1">
      <alignment horizontal="center" shrinkToFit="0" vertical="center" wrapText="1"/>
    </xf>
    <xf borderId="21" fillId="5" fontId="14" numFmtId="0" xfId="0" applyAlignment="1" applyBorder="1" applyFill="1" applyFont="1">
      <alignment horizontal="center" shrinkToFit="0" vertical="center" wrapText="1"/>
    </xf>
    <xf borderId="0" fillId="0" fontId="15" numFmtId="0" xfId="0" applyAlignment="1" applyFont="1">
      <alignment horizontal="right" vertical="top"/>
    </xf>
    <xf borderId="21" fillId="5" fontId="16" numFmtId="0" xfId="0" applyAlignment="1" applyBorder="1" applyFill="1" applyFont="1">
      <alignment horizontal="center" shrinkToFit="0" vertical="center" wrapText="1"/>
    </xf>
    <xf borderId="22" fillId="0" fontId="5" numFmtId="0" xfId="0" applyBorder="1" applyFont="1"/>
    <xf borderId="0" fillId="0" fontId="17" numFmtId="0" xfId="0" applyAlignment="1" applyFont="1">
      <alignment vertical="top"/>
    </xf>
    <xf borderId="21" fillId="5" fontId="14" numFmtId="165" xfId="0" applyAlignment="1" applyBorder="1" applyFill="1" applyFont="1" applyNumberFormat="1">
      <alignment horizontal="center" shrinkToFit="0" vertical="center" wrapText="1"/>
    </xf>
    <xf borderId="23" fillId="7" fontId="18" numFmtId="0" xfId="0" applyAlignment="1" applyBorder="1" applyFill="1" applyFont="1">
      <alignment horizontal="center" shrinkToFit="0" vertical="center" wrapText="1"/>
    </xf>
    <xf borderId="23" fillId="7" fontId="18" numFmtId="0" xfId="0" applyAlignment="1" applyBorder="1" applyFill="1" applyFont="1">
      <alignment horizontal="left" shrinkToFit="0" vertical="center" wrapText="1"/>
    </xf>
    <xf borderId="21" fillId="7" fontId="18" numFmtId="0" xfId="0" applyAlignment="1" applyBorder="1" applyFill="1" applyFont="1">
      <alignment horizontal="center" shrinkToFit="0" vertical="center" wrapText="1"/>
    </xf>
    <xf borderId="21" fillId="7" fontId="18" numFmtId="0" xfId="0" applyAlignment="1" applyBorder="1" applyFill="1" applyFont="1">
      <alignment horizontal="left" shrinkToFit="0" vertical="center" wrapText="1"/>
    </xf>
    <xf borderId="21" fillId="7" fontId="18" numFmtId="0" xfId="0" applyAlignment="1" applyBorder="1" applyFill="1" applyFont="1">
      <alignment shrinkToFit="0" vertical="center" wrapText="1"/>
    </xf>
    <xf borderId="14" fillId="0" fontId="6" numFmtId="0" xfId="0" applyAlignment="1" applyBorder="1" applyFont="1">
      <alignment horizontal="left" shrinkToFit="0" vertical="center" wrapText="1"/>
    </xf>
    <xf borderId="21" fillId="0" fontId="19" numFmtId="0" xfId="0" applyAlignment="1" applyBorder="1" applyFont="1">
      <alignment vertical="center"/>
    </xf>
    <xf borderId="21" fillId="7" fontId="18" numFmtId="165" xfId="0" applyAlignment="1" applyBorder="1" applyFill="1" applyFont="1" applyNumberFormat="1">
      <alignment horizontal="center" shrinkToFit="0" vertical="center" wrapText="1"/>
    </xf>
    <xf borderId="24" fillId="0" fontId="5" numFmtId="0" xfId="0" applyBorder="1" applyFont="1"/>
    <xf borderId="21" fillId="7" fontId="19" numFmtId="0" xfId="0" applyAlignment="1" applyBorder="1" applyFill="1" applyFont="1">
      <alignment shrinkToFit="0" vertical="center" wrapText="1"/>
    </xf>
    <xf borderId="21" fillId="8" fontId="18" numFmtId="0" xfId="0" applyAlignment="1" applyBorder="1" applyFill="1" applyFont="1">
      <alignment horizontal="left" shrinkToFit="0" vertical="center" wrapText="1"/>
    </xf>
    <xf borderId="21" fillId="0" fontId="18" numFmtId="0" xfId="0" applyAlignment="1" applyBorder="1" applyFont="1">
      <alignment horizontal="left" shrinkToFit="0" vertical="center" wrapText="1"/>
    </xf>
    <xf borderId="0" fillId="0" fontId="20" numFmtId="0" xfId="0" applyAlignment="1" applyFont="1">
      <alignment horizontal="center"/>
    </xf>
    <xf quotePrefix="1" borderId="21" fillId="7" fontId="18" numFmtId="0" xfId="0" applyAlignment="1" applyBorder="1" applyFill="1" applyFont="1">
      <alignment horizontal="left" shrinkToFit="0" vertical="center" wrapText="1"/>
    </xf>
    <xf borderId="21" fillId="7" fontId="21" numFmtId="0" xfId="0" applyAlignment="1" applyBorder="1" applyFill="1" applyFont="1">
      <alignment horizontal="left" shrinkToFit="0" vertical="center" wrapText="1"/>
    </xf>
    <xf borderId="21" fillId="9" fontId="18" numFmtId="0" xfId="0" applyAlignment="1" applyBorder="1" applyFill="1" applyFont="1">
      <alignment horizontal="left" shrinkToFit="0" vertical="center" wrapText="1"/>
    </xf>
    <xf borderId="21" fillId="7" fontId="21" numFmtId="0" xfId="0" applyAlignment="1" applyBorder="1" applyFill="1" applyFont="1">
      <alignment shrinkToFit="0" vertical="center" wrapText="1"/>
    </xf>
    <xf borderId="14" fillId="0" fontId="6" numFmtId="0" xfId="0" applyAlignment="1" applyBorder="1" applyFont="1">
      <alignment horizontal="center" shrinkToFit="0" vertical="center" wrapText="1"/>
    </xf>
    <xf borderId="25" fillId="0" fontId="5" numFmtId="0" xfId="0" applyBorder="1" applyFont="1"/>
    <xf borderId="23" fillId="4" fontId="18" numFmtId="0" xfId="0" applyAlignment="1" applyBorder="1" applyFill="1" applyFont="1">
      <alignment horizontal="center" shrinkToFit="0" vertical="center" wrapText="1"/>
    </xf>
    <xf borderId="23" fillId="4" fontId="18" numFmtId="0" xfId="0" applyAlignment="1" applyBorder="1" applyFill="1" applyFont="1">
      <alignment horizontal="left" shrinkToFit="0" vertical="center" wrapText="1"/>
    </xf>
    <xf borderId="1" fillId="4" fontId="22" numFmtId="0" xfId="0" applyAlignment="1" applyBorder="1" applyFill="1" applyFont="1">
      <alignment shrinkToFit="0" vertical="center" wrapText="1"/>
    </xf>
    <xf borderId="21" fillId="4" fontId="18" numFmtId="0" xfId="0" applyAlignment="1" applyBorder="1" applyFill="1" applyFont="1">
      <alignment horizontal="center" shrinkToFit="0" vertical="center" wrapText="1"/>
    </xf>
    <xf borderId="21" fillId="4" fontId="18" numFmtId="0" xfId="0" applyAlignment="1" applyBorder="1" applyFill="1" applyFont="1">
      <alignment horizontal="left" shrinkToFit="0" vertical="center" wrapText="1"/>
    </xf>
    <xf borderId="21" fillId="4" fontId="18" numFmtId="0" xfId="0" applyAlignment="1" applyBorder="1" applyFill="1" applyFont="1">
      <alignment shrinkToFit="0" vertical="center" wrapText="1"/>
    </xf>
    <xf borderId="21" fillId="4" fontId="18" numFmtId="165" xfId="0" applyAlignment="1" applyBorder="1" applyFill="1" applyFont="1" applyNumberFormat="1">
      <alignment horizontal="center" shrinkToFit="0" vertical="center" wrapText="1"/>
    </xf>
    <xf borderId="21" fillId="0" fontId="19" numFmtId="0" xfId="0" applyAlignment="1" applyBorder="1" applyFont="1">
      <alignment shrinkToFit="0" vertical="center" wrapText="1"/>
    </xf>
    <xf borderId="21" fillId="0" fontId="18" numFmtId="165" xfId="0" applyAlignment="1" applyBorder="1" applyFont="1" applyNumberFormat="1">
      <alignment horizontal="center" shrinkToFit="0" vertical="center" wrapText="1"/>
    </xf>
    <xf borderId="21" fillId="4" fontId="21" numFmtId="0" xfId="0" applyAlignment="1" applyBorder="1" applyFill="1" applyFont="1">
      <alignment horizontal="left" shrinkToFit="0" vertical="center" wrapText="1"/>
    </xf>
    <xf quotePrefix="1" borderId="21" fillId="9" fontId="18" numFmtId="0" xfId="0" applyAlignment="1" applyBorder="1" applyFill="1" applyFont="1">
      <alignment horizontal="left" shrinkToFit="0" vertical="center" wrapText="1"/>
    </xf>
    <xf borderId="21" fillId="0" fontId="18" numFmtId="0" xfId="0" applyAlignment="1" applyBorder="1" applyFont="1">
      <alignment horizontal="center" shrinkToFit="0" vertical="center" wrapText="1"/>
    </xf>
    <xf borderId="21" fillId="0" fontId="18" numFmtId="0" xfId="0" applyAlignment="1" applyBorder="1" applyFont="1">
      <alignment shrinkToFit="0" vertical="center" wrapText="1"/>
    </xf>
    <xf borderId="1" fillId="0" fontId="6" numFmtId="0" xfId="0" applyAlignment="1" applyBorder="1" applyFont="1">
      <alignment shrinkToFit="0" vertical="center" wrapText="1"/>
    </xf>
    <xf borderId="21" fillId="10" fontId="18" numFmtId="0" xfId="0" applyAlignment="1" applyBorder="1" applyFill="1" applyFont="1">
      <alignment horizontal="left" shrinkToFit="0" vertical="center" wrapText="1"/>
    </xf>
    <xf borderId="21" fillId="0" fontId="18" numFmtId="0" xfId="0" applyAlignment="1" applyBorder="1" applyFont="1">
      <alignment horizontal="center" vertical="center"/>
    </xf>
    <xf borderId="26" fillId="11" fontId="7" numFmtId="0" xfId="0" applyAlignment="1" applyBorder="1" applyFill="1" applyFont="1">
      <alignment horizontal="center" shrinkToFit="0" vertical="center" wrapText="1"/>
    </xf>
    <xf borderId="27" fillId="0" fontId="5" numFmtId="0" xfId="0" applyBorder="1" applyFont="1"/>
    <xf borderId="28" fillId="0" fontId="5" numFmtId="0" xfId="0" applyBorder="1" applyFont="1"/>
    <xf borderId="1" fillId="11" fontId="7" numFmtId="0" xfId="0" applyAlignment="1" applyBorder="1" applyFill="1" applyFont="1">
      <alignment horizontal="center" shrinkToFit="0" vertical="center" wrapText="1"/>
    </xf>
    <xf borderId="29" fillId="11" fontId="23" numFmtId="0" xfId="0" applyAlignment="1" applyBorder="1" applyFill="1" applyFont="1">
      <alignment horizontal="center" shrinkToFit="0" vertical="center" wrapText="1"/>
    </xf>
    <xf borderId="30" fillId="11" fontId="7" numFmtId="0" xfId="0" applyAlignment="1" applyBorder="1" applyFill="1" applyFont="1">
      <alignment horizontal="center" shrinkToFit="0" vertical="center" wrapText="1"/>
    </xf>
    <xf borderId="1" fillId="11" fontId="23" numFmtId="0" xfId="0" applyAlignment="1" applyBorder="1" applyFill="1" applyFont="1">
      <alignment horizontal="center" shrinkToFit="0" vertical="center" wrapText="1"/>
    </xf>
    <xf borderId="31" fillId="0" fontId="6" numFmtId="0" xfId="0" applyAlignment="1" applyBorder="1" applyFont="1">
      <alignment horizontal="center" shrinkToFit="0" vertical="center" wrapText="1"/>
    </xf>
    <xf borderId="31" fillId="0" fontId="5" numFmtId="0" xfId="0" applyBorder="1" applyFont="1"/>
    <xf borderId="2" fillId="11" fontId="7" numFmtId="0" xfId="0" applyAlignment="1" applyBorder="1" applyFill="1" applyFont="1">
      <alignment horizontal="center" shrinkToFit="0" vertical="center" wrapText="1"/>
    </xf>
    <xf borderId="6" fillId="0" fontId="6" numFmtId="0" xfId="0" applyAlignment="1" applyBorder="1" applyFont="1">
      <alignment horizontal="center" shrinkToFit="0" vertical="center" wrapText="1"/>
    </xf>
    <xf borderId="21" fillId="7" fontId="18" numFmtId="0" xfId="0" applyAlignment="1" applyBorder="1" applyFill="1" applyFont="1">
      <alignment horizontal="center" vertical="center"/>
    </xf>
    <xf quotePrefix="1" borderId="21" fillId="10" fontId="18" numFmtId="0" xfId="0" applyAlignment="1" applyBorder="1" applyFill="1" applyFont="1">
      <alignment horizontal="left" shrinkToFit="0" vertical="center" wrapText="1"/>
    </xf>
    <xf borderId="1" fillId="4" fontId="6" numFmtId="0" xfId="0" applyAlignment="1" applyBorder="1" applyFill="1" applyFont="1">
      <alignment horizontal="left" shrinkToFit="0" vertical="center" wrapText="1"/>
    </xf>
    <xf borderId="1" fillId="4" fontId="6" numFmtId="0" xfId="0" applyAlignment="1" applyBorder="1" applyFill="1" applyFont="1">
      <alignment horizontal="center" shrinkToFit="0" vertical="center" wrapText="1"/>
    </xf>
    <xf borderId="21" fillId="0" fontId="21" numFmtId="0" xfId="0" applyAlignment="1" applyBorder="1" applyFont="1">
      <alignment horizontal="left" shrinkToFit="0" vertical="center" wrapText="1"/>
    </xf>
    <xf borderId="4" fillId="0" fontId="6" numFmtId="0" xfId="0" applyAlignment="1" applyBorder="1" applyFont="1">
      <alignment horizontal="left" shrinkToFit="0" vertical="center" wrapText="1"/>
    </xf>
    <xf quotePrefix="1" borderId="21" fillId="8" fontId="18" numFmtId="0" xfId="0" applyAlignment="1" applyBorder="1" applyFill="1" applyFont="1">
      <alignment horizontal="left" shrinkToFit="0" vertical="center" wrapText="1"/>
    </xf>
    <xf borderId="0" fillId="0" fontId="24" numFmtId="0" xfId="0" applyAlignment="1" applyFont="1">
      <alignment readingOrder="0" shrinkToFit="0" wrapText="1"/>
    </xf>
    <xf borderId="7" fillId="11" fontId="7" numFmtId="0" xfId="0" applyAlignment="1" applyBorder="1" applyFill="1" applyFont="1">
      <alignment horizontal="center" shrinkToFit="0" vertical="center" wrapText="1"/>
    </xf>
    <xf borderId="21" fillId="0" fontId="21" numFmtId="0" xfId="0" applyAlignment="1" applyBorder="1" applyFont="1">
      <alignment shrinkToFit="0" vertical="center" wrapText="1"/>
    </xf>
    <xf borderId="32" fillId="4" fontId="18" numFmtId="0" xfId="0" applyAlignment="1" applyBorder="1" applyFill="1" applyFont="1">
      <alignment horizontal="center" shrinkToFit="0" vertical="center" wrapText="1"/>
    </xf>
    <xf borderId="23" fillId="0" fontId="19" numFmtId="0" xfId="0" applyAlignment="1" applyBorder="1" applyFont="1">
      <alignment shrinkToFit="0" vertical="center" wrapText="1"/>
    </xf>
    <xf borderId="32" fillId="4" fontId="18" numFmtId="0" xfId="0" applyAlignment="1" applyBorder="1" applyFill="1" applyFont="1">
      <alignment shrinkToFit="0" vertical="center" wrapText="1"/>
    </xf>
    <xf borderId="32" fillId="4" fontId="18" numFmtId="0" xfId="0" applyAlignment="1" applyBorder="1" applyFill="1" applyFont="1">
      <alignment horizontal="left" shrinkToFit="0" vertical="center" wrapText="1"/>
    </xf>
    <xf borderId="23" fillId="0" fontId="19" numFmtId="0" xfId="0" applyAlignment="1" applyBorder="1" applyFont="1">
      <alignment vertical="center"/>
    </xf>
    <xf borderId="21" fillId="0" fontId="18" numFmtId="0" xfId="0" applyAlignment="1" applyBorder="1" applyFont="1">
      <alignment vertical="center"/>
    </xf>
    <xf borderId="23" fillId="0" fontId="18" numFmtId="0" xfId="0" applyAlignment="1" applyBorder="1" applyFont="1">
      <alignment horizontal="center" shrinkToFit="0" vertical="center" wrapText="1"/>
    </xf>
    <xf borderId="23" fillId="0" fontId="18" numFmtId="0" xfId="0" applyAlignment="1" applyBorder="1" applyFont="1">
      <alignment shrinkToFit="0" vertical="center" wrapText="1"/>
    </xf>
    <xf borderId="23" fillId="0" fontId="18" numFmtId="0" xfId="0" applyAlignment="1" applyBorder="1" applyFont="1">
      <alignment horizontal="left" shrinkToFit="0" vertical="center" wrapText="1"/>
    </xf>
    <xf borderId="33" fillId="7" fontId="18" numFmtId="0" xfId="0" applyAlignment="1" applyBorder="1" applyFill="1" applyFont="1">
      <alignment horizontal="center" shrinkToFit="0" vertical="center" wrapText="1"/>
    </xf>
    <xf borderId="33" fillId="7" fontId="18" numFmtId="0" xfId="0" applyAlignment="1" applyBorder="1" applyFill="1" applyFont="1">
      <alignment horizontal="left" shrinkToFit="0" vertical="center" wrapText="1"/>
    </xf>
    <xf borderId="33" fillId="7" fontId="18" numFmtId="0" xfId="0" applyAlignment="1" applyBorder="1" applyFill="1" applyFont="1">
      <alignment shrinkToFit="0" vertical="center" wrapText="1"/>
    </xf>
    <xf quotePrefix="1" borderId="33" fillId="9" fontId="18" numFmtId="0" xfId="0" applyAlignment="1" applyBorder="1" applyFill="1" applyFont="1">
      <alignment horizontal="left" shrinkToFit="0" vertical="center" wrapText="1"/>
    </xf>
    <xf borderId="21" fillId="12" fontId="18" numFmtId="0" xfId="0" applyAlignment="1" applyBorder="1" applyFill="1" applyFont="1">
      <alignment horizontal="left" shrinkToFit="0" vertical="center" wrapText="1"/>
    </xf>
    <xf borderId="21" fillId="13" fontId="18" numFmtId="0" xfId="0" applyAlignment="1" applyBorder="1" applyFill="1" applyFont="1">
      <alignment horizontal="left" shrinkToFit="0" vertical="center" wrapText="1"/>
    </xf>
    <xf quotePrefix="1" borderId="21" fillId="0" fontId="18" numFmtId="0" xfId="0" applyAlignment="1" applyBorder="1" applyFont="1">
      <alignment horizontal="left" shrinkToFit="0" vertical="center" wrapText="1"/>
    </xf>
    <xf quotePrefix="1" borderId="21" fillId="0" fontId="18" numFmtId="0" xfId="0" applyAlignment="1" applyBorder="1" applyFont="1">
      <alignment shrinkToFit="0" vertical="center" wrapText="1"/>
    </xf>
    <xf borderId="21" fillId="0" fontId="19" numFmtId="0" xfId="0" applyAlignment="1" applyBorder="1" applyFont="1">
      <alignment horizontal="left" shrinkToFit="0" vertical="center" wrapText="1"/>
    </xf>
    <xf quotePrefix="1" borderId="21" fillId="4" fontId="18" numFmtId="0" xfId="0" applyAlignment="1" applyBorder="1" applyFill="1" applyFont="1">
      <alignment horizontal="left" shrinkToFit="0" vertical="center" wrapText="1"/>
    </xf>
    <xf borderId="21" fillId="14" fontId="18" numFmtId="0" xfId="0" applyAlignment="1" applyBorder="1" applyFill="1" applyFont="1">
      <alignment horizontal="center" shrinkToFit="0" vertical="center" wrapText="1"/>
    </xf>
    <xf borderId="21" fillId="0" fontId="19" numFmtId="0" xfId="0" applyAlignment="1" applyBorder="1" applyFont="1">
      <alignment horizontal="center" vertical="center"/>
    </xf>
    <xf borderId="0" fillId="0" fontId="19" numFmtId="0" xfId="0" applyAlignment="1" applyFont="1">
      <alignment vertical="center"/>
    </xf>
    <xf borderId="0" fillId="0" fontId="19" numFmtId="0" xfId="0" applyAlignment="1" applyFont="1">
      <alignment shrinkToFit="0" vertical="center" wrapText="1"/>
    </xf>
    <xf borderId="0" fillId="0" fontId="18" numFmtId="0" xfId="0" applyAlignment="1" applyFont="1">
      <alignment shrinkToFit="0" vertical="center" wrapText="1"/>
    </xf>
    <xf borderId="0" fillId="0" fontId="19" numFmtId="0" xfId="0" applyAlignment="1" applyFont="1">
      <alignment horizontal="left" shrinkToFit="0" vertical="center" wrapText="1"/>
    </xf>
    <xf borderId="0" fillId="0" fontId="21" numFmtId="0" xfId="0" applyAlignment="1" applyFont="1">
      <alignment shrinkToFit="0" vertical="center" wrapText="1"/>
    </xf>
    <xf borderId="30" fillId="10" fontId="19" numFmtId="0" xfId="0" applyAlignment="1" applyBorder="1" applyFill="1" applyFont="1">
      <alignment shrinkToFit="0" vertical="center" wrapText="1"/>
    </xf>
    <xf quotePrefix="1" borderId="0" fillId="0" fontId="18" numFmtId="0" xfId="0" applyAlignment="1" applyFont="1">
      <alignment shrinkToFit="0" vertical="center" wrapText="1"/>
    </xf>
    <xf borderId="0" fillId="0" fontId="25" numFmtId="0" xfId="0" applyAlignment="1" applyFont="1">
      <alignment shrinkToFit="0" vertical="center" wrapText="1"/>
    </xf>
    <xf borderId="0" fillId="0" fontId="2" numFmtId="0" xfId="0" applyAlignment="1" applyFont="1">
      <alignment horizontal="center" vertical="center"/>
    </xf>
    <xf borderId="0" fillId="0" fontId="2" numFmtId="165" xfId="0" applyAlignment="1" applyFont="1" applyNumberFormat="1">
      <alignment horizontal="center" shrinkToFit="0" vertical="center" wrapText="1"/>
    </xf>
    <xf borderId="21" fillId="15" fontId="14" numFmtId="0" xfId="0" applyAlignment="1" applyBorder="1" applyFill="1" applyFont="1">
      <alignment horizontal="center" shrinkToFit="0" vertical="center" wrapText="1"/>
    </xf>
    <xf borderId="21" fillId="0" fontId="19" numFmtId="0" xfId="0" applyAlignment="1" applyBorder="1" applyFont="1">
      <alignment horizontal="center" shrinkToFit="0" vertical="center" wrapText="1"/>
    </xf>
    <xf borderId="21" fillId="0" fontId="19" numFmtId="165" xfId="0" applyAlignment="1" applyBorder="1" applyFont="1" applyNumberFormat="1">
      <alignment horizontal="center" shrinkToFit="0" vertical="center" wrapText="1"/>
    </xf>
    <xf borderId="21" fillId="4" fontId="21" numFmtId="0" xfId="0" applyAlignment="1" applyBorder="1" applyFill="1" applyFont="1">
      <alignment shrinkToFit="0" vertical="center" wrapText="1"/>
    </xf>
    <xf borderId="21" fillId="15" fontId="18" numFmtId="0" xfId="0" applyAlignment="1" applyBorder="1" applyFill="1" applyFont="1">
      <alignment horizontal="left" shrinkToFit="0" vertical="top" wrapText="1"/>
    </xf>
    <xf borderId="32" fillId="7" fontId="18" numFmtId="0" xfId="0" applyAlignment="1" applyBorder="1" applyFill="1" applyFont="1">
      <alignment shrinkToFit="0" vertical="center" wrapText="1"/>
    </xf>
    <xf borderId="0" fillId="0" fontId="18" numFmtId="0" xfId="0" applyAlignment="1" applyFont="1">
      <alignment horizontal="center" shrinkToFit="0" vertical="center" wrapText="1"/>
    </xf>
    <xf borderId="30" fillId="15" fontId="18" numFmtId="0" xfId="0" applyAlignment="1" applyBorder="1" applyFill="1" applyFont="1">
      <alignment shrinkToFit="0" vertical="center" wrapText="1"/>
    </xf>
    <xf borderId="0" fillId="0" fontId="26" numFmtId="0" xfId="0" applyAlignment="1" applyFont="1">
      <alignment shrinkToFit="0" vertical="center" wrapText="1"/>
    </xf>
    <xf borderId="0" fillId="0" fontId="18" numFmtId="165" xfId="0" applyAlignment="1" applyFont="1" applyNumberFormat="1">
      <alignment horizontal="center" shrinkToFit="0" vertical="center" wrapText="1"/>
    </xf>
    <xf borderId="0" fillId="0" fontId="25" numFmtId="0" xfId="0" applyFont="1"/>
    <xf borderId="0" fillId="0" fontId="2" numFmtId="0" xfId="0" applyAlignment="1" applyFont="1">
      <alignment horizontal="center"/>
    </xf>
    <xf borderId="0" fillId="0" fontId="2" numFmtId="165" xfId="0" applyAlignment="1" applyFont="1" applyNumberFormat="1">
      <alignment horizontal="center"/>
    </xf>
    <xf borderId="0" fillId="0" fontId="25" numFmtId="0" xfId="0" applyAlignment="1" applyFont="1">
      <alignment horizontal="center" shrinkToFit="0" vertical="center" wrapText="1"/>
    </xf>
    <xf borderId="0" fillId="0" fontId="25" numFmtId="165" xfId="0" applyAlignment="1" applyFont="1" applyNumberFormat="1">
      <alignment horizontal="center" shrinkToFit="0" vertical="center" wrapText="1"/>
    </xf>
    <xf borderId="32" fillId="4" fontId="21" numFmtId="0" xfId="0" applyAlignment="1" applyBorder="1" applyFill="1" applyFont="1">
      <alignment shrinkToFit="0" vertical="center" wrapText="1"/>
    </xf>
    <xf quotePrefix="1" borderId="21" fillId="15" fontId="18" numFmtId="0" xfId="0" applyAlignment="1" applyBorder="1" applyFill="1" applyFont="1">
      <alignment shrinkToFit="0" vertical="center" wrapText="1"/>
    </xf>
    <xf quotePrefix="1" borderId="23" fillId="0" fontId="18" numFmtId="0" xfId="0" applyAlignment="1" applyBorder="1" applyFont="1">
      <alignment shrinkToFit="0" vertical="center" wrapText="1"/>
    </xf>
    <xf borderId="34" fillId="0" fontId="18" numFmtId="0" xfId="0" applyAlignment="1" applyBorder="1" applyFont="1">
      <alignment shrinkToFit="0" vertical="center" wrapText="1"/>
    </xf>
    <xf borderId="35" fillId="0" fontId="5" numFmtId="0" xfId="0" applyBorder="1" applyFont="1"/>
    <xf borderId="32" fillId="7" fontId="18" numFmtId="0" xfId="0" applyAlignment="1" applyBorder="1" applyFill="1" applyFont="1">
      <alignment horizontal="center" shrinkToFit="0" vertical="center" wrapText="1"/>
    </xf>
    <xf borderId="32" fillId="7" fontId="18" numFmtId="0" xfId="0" applyAlignment="1" applyBorder="1" applyFill="1" applyFont="1">
      <alignment horizontal="left" shrinkToFit="0" vertical="center" wrapText="1"/>
    </xf>
    <xf borderId="36" fillId="0" fontId="18" numFmtId="0" xfId="0" applyAlignment="1" applyBorder="1" applyFont="1">
      <alignment shrinkToFit="0" vertical="center" wrapText="1"/>
    </xf>
    <xf borderId="32" fillId="7" fontId="18" numFmtId="165" xfId="0" applyAlignment="1" applyBorder="1" applyFill="1" applyFont="1" applyNumberFormat="1">
      <alignment horizontal="center" shrinkToFit="0" vertical="center" wrapText="1"/>
    </xf>
    <xf borderId="37" fillId="0" fontId="18" numFmtId="0" xfId="0" applyAlignment="1" applyBorder="1" applyFont="1">
      <alignment horizontal="center" shrinkToFit="0" vertical="center" wrapText="1"/>
    </xf>
    <xf borderId="37" fillId="0" fontId="18" numFmtId="0" xfId="0" applyAlignment="1" applyBorder="1" applyFont="1">
      <alignment shrinkToFit="0" vertical="center" wrapText="1"/>
    </xf>
    <xf borderId="37" fillId="0" fontId="18" numFmtId="0" xfId="0" applyAlignment="1" applyBorder="1" applyFont="1">
      <alignment horizontal="center" vertical="center"/>
    </xf>
    <xf borderId="37" fillId="0" fontId="26" numFmtId="0" xfId="0" applyAlignment="1" applyBorder="1" applyFont="1">
      <alignment shrinkToFit="0" vertical="center" wrapText="1"/>
    </xf>
    <xf borderId="37" fillId="0" fontId="18" numFmtId="165" xfId="0" applyAlignment="1" applyBorder="1" applyFont="1" applyNumberFormat="1">
      <alignment horizontal="center" shrinkToFit="0" vertical="center" wrapText="1"/>
    </xf>
    <xf borderId="37" fillId="0" fontId="26" numFmtId="0" xfId="0" applyAlignment="1" applyBorder="1" applyFont="1">
      <alignment horizontal="center" shrinkToFit="0" vertical="center" wrapText="1"/>
    </xf>
    <xf borderId="37" fillId="16" fontId="27" numFmtId="0" xfId="0" applyAlignment="1" applyBorder="1" applyFill="1" applyFont="1">
      <alignment horizontal="center" shrinkToFit="0" vertical="center" wrapText="1"/>
    </xf>
    <xf quotePrefix="1" borderId="37" fillId="0" fontId="18" numFmtId="0" xfId="0" applyAlignment="1" applyBorder="1" applyFont="1">
      <alignment shrinkToFit="0" vertical="center" wrapText="1"/>
    </xf>
    <xf borderId="21" fillId="4" fontId="19" numFmtId="0" xfId="0" applyAlignment="1" applyBorder="1" applyFill="1" applyFont="1">
      <alignment shrinkToFit="0" vertical="center" wrapText="1"/>
    </xf>
    <xf borderId="0" fillId="0" fontId="18" numFmtId="0" xfId="0" applyAlignment="1" applyFont="1">
      <alignment horizontal="left" shrinkToFit="0" vertical="center" wrapText="1"/>
    </xf>
    <xf borderId="0" fillId="0" fontId="26" numFmtId="0" xfId="0" applyAlignment="1" applyFont="1">
      <alignment vertical="center"/>
    </xf>
    <xf borderId="0" fillId="0" fontId="2" numFmtId="0" xfId="0" applyAlignment="1" applyFont="1">
      <alignment shrinkToFit="0" wrapText="1"/>
    </xf>
    <xf borderId="38" fillId="4" fontId="8" numFmtId="0" xfId="0" applyAlignment="1" applyBorder="1" applyFill="1" applyFont="1">
      <alignment horizontal="center" shrinkToFit="0" vertical="center" wrapText="1"/>
    </xf>
    <xf borderId="39" fillId="0" fontId="5" numFmtId="0" xfId="0" applyBorder="1" applyFont="1"/>
    <xf borderId="40" fillId="0" fontId="5" numFmtId="0" xfId="0" applyBorder="1" applyFont="1"/>
    <xf borderId="0" fillId="0" fontId="18" numFmtId="0" xfId="0" applyAlignment="1" applyFont="1">
      <alignment horizontal="center" vertical="center"/>
    </xf>
    <xf borderId="0" fillId="0" fontId="18" numFmtId="165" xfId="0" applyAlignment="1" applyFont="1" applyNumberFormat="1">
      <alignment horizontal="center" vertical="center"/>
    </xf>
    <xf borderId="0" fillId="0" fontId="28" numFmtId="0" xfId="0" applyAlignment="1" applyFont="1">
      <alignment shrinkToFit="0" vertical="center" wrapText="1"/>
    </xf>
    <xf borderId="32" fillId="7" fontId="18" numFmtId="0" xfId="0" applyAlignment="1" applyBorder="1" applyFill="1" applyFont="1">
      <alignment shrinkToFit="0" vertical="top" wrapText="1"/>
    </xf>
    <xf borderId="32" fillId="4" fontId="18" numFmtId="0" xfId="0" applyAlignment="1" applyBorder="1" applyFill="1" applyFont="1">
      <alignment shrinkToFit="0" vertical="top" wrapText="1"/>
    </xf>
    <xf borderId="32" fillId="7" fontId="21" numFmtId="0" xfId="0" applyAlignment="1" applyBorder="1" applyFill="1" applyFont="1">
      <alignment shrinkToFit="0" vertical="top" wrapText="1"/>
    </xf>
    <xf borderId="33" fillId="7" fontId="18" numFmtId="0" xfId="0" applyAlignment="1" applyBorder="1" applyFill="1" applyFont="1">
      <alignment shrinkToFit="0" vertical="top" wrapText="1"/>
    </xf>
    <xf borderId="41" fillId="4" fontId="18" numFmtId="0" xfId="0" applyAlignment="1" applyBorder="1" applyFill="1" applyFont="1">
      <alignment shrinkToFit="0" vertical="top" wrapText="1"/>
    </xf>
    <xf borderId="32" fillId="4" fontId="26" numFmtId="0" xfId="0" applyAlignment="1" applyBorder="1" applyFill="1" applyFont="1">
      <alignment shrinkToFit="0" vertical="center" wrapText="1"/>
    </xf>
    <xf borderId="21" fillId="0" fontId="26" numFmtId="0" xfId="0" applyAlignment="1" applyBorder="1" applyFont="1">
      <alignment shrinkToFit="0" vertical="center" wrapText="1"/>
    </xf>
    <xf borderId="21" fillId="0" fontId="26" numFmtId="0" xfId="0" applyBorder="1" applyFont="1"/>
    <xf borderId="24" fillId="0" fontId="18" numFmtId="0" xfId="0" applyAlignment="1" applyBorder="1" applyFont="1">
      <alignment horizontal="left" shrinkToFit="0" vertical="center" wrapText="1"/>
    </xf>
    <xf borderId="24" fillId="0" fontId="26" numFmtId="0" xfId="0" applyBorder="1" applyFont="1"/>
    <xf borderId="24" fillId="0" fontId="25" numFmtId="0" xfId="0" applyBorder="1" applyFont="1"/>
    <xf borderId="21" fillId="0" fontId="3" numFmtId="0" xfId="0" applyAlignment="1" applyBorder="1" applyFont="1">
      <alignment shrinkToFit="0" vertical="center" wrapText="1"/>
    </xf>
    <xf borderId="21" fillId="0" fontId="3" numFmtId="0" xfId="0" applyAlignment="1" applyBorder="1" applyFont="1">
      <alignment horizontal="center" shrinkToFit="0" vertical="center" wrapText="1"/>
    </xf>
    <xf borderId="21" fillId="0" fontId="6" numFmtId="0" xfId="0" applyAlignment="1" applyBorder="1" applyFont="1">
      <alignment shrinkToFit="0" vertical="center" wrapText="1"/>
    </xf>
    <xf borderId="25" fillId="0" fontId="25" numFmtId="0" xfId="0" applyBorder="1" applyFont="1"/>
    <xf borderId="32" fillId="7" fontId="21" numFmtId="0" xfId="0" applyAlignment="1" applyBorder="1" applyFill="1" applyFont="1">
      <alignment shrinkToFit="0" vertical="center" wrapText="1"/>
    </xf>
    <xf borderId="21" fillId="15" fontId="18" numFmtId="0" xfId="0" applyAlignment="1" applyBorder="1" applyFill="1" applyFont="1">
      <alignment shrinkToFit="0" vertical="center" wrapText="1"/>
    </xf>
    <xf borderId="42" fillId="7" fontId="18" numFmtId="0" xfId="0" applyAlignment="1" applyBorder="1" applyFill="1" applyFont="1">
      <alignment horizontal="left" shrinkToFit="0" vertical="center" wrapText="1"/>
    </xf>
    <xf borderId="42" fillId="4" fontId="18" numFmtId="0" xfId="0" applyAlignment="1" applyBorder="1" applyFill="1" applyFont="1">
      <alignment horizontal="left" shrinkToFit="0" vertical="center" wrapText="1"/>
    </xf>
    <xf borderId="0" fillId="0" fontId="19" numFmtId="165" xfId="0" applyAlignment="1" applyFont="1" applyNumberFormat="1">
      <alignment horizontal="center" shrinkToFit="0" vertical="center" wrapText="1"/>
    </xf>
    <xf borderId="0" fillId="0" fontId="3" numFmtId="0" xfId="0" applyAlignment="1" applyFont="1">
      <alignment horizontal="right" shrinkToFit="0" vertical="center" wrapText="1"/>
    </xf>
    <xf borderId="0" fillId="0" fontId="3" numFmtId="165" xfId="0" applyAlignment="1" applyFont="1" applyNumberFormat="1">
      <alignment shrinkToFit="0" vertical="center" wrapText="1"/>
    </xf>
    <xf borderId="25" fillId="0" fontId="18" numFmtId="0" xfId="0" applyAlignment="1" applyBorder="1" applyFont="1">
      <alignment horizontal="center" vertical="center"/>
    </xf>
    <xf borderId="25" fillId="0" fontId="18" numFmtId="165" xfId="0" applyAlignment="1" applyBorder="1" applyFont="1" applyNumberFormat="1">
      <alignment horizontal="center" vertical="center"/>
    </xf>
    <xf borderId="0" fillId="0" fontId="25" numFmtId="165" xfId="0" applyAlignment="1" applyFont="1" applyNumberFormat="1">
      <alignment shrinkToFit="0" vertical="center" wrapText="1"/>
    </xf>
    <xf borderId="0" fillId="0" fontId="29" numFmtId="0" xfId="0" applyAlignment="1" applyFont="1">
      <alignment shrinkToFit="0" vertical="center" wrapText="1"/>
    </xf>
    <xf borderId="0" fillId="0" fontId="2" numFmtId="165" xfId="0"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57150</xdr:rowOff>
    </xdr:from>
    <xdr:ext cx="2781300" cy="5048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39</xdr:row>
      <xdr:rowOff>0</xdr:rowOff>
    </xdr:from>
    <xdr:ext cx="1905000" cy="3048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4" width="12.63"/>
  </cols>
  <sheetData>
    <row r="1" ht="13.5" customHeight="1">
      <c r="A1" s="5"/>
      <c r="B1" s="7"/>
      <c r="C1" s="7"/>
      <c r="D1" s="4"/>
      <c r="E1" s="4"/>
      <c r="F1" s="4"/>
      <c r="G1" s="4"/>
      <c r="H1" s="4"/>
      <c r="I1" s="4"/>
      <c r="J1" s="4"/>
      <c r="K1" s="4"/>
      <c r="L1" s="4"/>
      <c r="M1" s="4"/>
      <c r="N1" s="4"/>
      <c r="O1" s="2"/>
      <c r="P1" s="2"/>
      <c r="Q1" s="2"/>
      <c r="R1" s="2"/>
      <c r="S1" s="2"/>
      <c r="T1" s="2"/>
      <c r="U1" s="2"/>
      <c r="V1" s="2"/>
      <c r="W1" s="2"/>
      <c r="X1" s="2"/>
      <c r="Y1" s="2"/>
      <c r="Z1" s="2"/>
    </row>
    <row r="2" ht="13.5" customHeight="1">
      <c r="A2" s="7"/>
      <c r="B2" s="7"/>
      <c r="C2" s="7"/>
      <c r="D2" s="4"/>
      <c r="E2" s="4"/>
      <c r="F2" s="4"/>
      <c r="G2" s="4"/>
      <c r="H2" s="4"/>
      <c r="I2" s="4"/>
      <c r="J2" s="4"/>
      <c r="K2" s="4"/>
      <c r="L2" s="4"/>
      <c r="M2" s="4"/>
      <c r="N2" s="4"/>
      <c r="O2" s="2"/>
      <c r="P2" s="2"/>
      <c r="Q2" s="2"/>
      <c r="R2" s="2"/>
      <c r="S2" s="2"/>
      <c r="T2" s="2"/>
      <c r="U2" s="2"/>
      <c r="V2" s="2"/>
      <c r="W2" s="2"/>
      <c r="X2" s="2"/>
      <c r="Y2" s="2"/>
      <c r="Z2" s="2"/>
    </row>
    <row r="3" ht="13.5" customHeight="1">
      <c r="A3" s="4"/>
      <c r="B3" s="4"/>
      <c r="C3" s="4"/>
      <c r="D3" s="4"/>
      <c r="E3" s="4"/>
      <c r="F3" s="4"/>
      <c r="G3" s="7"/>
      <c r="H3" s="7"/>
      <c r="I3" s="7"/>
      <c r="J3" s="7"/>
      <c r="K3" s="7"/>
      <c r="L3" s="4"/>
      <c r="M3" s="4"/>
      <c r="N3" s="4"/>
      <c r="O3" s="2"/>
      <c r="P3" s="2"/>
      <c r="Q3" s="2"/>
      <c r="R3" s="2"/>
      <c r="S3" s="2"/>
      <c r="T3" s="2"/>
      <c r="U3" s="2"/>
      <c r="V3" s="2"/>
      <c r="W3" s="2"/>
      <c r="X3" s="2"/>
      <c r="Y3" s="2"/>
      <c r="Z3" s="2"/>
    </row>
    <row r="4" ht="13.5" customHeight="1">
      <c r="A4" s="19"/>
      <c r="B4" s="4"/>
      <c r="C4" s="4"/>
      <c r="D4" s="4"/>
      <c r="E4" s="4"/>
      <c r="F4" s="4"/>
      <c r="G4" s="4"/>
      <c r="H4" s="4"/>
      <c r="I4" s="4"/>
      <c r="J4" s="4"/>
      <c r="K4" s="4"/>
      <c r="L4" s="11"/>
      <c r="M4" s="4"/>
      <c r="N4" s="22" t="s">
        <v>23</v>
      </c>
      <c r="O4" s="2"/>
      <c r="P4" s="2"/>
      <c r="Q4" s="2"/>
      <c r="R4" s="2"/>
      <c r="S4" s="2"/>
      <c r="T4" s="2"/>
      <c r="U4" s="2"/>
      <c r="V4" s="2"/>
      <c r="W4" s="2"/>
      <c r="X4" s="2"/>
      <c r="Y4" s="2"/>
      <c r="Z4" s="2"/>
    </row>
    <row r="5" ht="13.5" customHeight="1">
      <c r="A5" s="19"/>
      <c r="B5" s="4"/>
      <c r="C5" s="4"/>
      <c r="D5" s="4"/>
      <c r="E5" s="4"/>
      <c r="F5" s="4"/>
      <c r="G5" s="4"/>
      <c r="H5" s="4"/>
      <c r="I5" s="4"/>
      <c r="J5" s="4"/>
      <c r="K5" s="4"/>
      <c r="L5" s="11"/>
      <c r="M5" s="4"/>
      <c r="N5" s="19"/>
      <c r="O5" s="2"/>
      <c r="P5" s="2"/>
      <c r="Q5" s="2"/>
      <c r="R5" s="2"/>
      <c r="S5" s="2"/>
      <c r="T5" s="2"/>
      <c r="U5" s="2"/>
      <c r="V5" s="2"/>
      <c r="W5" s="2"/>
      <c r="X5" s="2"/>
      <c r="Y5" s="2"/>
      <c r="Z5" s="2"/>
    </row>
    <row r="6" ht="13.5" customHeight="1">
      <c r="A6" s="19"/>
      <c r="B6" s="4"/>
      <c r="C6" s="4"/>
      <c r="D6" s="4"/>
      <c r="E6" s="4"/>
      <c r="F6" s="4"/>
      <c r="G6" s="4"/>
      <c r="H6" s="4"/>
      <c r="I6" s="4"/>
      <c r="J6" s="4"/>
      <c r="K6" s="4"/>
      <c r="L6" s="11"/>
      <c r="M6" s="4"/>
      <c r="N6" s="4"/>
      <c r="O6" s="2"/>
      <c r="P6" s="2"/>
      <c r="Q6" s="2"/>
      <c r="R6" s="2"/>
      <c r="S6" s="2"/>
      <c r="T6" s="2"/>
      <c r="U6" s="2"/>
      <c r="V6" s="2"/>
      <c r="W6" s="2"/>
      <c r="X6" s="2"/>
      <c r="Y6" s="2"/>
      <c r="Z6" s="2"/>
    </row>
    <row r="7" ht="13.5" customHeight="1">
      <c r="A7" s="36" t="s">
        <v>39</v>
      </c>
      <c r="B7" s="24"/>
      <c r="C7" s="24"/>
      <c r="D7" s="24"/>
      <c r="E7" s="24"/>
      <c r="F7" s="24"/>
      <c r="G7" s="24"/>
      <c r="H7" s="24"/>
      <c r="I7" s="24"/>
      <c r="J7" s="24"/>
      <c r="K7" s="24"/>
      <c r="L7" s="24"/>
      <c r="M7" s="24"/>
      <c r="N7" s="27"/>
      <c r="O7" s="2"/>
      <c r="P7" s="2"/>
      <c r="Q7" s="2"/>
      <c r="R7" s="2"/>
      <c r="S7" s="2"/>
      <c r="T7" s="2"/>
      <c r="U7" s="2"/>
      <c r="V7" s="2"/>
      <c r="W7" s="2"/>
      <c r="X7" s="2"/>
      <c r="Y7" s="2"/>
      <c r="Z7" s="2"/>
    </row>
    <row r="8" ht="13.5" customHeight="1">
      <c r="A8" s="19"/>
      <c r="B8" s="4"/>
      <c r="C8" s="4"/>
      <c r="D8" s="4"/>
      <c r="E8" s="4"/>
      <c r="F8" s="4"/>
      <c r="G8" s="4"/>
      <c r="H8" s="4"/>
      <c r="I8" s="4"/>
      <c r="J8" s="4"/>
      <c r="K8" s="4"/>
      <c r="L8" s="11"/>
      <c r="M8" s="4"/>
      <c r="N8" s="4"/>
      <c r="O8" s="2"/>
      <c r="P8" s="2"/>
      <c r="Q8" s="2"/>
      <c r="R8" s="2"/>
      <c r="S8" s="2"/>
      <c r="T8" s="2"/>
      <c r="U8" s="2"/>
      <c r="V8" s="2"/>
      <c r="W8" s="2"/>
      <c r="X8" s="2"/>
      <c r="Y8" s="2"/>
      <c r="Z8" s="2"/>
    </row>
    <row r="9" ht="13.5" customHeight="1">
      <c r="A9" s="4"/>
      <c r="B9" s="4"/>
      <c r="C9" s="4"/>
      <c r="D9" s="4"/>
      <c r="E9" s="4"/>
      <c r="F9" s="4"/>
      <c r="G9" s="4"/>
      <c r="H9" s="7"/>
      <c r="I9" s="7"/>
      <c r="J9" s="7"/>
      <c r="K9" s="7"/>
      <c r="L9" s="4"/>
      <c r="M9" s="4"/>
      <c r="N9" s="19" t="s">
        <v>52</v>
      </c>
      <c r="O9" s="2"/>
      <c r="P9" s="2"/>
      <c r="Q9" s="2"/>
      <c r="R9" s="2"/>
      <c r="S9" s="2"/>
      <c r="T9" s="2"/>
      <c r="U9" s="2"/>
      <c r="V9" s="2"/>
      <c r="W9" s="2"/>
      <c r="X9" s="2"/>
      <c r="Y9" s="2"/>
      <c r="Z9" s="2"/>
    </row>
    <row r="10" ht="13.5" customHeight="1">
      <c r="A10" s="4"/>
      <c r="B10" s="4"/>
      <c r="C10" s="4"/>
      <c r="D10" s="4"/>
      <c r="E10" s="4"/>
      <c r="F10" s="4"/>
      <c r="G10" s="4"/>
      <c r="H10" s="4"/>
      <c r="I10" s="4"/>
      <c r="J10" s="4"/>
      <c r="K10" s="4"/>
      <c r="L10" s="4"/>
      <c r="M10" s="4"/>
      <c r="N10" s="19" t="s">
        <v>36</v>
      </c>
      <c r="O10" s="2"/>
      <c r="P10" s="2"/>
      <c r="Q10" s="2"/>
      <c r="R10" s="2"/>
      <c r="S10" s="2"/>
      <c r="T10" s="2"/>
      <c r="U10" s="2"/>
      <c r="V10" s="2"/>
      <c r="W10" s="2"/>
      <c r="X10" s="2"/>
      <c r="Y10" s="2"/>
      <c r="Z10" s="2"/>
    </row>
    <row r="11" ht="13.5" customHeight="1">
      <c r="A11" s="47"/>
      <c r="B11" s="4"/>
      <c r="C11" s="4"/>
      <c r="D11" s="4"/>
      <c r="E11" s="4"/>
      <c r="F11" s="4"/>
      <c r="G11" s="4"/>
      <c r="H11" s="4"/>
      <c r="I11" s="4"/>
      <c r="J11" s="4"/>
      <c r="K11" s="4"/>
      <c r="L11" s="4"/>
      <c r="M11" s="4"/>
      <c r="N11" s="19" t="s">
        <v>35</v>
      </c>
      <c r="O11" s="2"/>
      <c r="P11" s="2"/>
      <c r="Q11" s="2"/>
      <c r="R11" s="2"/>
      <c r="S11" s="2"/>
      <c r="T11" s="2"/>
      <c r="U11" s="2"/>
      <c r="V11" s="2"/>
      <c r="W11" s="2"/>
      <c r="X11" s="2"/>
      <c r="Y11" s="2"/>
      <c r="Z11" s="2"/>
    </row>
    <row r="12" ht="13.5" customHeight="1">
      <c r="A12" s="47"/>
      <c r="B12" s="4"/>
      <c r="C12" s="4"/>
      <c r="D12" s="4"/>
      <c r="E12" s="4"/>
      <c r="F12" s="4"/>
      <c r="G12" s="4"/>
      <c r="H12" s="4"/>
      <c r="I12" s="4"/>
      <c r="J12" s="4"/>
      <c r="K12" s="4"/>
      <c r="L12" s="4"/>
      <c r="M12" s="4"/>
      <c r="N12" s="4"/>
      <c r="O12" s="2"/>
      <c r="P12" s="2"/>
      <c r="Q12" s="2"/>
      <c r="R12" s="2"/>
      <c r="S12" s="2"/>
      <c r="T12" s="2"/>
      <c r="U12" s="2"/>
      <c r="V12" s="2"/>
      <c r="W12" s="2"/>
      <c r="X12" s="2"/>
      <c r="Y12" s="2"/>
      <c r="Z12" s="2"/>
    </row>
    <row r="13" ht="13.5" customHeight="1">
      <c r="A13" s="47"/>
      <c r="B13" s="4"/>
      <c r="C13" s="4"/>
      <c r="D13" s="4"/>
      <c r="E13" s="4"/>
      <c r="F13" s="4"/>
      <c r="G13" s="4"/>
      <c r="H13" s="4"/>
      <c r="I13" s="4"/>
      <c r="J13" s="4"/>
      <c r="K13" s="4"/>
      <c r="L13" s="4"/>
      <c r="M13" s="4"/>
      <c r="N13" s="4"/>
      <c r="O13" s="2"/>
      <c r="P13" s="2"/>
      <c r="Q13" s="2"/>
      <c r="R13" s="2"/>
      <c r="S13" s="2"/>
      <c r="T13" s="2"/>
      <c r="U13" s="2"/>
      <c r="V13" s="2"/>
      <c r="W13" s="2"/>
      <c r="X13" s="2"/>
      <c r="Y13" s="2"/>
      <c r="Z13" s="2"/>
    </row>
    <row r="14" ht="13.5" customHeight="1">
      <c r="A14" s="47"/>
      <c r="B14" s="4"/>
      <c r="C14" s="4"/>
      <c r="D14" s="4"/>
      <c r="E14" s="4"/>
      <c r="F14" s="4"/>
      <c r="G14" s="4"/>
      <c r="H14" s="4"/>
      <c r="I14" s="4"/>
      <c r="J14" s="4"/>
      <c r="K14" s="4"/>
      <c r="L14" s="54"/>
      <c r="M14" s="4"/>
      <c r="N14" s="4"/>
      <c r="O14" s="2"/>
      <c r="P14" s="2"/>
      <c r="Q14" s="2"/>
      <c r="R14" s="2"/>
      <c r="S14" s="2"/>
      <c r="T14" s="2"/>
      <c r="U14" s="2"/>
      <c r="V14" s="2"/>
      <c r="W14" s="2"/>
      <c r="X14" s="2"/>
      <c r="Y14" s="2"/>
      <c r="Z14" s="2"/>
    </row>
    <row r="15" ht="13.5" customHeight="1">
      <c r="A15" s="4"/>
      <c r="B15" s="57"/>
      <c r="C15" s="4"/>
      <c r="D15" s="4"/>
      <c r="E15" s="4"/>
      <c r="F15" s="4"/>
      <c r="G15" s="4"/>
      <c r="H15" s="4"/>
      <c r="I15" s="57"/>
      <c r="J15" s="4"/>
      <c r="K15" s="4"/>
      <c r="L15" s="57"/>
      <c r="M15" s="4"/>
      <c r="N15" s="4"/>
      <c r="O15" s="2"/>
      <c r="P15" s="2"/>
      <c r="Q15" s="2"/>
      <c r="R15" s="2"/>
      <c r="S15" s="2"/>
      <c r="T15" s="2"/>
      <c r="U15" s="2"/>
      <c r="V15" s="2"/>
      <c r="W15" s="2"/>
      <c r="X15" s="2"/>
      <c r="Y15" s="2"/>
      <c r="Z15" s="2"/>
    </row>
    <row r="16" ht="13.5" customHeight="1">
      <c r="A16" s="4"/>
      <c r="B16" s="57"/>
      <c r="C16" s="4"/>
      <c r="D16" s="4"/>
      <c r="E16" s="4"/>
      <c r="F16" s="4"/>
      <c r="G16" s="4"/>
      <c r="H16" s="4"/>
      <c r="I16" s="57"/>
      <c r="J16" s="4"/>
      <c r="K16" s="4"/>
      <c r="L16" s="57"/>
      <c r="M16" s="4"/>
      <c r="N16" s="4"/>
      <c r="O16" s="2"/>
      <c r="P16" s="2"/>
      <c r="Q16" s="2"/>
      <c r="R16" s="2"/>
      <c r="S16" s="2"/>
      <c r="T16" s="2"/>
      <c r="U16" s="2"/>
      <c r="V16" s="2"/>
      <c r="W16" s="2"/>
      <c r="X16" s="2"/>
      <c r="Y16" s="2"/>
      <c r="Z16" s="2"/>
    </row>
    <row r="17" ht="13.5" customHeight="1">
      <c r="A17" s="4"/>
      <c r="B17" s="57"/>
      <c r="C17" s="4"/>
      <c r="D17" s="4"/>
      <c r="E17" s="4"/>
      <c r="F17" s="4"/>
      <c r="G17" s="4"/>
      <c r="H17" s="4"/>
      <c r="I17" s="57"/>
      <c r="J17" s="4"/>
      <c r="K17" s="4"/>
      <c r="L17" s="57"/>
      <c r="M17" s="4"/>
      <c r="N17" s="4"/>
      <c r="O17" s="2"/>
      <c r="P17" s="2"/>
      <c r="Q17" s="2"/>
      <c r="R17" s="2"/>
      <c r="S17" s="2"/>
      <c r="T17" s="2"/>
      <c r="U17" s="2"/>
      <c r="V17" s="2"/>
      <c r="W17" s="2"/>
      <c r="X17" s="2"/>
      <c r="Y17" s="2"/>
      <c r="Z17" s="2"/>
    </row>
    <row r="18" ht="13.5" customHeight="1">
      <c r="A18" s="4"/>
      <c r="B18" s="57"/>
      <c r="C18" s="4"/>
      <c r="D18" s="4"/>
      <c r="E18" s="4"/>
      <c r="F18" s="4"/>
      <c r="G18" s="4"/>
      <c r="H18" s="4"/>
      <c r="I18" s="57"/>
      <c r="J18" s="4"/>
      <c r="K18" s="4"/>
      <c r="L18" s="57"/>
      <c r="M18" s="4"/>
      <c r="N18" s="4"/>
      <c r="O18" s="2"/>
      <c r="P18" s="2"/>
      <c r="Q18" s="2"/>
      <c r="R18" s="2"/>
      <c r="S18" s="2"/>
      <c r="T18" s="2"/>
      <c r="U18" s="2"/>
      <c r="V18" s="2"/>
      <c r="W18" s="2"/>
      <c r="X18" s="2"/>
      <c r="Y18" s="2"/>
      <c r="Z18" s="2"/>
    </row>
    <row r="19" ht="13.5" customHeight="1">
      <c r="A19" s="1" t="s">
        <v>92</v>
      </c>
      <c r="O19" s="2"/>
      <c r="P19" s="2"/>
      <c r="Q19" s="2"/>
      <c r="R19" s="2"/>
      <c r="S19" s="2"/>
      <c r="T19" s="2"/>
      <c r="U19" s="2"/>
      <c r="V19" s="2"/>
      <c r="W19" s="2"/>
      <c r="X19" s="2"/>
      <c r="Y19" s="2"/>
      <c r="Z19" s="2"/>
    </row>
    <row r="20" ht="13.5" customHeight="1">
      <c r="A20" s="4"/>
      <c r="B20" s="57"/>
      <c r="C20" s="4"/>
      <c r="D20" s="4"/>
      <c r="E20" s="4"/>
      <c r="F20" s="4"/>
      <c r="G20" s="4"/>
      <c r="H20" s="4"/>
      <c r="I20" s="57"/>
      <c r="J20" s="4"/>
      <c r="K20" s="4"/>
      <c r="L20" s="57"/>
      <c r="M20" s="4"/>
      <c r="N20" s="4"/>
      <c r="O20" s="2"/>
      <c r="P20" s="2"/>
      <c r="Q20" s="2"/>
      <c r="R20" s="2"/>
      <c r="S20" s="2"/>
      <c r="T20" s="2"/>
      <c r="U20" s="2"/>
      <c r="V20" s="2"/>
      <c r="W20" s="2"/>
      <c r="X20" s="2"/>
      <c r="Y20" s="2"/>
      <c r="Z20" s="2"/>
    </row>
    <row r="21" ht="13.5" customHeight="1">
      <c r="A21" s="4"/>
      <c r="B21" s="57"/>
      <c r="C21" s="4"/>
      <c r="D21" s="4"/>
      <c r="E21" s="4"/>
      <c r="F21" s="4"/>
      <c r="G21" s="4"/>
      <c r="H21" s="4"/>
      <c r="I21" s="57"/>
      <c r="J21" s="4"/>
      <c r="K21" s="4"/>
      <c r="L21" s="57"/>
      <c r="M21" s="4"/>
      <c r="N21" s="4"/>
      <c r="O21" s="2"/>
      <c r="P21" s="2"/>
      <c r="Q21" s="2"/>
      <c r="R21" s="2"/>
      <c r="S21" s="2"/>
      <c r="T21" s="2"/>
      <c r="U21" s="2"/>
      <c r="V21" s="2"/>
      <c r="W21" s="2"/>
      <c r="X21" s="2"/>
      <c r="Y21" s="2"/>
      <c r="Z21" s="2"/>
    </row>
    <row r="22" ht="13.5" customHeight="1">
      <c r="A22" s="1"/>
      <c r="O22" s="2"/>
      <c r="P22" s="2"/>
      <c r="Q22" s="2"/>
      <c r="R22" s="2"/>
      <c r="S22" s="2"/>
      <c r="T22" s="2"/>
      <c r="U22" s="2"/>
      <c r="V22" s="2"/>
      <c r="W22" s="2"/>
      <c r="X22" s="2"/>
      <c r="Y22" s="2"/>
      <c r="Z22" s="2"/>
    </row>
    <row r="23" ht="13.5" customHeight="1">
      <c r="A23" s="3"/>
      <c r="O23" s="2"/>
      <c r="P23" s="2"/>
      <c r="Q23" s="2"/>
      <c r="R23" s="2"/>
      <c r="S23" s="2"/>
      <c r="T23" s="2"/>
      <c r="U23" s="2"/>
      <c r="V23" s="2"/>
      <c r="W23" s="2"/>
      <c r="X23" s="2"/>
      <c r="Y23" s="2"/>
      <c r="Z23" s="2"/>
    </row>
    <row r="24" ht="13.5" customHeight="1">
      <c r="A24" s="4"/>
      <c r="B24" s="4"/>
      <c r="C24" s="4"/>
      <c r="D24" s="4"/>
      <c r="E24" s="4"/>
      <c r="F24" s="4"/>
      <c r="G24" s="4"/>
      <c r="H24" s="71"/>
      <c r="I24" s="4"/>
      <c r="J24" s="4"/>
      <c r="K24" s="4"/>
      <c r="L24" s="4"/>
      <c r="M24" s="4"/>
      <c r="N24" s="4"/>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A7:N7"/>
    <mergeCell ref="A19:N19"/>
    <mergeCell ref="A22:N22"/>
    <mergeCell ref="A23:N2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0" width="12.63"/>
  </cols>
  <sheetData>
    <row r="1" ht="13.5" customHeight="1">
      <c r="A1" s="1" t="s">
        <v>0</v>
      </c>
      <c r="K1" s="2"/>
      <c r="L1" s="2"/>
      <c r="M1" s="2"/>
      <c r="N1" s="2"/>
      <c r="O1" s="2"/>
      <c r="P1" s="2"/>
      <c r="Q1" s="2"/>
      <c r="R1" s="2"/>
      <c r="S1" s="2"/>
      <c r="T1" s="2"/>
      <c r="U1" s="2"/>
      <c r="V1" s="2"/>
      <c r="W1" s="2"/>
      <c r="X1" s="2"/>
      <c r="Y1" s="2"/>
      <c r="Z1" s="2"/>
    </row>
    <row r="2" ht="13.5" customHeight="1">
      <c r="A2" s="3"/>
      <c r="B2" s="3"/>
      <c r="C2" s="3"/>
      <c r="D2" s="4"/>
      <c r="E2" s="4"/>
      <c r="F2" s="4"/>
      <c r="G2" s="4"/>
      <c r="H2" s="4"/>
      <c r="I2" s="4"/>
      <c r="J2" s="4"/>
      <c r="K2" s="2"/>
      <c r="L2" s="2"/>
      <c r="M2" s="2"/>
      <c r="N2" s="2"/>
      <c r="O2" s="2"/>
      <c r="P2" s="2"/>
      <c r="Q2" s="2"/>
      <c r="R2" s="2"/>
      <c r="S2" s="2"/>
      <c r="T2" s="2"/>
      <c r="U2" s="2"/>
      <c r="V2" s="2"/>
      <c r="W2" s="2"/>
      <c r="X2" s="2"/>
      <c r="Y2" s="2"/>
      <c r="Z2" s="2"/>
    </row>
    <row r="3" ht="13.5" customHeight="1">
      <c r="A3" s="6" t="s">
        <v>2</v>
      </c>
      <c r="B3" s="6" t="s">
        <v>3</v>
      </c>
      <c r="C3" s="6" t="s">
        <v>4</v>
      </c>
      <c r="D3" s="8" t="s">
        <v>5</v>
      </c>
      <c r="E3" s="9"/>
      <c r="F3" s="9"/>
      <c r="G3" s="9"/>
      <c r="H3" s="10"/>
      <c r="I3" s="6" t="s">
        <v>6</v>
      </c>
      <c r="J3" s="6" t="s">
        <v>7</v>
      </c>
      <c r="K3" s="2"/>
      <c r="L3" s="2"/>
      <c r="M3" s="2"/>
      <c r="N3" s="2"/>
      <c r="O3" s="2"/>
      <c r="P3" s="2"/>
      <c r="Q3" s="2"/>
      <c r="R3" s="2"/>
      <c r="S3" s="2"/>
      <c r="T3" s="2"/>
      <c r="U3" s="2"/>
      <c r="V3" s="2"/>
      <c r="W3" s="2"/>
      <c r="X3" s="2"/>
      <c r="Y3" s="2"/>
      <c r="Z3" s="2"/>
    </row>
    <row r="4" ht="13.5" customHeight="1">
      <c r="A4" s="13">
        <v>1.0</v>
      </c>
      <c r="B4" s="13" t="s">
        <v>8</v>
      </c>
      <c r="C4" s="13" t="s">
        <v>9</v>
      </c>
      <c r="D4" s="15" t="s">
        <v>10</v>
      </c>
      <c r="E4" s="9"/>
      <c r="F4" s="9"/>
      <c r="G4" s="9"/>
      <c r="H4" s="10"/>
      <c r="I4" s="13" t="s">
        <v>11</v>
      </c>
      <c r="J4" s="13" t="s">
        <v>12</v>
      </c>
      <c r="K4" s="2"/>
      <c r="L4" s="2"/>
      <c r="M4" s="2"/>
      <c r="N4" s="2"/>
      <c r="O4" s="2"/>
      <c r="P4" s="2"/>
      <c r="Q4" s="2"/>
      <c r="R4" s="2"/>
      <c r="S4" s="2"/>
      <c r="T4" s="2"/>
      <c r="U4" s="2"/>
      <c r="V4" s="2"/>
      <c r="W4" s="2"/>
      <c r="X4" s="2"/>
      <c r="Y4" s="2"/>
      <c r="Z4" s="2"/>
    </row>
    <row r="5" ht="13.5" customHeight="1">
      <c r="A5" s="13">
        <v>2.0</v>
      </c>
      <c r="B5" s="13" t="s">
        <v>13</v>
      </c>
      <c r="C5" s="13" t="s">
        <v>14</v>
      </c>
      <c r="D5" s="15" t="s">
        <v>15</v>
      </c>
      <c r="E5" s="9"/>
      <c r="F5" s="9"/>
      <c r="G5" s="9"/>
      <c r="H5" s="10"/>
      <c r="I5" s="13" t="s">
        <v>11</v>
      </c>
      <c r="J5" s="13" t="s">
        <v>12</v>
      </c>
      <c r="K5" s="2"/>
      <c r="L5" s="2"/>
      <c r="M5" s="2"/>
      <c r="N5" s="2"/>
      <c r="O5" s="2"/>
      <c r="P5" s="2"/>
      <c r="Q5" s="2"/>
      <c r="R5" s="2"/>
      <c r="S5" s="2"/>
      <c r="T5" s="2"/>
      <c r="U5" s="2"/>
      <c r="V5" s="2"/>
      <c r="W5" s="2"/>
      <c r="X5" s="2"/>
      <c r="Y5" s="2"/>
      <c r="Z5" s="2"/>
    </row>
    <row r="6" ht="13.5" customHeight="1">
      <c r="A6" s="13">
        <v>3.0</v>
      </c>
      <c r="B6" s="13" t="s">
        <v>18</v>
      </c>
      <c r="C6" s="13" t="s">
        <v>19</v>
      </c>
      <c r="D6" s="15" t="s">
        <v>21</v>
      </c>
      <c r="E6" s="9"/>
      <c r="F6" s="9"/>
      <c r="G6" s="9"/>
      <c r="H6" s="10"/>
      <c r="I6" s="13" t="s">
        <v>11</v>
      </c>
      <c r="J6" s="13" t="s">
        <v>12</v>
      </c>
      <c r="K6" s="2"/>
      <c r="L6" s="2"/>
      <c r="M6" s="2"/>
      <c r="N6" s="2"/>
      <c r="O6" s="2"/>
      <c r="P6" s="2"/>
      <c r="Q6" s="2"/>
      <c r="R6" s="2"/>
      <c r="S6" s="2"/>
      <c r="T6" s="2"/>
      <c r="U6" s="2"/>
      <c r="V6" s="2"/>
      <c r="W6" s="2"/>
      <c r="X6" s="2"/>
      <c r="Y6" s="2"/>
      <c r="Z6" s="2"/>
    </row>
    <row r="7" ht="13.5" customHeight="1">
      <c r="A7" s="13">
        <v>4.0</v>
      </c>
      <c r="B7" s="13" t="s">
        <v>24</v>
      </c>
      <c r="C7" s="13" t="s">
        <v>25</v>
      </c>
      <c r="D7" s="15" t="s">
        <v>26</v>
      </c>
      <c r="E7" s="9"/>
      <c r="F7" s="9"/>
      <c r="G7" s="9"/>
      <c r="H7" s="10"/>
      <c r="I7" s="13" t="s">
        <v>11</v>
      </c>
      <c r="J7" s="13" t="s">
        <v>12</v>
      </c>
      <c r="K7" s="2"/>
      <c r="L7" s="2"/>
      <c r="M7" s="2"/>
      <c r="N7" s="2"/>
      <c r="O7" s="2"/>
      <c r="P7" s="2"/>
      <c r="Q7" s="2"/>
      <c r="R7" s="2"/>
      <c r="S7" s="2"/>
      <c r="T7" s="2"/>
      <c r="U7" s="2"/>
      <c r="V7" s="2"/>
      <c r="W7" s="2"/>
      <c r="X7" s="2"/>
      <c r="Y7" s="2"/>
      <c r="Z7" s="2"/>
    </row>
    <row r="8" ht="13.5" customHeight="1">
      <c r="A8" s="13">
        <v>5.0</v>
      </c>
      <c r="B8" s="13" t="s">
        <v>29</v>
      </c>
      <c r="C8" s="13" t="s">
        <v>30</v>
      </c>
      <c r="D8" s="15" t="s">
        <v>32</v>
      </c>
      <c r="E8" s="9"/>
      <c r="F8" s="9"/>
      <c r="G8" s="9"/>
      <c r="H8" s="10"/>
      <c r="I8" s="13" t="s">
        <v>33</v>
      </c>
      <c r="J8" s="13" t="s">
        <v>11</v>
      </c>
      <c r="K8" s="2"/>
      <c r="L8" s="2"/>
      <c r="M8" s="2"/>
      <c r="N8" s="2"/>
      <c r="O8" s="2"/>
      <c r="P8" s="2"/>
      <c r="Q8" s="2"/>
      <c r="R8" s="2"/>
      <c r="S8" s="2"/>
      <c r="T8" s="2"/>
      <c r="U8" s="2"/>
      <c r="V8" s="2"/>
      <c r="W8" s="2"/>
      <c r="X8" s="2"/>
      <c r="Y8" s="2"/>
      <c r="Z8" s="2"/>
    </row>
    <row r="9" ht="13.5" customHeight="1">
      <c r="A9" s="31">
        <v>6.0</v>
      </c>
      <c r="B9" s="13" t="s">
        <v>35</v>
      </c>
      <c r="C9" s="13" t="s">
        <v>36</v>
      </c>
      <c r="D9" s="32" t="s">
        <v>37</v>
      </c>
      <c r="E9" s="9"/>
      <c r="F9" s="9"/>
      <c r="G9" s="9"/>
      <c r="H9" s="10"/>
      <c r="I9" s="13" t="s">
        <v>33</v>
      </c>
      <c r="J9" s="13" t="s">
        <v>11</v>
      </c>
      <c r="K9" s="2"/>
      <c r="L9" s="2"/>
      <c r="M9" s="2"/>
      <c r="N9" s="2"/>
      <c r="O9" s="2"/>
      <c r="P9" s="2"/>
      <c r="Q9" s="2"/>
      <c r="R9" s="2"/>
      <c r="S9" s="2"/>
      <c r="T9" s="2"/>
      <c r="U9" s="2"/>
      <c r="V9" s="2"/>
      <c r="W9" s="2"/>
      <c r="X9" s="2"/>
      <c r="Y9" s="2"/>
      <c r="Z9" s="2"/>
    </row>
    <row r="10" ht="13.5" customHeight="1">
      <c r="A10" s="31">
        <v>7.0</v>
      </c>
      <c r="B10" s="31" t="s">
        <v>43</v>
      </c>
      <c r="C10" s="31" t="s">
        <v>44</v>
      </c>
      <c r="D10" s="32" t="s">
        <v>45</v>
      </c>
      <c r="E10" s="9"/>
      <c r="F10" s="9"/>
      <c r="G10" s="9"/>
      <c r="H10" s="10"/>
      <c r="I10" s="31" t="s">
        <v>33</v>
      </c>
      <c r="J10" s="31" t="s">
        <v>11</v>
      </c>
      <c r="K10" s="2"/>
      <c r="L10" s="2"/>
      <c r="M10" s="2"/>
      <c r="N10" s="2"/>
      <c r="O10" s="2"/>
      <c r="P10" s="2"/>
      <c r="Q10" s="2"/>
      <c r="R10" s="2"/>
      <c r="S10" s="2"/>
      <c r="T10" s="2"/>
      <c r="U10" s="2"/>
      <c r="V10" s="2"/>
      <c r="W10" s="2"/>
      <c r="X10" s="2"/>
      <c r="Y10" s="2"/>
      <c r="Z10" s="2"/>
    </row>
    <row r="11" ht="13.5" customHeight="1">
      <c r="A11" s="13"/>
      <c r="B11" s="13"/>
      <c r="C11" s="13"/>
      <c r="D11" s="41"/>
      <c r="E11" s="9"/>
      <c r="F11" s="9"/>
      <c r="G11" s="9"/>
      <c r="H11" s="10"/>
      <c r="I11" s="42"/>
      <c r="J11" s="42"/>
      <c r="K11" s="2"/>
      <c r="L11" s="2"/>
      <c r="M11" s="2"/>
      <c r="N11" s="2"/>
      <c r="O11" s="2"/>
      <c r="P11" s="2"/>
      <c r="Q11" s="2"/>
      <c r="R11" s="2"/>
      <c r="S11" s="2"/>
      <c r="T11" s="2"/>
      <c r="U11" s="2"/>
      <c r="V11" s="2"/>
      <c r="W11" s="2"/>
      <c r="X11" s="2"/>
      <c r="Y11" s="2"/>
      <c r="Z11" s="2"/>
    </row>
    <row r="12" ht="13.5" customHeight="1">
      <c r="A12" s="13"/>
      <c r="B12" s="13"/>
      <c r="C12" s="13"/>
      <c r="D12" s="41"/>
      <c r="E12" s="9"/>
      <c r="F12" s="9"/>
      <c r="G12" s="9"/>
      <c r="H12" s="10"/>
      <c r="I12" s="42"/>
      <c r="J12" s="42"/>
      <c r="K12" s="2"/>
      <c r="L12" s="2"/>
      <c r="M12" s="2"/>
      <c r="N12" s="2"/>
      <c r="O12" s="2"/>
      <c r="P12" s="2"/>
      <c r="Q12" s="2"/>
      <c r="R12" s="2"/>
      <c r="S12" s="2"/>
      <c r="T12" s="2"/>
      <c r="U12" s="2"/>
      <c r="V12" s="2"/>
      <c r="W12" s="2"/>
      <c r="X12" s="2"/>
      <c r="Y12" s="2"/>
      <c r="Z12" s="2"/>
    </row>
    <row r="13" ht="13.5" customHeight="1">
      <c r="A13" s="13"/>
      <c r="B13" s="13"/>
      <c r="C13" s="13"/>
      <c r="D13" s="41"/>
      <c r="E13" s="9"/>
      <c r="F13" s="9"/>
      <c r="G13" s="9"/>
      <c r="H13" s="10"/>
      <c r="I13" s="42"/>
      <c r="J13" s="42"/>
      <c r="K13" s="2"/>
      <c r="L13" s="2"/>
      <c r="M13" s="2"/>
      <c r="N13" s="2"/>
      <c r="O13" s="2"/>
      <c r="P13" s="2"/>
      <c r="Q13" s="2"/>
      <c r="R13" s="2"/>
      <c r="S13" s="2"/>
      <c r="T13" s="2"/>
      <c r="U13" s="2"/>
      <c r="V13" s="2"/>
      <c r="W13" s="2"/>
      <c r="X13" s="2"/>
      <c r="Y13" s="2"/>
      <c r="Z13" s="2"/>
    </row>
    <row r="14" ht="13.5" customHeight="1">
      <c r="A14" s="13"/>
      <c r="B14" s="13"/>
      <c r="C14" s="13"/>
      <c r="D14" s="41"/>
      <c r="E14" s="9"/>
      <c r="F14" s="9"/>
      <c r="G14" s="9"/>
      <c r="H14" s="10"/>
      <c r="I14" s="42"/>
      <c r="J14" s="42"/>
      <c r="K14" s="2"/>
      <c r="L14" s="2"/>
      <c r="M14" s="2"/>
      <c r="N14" s="2"/>
      <c r="O14" s="2"/>
      <c r="P14" s="2"/>
      <c r="Q14" s="2"/>
      <c r="R14" s="2"/>
      <c r="S14" s="2"/>
      <c r="T14" s="2"/>
      <c r="U14" s="2"/>
      <c r="V14" s="2"/>
      <c r="W14" s="2"/>
      <c r="X14" s="2"/>
      <c r="Y14" s="2"/>
      <c r="Z14" s="2"/>
    </row>
    <row r="15" ht="13.5" customHeight="1">
      <c r="A15" s="13"/>
      <c r="B15" s="13"/>
      <c r="C15" s="13"/>
      <c r="D15" s="41"/>
      <c r="E15" s="9"/>
      <c r="F15" s="9"/>
      <c r="G15" s="9"/>
      <c r="H15" s="10"/>
      <c r="I15" s="42"/>
      <c r="J15" s="42"/>
      <c r="K15" s="2"/>
      <c r="L15" s="2"/>
      <c r="M15" s="2"/>
      <c r="N15" s="2"/>
      <c r="O15" s="2"/>
      <c r="P15" s="2"/>
      <c r="Q15" s="2"/>
      <c r="R15" s="2"/>
      <c r="S15" s="2"/>
      <c r="T15" s="2"/>
      <c r="U15" s="2"/>
      <c r="V15" s="2"/>
      <c r="W15" s="2"/>
      <c r="X15" s="2"/>
      <c r="Y15" s="2"/>
      <c r="Z15" s="2"/>
    </row>
    <row r="16" ht="13.5" customHeight="1">
      <c r="A16" s="13"/>
      <c r="B16" s="13"/>
      <c r="C16" s="13"/>
      <c r="D16" s="41"/>
      <c r="E16" s="9"/>
      <c r="F16" s="9"/>
      <c r="G16" s="9"/>
      <c r="H16" s="10"/>
      <c r="I16" s="42"/>
      <c r="J16" s="42"/>
      <c r="K16" s="2"/>
      <c r="L16" s="2"/>
      <c r="M16" s="2"/>
      <c r="N16" s="2"/>
      <c r="O16" s="2"/>
      <c r="P16" s="2"/>
      <c r="Q16" s="2"/>
      <c r="R16" s="2"/>
      <c r="S16" s="2"/>
      <c r="T16" s="2"/>
      <c r="U16" s="2"/>
      <c r="V16" s="2"/>
      <c r="W16" s="2"/>
      <c r="X16" s="2"/>
      <c r="Y16" s="2"/>
      <c r="Z16" s="2"/>
    </row>
    <row r="17" ht="13.5" customHeight="1">
      <c r="A17" s="13"/>
      <c r="B17" s="13"/>
      <c r="C17" s="13"/>
      <c r="D17" s="41"/>
      <c r="E17" s="9"/>
      <c r="F17" s="9"/>
      <c r="G17" s="9"/>
      <c r="H17" s="10"/>
      <c r="I17" s="42"/>
      <c r="J17" s="42"/>
      <c r="K17" s="2"/>
      <c r="L17" s="2"/>
      <c r="M17" s="2"/>
      <c r="N17" s="2"/>
      <c r="O17" s="2"/>
      <c r="P17" s="2"/>
      <c r="Q17" s="2"/>
      <c r="R17" s="2"/>
      <c r="S17" s="2"/>
      <c r="T17" s="2"/>
      <c r="U17" s="2"/>
      <c r="V17" s="2"/>
      <c r="W17" s="2"/>
      <c r="X17" s="2"/>
      <c r="Y17" s="2"/>
      <c r="Z17" s="2"/>
    </row>
    <row r="18" ht="13.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3.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3.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3.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3.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3.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3.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3.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3.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3.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3.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3.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3.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3.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3.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3.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3.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3.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3.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3.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3.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3.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3.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3.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3.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3.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3.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3.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3.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3.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3.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3.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3.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3.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3.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3.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3.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3.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3.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3.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3.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3.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3.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3.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3.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3.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3.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3.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3.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3.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3.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3.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3.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3.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3.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3.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3.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3.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3.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3.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3.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3.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3.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3.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3.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3.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3.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3.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3.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3.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3.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3.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3.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3.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3.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3.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3.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3.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3.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3.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3.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3.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3.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3.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3.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3.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3.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3.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3.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3.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3.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3.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3.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3.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3.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3.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3.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3.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3.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3.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3.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3.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3.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3.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3.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3.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3.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3.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3.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3.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3.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3.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3.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3.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3.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3.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3.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3.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3.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3.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3.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3.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3.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3.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3.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3.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6">
    <mergeCell ref="A1:J1"/>
    <mergeCell ref="D3:H3"/>
    <mergeCell ref="D4:H4"/>
    <mergeCell ref="D5:H5"/>
    <mergeCell ref="D6:H6"/>
    <mergeCell ref="D7:H7"/>
    <mergeCell ref="D8:H8"/>
    <mergeCell ref="D16:H16"/>
    <mergeCell ref="D17:H17"/>
    <mergeCell ref="D9:H9"/>
    <mergeCell ref="D10:H10"/>
    <mergeCell ref="D11:H11"/>
    <mergeCell ref="D12:H12"/>
    <mergeCell ref="D13:H13"/>
    <mergeCell ref="D14:H14"/>
    <mergeCell ref="D15:H1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0"/>
  <cols>
    <col customWidth="1" min="1" max="3" width="12.63"/>
    <col customWidth="1" min="4" max="4" width="38.0"/>
    <col customWidth="1" min="5" max="12" width="12.63"/>
    <col customWidth="1" min="13" max="13" width="37.63"/>
  </cols>
  <sheetData>
    <row r="1" ht="13.5" customHeight="1">
      <c r="A1" s="1" t="s">
        <v>1</v>
      </c>
      <c r="N1" s="2"/>
      <c r="O1" s="2"/>
      <c r="P1" s="2"/>
      <c r="Q1" s="2"/>
      <c r="R1" s="2"/>
      <c r="S1" s="2"/>
      <c r="T1" s="2"/>
      <c r="U1" s="2"/>
      <c r="V1" s="2"/>
      <c r="W1" s="2"/>
      <c r="X1" s="2"/>
      <c r="Y1" s="2"/>
      <c r="Z1" s="2"/>
    </row>
    <row r="2" ht="13.5" customHeight="1">
      <c r="A2" s="11"/>
      <c r="C2" s="12"/>
      <c r="D2" s="12"/>
      <c r="E2" s="14"/>
      <c r="F2" s="12"/>
      <c r="G2" s="12"/>
      <c r="H2" s="12"/>
      <c r="I2" s="12"/>
      <c r="J2" s="12"/>
      <c r="K2" s="12"/>
      <c r="L2" s="12"/>
      <c r="M2" s="16">
        <v>46254.0</v>
      </c>
      <c r="N2" s="2"/>
      <c r="O2" s="2"/>
      <c r="P2" s="2"/>
      <c r="Q2" s="2"/>
      <c r="R2" s="2"/>
      <c r="S2" s="2"/>
      <c r="T2" s="2"/>
      <c r="U2" s="2"/>
      <c r="V2" s="2"/>
      <c r="W2" s="2"/>
      <c r="X2" s="2"/>
      <c r="Y2" s="2"/>
      <c r="Z2" s="2"/>
    </row>
    <row r="3" ht="13.5" customHeight="1">
      <c r="A3" s="17" t="s">
        <v>16</v>
      </c>
      <c r="B3" s="18"/>
      <c r="C3" s="20" t="s">
        <v>20</v>
      </c>
      <c r="D3" s="10"/>
      <c r="E3" s="23" t="s">
        <v>22</v>
      </c>
      <c r="F3" s="25" t="s">
        <v>27</v>
      </c>
      <c r="G3" s="26" t="s">
        <v>28</v>
      </c>
      <c r="H3" s="9"/>
      <c r="I3" s="10"/>
      <c r="J3" s="26" t="s">
        <v>31</v>
      </c>
      <c r="K3" s="9"/>
      <c r="L3" s="10"/>
      <c r="M3" s="29" t="s">
        <v>34</v>
      </c>
      <c r="N3" s="2"/>
      <c r="O3" s="2"/>
      <c r="P3" s="2"/>
      <c r="Q3" s="2"/>
      <c r="R3" s="2"/>
      <c r="S3" s="2"/>
      <c r="T3" s="2"/>
      <c r="U3" s="2"/>
      <c r="V3" s="2"/>
      <c r="W3" s="2"/>
      <c r="X3" s="2"/>
      <c r="Y3" s="2"/>
      <c r="Z3" s="2"/>
    </row>
    <row r="4" ht="13.5" customHeight="1">
      <c r="A4" s="33"/>
      <c r="B4" s="34"/>
      <c r="C4" s="23" t="s">
        <v>40</v>
      </c>
      <c r="D4" s="23" t="s">
        <v>41</v>
      </c>
      <c r="E4" s="23" t="s">
        <v>42</v>
      </c>
      <c r="F4" s="38"/>
      <c r="G4" s="23" t="s">
        <v>46</v>
      </c>
      <c r="H4" s="23" t="s">
        <v>48</v>
      </c>
      <c r="I4" s="23" t="s">
        <v>49</v>
      </c>
      <c r="J4" s="23" t="s">
        <v>46</v>
      </c>
      <c r="K4" s="23" t="s">
        <v>48</v>
      </c>
      <c r="L4" s="23" t="s">
        <v>49</v>
      </c>
      <c r="M4" s="44"/>
      <c r="N4" s="2"/>
      <c r="O4" s="2"/>
      <c r="P4" s="2"/>
      <c r="Q4" s="2"/>
      <c r="R4" s="2"/>
      <c r="S4" s="2"/>
      <c r="T4" s="2"/>
      <c r="U4" s="2"/>
      <c r="V4" s="2"/>
      <c r="W4" s="2"/>
      <c r="X4" s="2"/>
      <c r="Y4" s="2"/>
      <c r="Z4" s="2"/>
    </row>
    <row r="5" ht="82.5" customHeight="1">
      <c r="A5" s="45" t="s">
        <v>53</v>
      </c>
      <c r="B5" s="45" t="s">
        <v>53</v>
      </c>
      <c r="C5" s="46" t="s">
        <v>57</v>
      </c>
      <c r="D5" s="48" t="s">
        <v>58</v>
      </c>
      <c r="E5" s="46">
        <f>COUNTIF('기능'!E6:E451,"sfr-001*")</f>
        <v>17</v>
      </c>
      <c r="F5" s="46" t="s">
        <v>60</v>
      </c>
      <c r="G5" s="46"/>
      <c r="H5" s="46"/>
      <c r="I5" s="46"/>
      <c r="J5" s="46"/>
      <c r="K5" s="46"/>
      <c r="L5" s="46"/>
      <c r="M5" s="48"/>
      <c r="N5" s="2"/>
      <c r="O5" s="2"/>
      <c r="P5" s="2"/>
      <c r="Q5" s="2"/>
      <c r="R5" s="2"/>
      <c r="S5" s="2"/>
      <c r="T5" s="2"/>
      <c r="U5" s="2"/>
      <c r="V5" s="2"/>
      <c r="W5" s="2"/>
      <c r="X5" s="2"/>
      <c r="Y5" s="2"/>
      <c r="Z5" s="2"/>
    </row>
    <row r="6" ht="13.5" customHeight="1">
      <c r="A6" s="56"/>
      <c r="B6" s="56"/>
      <c r="C6" s="46" t="s">
        <v>76</v>
      </c>
      <c r="D6" s="48" t="s">
        <v>78</v>
      </c>
      <c r="E6" s="46">
        <f>COUNTIF('기능'!E7:E452,"sfr-002*")</f>
        <v>28</v>
      </c>
      <c r="F6" s="46" t="s">
        <v>60</v>
      </c>
      <c r="G6" s="46"/>
      <c r="H6" s="46"/>
      <c r="I6" s="46"/>
      <c r="J6" s="46"/>
      <c r="K6" s="46"/>
      <c r="L6" s="46"/>
      <c r="M6" s="48"/>
      <c r="N6" s="2"/>
      <c r="O6" s="2"/>
      <c r="P6" s="2"/>
      <c r="Q6" s="2"/>
      <c r="R6" s="2"/>
      <c r="S6" s="2"/>
      <c r="T6" s="2"/>
      <c r="U6" s="2"/>
      <c r="V6" s="2"/>
      <c r="W6" s="2"/>
      <c r="X6" s="2"/>
      <c r="Y6" s="2"/>
      <c r="Z6" s="2"/>
    </row>
    <row r="7" ht="13.5" customHeight="1">
      <c r="A7" s="56"/>
      <c r="B7" s="56"/>
      <c r="C7" s="46" t="s">
        <v>87</v>
      </c>
      <c r="D7" s="64" t="s">
        <v>89</v>
      </c>
      <c r="E7" s="46">
        <f>COUNTIF('기능'!E8:E453,"sfr-003*")</f>
        <v>37</v>
      </c>
      <c r="F7" s="46" t="s">
        <v>60</v>
      </c>
      <c r="G7" s="46"/>
      <c r="H7" s="46"/>
      <c r="I7" s="46"/>
      <c r="J7" s="46"/>
      <c r="K7" s="46"/>
      <c r="L7" s="46"/>
      <c r="M7" s="48"/>
      <c r="N7" s="2"/>
      <c r="O7" s="2"/>
      <c r="P7" s="2"/>
      <c r="Q7" s="2"/>
      <c r="R7" s="2"/>
      <c r="S7" s="2"/>
      <c r="T7" s="2"/>
      <c r="U7" s="2"/>
      <c r="V7" s="2"/>
      <c r="W7" s="2"/>
      <c r="X7" s="2"/>
      <c r="Y7" s="2"/>
      <c r="Z7" s="2"/>
    </row>
    <row r="8" ht="13.5" customHeight="1">
      <c r="A8" s="56"/>
      <c r="B8" s="56"/>
      <c r="C8" s="46" t="s">
        <v>98</v>
      </c>
      <c r="D8" s="64" t="s">
        <v>100</v>
      </c>
      <c r="E8" s="46">
        <f>COUNTIF('기능'!E9:E454,"sfr-004*")</f>
        <v>21</v>
      </c>
      <c r="F8" s="46" t="s">
        <v>60</v>
      </c>
      <c r="G8" s="46"/>
      <c r="H8" s="46"/>
      <c r="I8" s="46"/>
      <c r="J8" s="46"/>
      <c r="K8" s="46"/>
      <c r="L8" s="46"/>
      <c r="M8" s="48"/>
      <c r="N8" s="2"/>
      <c r="O8" s="2"/>
      <c r="P8" s="2"/>
      <c r="Q8" s="2"/>
      <c r="R8" s="2"/>
      <c r="S8" s="2"/>
      <c r="T8" s="2"/>
      <c r="U8" s="2"/>
      <c r="V8" s="2"/>
      <c r="W8" s="2"/>
      <c r="X8" s="2"/>
      <c r="Y8" s="2"/>
      <c r="Z8" s="2"/>
    </row>
    <row r="9" ht="13.5" customHeight="1">
      <c r="A9" s="56"/>
      <c r="B9" s="56"/>
      <c r="C9" s="46" t="s">
        <v>104</v>
      </c>
      <c r="D9" s="64" t="s">
        <v>105</v>
      </c>
      <c r="E9" s="46">
        <f>COUNTIF('기능'!E10:E455,"sfr-005*")</f>
        <v>13</v>
      </c>
      <c r="F9" s="46" t="s">
        <v>60</v>
      </c>
      <c r="G9" s="46"/>
      <c r="H9" s="46"/>
      <c r="I9" s="46"/>
      <c r="J9" s="46"/>
      <c r="K9" s="46"/>
      <c r="L9" s="46"/>
      <c r="M9" s="48"/>
      <c r="N9" s="2"/>
      <c r="O9" s="2"/>
      <c r="P9" s="2"/>
      <c r="Q9" s="2"/>
      <c r="R9" s="2"/>
      <c r="S9" s="2"/>
      <c r="T9" s="2"/>
      <c r="U9" s="2"/>
      <c r="V9" s="2"/>
      <c r="W9" s="2"/>
      <c r="X9" s="2"/>
      <c r="Y9" s="2"/>
      <c r="Z9" s="2"/>
    </row>
    <row r="10" ht="13.5" customHeight="1">
      <c r="A10" s="56"/>
      <c r="B10" s="56"/>
      <c r="C10" s="46" t="s">
        <v>114</v>
      </c>
      <c r="D10" s="64" t="s">
        <v>115</v>
      </c>
      <c r="E10" s="46">
        <f>COUNTIF('기능'!E11:E456,"sfr-006*")</f>
        <v>8</v>
      </c>
      <c r="F10" s="46" t="s">
        <v>60</v>
      </c>
      <c r="G10" s="46"/>
      <c r="H10" s="46"/>
      <c r="I10" s="46"/>
      <c r="J10" s="46"/>
      <c r="K10" s="46"/>
      <c r="L10" s="46"/>
      <c r="M10" s="48"/>
      <c r="N10" s="2"/>
      <c r="O10" s="2"/>
      <c r="P10" s="2"/>
      <c r="Q10" s="2"/>
      <c r="R10" s="2"/>
      <c r="S10" s="2"/>
      <c r="T10" s="2"/>
      <c r="U10" s="2"/>
      <c r="V10" s="2"/>
      <c r="W10" s="2"/>
      <c r="X10" s="2"/>
      <c r="Y10" s="2"/>
      <c r="Z10" s="2"/>
    </row>
    <row r="11" ht="13.5" customHeight="1">
      <c r="A11" s="56"/>
      <c r="B11" s="56"/>
      <c r="C11" s="46" t="s">
        <v>119</v>
      </c>
      <c r="D11" s="64" t="s">
        <v>120</v>
      </c>
      <c r="E11" s="46">
        <f>COUNTIF('기능'!E12:E457,"sfr-007*")</f>
        <v>17</v>
      </c>
      <c r="F11" s="46" t="s">
        <v>60</v>
      </c>
      <c r="G11" s="46"/>
      <c r="H11" s="46"/>
      <c r="I11" s="46"/>
      <c r="J11" s="46"/>
      <c r="K11" s="46"/>
      <c r="L11" s="46"/>
      <c r="M11" s="48"/>
      <c r="N11" s="2"/>
      <c r="O11" s="2"/>
      <c r="P11" s="2"/>
      <c r="Q11" s="2"/>
      <c r="R11" s="2"/>
      <c r="S11" s="2"/>
      <c r="T11" s="2"/>
      <c r="U11" s="2"/>
      <c r="V11" s="2"/>
      <c r="W11" s="2"/>
      <c r="X11" s="2"/>
      <c r="Y11" s="2"/>
      <c r="Z11" s="2"/>
    </row>
    <row r="12" ht="13.5" customHeight="1">
      <c r="A12" s="56"/>
      <c r="B12" s="56"/>
      <c r="C12" s="46" t="s">
        <v>124</v>
      </c>
      <c r="D12" s="64" t="s">
        <v>125</v>
      </c>
      <c r="E12" s="46">
        <f>COUNTIF('기능'!E13:E458,"sfr-008*")</f>
        <v>19</v>
      </c>
      <c r="F12" s="46" t="s">
        <v>60</v>
      </c>
      <c r="G12" s="46"/>
      <c r="H12" s="46"/>
      <c r="I12" s="46"/>
      <c r="J12" s="46"/>
      <c r="K12" s="46"/>
      <c r="L12" s="46"/>
      <c r="M12" s="48"/>
      <c r="N12" s="2"/>
      <c r="O12" s="2"/>
      <c r="P12" s="2"/>
      <c r="Q12" s="2"/>
      <c r="R12" s="2"/>
      <c r="S12" s="2"/>
      <c r="T12" s="2"/>
      <c r="U12" s="2"/>
      <c r="V12" s="2"/>
      <c r="W12" s="2"/>
      <c r="X12" s="2"/>
      <c r="Y12" s="2"/>
      <c r="Z12" s="2"/>
    </row>
    <row r="13" ht="13.5" customHeight="1">
      <c r="A13" s="56"/>
      <c r="B13" s="56"/>
      <c r="C13" s="46" t="s">
        <v>132</v>
      </c>
      <c r="D13" s="64" t="s">
        <v>134</v>
      </c>
      <c r="E13" s="46">
        <f>COUNTIF('기능'!E14:E459,"sfr-009*")</f>
        <v>14</v>
      </c>
      <c r="F13" s="46" t="s">
        <v>60</v>
      </c>
      <c r="G13" s="46"/>
      <c r="H13" s="46"/>
      <c r="I13" s="46"/>
      <c r="J13" s="46"/>
      <c r="K13" s="46"/>
      <c r="L13" s="46"/>
      <c r="M13" s="48"/>
      <c r="N13" s="2"/>
      <c r="O13" s="2"/>
      <c r="P13" s="2"/>
      <c r="Q13" s="2"/>
      <c r="R13" s="2"/>
      <c r="S13" s="2"/>
      <c r="T13" s="2"/>
      <c r="U13" s="2"/>
      <c r="V13" s="2"/>
      <c r="W13" s="2"/>
      <c r="X13" s="2"/>
      <c r="Y13" s="2"/>
      <c r="Z13" s="2"/>
    </row>
    <row r="14" ht="13.5" customHeight="1">
      <c r="A14" s="56"/>
      <c r="B14" s="56"/>
      <c r="C14" s="46" t="s">
        <v>141</v>
      </c>
      <c r="D14" s="64" t="s">
        <v>143</v>
      </c>
      <c r="E14" s="46">
        <f>COUNTIF('기능'!E15:E460,"sfr-010*")</f>
        <v>10</v>
      </c>
      <c r="F14" s="46" t="s">
        <v>60</v>
      </c>
      <c r="G14" s="46"/>
      <c r="H14" s="46"/>
      <c r="I14" s="46"/>
      <c r="J14" s="46"/>
      <c r="K14" s="46"/>
      <c r="L14" s="46"/>
      <c r="M14" s="48"/>
      <c r="N14" s="2"/>
      <c r="O14" s="2"/>
      <c r="P14" s="2"/>
      <c r="Q14" s="2"/>
      <c r="R14" s="2"/>
      <c r="S14" s="2"/>
      <c r="T14" s="2"/>
      <c r="U14" s="2"/>
      <c r="V14" s="2"/>
      <c r="W14" s="2"/>
      <c r="X14" s="2"/>
      <c r="Y14" s="2"/>
      <c r="Z14" s="2"/>
    </row>
    <row r="15" ht="13.5" customHeight="1">
      <c r="A15" s="56"/>
      <c r="B15" s="56"/>
      <c r="C15" s="46" t="s">
        <v>151</v>
      </c>
      <c r="D15" s="64" t="s">
        <v>152</v>
      </c>
      <c r="E15" s="46">
        <f>COUNTIF('기능'!E16:E461,"sfr-011*")</f>
        <v>37</v>
      </c>
      <c r="F15" s="46" t="s">
        <v>60</v>
      </c>
      <c r="G15" s="46"/>
      <c r="H15" s="46"/>
      <c r="I15" s="46"/>
      <c r="J15" s="46"/>
      <c r="K15" s="46"/>
      <c r="L15" s="46"/>
      <c r="M15" s="48"/>
      <c r="N15" s="2"/>
      <c r="O15" s="2"/>
      <c r="P15" s="2"/>
      <c r="Q15" s="2"/>
      <c r="R15" s="2"/>
      <c r="S15" s="2"/>
      <c r="T15" s="2"/>
      <c r="U15" s="2"/>
      <c r="V15" s="2"/>
      <c r="W15" s="2"/>
      <c r="X15" s="2"/>
      <c r="Y15" s="2"/>
      <c r="Z15" s="2"/>
    </row>
    <row r="16" ht="13.5" customHeight="1">
      <c r="A16" s="56"/>
      <c r="B16" s="56"/>
      <c r="C16" s="46" t="s">
        <v>154</v>
      </c>
      <c r="D16" s="64" t="s">
        <v>155</v>
      </c>
      <c r="E16" s="46">
        <f>COUNTIF('기능'!E17:E462,"sfr-012*")</f>
        <v>24</v>
      </c>
      <c r="F16" s="46" t="s">
        <v>60</v>
      </c>
      <c r="G16" s="46"/>
      <c r="H16" s="46"/>
      <c r="I16" s="46"/>
      <c r="J16" s="46"/>
      <c r="K16" s="46"/>
      <c r="L16" s="46"/>
      <c r="M16" s="48"/>
      <c r="N16" s="2"/>
      <c r="O16" s="2"/>
      <c r="P16" s="2"/>
      <c r="Q16" s="2"/>
      <c r="R16" s="2"/>
      <c r="S16" s="2"/>
      <c r="T16" s="2"/>
      <c r="U16" s="2"/>
      <c r="V16" s="2"/>
      <c r="W16" s="2"/>
      <c r="X16" s="2"/>
      <c r="Y16" s="2"/>
      <c r="Z16" s="2"/>
    </row>
    <row r="17" ht="13.5" customHeight="1">
      <c r="A17" s="56"/>
      <c r="B17" s="56"/>
      <c r="C17" s="46" t="s">
        <v>159</v>
      </c>
      <c r="D17" s="64" t="s">
        <v>160</v>
      </c>
      <c r="E17" s="46">
        <f>COUNTIF('기능'!E18:E463,"sfr-013*")</f>
        <v>16</v>
      </c>
      <c r="F17" s="46" t="s">
        <v>60</v>
      </c>
      <c r="G17" s="46"/>
      <c r="H17" s="46"/>
      <c r="I17" s="46"/>
      <c r="J17" s="46"/>
      <c r="K17" s="46"/>
      <c r="L17" s="46"/>
      <c r="M17" s="48"/>
      <c r="N17" s="2"/>
      <c r="O17" s="2"/>
      <c r="P17" s="2"/>
      <c r="Q17" s="2"/>
      <c r="R17" s="2"/>
      <c r="S17" s="2"/>
      <c r="T17" s="2"/>
      <c r="U17" s="2"/>
      <c r="V17" s="2"/>
      <c r="W17" s="2"/>
      <c r="X17" s="2"/>
      <c r="Y17" s="2"/>
      <c r="Z17" s="2"/>
    </row>
    <row r="18" ht="13.5" customHeight="1">
      <c r="A18" s="56"/>
      <c r="B18" s="56"/>
      <c r="C18" s="46" t="s">
        <v>165</v>
      </c>
      <c r="D18" s="64" t="s">
        <v>166</v>
      </c>
      <c r="E18" s="46">
        <f>COUNTIF('기능'!E19:E464,"sfr-014*")</f>
        <v>21</v>
      </c>
      <c r="F18" s="76" t="s">
        <v>167</v>
      </c>
      <c r="G18" s="46"/>
      <c r="H18" s="46"/>
      <c r="I18" s="46"/>
      <c r="J18" s="46"/>
      <c r="K18" s="46"/>
      <c r="L18" s="46"/>
      <c r="M18" s="48"/>
      <c r="N18" s="2"/>
      <c r="O18" s="2"/>
      <c r="P18" s="2"/>
      <c r="Q18" s="2"/>
      <c r="R18" s="2"/>
      <c r="S18" s="2"/>
      <c r="T18" s="2"/>
      <c r="U18" s="2"/>
      <c r="V18" s="2"/>
      <c r="W18" s="2"/>
      <c r="X18" s="2"/>
      <c r="Y18" s="2"/>
      <c r="Z18" s="2"/>
    </row>
    <row r="19" ht="13.5" customHeight="1">
      <c r="A19" s="56"/>
      <c r="B19" s="56"/>
      <c r="C19" s="46" t="s">
        <v>172</v>
      </c>
      <c r="D19" s="64" t="s">
        <v>173</v>
      </c>
      <c r="E19" s="46">
        <f>COUNTIF('기능'!E20:E465,"sfr-015*")</f>
        <v>9</v>
      </c>
      <c r="F19" s="46" t="s">
        <v>60</v>
      </c>
      <c r="G19" s="46"/>
      <c r="H19" s="46"/>
      <c r="I19" s="46"/>
      <c r="J19" s="46"/>
      <c r="K19" s="46"/>
      <c r="L19" s="46"/>
      <c r="M19" s="48"/>
      <c r="N19" s="2"/>
      <c r="O19" s="2"/>
      <c r="P19" s="2"/>
      <c r="Q19" s="2"/>
      <c r="R19" s="2"/>
      <c r="S19" s="2"/>
      <c r="T19" s="2"/>
      <c r="U19" s="2"/>
      <c r="V19" s="2"/>
      <c r="W19" s="2"/>
      <c r="X19" s="2"/>
      <c r="Y19" s="2"/>
      <c r="Z19" s="2"/>
    </row>
    <row r="20" ht="13.5" customHeight="1">
      <c r="A20" s="56"/>
      <c r="B20" s="56"/>
      <c r="C20" s="46" t="s">
        <v>178</v>
      </c>
      <c r="D20" s="64" t="s">
        <v>179</v>
      </c>
      <c r="E20" s="46">
        <f>COUNTIF('기능'!E21:E466,"sfr-016*")</f>
        <v>15</v>
      </c>
      <c r="F20" s="46" t="s">
        <v>60</v>
      </c>
      <c r="G20" s="46"/>
      <c r="H20" s="46"/>
      <c r="I20" s="46"/>
      <c r="J20" s="46"/>
      <c r="K20" s="46"/>
      <c r="L20" s="46"/>
      <c r="M20" s="48"/>
      <c r="N20" s="2"/>
      <c r="O20" s="2"/>
      <c r="P20" s="2"/>
      <c r="Q20" s="2"/>
      <c r="R20" s="2"/>
      <c r="S20" s="2"/>
      <c r="T20" s="2"/>
      <c r="U20" s="2"/>
      <c r="V20" s="2"/>
      <c r="W20" s="2"/>
      <c r="X20" s="2"/>
      <c r="Y20" s="2"/>
      <c r="Z20" s="2"/>
    </row>
    <row r="21" ht="13.5" customHeight="1">
      <c r="A21" s="56"/>
      <c r="B21" s="56"/>
      <c r="C21" s="46" t="s">
        <v>184</v>
      </c>
      <c r="D21" s="64" t="s">
        <v>185</v>
      </c>
      <c r="E21" s="46">
        <f>COUNTIF('기능'!E22:E467,"sfr-017*")</f>
        <v>10</v>
      </c>
      <c r="F21" s="76" t="s">
        <v>186</v>
      </c>
      <c r="G21" s="46"/>
      <c r="H21" s="46"/>
      <c r="I21" s="46"/>
      <c r="J21" s="46"/>
      <c r="K21" s="46"/>
      <c r="L21" s="46"/>
      <c r="M21" s="80" t="s">
        <v>187</v>
      </c>
      <c r="N21" s="2"/>
      <c r="O21" s="2"/>
      <c r="P21" s="2"/>
      <c r="Q21" s="2"/>
      <c r="R21" s="2"/>
      <c r="S21" s="2"/>
      <c r="T21" s="2"/>
      <c r="U21" s="2"/>
      <c r="V21" s="2"/>
      <c r="W21" s="2"/>
      <c r="X21" s="2"/>
      <c r="Y21" s="2"/>
      <c r="Z21" s="2"/>
    </row>
    <row r="22" ht="13.5" customHeight="1">
      <c r="A22" s="56"/>
      <c r="B22" s="56"/>
      <c r="C22" s="46" t="s">
        <v>192</v>
      </c>
      <c r="D22" s="64" t="s">
        <v>193</v>
      </c>
      <c r="E22" s="46">
        <f>COUNTIF('기능'!E23:E468,"sfr-018*")</f>
        <v>13</v>
      </c>
      <c r="F22" s="46" t="s">
        <v>60</v>
      </c>
      <c r="G22" s="46"/>
      <c r="H22" s="46"/>
      <c r="I22" s="46"/>
      <c r="J22" s="46"/>
      <c r="K22" s="46"/>
      <c r="L22" s="46"/>
      <c r="M22" s="48"/>
      <c r="N22" s="2"/>
      <c r="O22" s="2"/>
      <c r="P22" s="2"/>
      <c r="Q22" s="2"/>
      <c r="R22" s="2"/>
      <c r="S22" s="2"/>
      <c r="T22" s="2"/>
      <c r="U22" s="2"/>
      <c r="V22" s="2"/>
      <c r="W22" s="2"/>
      <c r="X22" s="2"/>
      <c r="Y22" s="2"/>
      <c r="Z22" s="2"/>
    </row>
    <row r="23" ht="13.5" customHeight="1">
      <c r="A23" s="56"/>
      <c r="B23" s="56"/>
      <c r="C23" s="46" t="s">
        <v>197</v>
      </c>
      <c r="D23" s="64" t="s">
        <v>199</v>
      </c>
      <c r="E23" s="46">
        <f>COUNTIF('기능'!E24:E469,"sfr-019*")</f>
        <v>9</v>
      </c>
      <c r="F23" s="46" t="s">
        <v>60</v>
      </c>
      <c r="G23" s="46"/>
      <c r="H23" s="46"/>
      <c r="I23" s="46"/>
      <c r="J23" s="46"/>
      <c r="K23" s="46"/>
      <c r="L23" s="46"/>
      <c r="M23" s="48"/>
      <c r="N23" s="2"/>
      <c r="O23" s="2"/>
      <c r="P23" s="2"/>
      <c r="Q23" s="2"/>
      <c r="R23" s="2"/>
      <c r="S23" s="2"/>
      <c r="T23" s="2"/>
      <c r="U23" s="2"/>
      <c r="V23" s="2"/>
      <c r="W23" s="2"/>
      <c r="X23" s="2"/>
      <c r="Y23" s="2"/>
      <c r="Z23" s="2"/>
    </row>
    <row r="24" ht="13.5" customHeight="1">
      <c r="A24" s="56"/>
      <c r="B24" s="56"/>
      <c r="C24" s="46" t="s">
        <v>204</v>
      </c>
      <c r="D24" s="64" t="s">
        <v>205</v>
      </c>
      <c r="E24" s="46">
        <f>COUNTIF('기능'!E25:E470,"sfr-020*")</f>
        <v>8</v>
      </c>
      <c r="F24" s="46" t="s">
        <v>60</v>
      </c>
      <c r="G24" s="46"/>
      <c r="H24" s="46"/>
      <c r="I24" s="46"/>
      <c r="J24" s="46"/>
      <c r="K24" s="46"/>
      <c r="L24" s="46"/>
      <c r="M24" s="48"/>
      <c r="N24" s="2"/>
      <c r="O24" s="2"/>
      <c r="P24" s="2"/>
      <c r="Q24" s="2"/>
      <c r="R24" s="2"/>
      <c r="S24" s="2"/>
      <c r="T24" s="2"/>
      <c r="U24" s="2"/>
      <c r="V24" s="2"/>
      <c r="W24" s="2"/>
      <c r="X24" s="2"/>
      <c r="Y24" s="2"/>
      <c r="Z24" s="2"/>
    </row>
    <row r="25" ht="13.5" customHeight="1">
      <c r="A25" s="56"/>
      <c r="B25" s="56"/>
      <c r="C25" s="46" t="s">
        <v>210</v>
      </c>
      <c r="D25" s="64" t="s">
        <v>211</v>
      </c>
      <c r="E25" s="46">
        <f>COUNTIF('기능'!E26:E471,"sfr-021*")</f>
        <v>7</v>
      </c>
      <c r="F25" s="46" t="s">
        <v>60</v>
      </c>
      <c r="G25" s="46"/>
      <c r="H25" s="46"/>
      <c r="I25" s="46"/>
      <c r="J25" s="46"/>
      <c r="K25" s="46"/>
      <c r="L25" s="46"/>
      <c r="M25" s="48"/>
      <c r="N25" s="2"/>
      <c r="O25" s="2"/>
      <c r="P25" s="2"/>
      <c r="Q25" s="2"/>
      <c r="R25" s="2"/>
      <c r="S25" s="2"/>
      <c r="T25" s="2"/>
      <c r="U25" s="2"/>
      <c r="V25" s="2"/>
      <c r="W25" s="2"/>
      <c r="X25" s="2"/>
      <c r="Y25" s="2"/>
      <c r="Z25" s="2"/>
    </row>
    <row r="26" ht="13.5" customHeight="1">
      <c r="A26" s="56"/>
      <c r="B26" s="56"/>
      <c r="C26" s="46" t="s">
        <v>217</v>
      </c>
      <c r="D26" s="64" t="s">
        <v>219</v>
      </c>
      <c r="E26" s="46">
        <f>COUNTIF('기능'!E27:E472,"sfr-022*")</f>
        <v>6</v>
      </c>
      <c r="F26" s="46" t="s">
        <v>60</v>
      </c>
      <c r="G26" s="46"/>
      <c r="H26" s="46"/>
      <c r="I26" s="46"/>
      <c r="J26" s="46"/>
      <c r="K26" s="46"/>
      <c r="L26" s="46"/>
      <c r="M26" s="48"/>
      <c r="N26" s="2"/>
      <c r="O26" s="2"/>
      <c r="P26" s="2"/>
      <c r="Q26" s="2"/>
      <c r="R26" s="2"/>
      <c r="S26" s="2"/>
      <c r="T26" s="2"/>
      <c r="U26" s="2"/>
      <c r="V26" s="2"/>
      <c r="W26" s="2"/>
      <c r="X26" s="2"/>
      <c r="Y26" s="2"/>
      <c r="Z26" s="2"/>
    </row>
    <row r="27" ht="13.5" customHeight="1">
      <c r="A27" s="56"/>
      <c r="B27" s="56"/>
      <c r="C27" s="46" t="s">
        <v>227</v>
      </c>
      <c r="D27" s="64" t="s">
        <v>229</v>
      </c>
      <c r="E27" s="46">
        <f>COUNTIF('기능'!E28:E473,"sfr-023*")</f>
        <v>10</v>
      </c>
      <c r="F27" s="46" t="s">
        <v>60</v>
      </c>
      <c r="G27" s="46"/>
      <c r="H27" s="46"/>
      <c r="I27" s="46"/>
      <c r="J27" s="46"/>
      <c r="K27" s="46"/>
      <c r="L27" s="46"/>
      <c r="M27" s="48" t="s">
        <v>232</v>
      </c>
      <c r="N27" s="2"/>
      <c r="O27" s="2"/>
      <c r="P27" s="2"/>
      <c r="Q27" s="2"/>
      <c r="R27" s="2"/>
      <c r="S27" s="2"/>
      <c r="T27" s="2"/>
      <c r="U27" s="2"/>
      <c r="V27" s="2"/>
      <c r="W27" s="2"/>
      <c r="X27" s="2"/>
      <c r="Y27" s="2"/>
      <c r="Z27" s="2"/>
    </row>
    <row r="28" ht="13.5" customHeight="1">
      <c r="A28" s="56"/>
      <c r="B28" s="56"/>
      <c r="C28" s="46" t="s">
        <v>234</v>
      </c>
      <c r="D28" s="64" t="s">
        <v>235</v>
      </c>
      <c r="E28" s="46">
        <f>COUNTIF('기능'!E29:E474,"sfr-024*")</f>
        <v>8</v>
      </c>
      <c r="F28" s="46" t="s">
        <v>239</v>
      </c>
      <c r="G28" s="46"/>
      <c r="H28" s="46"/>
      <c r="I28" s="46"/>
      <c r="J28" s="46"/>
      <c r="K28" s="46"/>
      <c r="L28" s="46"/>
      <c r="M28" s="48"/>
      <c r="N28" s="2"/>
      <c r="O28" s="2"/>
      <c r="P28" s="2"/>
      <c r="Q28" s="2"/>
      <c r="R28" s="2"/>
      <c r="S28" s="2"/>
      <c r="T28" s="2"/>
      <c r="U28" s="2"/>
      <c r="V28" s="2"/>
      <c r="W28" s="2"/>
      <c r="X28" s="2"/>
      <c r="Y28" s="2"/>
      <c r="Z28" s="2"/>
    </row>
    <row r="29" ht="13.5" customHeight="1">
      <c r="A29" s="56"/>
      <c r="B29" s="56"/>
      <c r="C29" s="46" t="s">
        <v>243</v>
      </c>
      <c r="D29" s="64" t="s">
        <v>245</v>
      </c>
      <c r="E29" s="46">
        <f>COUNTIF('기능'!E30:E475,"sfr-025*")</f>
        <v>8</v>
      </c>
      <c r="F29" s="46" t="s">
        <v>239</v>
      </c>
      <c r="G29" s="46"/>
      <c r="H29" s="46"/>
      <c r="I29" s="46"/>
      <c r="J29" s="46"/>
      <c r="K29" s="46"/>
      <c r="L29" s="46"/>
      <c r="M29" s="48"/>
      <c r="N29" s="2"/>
      <c r="O29" s="2"/>
      <c r="P29" s="2"/>
      <c r="Q29" s="2"/>
      <c r="R29" s="2"/>
      <c r="S29" s="2"/>
      <c r="T29" s="2"/>
      <c r="U29" s="2"/>
      <c r="V29" s="2"/>
      <c r="W29" s="2"/>
      <c r="X29" s="2"/>
      <c r="Y29" s="2"/>
      <c r="Z29" s="2"/>
    </row>
    <row r="30" ht="13.5" customHeight="1">
      <c r="A30" s="56"/>
      <c r="B30" s="56"/>
      <c r="C30" s="46" t="s">
        <v>248</v>
      </c>
      <c r="D30" s="64" t="s">
        <v>249</v>
      </c>
      <c r="E30" s="46">
        <f>COUNTIF('기능'!E31:E476,"sfr-026*")</f>
        <v>8</v>
      </c>
      <c r="F30" s="46" t="s">
        <v>239</v>
      </c>
      <c r="G30" s="46"/>
      <c r="H30" s="46"/>
      <c r="I30" s="46"/>
      <c r="J30" s="46"/>
      <c r="K30" s="46"/>
      <c r="L30" s="46"/>
      <c r="M30" s="48"/>
      <c r="N30" s="2"/>
      <c r="O30" s="2"/>
      <c r="P30" s="2"/>
      <c r="Q30" s="2"/>
      <c r="R30" s="2"/>
      <c r="S30" s="2"/>
      <c r="T30" s="2"/>
      <c r="U30" s="2"/>
      <c r="V30" s="2"/>
      <c r="W30" s="2"/>
      <c r="X30" s="2"/>
      <c r="Y30" s="2"/>
      <c r="Z30" s="2"/>
    </row>
    <row r="31" ht="13.5" customHeight="1">
      <c r="A31" s="56"/>
      <c r="B31" s="56"/>
      <c r="C31" s="46" t="s">
        <v>257</v>
      </c>
      <c r="D31" s="64" t="s">
        <v>258</v>
      </c>
      <c r="E31" s="46">
        <f>COUNTIF('기능'!E32:E477,"sfr-027*")</f>
        <v>15</v>
      </c>
      <c r="F31" s="46" t="s">
        <v>60</v>
      </c>
      <c r="G31" s="46"/>
      <c r="H31" s="46"/>
      <c r="I31" s="46"/>
      <c r="J31" s="46"/>
      <c r="K31" s="46"/>
      <c r="L31" s="46"/>
      <c r="M31" s="48"/>
      <c r="N31" s="2"/>
      <c r="O31" s="2"/>
      <c r="P31" s="2"/>
      <c r="Q31" s="2"/>
      <c r="R31" s="2"/>
      <c r="S31" s="2"/>
      <c r="T31" s="2"/>
      <c r="U31" s="2"/>
      <c r="V31" s="2"/>
      <c r="W31" s="2"/>
      <c r="X31" s="2"/>
      <c r="Y31" s="2"/>
      <c r="Z31" s="2"/>
    </row>
    <row r="32" ht="13.5" customHeight="1">
      <c r="A32" s="56"/>
      <c r="B32" s="56"/>
      <c r="C32" s="46" t="s">
        <v>262</v>
      </c>
      <c r="D32" s="64" t="s">
        <v>263</v>
      </c>
      <c r="E32" s="46">
        <f>COUNTIF('기능'!E33:E478,"sfr-028*")</f>
        <v>9</v>
      </c>
      <c r="F32" s="46" t="s">
        <v>60</v>
      </c>
      <c r="G32" s="46"/>
      <c r="H32" s="46"/>
      <c r="I32" s="46"/>
      <c r="J32" s="46"/>
      <c r="K32" s="46"/>
      <c r="L32" s="46"/>
      <c r="M32" s="48"/>
      <c r="N32" s="2"/>
      <c r="O32" s="2"/>
      <c r="P32" s="2"/>
      <c r="Q32" s="2"/>
      <c r="R32" s="2"/>
      <c r="S32" s="2"/>
      <c r="T32" s="2"/>
      <c r="U32" s="2"/>
      <c r="V32" s="2"/>
      <c r="W32" s="2"/>
      <c r="X32" s="2"/>
      <c r="Y32" s="2"/>
      <c r="Z32" s="2"/>
    </row>
    <row r="33" ht="13.5" customHeight="1">
      <c r="A33" s="56"/>
      <c r="B33" s="56"/>
      <c r="C33" s="46" t="s">
        <v>267</v>
      </c>
      <c r="D33" s="64" t="s">
        <v>268</v>
      </c>
      <c r="E33" s="46">
        <f>COUNTIF('기능'!E34:E479,"sfr-029*")</f>
        <v>16</v>
      </c>
      <c r="F33" s="46" t="s">
        <v>60</v>
      </c>
      <c r="G33" s="46"/>
      <c r="H33" s="46"/>
      <c r="I33" s="46"/>
      <c r="J33" s="46"/>
      <c r="K33" s="46"/>
      <c r="L33" s="46"/>
      <c r="M33" s="48"/>
      <c r="N33" s="2"/>
      <c r="O33" s="2"/>
      <c r="P33" s="2"/>
      <c r="Q33" s="2"/>
      <c r="R33" s="2"/>
      <c r="S33" s="2"/>
      <c r="T33" s="2"/>
      <c r="U33" s="2"/>
      <c r="V33" s="2"/>
      <c r="W33" s="2"/>
      <c r="X33" s="2"/>
      <c r="Y33" s="2"/>
      <c r="Z33" s="2"/>
    </row>
    <row r="34" ht="13.5" customHeight="1">
      <c r="A34" s="56"/>
      <c r="B34" s="56"/>
      <c r="C34" s="46" t="s">
        <v>274</v>
      </c>
      <c r="D34" s="91" t="s">
        <v>275</v>
      </c>
      <c r="E34" s="46">
        <f>COUNTIF('기능'!E34:E479,"sfr-030*")</f>
        <v>8</v>
      </c>
      <c r="F34" s="46" t="s">
        <v>60</v>
      </c>
      <c r="G34" s="46"/>
      <c r="H34" s="46"/>
      <c r="I34" s="46"/>
      <c r="J34" s="46"/>
      <c r="K34" s="46"/>
      <c r="L34" s="46"/>
      <c r="M34" s="48"/>
      <c r="N34" s="2"/>
      <c r="O34" s="2"/>
      <c r="P34" s="2"/>
      <c r="Q34" s="2"/>
      <c r="R34" s="2"/>
      <c r="S34" s="2"/>
      <c r="T34" s="2"/>
      <c r="U34" s="2"/>
      <c r="V34" s="2"/>
      <c r="W34" s="2"/>
      <c r="X34" s="2"/>
      <c r="Y34" s="2"/>
      <c r="Z34" s="2"/>
    </row>
    <row r="35" ht="13.5" customHeight="1">
      <c r="A35" s="56"/>
      <c r="B35" s="56"/>
      <c r="C35" s="46" t="s">
        <v>281</v>
      </c>
      <c r="D35" s="91"/>
      <c r="E35" s="46">
        <f>COUNTIF('기능'!E34:E479,"sfr-031*")</f>
        <v>1</v>
      </c>
      <c r="F35" s="46" t="s">
        <v>60</v>
      </c>
      <c r="G35" s="46"/>
      <c r="H35" s="46"/>
      <c r="I35" s="46"/>
      <c r="J35" s="46"/>
      <c r="K35" s="46"/>
      <c r="L35" s="46"/>
      <c r="M35" s="48" t="s">
        <v>286</v>
      </c>
      <c r="N35" s="2"/>
      <c r="O35" s="2"/>
      <c r="P35" s="2"/>
      <c r="Q35" s="2"/>
      <c r="R35" s="2"/>
      <c r="S35" s="2"/>
      <c r="T35" s="2"/>
      <c r="U35" s="2"/>
      <c r="V35" s="2"/>
      <c r="W35" s="2"/>
      <c r="X35" s="2"/>
      <c r="Y35" s="2"/>
      <c r="Z35" s="2"/>
    </row>
    <row r="36" ht="13.5" customHeight="1">
      <c r="A36" s="56"/>
      <c r="B36" s="56"/>
      <c r="C36" s="46" t="s">
        <v>288</v>
      </c>
      <c r="D36" s="91"/>
      <c r="E36" s="46">
        <f>COUNTIF('기능'!E34:E479,"sfr-032*")</f>
        <v>1</v>
      </c>
      <c r="F36" s="46" t="s">
        <v>60</v>
      </c>
      <c r="G36" s="46"/>
      <c r="H36" s="46"/>
      <c r="I36" s="46"/>
      <c r="J36" s="46"/>
      <c r="K36" s="46"/>
      <c r="L36" s="46"/>
      <c r="M36" s="48" t="s">
        <v>286</v>
      </c>
      <c r="N36" s="2"/>
      <c r="O36" s="2"/>
      <c r="P36" s="2"/>
      <c r="Q36" s="2"/>
      <c r="R36" s="2"/>
      <c r="S36" s="2"/>
      <c r="T36" s="2"/>
      <c r="U36" s="2"/>
      <c r="V36" s="2"/>
      <c r="W36" s="2"/>
      <c r="X36" s="2"/>
      <c r="Y36" s="2"/>
      <c r="Z36" s="2"/>
    </row>
    <row r="37" ht="13.5" customHeight="1">
      <c r="A37" s="56"/>
      <c r="B37" s="56"/>
      <c r="C37" s="46" t="s">
        <v>293</v>
      </c>
      <c r="D37" s="91"/>
      <c r="E37" s="46">
        <f>COUNTIF('기능'!E34:E479,"sfr-033*")</f>
        <v>1</v>
      </c>
      <c r="F37" s="46" t="s">
        <v>60</v>
      </c>
      <c r="G37" s="46"/>
      <c r="H37" s="46"/>
      <c r="I37" s="46"/>
      <c r="J37" s="46"/>
      <c r="K37" s="46"/>
      <c r="L37" s="46"/>
      <c r="M37" s="48" t="s">
        <v>286</v>
      </c>
      <c r="N37" s="2"/>
      <c r="O37" s="2"/>
      <c r="P37" s="2"/>
      <c r="Q37" s="2"/>
      <c r="R37" s="2"/>
      <c r="S37" s="2"/>
      <c r="T37" s="2"/>
      <c r="U37" s="2"/>
      <c r="V37" s="2"/>
      <c r="W37" s="2"/>
      <c r="X37" s="2"/>
      <c r="Y37" s="2"/>
      <c r="Z37" s="2"/>
    </row>
    <row r="38" ht="13.5" customHeight="1">
      <c r="A38" s="56"/>
      <c r="B38" s="56"/>
      <c r="C38" s="46" t="s">
        <v>300</v>
      </c>
      <c r="D38" s="91"/>
      <c r="E38" s="46">
        <f>COUNTIF('기능'!E34:E479,"sfr-034*")</f>
        <v>1</v>
      </c>
      <c r="F38" s="46" t="s">
        <v>60</v>
      </c>
      <c r="G38" s="46"/>
      <c r="H38" s="46"/>
      <c r="I38" s="46"/>
      <c r="J38" s="46"/>
      <c r="K38" s="46"/>
      <c r="L38" s="46"/>
      <c r="M38" s="48" t="s">
        <v>286</v>
      </c>
      <c r="N38" s="2"/>
      <c r="O38" s="2"/>
      <c r="P38" s="2"/>
      <c r="Q38" s="2"/>
      <c r="R38" s="2"/>
      <c r="S38" s="2"/>
      <c r="T38" s="2"/>
      <c r="U38" s="2"/>
      <c r="V38" s="2"/>
      <c r="W38" s="2"/>
      <c r="X38" s="2"/>
      <c r="Y38" s="2"/>
      <c r="Z38" s="2"/>
    </row>
    <row r="39" ht="13.5" customHeight="1">
      <c r="A39" s="44"/>
      <c r="B39" s="44"/>
      <c r="C39" s="46" t="s">
        <v>305</v>
      </c>
      <c r="D39" s="91"/>
      <c r="E39" s="46">
        <f>COUNTIF('기능'!E35:E480,"sfr-035*")</f>
        <v>1</v>
      </c>
      <c r="F39" s="46" t="s">
        <v>60</v>
      </c>
      <c r="G39" s="46"/>
      <c r="H39" s="46"/>
      <c r="I39" s="46"/>
      <c r="J39" s="46"/>
      <c r="K39" s="46"/>
      <c r="L39" s="46"/>
      <c r="M39" s="48" t="s">
        <v>286</v>
      </c>
      <c r="N39" s="2"/>
      <c r="O39" s="2"/>
      <c r="P39" s="2"/>
      <c r="Q39" s="2"/>
      <c r="R39" s="2"/>
      <c r="S39" s="2"/>
      <c r="T39" s="2"/>
      <c r="U39" s="2"/>
      <c r="V39" s="2"/>
      <c r="W39" s="2"/>
      <c r="X39" s="2"/>
      <c r="Y39" s="2"/>
      <c r="Z39" s="2"/>
    </row>
    <row r="40" ht="13.5" customHeight="1">
      <c r="A40" s="94" t="s">
        <v>310</v>
      </c>
      <c r="B40" s="95"/>
      <c r="C40" s="95"/>
      <c r="D40" s="96"/>
      <c r="E40" s="97">
        <f>SUM(E5:E39)</f>
        <v>446</v>
      </c>
      <c r="F40" s="98"/>
      <c r="G40" s="97">
        <v>0.0</v>
      </c>
      <c r="H40" s="99">
        <v>0.0</v>
      </c>
      <c r="I40" s="97">
        <v>0.0</v>
      </c>
      <c r="J40" s="99"/>
      <c r="K40" s="100"/>
      <c r="L40" s="99"/>
      <c r="M40" s="100"/>
      <c r="N40" s="2"/>
      <c r="O40" s="2"/>
      <c r="P40" s="2"/>
      <c r="Q40" s="2"/>
      <c r="R40" s="2"/>
      <c r="S40" s="2"/>
      <c r="T40" s="2"/>
      <c r="U40" s="2"/>
      <c r="V40" s="2"/>
      <c r="W40" s="2"/>
      <c r="X40" s="2"/>
      <c r="Y40" s="2"/>
      <c r="Z40" s="2"/>
    </row>
    <row r="41" ht="13.5" customHeight="1">
      <c r="A41" s="45" t="s">
        <v>317</v>
      </c>
      <c r="B41" s="101" t="s">
        <v>320</v>
      </c>
      <c r="C41" s="46" t="s">
        <v>322</v>
      </c>
      <c r="D41" s="64" t="s">
        <v>323</v>
      </c>
      <c r="E41" s="76">
        <f>COUNTIF('성능'!E6:E45,"per-001*")</f>
        <v>7</v>
      </c>
      <c r="F41" s="46" t="s">
        <v>60</v>
      </c>
      <c r="G41" s="46"/>
      <c r="H41" s="46"/>
      <c r="I41" s="46"/>
      <c r="J41" s="46"/>
      <c r="K41" s="46"/>
      <c r="L41" s="46"/>
      <c r="M41" s="48"/>
      <c r="N41" s="2"/>
      <c r="O41" s="2"/>
      <c r="P41" s="2"/>
      <c r="Q41" s="2"/>
      <c r="R41" s="2"/>
      <c r="S41" s="2"/>
      <c r="T41" s="2"/>
      <c r="U41" s="2"/>
      <c r="V41" s="2"/>
      <c r="W41" s="2"/>
      <c r="X41" s="2"/>
      <c r="Y41" s="2"/>
      <c r="Z41" s="2"/>
    </row>
    <row r="42" ht="13.5" customHeight="1">
      <c r="A42" s="56"/>
      <c r="B42" s="102"/>
      <c r="C42" s="46" t="s">
        <v>327</v>
      </c>
      <c r="D42" s="64" t="s">
        <v>328</v>
      </c>
      <c r="E42" s="76">
        <f>COUNTIF('성능'!E7:E46,"per-002*")</f>
        <v>6</v>
      </c>
      <c r="F42" s="46" t="s">
        <v>60</v>
      </c>
      <c r="G42" s="46"/>
      <c r="H42" s="46"/>
      <c r="I42" s="46"/>
      <c r="J42" s="46"/>
      <c r="K42" s="46"/>
      <c r="L42" s="46"/>
      <c r="M42" s="48"/>
      <c r="N42" s="2"/>
      <c r="O42" s="2"/>
      <c r="P42" s="2"/>
      <c r="Q42" s="2"/>
      <c r="R42" s="2"/>
      <c r="S42" s="2"/>
      <c r="T42" s="2"/>
      <c r="U42" s="2"/>
      <c r="V42" s="2"/>
      <c r="W42" s="2"/>
      <c r="X42" s="2"/>
      <c r="Y42" s="2"/>
      <c r="Z42" s="2"/>
    </row>
    <row r="43" ht="13.5" customHeight="1">
      <c r="A43" s="56"/>
      <c r="B43" s="102"/>
      <c r="C43" s="46" t="s">
        <v>330</v>
      </c>
      <c r="D43" s="64" t="s">
        <v>331</v>
      </c>
      <c r="E43" s="76">
        <f>COUNTIF('성능'!E8:E47,"per-003*")</f>
        <v>12</v>
      </c>
      <c r="F43" s="46" t="s">
        <v>60</v>
      </c>
      <c r="G43" s="46"/>
      <c r="H43" s="46"/>
      <c r="I43" s="46"/>
      <c r="J43" s="46"/>
      <c r="K43" s="46"/>
      <c r="L43" s="46"/>
      <c r="M43" s="48"/>
      <c r="N43" s="2"/>
      <c r="O43" s="2"/>
      <c r="P43" s="2"/>
      <c r="Q43" s="2"/>
      <c r="R43" s="2"/>
      <c r="S43" s="2"/>
      <c r="T43" s="2"/>
      <c r="U43" s="2"/>
      <c r="V43" s="2"/>
      <c r="W43" s="2"/>
      <c r="X43" s="2"/>
      <c r="Y43" s="2"/>
      <c r="Z43" s="2"/>
    </row>
    <row r="44" ht="13.5" customHeight="1">
      <c r="A44" s="56"/>
      <c r="B44" s="102"/>
      <c r="C44" s="46" t="s">
        <v>337</v>
      </c>
      <c r="D44" s="64" t="s">
        <v>338</v>
      </c>
      <c r="E44" s="76">
        <f>COUNTIF('성능'!E9:E48,"per-004*")</f>
        <v>7</v>
      </c>
      <c r="F44" s="46" t="s">
        <v>60</v>
      </c>
      <c r="G44" s="46"/>
      <c r="H44" s="46"/>
      <c r="I44" s="46"/>
      <c r="J44" s="46"/>
      <c r="K44" s="46"/>
      <c r="L44" s="46"/>
      <c r="M44" s="48"/>
      <c r="N44" s="2"/>
      <c r="O44" s="2"/>
      <c r="P44" s="2"/>
      <c r="Q44" s="2"/>
      <c r="R44" s="2"/>
      <c r="S44" s="2"/>
      <c r="T44" s="2"/>
      <c r="U44" s="2"/>
      <c r="V44" s="2"/>
      <c r="W44" s="2"/>
      <c r="X44" s="2"/>
      <c r="Y44" s="2"/>
      <c r="Z44" s="2"/>
    </row>
    <row r="45" ht="13.5" customHeight="1">
      <c r="A45" s="56"/>
      <c r="B45" s="102"/>
      <c r="C45" s="46" t="s">
        <v>345</v>
      </c>
      <c r="D45" s="64" t="s">
        <v>346</v>
      </c>
      <c r="E45" s="76">
        <f>COUNTIF('성능'!E9:E48,"per-005*")</f>
        <v>5</v>
      </c>
      <c r="F45" s="46" t="s">
        <v>60</v>
      </c>
      <c r="G45" s="46"/>
      <c r="H45" s="46"/>
      <c r="I45" s="46"/>
      <c r="J45" s="46"/>
      <c r="K45" s="46"/>
      <c r="L45" s="46"/>
      <c r="M45" s="48"/>
      <c r="N45" s="2"/>
      <c r="O45" s="2"/>
      <c r="P45" s="2"/>
      <c r="Q45" s="2"/>
      <c r="R45" s="2"/>
      <c r="S45" s="2"/>
      <c r="T45" s="2"/>
      <c r="U45" s="2"/>
      <c r="V45" s="2"/>
      <c r="W45" s="2"/>
      <c r="X45" s="2"/>
      <c r="Y45" s="2"/>
      <c r="Z45" s="2"/>
    </row>
    <row r="46" ht="13.5" customHeight="1">
      <c r="A46" s="56"/>
      <c r="B46" s="102"/>
      <c r="C46" s="46" t="s">
        <v>350</v>
      </c>
      <c r="D46" s="64"/>
      <c r="E46" s="76">
        <f>COUNTIF('성능'!E9:E48,"per-006*")</f>
        <v>1</v>
      </c>
      <c r="F46" s="46" t="s">
        <v>60</v>
      </c>
      <c r="G46" s="46"/>
      <c r="H46" s="46"/>
      <c r="I46" s="46"/>
      <c r="J46" s="46"/>
      <c r="K46" s="46"/>
      <c r="L46" s="46"/>
      <c r="M46" s="48" t="s">
        <v>286</v>
      </c>
      <c r="N46" s="2"/>
      <c r="O46" s="2"/>
      <c r="P46" s="2"/>
      <c r="Q46" s="2"/>
      <c r="R46" s="2"/>
      <c r="S46" s="2"/>
      <c r="T46" s="2"/>
      <c r="U46" s="2"/>
      <c r="V46" s="2"/>
      <c r="W46" s="2"/>
      <c r="X46" s="2"/>
      <c r="Y46" s="2"/>
      <c r="Z46" s="2"/>
    </row>
    <row r="47" ht="13.5" customHeight="1">
      <c r="A47" s="56"/>
      <c r="B47" s="102"/>
      <c r="C47" s="46" t="s">
        <v>357</v>
      </c>
      <c r="D47" s="64"/>
      <c r="E47" s="76">
        <f>COUNTIF('성능'!E9:E48,"per-007*")</f>
        <v>1</v>
      </c>
      <c r="F47" s="46" t="s">
        <v>60</v>
      </c>
      <c r="G47" s="46"/>
      <c r="H47" s="46"/>
      <c r="I47" s="46"/>
      <c r="J47" s="46"/>
      <c r="K47" s="46"/>
      <c r="L47" s="46"/>
      <c r="M47" s="48" t="s">
        <v>286</v>
      </c>
      <c r="N47" s="2"/>
      <c r="O47" s="2"/>
      <c r="P47" s="2"/>
      <c r="Q47" s="2"/>
      <c r="R47" s="2"/>
      <c r="S47" s="2"/>
      <c r="T47" s="2"/>
      <c r="U47" s="2"/>
      <c r="V47" s="2"/>
      <c r="W47" s="2"/>
      <c r="X47" s="2"/>
      <c r="Y47" s="2"/>
      <c r="Z47" s="2"/>
    </row>
    <row r="48" ht="13.5" customHeight="1">
      <c r="A48" s="56"/>
      <c r="B48" s="34"/>
      <c r="C48" s="46" t="s">
        <v>363</v>
      </c>
      <c r="D48" s="64"/>
      <c r="E48" s="76">
        <f>COUNTIF('성능'!E10:E49,"per-008*")</f>
        <v>1</v>
      </c>
      <c r="F48" s="46" t="s">
        <v>60</v>
      </c>
      <c r="G48" s="46"/>
      <c r="H48" s="46"/>
      <c r="I48" s="46"/>
      <c r="J48" s="46"/>
      <c r="K48" s="46"/>
      <c r="L48" s="46"/>
      <c r="M48" s="48" t="s">
        <v>286</v>
      </c>
      <c r="N48" s="2"/>
      <c r="O48" s="2"/>
      <c r="P48" s="2"/>
      <c r="Q48" s="2"/>
      <c r="R48" s="2"/>
      <c r="S48" s="2"/>
      <c r="T48" s="2"/>
      <c r="U48" s="2"/>
      <c r="V48" s="2"/>
      <c r="W48" s="2"/>
      <c r="X48" s="2"/>
      <c r="Y48" s="2"/>
      <c r="Z48" s="2"/>
    </row>
    <row r="49" ht="13.5" customHeight="1">
      <c r="A49" s="56"/>
      <c r="B49" s="103" t="s">
        <v>49</v>
      </c>
      <c r="C49" s="9"/>
      <c r="D49" s="10"/>
      <c r="E49" s="97">
        <f>SUM(E41:E48)</f>
        <v>40</v>
      </c>
      <c r="F49" s="98"/>
      <c r="G49" s="97">
        <v>0.0</v>
      </c>
      <c r="H49" s="99">
        <v>0.0</v>
      </c>
      <c r="I49" s="97">
        <v>0.0</v>
      </c>
      <c r="J49" s="99"/>
      <c r="K49" s="100"/>
      <c r="L49" s="99"/>
      <c r="M49" s="100"/>
      <c r="N49" s="2"/>
      <c r="O49" s="2"/>
      <c r="P49" s="2"/>
      <c r="Q49" s="2"/>
      <c r="R49" s="2"/>
      <c r="S49" s="2"/>
      <c r="T49" s="2"/>
      <c r="U49" s="2"/>
      <c r="V49" s="2"/>
      <c r="W49" s="2"/>
      <c r="X49" s="2"/>
      <c r="Y49" s="2"/>
      <c r="Z49" s="2"/>
    </row>
    <row r="50" ht="13.5" customHeight="1">
      <c r="A50" s="56"/>
      <c r="B50" s="101" t="s">
        <v>375</v>
      </c>
      <c r="C50" s="46" t="s">
        <v>376</v>
      </c>
      <c r="D50" s="64" t="s">
        <v>377</v>
      </c>
      <c r="E50" s="76">
        <f>COUNTIF('시스템장비'!E6:E92,"ecr-001*")</f>
        <v>10</v>
      </c>
      <c r="F50" s="46" t="s">
        <v>60</v>
      </c>
      <c r="G50" s="46"/>
      <c r="H50" s="46"/>
      <c r="I50" s="46"/>
      <c r="J50" s="46"/>
      <c r="K50" s="46"/>
      <c r="L50" s="46"/>
      <c r="M50" s="48"/>
      <c r="N50" s="2"/>
      <c r="O50" s="2"/>
      <c r="P50" s="2"/>
      <c r="Q50" s="2"/>
      <c r="R50" s="2"/>
      <c r="S50" s="2"/>
      <c r="T50" s="2"/>
      <c r="U50" s="2"/>
      <c r="V50" s="2"/>
      <c r="W50" s="2"/>
      <c r="X50" s="2"/>
      <c r="Y50" s="2"/>
      <c r="Z50" s="2"/>
    </row>
    <row r="51" ht="13.5" customHeight="1">
      <c r="A51" s="56"/>
      <c r="B51" s="102"/>
      <c r="C51" s="46" t="s">
        <v>384</v>
      </c>
      <c r="D51" s="64" t="s">
        <v>385</v>
      </c>
      <c r="E51" s="76">
        <f>COUNTIF('시스템장비'!E7:E93,"ecr-002*")</f>
        <v>6</v>
      </c>
      <c r="F51" s="46" t="s">
        <v>60</v>
      </c>
      <c r="G51" s="46"/>
      <c r="H51" s="46"/>
      <c r="I51" s="46"/>
      <c r="J51" s="46"/>
      <c r="K51" s="46"/>
      <c r="L51" s="46"/>
      <c r="M51" s="48"/>
      <c r="N51" s="2"/>
      <c r="O51" s="2"/>
      <c r="P51" s="2"/>
      <c r="Q51" s="2"/>
      <c r="R51" s="2"/>
      <c r="S51" s="2"/>
      <c r="T51" s="2"/>
      <c r="U51" s="2"/>
      <c r="V51" s="2"/>
      <c r="W51" s="2"/>
      <c r="X51" s="2"/>
      <c r="Y51" s="2"/>
      <c r="Z51" s="2"/>
    </row>
    <row r="52" ht="13.5" customHeight="1">
      <c r="A52" s="56"/>
      <c r="B52" s="102"/>
      <c r="C52" s="46" t="s">
        <v>390</v>
      </c>
      <c r="D52" s="64" t="s">
        <v>391</v>
      </c>
      <c r="E52" s="76">
        <f>COUNTIF('시스템장비'!E8:E94,"ecr-003*")</f>
        <v>8</v>
      </c>
      <c r="F52" s="46" t="s">
        <v>60</v>
      </c>
      <c r="G52" s="46"/>
      <c r="H52" s="46"/>
      <c r="I52" s="46"/>
      <c r="J52" s="46"/>
      <c r="K52" s="46"/>
      <c r="L52" s="46"/>
      <c r="M52" s="48"/>
      <c r="N52" s="2"/>
      <c r="O52" s="2"/>
      <c r="P52" s="2"/>
      <c r="Q52" s="2"/>
      <c r="R52" s="2"/>
      <c r="S52" s="2"/>
      <c r="T52" s="2"/>
      <c r="U52" s="2"/>
      <c r="V52" s="2"/>
      <c r="W52" s="2"/>
      <c r="X52" s="2"/>
      <c r="Y52" s="2"/>
      <c r="Z52" s="2"/>
    </row>
    <row r="53" ht="13.5" customHeight="1">
      <c r="A53" s="56"/>
      <c r="B53" s="102"/>
      <c r="C53" s="46" t="s">
        <v>395</v>
      </c>
      <c r="D53" s="64" t="s">
        <v>397</v>
      </c>
      <c r="E53" s="76">
        <f>COUNTIF('시스템장비'!E9:E95,"ecr-004*")</f>
        <v>4</v>
      </c>
      <c r="F53" s="46" t="s">
        <v>60</v>
      </c>
      <c r="G53" s="46"/>
      <c r="H53" s="46"/>
      <c r="I53" s="46"/>
      <c r="J53" s="46"/>
      <c r="K53" s="46"/>
      <c r="L53" s="46"/>
      <c r="M53" s="48"/>
      <c r="N53" s="2"/>
      <c r="O53" s="2"/>
      <c r="P53" s="2"/>
      <c r="Q53" s="2"/>
      <c r="R53" s="2"/>
      <c r="S53" s="2"/>
      <c r="T53" s="2"/>
      <c r="U53" s="2"/>
      <c r="V53" s="2"/>
      <c r="W53" s="2"/>
      <c r="X53" s="2"/>
      <c r="Y53" s="2"/>
      <c r="Z53" s="2"/>
    </row>
    <row r="54" ht="13.5" customHeight="1">
      <c r="A54" s="56"/>
      <c r="B54" s="102"/>
      <c r="C54" s="46" t="s">
        <v>404</v>
      </c>
      <c r="D54" s="64" t="s">
        <v>405</v>
      </c>
      <c r="E54" s="76">
        <f>COUNTIF('시스템장비'!E10:E96,"ecr-005*")</f>
        <v>3</v>
      </c>
      <c r="F54" s="46" t="s">
        <v>60</v>
      </c>
      <c r="G54" s="46"/>
      <c r="H54" s="46"/>
      <c r="I54" s="46"/>
      <c r="J54" s="46"/>
      <c r="K54" s="46"/>
      <c r="L54" s="46"/>
      <c r="M54" s="48"/>
      <c r="N54" s="2"/>
      <c r="O54" s="2"/>
      <c r="P54" s="2"/>
      <c r="Q54" s="2"/>
      <c r="R54" s="2"/>
      <c r="S54" s="2"/>
      <c r="T54" s="2"/>
      <c r="U54" s="2"/>
      <c r="V54" s="2"/>
      <c r="W54" s="2"/>
      <c r="X54" s="2"/>
      <c r="Y54" s="2"/>
      <c r="Z54" s="2"/>
    </row>
    <row r="55" ht="13.5" customHeight="1">
      <c r="A55" s="56"/>
      <c r="B55" s="102"/>
      <c r="C55" s="46" t="s">
        <v>409</v>
      </c>
      <c r="D55" s="64" t="s">
        <v>410</v>
      </c>
      <c r="E55" s="76">
        <f>COUNTIF('시스템장비'!E11:E97,"ecr-006*")</f>
        <v>16</v>
      </c>
      <c r="F55" s="46" t="s">
        <v>60</v>
      </c>
      <c r="G55" s="46"/>
      <c r="H55" s="46"/>
      <c r="I55" s="46"/>
      <c r="J55" s="46"/>
      <c r="K55" s="46"/>
      <c r="L55" s="46"/>
      <c r="M55" s="48" t="s">
        <v>414</v>
      </c>
      <c r="N55" s="2"/>
      <c r="O55" s="2"/>
      <c r="P55" s="2"/>
      <c r="Q55" s="2"/>
      <c r="R55" s="2"/>
      <c r="S55" s="2"/>
      <c r="T55" s="2"/>
      <c r="U55" s="2"/>
      <c r="V55" s="2"/>
      <c r="W55" s="2"/>
      <c r="X55" s="2"/>
      <c r="Y55" s="2"/>
      <c r="Z55" s="2"/>
    </row>
    <row r="56" ht="13.5" customHeight="1">
      <c r="A56" s="56"/>
      <c r="B56" s="102"/>
      <c r="C56" s="46" t="s">
        <v>415</v>
      </c>
      <c r="D56" s="64" t="s">
        <v>416</v>
      </c>
      <c r="E56" s="76">
        <f>COUNTIF('시스템장비'!E12:E98,"ecr-007*")</f>
        <v>15</v>
      </c>
      <c r="F56" s="46" t="s">
        <v>60</v>
      </c>
      <c r="G56" s="46"/>
      <c r="H56" s="46"/>
      <c r="I56" s="46"/>
      <c r="J56" s="46"/>
      <c r="K56" s="46"/>
      <c r="L56" s="46"/>
      <c r="M56" s="48"/>
      <c r="N56" s="2"/>
      <c r="O56" s="2"/>
      <c r="P56" s="2"/>
      <c r="Q56" s="2"/>
      <c r="R56" s="2"/>
      <c r="S56" s="2"/>
      <c r="T56" s="2"/>
      <c r="U56" s="2"/>
      <c r="V56" s="2"/>
      <c r="W56" s="2"/>
      <c r="X56" s="2"/>
      <c r="Y56" s="2"/>
      <c r="Z56" s="2"/>
    </row>
    <row r="57" ht="13.5" customHeight="1">
      <c r="A57" s="56"/>
      <c r="B57" s="102"/>
      <c r="C57" s="46" t="s">
        <v>424</v>
      </c>
      <c r="D57" s="64" t="s">
        <v>425</v>
      </c>
      <c r="E57" s="76">
        <f>COUNTIF('시스템장비'!E13:E99,"ecr-008*")</f>
        <v>15</v>
      </c>
      <c r="F57" s="46" t="s">
        <v>60</v>
      </c>
      <c r="G57" s="46"/>
      <c r="H57" s="46"/>
      <c r="I57" s="46"/>
      <c r="J57" s="46"/>
      <c r="K57" s="46"/>
      <c r="L57" s="46"/>
      <c r="M57" s="48" t="s">
        <v>429</v>
      </c>
      <c r="N57" s="2"/>
      <c r="O57" s="2"/>
      <c r="P57" s="2"/>
      <c r="Q57" s="2"/>
      <c r="R57" s="2"/>
      <c r="S57" s="2"/>
      <c r="T57" s="2"/>
      <c r="U57" s="2"/>
      <c r="V57" s="2"/>
      <c r="W57" s="2"/>
      <c r="X57" s="2"/>
      <c r="Y57" s="2"/>
      <c r="Z57" s="2"/>
    </row>
    <row r="58" ht="13.5" customHeight="1">
      <c r="A58" s="56"/>
      <c r="B58" s="102"/>
      <c r="C58" s="46" t="s">
        <v>431</v>
      </c>
      <c r="D58" s="64" t="s">
        <v>432</v>
      </c>
      <c r="E58" s="76">
        <f>COUNTIF('시스템장비'!E13:E99,"ecr-009*")</f>
        <v>6</v>
      </c>
      <c r="F58" s="46" t="s">
        <v>60</v>
      </c>
      <c r="G58" s="46"/>
      <c r="H58" s="46"/>
      <c r="I58" s="46"/>
      <c r="J58" s="46"/>
      <c r="K58" s="46"/>
      <c r="L58" s="46"/>
      <c r="M58" s="48"/>
      <c r="N58" s="2"/>
      <c r="O58" s="2"/>
      <c r="P58" s="2"/>
      <c r="Q58" s="2"/>
      <c r="R58" s="2"/>
      <c r="S58" s="2"/>
      <c r="T58" s="2"/>
      <c r="U58" s="2"/>
      <c r="V58" s="2"/>
      <c r="W58" s="2"/>
      <c r="X58" s="2"/>
      <c r="Y58" s="2"/>
      <c r="Z58" s="2"/>
    </row>
    <row r="59" ht="13.5" customHeight="1">
      <c r="A59" s="56"/>
      <c r="B59" s="102"/>
      <c r="C59" s="46" t="s">
        <v>436</v>
      </c>
      <c r="D59" s="64"/>
      <c r="E59" s="76">
        <f>COUNTIF('시스템장비'!E13:E99,"ecr-010*")</f>
        <v>1</v>
      </c>
      <c r="F59" s="46" t="s">
        <v>60</v>
      </c>
      <c r="G59" s="46"/>
      <c r="H59" s="46"/>
      <c r="I59" s="46"/>
      <c r="J59" s="46"/>
      <c r="K59" s="46"/>
      <c r="L59" s="46"/>
      <c r="M59" s="48" t="s">
        <v>286</v>
      </c>
      <c r="N59" s="2"/>
      <c r="O59" s="2"/>
      <c r="P59" s="2"/>
      <c r="Q59" s="2"/>
      <c r="R59" s="2"/>
      <c r="S59" s="2"/>
      <c r="T59" s="2"/>
      <c r="U59" s="2"/>
      <c r="V59" s="2"/>
      <c r="W59" s="2"/>
      <c r="X59" s="2"/>
      <c r="Y59" s="2"/>
      <c r="Z59" s="2"/>
    </row>
    <row r="60" ht="13.5" customHeight="1">
      <c r="A60" s="56"/>
      <c r="B60" s="102"/>
      <c r="C60" s="46" t="s">
        <v>443</v>
      </c>
      <c r="D60" s="64"/>
      <c r="E60" s="76">
        <f>COUNTIF('시스템장비'!E13:E99,"ecr-011*")</f>
        <v>1</v>
      </c>
      <c r="F60" s="46" t="s">
        <v>60</v>
      </c>
      <c r="G60" s="46"/>
      <c r="H60" s="46"/>
      <c r="I60" s="46"/>
      <c r="J60" s="46"/>
      <c r="K60" s="46"/>
      <c r="L60" s="46"/>
      <c r="M60" s="48" t="s">
        <v>286</v>
      </c>
      <c r="N60" s="2"/>
      <c r="O60" s="2"/>
      <c r="P60" s="2"/>
      <c r="Q60" s="2"/>
      <c r="R60" s="2"/>
      <c r="S60" s="2"/>
      <c r="T60" s="2"/>
      <c r="U60" s="2"/>
      <c r="V60" s="2"/>
      <c r="W60" s="2"/>
      <c r="X60" s="2"/>
      <c r="Y60" s="2"/>
      <c r="Z60" s="2"/>
    </row>
    <row r="61" ht="13.5" customHeight="1">
      <c r="A61" s="56"/>
      <c r="B61" s="102"/>
      <c r="C61" s="46" t="s">
        <v>448</v>
      </c>
      <c r="D61" s="64"/>
      <c r="E61" s="76">
        <f>COUNTIF('시스템장비'!E13:E99,"ecr-012*")</f>
        <v>1</v>
      </c>
      <c r="F61" s="46" t="s">
        <v>60</v>
      </c>
      <c r="G61" s="46"/>
      <c r="H61" s="46"/>
      <c r="I61" s="46"/>
      <c r="J61" s="46"/>
      <c r="K61" s="46"/>
      <c r="L61" s="46"/>
      <c r="M61" s="48" t="s">
        <v>286</v>
      </c>
      <c r="N61" s="2"/>
      <c r="O61" s="2"/>
      <c r="P61" s="2"/>
      <c r="Q61" s="2"/>
      <c r="R61" s="2"/>
      <c r="S61" s="2"/>
      <c r="T61" s="2"/>
      <c r="U61" s="2"/>
      <c r="V61" s="2"/>
      <c r="W61" s="2"/>
      <c r="X61" s="2"/>
      <c r="Y61" s="2"/>
      <c r="Z61" s="2"/>
    </row>
    <row r="62" ht="13.5" customHeight="1">
      <c r="A62" s="56"/>
      <c r="B62" s="102"/>
      <c r="C62" s="46" t="s">
        <v>453</v>
      </c>
      <c r="D62" s="64"/>
      <c r="E62" s="76">
        <f>COUNTIF('시스템장비'!E14:E100,"ecr-013*")</f>
        <v>1</v>
      </c>
      <c r="F62" s="46" t="s">
        <v>60</v>
      </c>
      <c r="G62" s="46"/>
      <c r="H62" s="46"/>
      <c r="I62" s="46"/>
      <c r="J62" s="46"/>
      <c r="K62" s="46"/>
      <c r="L62" s="46"/>
      <c r="M62" s="48" t="s">
        <v>286</v>
      </c>
      <c r="N62" s="2"/>
      <c r="O62" s="2"/>
      <c r="P62" s="2"/>
      <c r="Q62" s="2"/>
      <c r="R62" s="2"/>
      <c r="S62" s="2"/>
      <c r="T62" s="2"/>
      <c r="U62" s="2"/>
      <c r="V62" s="2"/>
      <c r="W62" s="2"/>
      <c r="X62" s="2"/>
      <c r="Y62" s="2"/>
      <c r="Z62" s="2"/>
    </row>
    <row r="63" ht="13.5" customHeight="1">
      <c r="A63" s="56"/>
      <c r="B63" s="103" t="s">
        <v>49</v>
      </c>
      <c r="C63" s="9"/>
      <c r="D63" s="10"/>
      <c r="E63" s="97">
        <f>SUM(E50:E62)</f>
        <v>87</v>
      </c>
      <c r="F63" s="98"/>
      <c r="G63" s="97">
        <v>0.0</v>
      </c>
      <c r="H63" s="99">
        <v>0.0</v>
      </c>
      <c r="I63" s="97">
        <v>0.0</v>
      </c>
      <c r="J63" s="99"/>
      <c r="K63" s="100"/>
      <c r="L63" s="99"/>
      <c r="M63" s="100"/>
      <c r="N63" s="2"/>
      <c r="O63" s="2"/>
      <c r="P63" s="2"/>
      <c r="Q63" s="2"/>
      <c r="R63" s="2"/>
      <c r="S63" s="2"/>
      <c r="T63" s="2"/>
      <c r="U63" s="2"/>
      <c r="V63" s="2"/>
      <c r="W63" s="2"/>
      <c r="X63" s="2"/>
      <c r="Y63" s="2"/>
      <c r="Z63" s="2"/>
    </row>
    <row r="64" ht="13.5" customHeight="1">
      <c r="A64" s="56"/>
      <c r="B64" s="104" t="s">
        <v>463</v>
      </c>
      <c r="C64" s="46" t="s">
        <v>466</v>
      </c>
      <c r="D64" s="48" t="s">
        <v>467</v>
      </c>
      <c r="E64" s="76">
        <f>COUNTIF('인터페이스'!E6:E60,"inr-001*")</f>
        <v>10</v>
      </c>
      <c r="F64" s="46" t="s">
        <v>60</v>
      </c>
      <c r="G64" s="46"/>
      <c r="H64" s="46"/>
      <c r="I64" s="46"/>
      <c r="J64" s="46"/>
      <c r="K64" s="46"/>
      <c r="L64" s="46"/>
      <c r="M64" s="48"/>
      <c r="N64" s="2"/>
      <c r="O64" s="2"/>
      <c r="P64" s="2"/>
      <c r="Q64" s="2"/>
      <c r="R64" s="2"/>
      <c r="S64" s="2"/>
      <c r="T64" s="2"/>
      <c r="U64" s="2"/>
      <c r="V64" s="2"/>
      <c r="W64" s="2"/>
      <c r="X64" s="2"/>
      <c r="Y64" s="2"/>
      <c r="Z64" s="2"/>
    </row>
    <row r="65" ht="13.5" customHeight="1">
      <c r="A65" s="56"/>
      <c r="B65" s="102"/>
      <c r="C65" s="46" t="s">
        <v>473</v>
      </c>
      <c r="D65" s="48" t="s">
        <v>474</v>
      </c>
      <c r="E65" s="76">
        <f>COUNTIF('인터페이스'!E7:E61,"inr-002*")</f>
        <v>7</v>
      </c>
      <c r="F65" s="46" t="s">
        <v>60</v>
      </c>
      <c r="G65" s="46"/>
      <c r="H65" s="46"/>
      <c r="I65" s="46"/>
      <c r="J65" s="46"/>
      <c r="K65" s="46"/>
      <c r="L65" s="46"/>
      <c r="M65" s="48"/>
      <c r="N65" s="2"/>
      <c r="O65" s="2"/>
      <c r="P65" s="2"/>
      <c r="Q65" s="2"/>
      <c r="R65" s="2"/>
      <c r="S65" s="2"/>
      <c r="T65" s="2"/>
      <c r="U65" s="2"/>
      <c r="V65" s="2"/>
      <c r="W65" s="2"/>
      <c r="X65" s="2"/>
      <c r="Y65" s="2"/>
      <c r="Z65" s="2"/>
    </row>
    <row r="66" ht="13.5" customHeight="1">
      <c r="A66" s="56"/>
      <c r="B66" s="102"/>
      <c r="C66" s="46" t="s">
        <v>480</v>
      </c>
      <c r="D66" s="48" t="s">
        <v>481</v>
      </c>
      <c r="E66" s="76">
        <f>COUNTIF('인터페이스'!E8:E62,"inr-003*")</f>
        <v>3</v>
      </c>
      <c r="F66" s="46" t="s">
        <v>60</v>
      </c>
      <c r="G66" s="46"/>
      <c r="H66" s="46"/>
      <c r="I66" s="46"/>
      <c r="J66" s="46"/>
      <c r="K66" s="46"/>
      <c r="L66" s="46"/>
      <c r="M66" s="48"/>
      <c r="N66" s="2"/>
      <c r="O66" s="2"/>
      <c r="P66" s="2"/>
      <c r="Q66" s="2"/>
      <c r="R66" s="2"/>
      <c r="S66" s="2"/>
      <c r="T66" s="2"/>
      <c r="U66" s="2"/>
      <c r="V66" s="2"/>
      <c r="W66" s="2"/>
      <c r="X66" s="2"/>
      <c r="Y66" s="2"/>
      <c r="Z66" s="2"/>
    </row>
    <row r="67" ht="13.5" customHeight="1">
      <c r="A67" s="56"/>
      <c r="B67" s="102"/>
      <c r="C67" s="46" t="s">
        <v>486</v>
      </c>
      <c r="D67" s="48" t="s">
        <v>487</v>
      </c>
      <c r="E67" s="76">
        <f>COUNTIF('인터페이스'!E9:E63,"inr-004*")</f>
        <v>5</v>
      </c>
      <c r="F67" s="46" t="s">
        <v>60</v>
      </c>
      <c r="G67" s="46"/>
      <c r="H67" s="46"/>
      <c r="I67" s="46"/>
      <c r="J67" s="46"/>
      <c r="K67" s="46"/>
      <c r="L67" s="46"/>
      <c r="M67" s="48"/>
      <c r="N67" s="2"/>
      <c r="O67" s="2"/>
      <c r="P67" s="2"/>
      <c r="Q67" s="2"/>
      <c r="R67" s="2"/>
      <c r="S67" s="2"/>
      <c r="T67" s="2"/>
      <c r="U67" s="2"/>
      <c r="V67" s="2"/>
      <c r="W67" s="2"/>
      <c r="X67" s="2"/>
      <c r="Y67" s="2"/>
      <c r="Z67" s="2"/>
    </row>
    <row r="68" ht="13.5" customHeight="1">
      <c r="A68" s="56"/>
      <c r="B68" s="102"/>
      <c r="C68" s="46" t="s">
        <v>492</v>
      </c>
      <c r="D68" s="48" t="s">
        <v>493</v>
      </c>
      <c r="E68" s="76">
        <f>COUNTIF('인터페이스'!E10:E64,"inr-005*")</f>
        <v>12</v>
      </c>
      <c r="F68" s="46" t="s">
        <v>60</v>
      </c>
      <c r="G68" s="46"/>
      <c r="H68" s="46"/>
      <c r="I68" s="46"/>
      <c r="J68" s="46"/>
      <c r="K68" s="46"/>
      <c r="L68" s="46"/>
      <c r="M68" s="48"/>
      <c r="N68" s="2"/>
      <c r="O68" s="2"/>
      <c r="P68" s="2"/>
      <c r="Q68" s="2"/>
      <c r="R68" s="2"/>
      <c r="S68" s="2"/>
      <c r="T68" s="2"/>
      <c r="U68" s="2"/>
      <c r="V68" s="2"/>
      <c r="W68" s="2"/>
      <c r="X68" s="2"/>
      <c r="Y68" s="2"/>
      <c r="Z68" s="2"/>
    </row>
    <row r="69" ht="13.5" customHeight="1">
      <c r="A69" s="56"/>
      <c r="B69" s="102"/>
      <c r="C69" s="46" t="s">
        <v>500</v>
      </c>
      <c r="D69" s="48" t="s">
        <v>501</v>
      </c>
      <c r="E69" s="76">
        <f>COUNTIF('인터페이스'!E11:E65,"inr-006*")</f>
        <v>10</v>
      </c>
      <c r="F69" s="46" t="s">
        <v>60</v>
      </c>
      <c r="G69" s="46"/>
      <c r="H69" s="46"/>
      <c r="I69" s="46"/>
      <c r="J69" s="46"/>
      <c r="K69" s="46"/>
      <c r="L69" s="46"/>
      <c r="M69" s="48"/>
      <c r="N69" s="2"/>
      <c r="O69" s="2"/>
      <c r="P69" s="2"/>
      <c r="Q69" s="2"/>
      <c r="R69" s="2"/>
      <c r="S69" s="2"/>
      <c r="T69" s="2"/>
      <c r="U69" s="2"/>
      <c r="V69" s="2"/>
      <c r="W69" s="2"/>
      <c r="X69" s="2"/>
      <c r="Y69" s="2"/>
      <c r="Z69" s="2"/>
    </row>
    <row r="70" ht="13.5" customHeight="1">
      <c r="A70" s="56"/>
      <c r="B70" s="102"/>
      <c r="C70" s="46" t="s">
        <v>504</v>
      </c>
      <c r="D70" s="48" t="s">
        <v>505</v>
      </c>
      <c r="E70" s="76">
        <f>COUNTIF('인터페이스'!E11:E65,"inr-007*")</f>
        <v>6</v>
      </c>
      <c r="F70" s="46" t="s">
        <v>60</v>
      </c>
      <c r="G70" s="46"/>
      <c r="H70" s="46"/>
      <c r="I70" s="46"/>
      <c r="J70" s="46"/>
      <c r="K70" s="46"/>
      <c r="L70" s="46"/>
      <c r="M70" s="48"/>
      <c r="N70" s="2"/>
      <c r="O70" s="2"/>
      <c r="P70" s="2"/>
      <c r="Q70" s="2"/>
      <c r="R70" s="2"/>
      <c r="S70" s="2"/>
      <c r="T70" s="2"/>
      <c r="U70" s="2"/>
      <c r="V70" s="2"/>
      <c r="W70" s="2"/>
      <c r="X70" s="2"/>
      <c r="Y70" s="2"/>
      <c r="Z70" s="2"/>
    </row>
    <row r="71" ht="13.5" customHeight="1">
      <c r="A71" s="56"/>
      <c r="B71" s="102"/>
      <c r="C71" s="46" t="s">
        <v>512</v>
      </c>
      <c r="D71" s="48"/>
      <c r="E71" s="76">
        <f>COUNTIF('인터페이스'!E11:E65,"inr-008*")</f>
        <v>1</v>
      </c>
      <c r="F71" s="46" t="s">
        <v>60</v>
      </c>
      <c r="G71" s="46"/>
      <c r="H71" s="46"/>
      <c r="I71" s="46"/>
      <c r="J71" s="46"/>
      <c r="K71" s="46"/>
      <c r="L71" s="46"/>
      <c r="M71" s="48" t="s">
        <v>286</v>
      </c>
      <c r="N71" s="2"/>
      <c r="O71" s="2"/>
      <c r="P71" s="2"/>
      <c r="Q71" s="2"/>
      <c r="R71" s="2"/>
      <c r="S71" s="2"/>
      <c r="T71" s="2"/>
      <c r="U71" s="2"/>
      <c r="V71" s="2"/>
      <c r="W71" s="2"/>
      <c r="X71" s="2"/>
      <c r="Y71" s="2"/>
      <c r="Z71" s="2"/>
    </row>
    <row r="72" ht="13.5" customHeight="1">
      <c r="A72" s="56"/>
      <c r="B72" s="34"/>
      <c r="C72" s="46" t="s">
        <v>516</v>
      </c>
      <c r="D72" s="48"/>
      <c r="E72" s="76">
        <f>COUNTIF('인터페이스'!E12:E66,"inr-009*")</f>
        <v>1</v>
      </c>
      <c r="F72" s="46" t="s">
        <v>60</v>
      </c>
      <c r="G72" s="46"/>
      <c r="H72" s="46"/>
      <c r="I72" s="46"/>
      <c r="J72" s="46"/>
      <c r="K72" s="46"/>
      <c r="L72" s="46"/>
      <c r="M72" s="48" t="s">
        <v>286</v>
      </c>
      <c r="N72" s="2"/>
      <c r="O72" s="2"/>
      <c r="P72" s="2"/>
      <c r="Q72" s="2"/>
      <c r="R72" s="2"/>
      <c r="S72" s="2"/>
      <c r="T72" s="2"/>
      <c r="U72" s="2"/>
      <c r="V72" s="2"/>
      <c r="W72" s="2"/>
      <c r="X72" s="2"/>
      <c r="Y72" s="2"/>
      <c r="Z72" s="2"/>
    </row>
    <row r="73" ht="13.5" customHeight="1">
      <c r="A73" s="56"/>
      <c r="B73" s="103" t="s">
        <v>49</v>
      </c>
      <c r="C73" s="9"/>
      <c r="D73" s="10"/>
      <c r="E73" s="97">
        <f>SUM(E64:E72)</f>
        <v>55</v>
      </c>
      <c r="F73" s="98"/>
      <c r="G73" s="97">
        <v>0.0</v>
      </c>
      <c r="H73" s="99">
        <v>0.0</v>
      </c>
      <c r="I73" s="97">
        <v>0.0</v>
      </c>
      <c r="J73" s="99"/>
      <c r="K73" s="100"/>
      <c r="L73" s="99"/>
      <c r="M73" s="100"/>
      <c r="N73" s="2"/>
      <c r="O73" s="2"/>
      <c r="P73" s="2"/>
      <c r="Q73" s="2"/>
      <c r="R73" s="2"/>
      <c r="S73" s="2"/>
      <c r="T73" s="2"/>
      <c r="U73" s="2"/>
      <c r="V73" s="2"/>
      <c r="W73" s="2"/>
      <c r="X73" s="2"/>
      <c r="Y73" s="2"/>
      <c r="Z73" s="2"/>
    </row>
    <row r="74" ht="13.5" customHeight="1">
      <c r="A74" s="56"/>
      <c r="B74" s="101" t="s">
        <v>526</v>
      </c>
      <c r="C74" s="46" t="s">
        <v>527</v>
      </c>
      <c r="D74" s="48" t="s">
        <v>528</v>
      </c>
      <c r="E74" s="76">
        <f>COUNTIF('데이터'!E6:E28,"dar-001*")</f>
        <v>6</v>
      </c>
      <c r="F74" s="46" t="s">
        <v>60</v>
      </c>
      <c r="G74" s="46"/>
      <c r="H74" s="46"/>
      <c r="I74" s="46"/>
      <c r="J74" s="46"/>
      <c r="K74" s="46"/>
      <c r="L74" s="46"/>
      <c r="M74" s="48"/>
      <c r="N74" s="2"/>
      <c r="O74" s="2"/>
      <c r="P74" s="2"/>
      <c r="Q74" s="2"/>
      <c r="R74" s="2"/>
      <c r="S74" s="2"/>
      <c r="T74" s="2"/>
      <c r="U74" s="2"/>
      <c r="V74" s="2"/>
      <c r="W74" s="2"/>
      <c r="X74" s="2"/>
      <c r="Y74" s="2"/>
      <c r="Z74" s="2"/>
    </row>
    <row r="75" ht="13.5" customHeight="1">
      <c r="A75" s="56"/>
      <c r="B75" s="102"/>
      <c r="C75" s="46" t="s">
        <v>534</v>
      </c>
      <c r="D75" s="48" t="s">
        <v>536</v>
      </c>
      <c r="E75" s="76">
        <f>COUNTIF('데이터'!E7:E29,"dar-002*")</f>
        <v>4</v>
      </c>
      <c r="F75" s="46" t="s">
        <v>60</v>
      </c>
      <c r="G75" s="46"/>
      <c r="H75" s="46"/>
      <c r="I75" s="46"/>
      <c r="J75" s="46"/>
      <c r="K75" s="46"/>
      <c r="L75" s="46"/>
      <c r="M75" s="48"/>
      <c r="N75" s="2"/>
      <c r="O75" s="2"/>
      <c r="P75" s="2"/>
      <c r="Q75" s="2"/>
      <c r="R75" s="2"/>
      <c r="S75" s="2"/>
      <c r="T75" s="2"/>
      <c r="U75" s="2"/>
      <c r="V75" s="2"/>
      <c r="W75" s="2"/>
      <c r="X75" s="2"/>
      <c r="Y75" s="2"/>
      <c r="Z75" s="2"/>
    </row>
    <row r="76" ht="13.5" customHeight="1">
      <c r="A76" s="56"/>
      <c r="B76" s="102"/>
      <c r="C76" s="46" t="s">
        <v>543</v>
      </c>
      <c r="D76" s="48" t="s">
        <v>544</v>
      </c>
      <c r="E76" s="76">
        <f>COUNTIF('데이터'!E8:E30,"dar-003*")</f>
        <v>4</v>
      </c>
      <c r="F76" s="46" t="s">
        <v>60</v>
      </c>
      <c r="G76" s="46"/>
      <c r="H76" s="46"/>
      <c r="I76" s="46"/>
      <c r="J76" s="46"/>
      <c r="K76" s="46"/>
      <c r="L76" s="46"/>
      <c r="M76" s="48"/>
      <c r="N76" s="2"/>
      <c r="O76" s="2"/>
      <c r="P76" s="2"/>
      <c r="Q76" s="2"/>
      <c r="R76" s="2"/>
      <c r="S76" s="2"/>
      <c r="T76" s="2"/>
      <c r="U76" s="2"/>
      <c r="V76" s="2"/>
      <c r="W76" s="2"/>
      <c r="X76" s="2"/>
      <c r="Y76" s="2"/>
      <c r="Z76" s="2"/>
    </row>
    <row r="77" ht="13.5" customHeight="1">
      <c r="A77" s="56"/>
      <c r="B77" s="102"/>
      <c r="C77" s="46" t="s">
        <v>549</v>
      </c>
      <c r="D77" s="107" t="s">
        <v>550</v>
      </c>
      <c r="E77" s="76">
        <f>COUNTIF('데이터'!E8:E30,"dar-004*")</f>
        <v>8</v>
      </c>
      <c r="F77" s="46" t="s">
        <v>60</v>
      </c>
      <c r="G77" s="108"/>
      <c r="H77" s="108"/>
      <c r="I77" s="108"/>
      <c r="J77" s="108"/>
      <c r="K77" s="108"/>
      <c r="L77" s="108"/>
      <c r="M77" s="107"/>
      <c r="N77" s="2"/>
      <c r="O77" s="2"/>
      <c r="P77" s="2"/>
      <c r="Q77" s="2"/>
      <c r="R77" s="2"/>
      <c r="S77" s="2"/>
      <c r="T77" s="2"/>
      <c r="U77" s="2"/>
      <c r="V77" s="2"/>
      <c r="W77" s="2"/>
      <c r="X77" s="2"/>
      <c r="Y77" s="2"/>
      <c r="Z77" s="2"/>
    </row>
    <row r="78" ht="13.5" customHeight="1">
      <c r="A78" s="56"/>
      <c r="B78" s="102"/>
      <c r="C78" s="46" t="s">
        <v>557</v>
      </c>
      <c r="D78" s="107"/>
      <c r="E78" s="76">
        <f>COUNTIF('데이터'!E9:E31,"dar-005*")</f>
        <v>1</v>
      </c>
      <c r="F78" s="46" t="s">
        <v>60</v>
      </c>
      <c r="G78" s="108"/>
      <c r="H78" s="108"/>
      <c r="I78" s="108"/>
      <c r="J78" s="108"/>
      <c r="K78" s="108"/>
      <c r="L78" s="108"/>
      <c r="M78" s="48" t="s">
        <v>286</v>
      </c>
      <c r="N78" s="2"/>
      <c r="O78" s="2"/>
      <c r="P78" s="2"/>
      <c r="Q78" s="2"/>
      <c r="R78" s="2"/>
      <c r="S78" s="2"/>
      <c r="T78" s="2"/>
      <c r="U78" s="2"/>
      <c r="V78" s="2"/>
      <c r="W78" s="2"/>
      <c r="X78" s="2"/>
      <c r="Y78" s="2"/>
      <c r="Z78" s="2"/>
    </row>
    <row r="79" ht="13.5" customHeight="1">
      <c r="A79" s="56"/>
      <c r="B79" s="103" t="s">
        <v>49</v>
      </c>
      <c r="C79" s="9"/>
      <c r="D79" s="10"/>
      <c r="E79" s="97">
        <f>SUM(E74:E78)</f>
        <v>23</v>
      </c>
      <c r="F79" s="98"/>
      <c r="G79" s="97">
        <v>0.0</v>
      </c>
      <c r="H79" s="99">
        <v>0.0</v>
      </c>
      <c r="I79" s="97">
        <v>0.0</v>
      </c>
      <c r="J79" s="99"/>
      <c r="K79" s="100"/>
      <c r="L79" s="99"/>
      <c r="M79" s="100"/>
      <c r="N79" s="2"/>
      <c r="O79" s="2"/>
      <c r="P79" s="2"/>
      <c r="Q79" s="2"/>
      <c r="R79" s="2"/>
      <c r="S79" s="2"/>
      <c r="T79" s="2"/>
      <c r="U79" s="2"/>
      <c r="V79" s="2"/>
      <c r="W79" s="2"/>
      <c r="X79" s="2"/>
      <c r="Y79" s="2"/>
      <c r="Z79" s="2"/>
    </row>
    <row r="80" ht="13.5" customHeight="1">
      <c r="A80" s="56"/>
      <c r="B80" s="104" t="s">
        <v>565</v>
      </c>
      <c r="C80" s="46" t="s">
        <v>566</v>
      </c>
      <c r="D80" s="110" t="s">
        <v>568</v>
      </c>
      <c r="E80" s="76">
        <f>COUNTIF('테스트'!E6:E25,"ter-001*")</f>
        <v>2</v>
      </c>
      <c r="F80" s="46" t="s">
        <v>60</v>
      </c>
      <c r="G80" s="46"/>
      <c r="H80" s="46"/>
      <c r="I80" s="46"/>
      <c r="J80" s="46"/>
      <c r="K80" s="46"/>
      <c r="L80" s="46"/>
      <c r="M80" s="48"/>
      <c r="N80" s="2"/>
      <c r="O80" s="2"/>
      <c r="P80" s="2"/>
      <c r="Q80" s="2"/>
      <c r="R80" s="2"/>
      <c r="S80" s="2"/>
      <c r="T80" s="2"/>
      <c r="U80" s="2"/>
      <c r="V80" s="2"/>
      <c r="W80" s="2"/>
      <c r="X80" s="2"/>
      <c r="Y80" s="2"/>
      <c r="Z80" s="2"/>
    </row>
    <row r="81" ht="13.5" customHeight="1">
      <c r="A81" s="56"/>
      <c r="B81" s="102"/>
      <c r="C81" s="46" t="s">
        <v>575</v>
      </c>
      <c r="D81" s="64" t="s">
        <v>576</v>
      </c>
      <c r="E81" s="76">
        <f>COUNTIF('테스트'!E7:E26,"ter-002*")</f>
        <v>4</v>
      </c>
      <c r="F81" s="46" t="s">
        <v>60</v>
      </c>
      <c r="G81" s="46"/>
      <c r="H81" s="46"/>
      <c r="I81" s="46"/>
      <c r="J81" s="46"/>
      <c r="K81" s="46"/>
      <c r="L81" s="46"/>
      <c r="M81" s="48"/>
      <c r="N81" s="2"/>
      <c r="O81" s="2"/>
      <c r="P81" s="2"/>
      <c r="Q81" s="2"/>
      <c r="R81" s="2"/>
      <c r="S81" s="2"/>
      <c r="T81" s="2"/>
      <c r="U81" s="2"/>
      <c r="V81" s="2"/>
      <c r="W81" s="2"/>
      <c r="X81" s="2"/>
      <c r="Y81" s="2"/>
      <c r="Z81" s="2"/>
    </row>
    <row r="82" ht="13.5" customHeight="1">
      <c r="A82" s="56"/>
      <c r="B82" s="102"/>
      <c r="C82" s="46" t="s">
        <v>580</v>
      </c>
      <c r="D82" s="64" t="s">
        <v>581</v>
      </c>
      <c r="E82" s="76">
        <f>COUNTIF('테스트'!E8:E27,"ter-003*")</f>
        <v>5</v>
      </c>
      <c r="F82" s="46" t="s">
        <v>60</v>
      </c>
      <c r="G82" s="46"/>
      <c r="H82" s="46"/>
      <c r="I82" s="46"/>
      <c r="J82" s="46"/>
      <c r="K82" s="46"/>
      <c r="L82" s="46"/>
      <c r="M82" s="48"/>
      <c r="N82" s="2"/>
      <c r="O82" s="2"/>
      <c r="P82" s="2"/>
      <c r="Q82" s="2"/>
      <c r="R82" s="2"/>
      <c r="S82" s="2"/>
      <c r="T82" s="2"/>
      <c r="U82" s="2"/>
      <c r="V82" s="2"/>
      <c r="W82" s="2"/>
      <c r="X82" s="2"/>
      <c r="Y82" s="2"/>
      <c r="Z82" s="2"/>
    </row>
    <row r="83" ht="13.5" customHeight="1">
      <c r="A83" s="56"/>
      <c r="B83" s="102"/>
      <c r="C83" s="46" t="s">
        <v>588</v>
      </c>
      <c r="D83" s="64" t="s">
        <v>589</v>
      </c>
      <c r="E83" s="76">
        <f>COUNTIF('테스트'!E9:E28,"ter-004*")</f>
        <v>6</v>
      </c>
      <c r="F83" s="46" t="s">
        <v>60</v>
      </c>
      <c r="G83" s="46"/>
      <c r="H83" s="46"/>
      <c r="I83" s="46"/>
      <c r="J83" s="46"/>
      <c r="K83" s="46"/>
      <c r="L83" s="46"/>
      <c r="M83" s="48"/>
      <c r="N83" s="2"/>
      <c r="O83" s="2"/>
      <c r="P83" s="2"/>
      <c r="Q83" s="2"/>
      <c r="R83" s="2"/>
      <c r="S83" s="2"/>
      <c r="T83" s="2"/>
      <c r="U83" s="2"/>
      <c r="V83" s="2"/>
      <c r="W83" s="2"/>
      <c r="X83" s="2"/>
      <c r="Y83" s="2"/>
      <c r="Z83" s="2"/>
    </row>
    <row r="84" ht="13.5" customHeight="1">
      <c r="A84" s="56"/>
      <c r="B84" s="34"/>
      <c r="C84" s="46" t="s">
        <v>595</v>
      </c>
      <c r="D84" s="64" t="s">
        <v>597</v>
      </c>
      <c r="E84" s="76">
        <f>COUNTIF('테스트'!E10:E29,"ter-005*")</f>
        <v>3</v>
      </c>
      <c r="F84" s="46" t="s">
        <v>60</v>
      </c>
      <c r="G84" s="46"/>
      <c r="H84" s="46"/>
      <c r="I84" s="46"/>
      <c r="J84" s="46"/>
      <c r="K84" s="46"/>
      <c r="L84" s="46"/>
      <c r="M84" s="48"/>
      <c r="N84" s="2"/>
      <c r="O84" s="2"/>
      <c r="P84" s="2"/>
      <c r="Q84" s="2"/>
      <c r="R84" s="2"/>
      <c r="S84" s="2"/>
      <c r="T84" s="2"/>
      <c r="U84" s="2"/>
      <c r="V84" s="2"/>
      <c r="W84" s="2"/>
      <c r="X84" s="2"/>
      <c r="Y84" s="2"/>
      <c r="Z84" s="2"/>
    </row>
    <row r="85" ht="13.5" customHeight="1">
      <c r="A85" s="56"/>
      <c r="B85" s="103" t="s">
        <v>49</v>
      </c>
      <c r="C85" s="9"/>
      <c r="D85" s="10"/>
      <c r="E85" s="97">
        <f>SUM(E80:E84)</f>
        <v>20</v>
      </c>
      <c r="F85" s="98"/>
      <c r="G85" s="97">
        <v>0.0</v>
      </c>
      <c r="H85" s="99">
        <v>0.0</v>
      </c>
      <c r="I85" s="97">
        <v>0.0</v>
      </c>
      <c r="J85" s="99"/>
      <c r="K85" s="100"/>
      <c r="L85" s="99"/>
      <c r="M85" s="100"/>
      <c r="N85" s="2"/>
      <c r="O85" s="2"/>
      <c r="P85" s="2"/>
      <c r="Q85" s="2"/>
      <c r="R85" s="2"/>
      <c r="S85" s="2"/>
      <c r="T85" s="2"/>
      <c r="U85" s="2"/>
      <c r="V85" s="2"/>
      <c r="W85" s="2"/>
      <c r="X85" s="2"/>
      <c r="Y85" s="2"/>
      <c r="Z85" s="2"/>
    </row>
    <row r="86" ht="13.5" customHeight="1">
      <c r="A86" s="56"/>
      <c r="B86" s="101" t="s">
        <v>605</v>
      </c>
      <c r="C86" s="46" t="s">
        <v>606</v>
      </c>
      <c r="D86" s="64" t="s">
        <v>607</v>
      </c>
      <c r="E86" s="76">
        <f>COUNTIF('보안'!E6:E112,"ser-001*")</f>
        <v>10</v>
      </c>
      <c r="F86" s="46" t="s">
        <v>60</v>
      </c>
      <c r="G86" s="46"/>
      <c r="H86" s="46"/>
      <c r="I86" s="46"/>
      <c r="J86" s="46"/>
      <c r="K86" s="46"/>
      <c r="L86" s="46"/>
      <c r="M86" s="48"/>
      <c r="N86" s="2"/>
      <c r="O86" s="2"/>
      <c r="P86" s="2"/>
      <c r="Q86" s="2"/>
      <c r="R86" s="2"/>
      <c r="S86" s="2"/>
      <c r="T86" s="2"/>
      <c r="U86" s="2"/>
      <c r="V86" s="2"/>
      <c r="W86" s="2"/>
      <c r="X86" s="2"/>
      <c r="Y86" s="2"/>
      <c r="Z86" s="2"/>
    </row>
    <row r="87" ht="13.5" customHeight="1">
      <c r="A87" s="56"/>
      <c r="B87" s="102"/>
      <c r="C87" s="46" t="s">
        <v>614</v>
      </c>
      <c r="D87" s="64" t="s">
        <v>615</v>
      </c>
      <c r="E87" s="76">
        <f>COUNTIF('보안'!E7:E113,"ser-002*")</f>
        <v>8</v>
      </c>
      <c r="F87" s="46" t="s">
        <v>60</v>
      </c>
      <c r="G87" s="46"/>
      <c r="H87" s="46"/>
      <c r="I87" s="46"/>
      <c r="J87" s="46"/>
      <c r="K87" s="46"/>
      <c r="L87" s="46"/>
      <c r="M87" s="48"/>
      <c r="N87" s="2"/>
      <c r="O87" s="2"/>
      <c r="P87" s="2"/>
      <c r="Q87" s="2"/>
      <c r="R87" s="2"/>
      <c r="S87" s="2"/>
      <c r="T87" s="2"/>
      <c r="U87" s="2"/>
      <c r="V87" s="2"/>
      <c r="W87" s="2"/>
      <c r="X87" s="2"/>
      <c r="Y87" s="2"/>
      <c r="Z87" s="2"/>
    </row>
    <row r="88" ht="13.5" customHeight="1">
      <c r="A88" s="56"/>
      <c r="B88" s="102"/>
      <c r="C88" s="46" t="s">
        <v>619</v>
      </c>
      <c r="D88" s="64" t="s">
        <v>621</v>
      </c>
      <c r="E88" s="76">
        <f>COUNTIF('보안'!E8:E114,"ser-003*")</f>
        <v>19</v>
      </c>
      <c r="F88" s="46" t="s">
        <v>60</v>
      </c>
      <c r="G88" s="46"/>
      <c r="H88" s="46"/>
      <c r="I88" s="46"/>
      <c r="J88" s="46"/>
      <c r="K88" s="46"/>
      <c r="L88" s="46"/>
      <c r="M88" s="48"/>
      <c r="N88" s="2"/>
      <c r="O88" s="2"/>
      <c r="P88" s="2"/>
      <c r="Q88" s="2"/>
      <c r="R88" s="2"/>
      <c r="S88" s="2"/>
      <c r="T88" s="2"/>
      <c r="U88" s="2"/>
      <c r="V88" s="2"/>
      <c r="W88" s="2"/>
      <c r="X88" s="2"/>
      <c r="Y88" s="2"/>
      <c r="Z88" s="2"/>
    </row>
    <row r="89" ht="13.5" customHeight="1">
      <c r="A89" s="56"/>
      <c r="B89" s="102"/>
      <c r="C89" s="46" t="s">
        <v>627</v>
      </c>
      <c r="D89" s="64" t="s">
        <v>628</v>
      </c>
      <c r="E89" s="76">
        <f>COUNTIF('보안'!E9:E115,"ser-004*")</f>
        <v>8</v>
      </c>
      <c r="F89" s="46" t="s">
        <v>60</v>
      </c>
      <c r="G89" s="46"/>
      <c r="H89" s="46"/>
      <c r="I89" s="46"/>
      <c r="J89" s="46"/>
      <c r="K89" s="46"/>
      <c r="L89" s="46"/>
      <c r="M89" s="48"/>
      <c r="N89" s="2"/>
      <c r="O89" s="2"/>
      <c r="P89" s="2"/>
      <c r="Q89" s="2"/>
      <c r="R89" s="2"/>
      <c r="S89" s="2"/>
      <c r="T89" s="2"/>
      <c r="U89" s="2"/>
      <c r="V89" s="2"/>
      <c r="W89" s="2"/>
      <c r="X89" s="2"/>
      <c r="Y89" s="2"/>
      <c r="Z89" s="2"/>
    </row>
    <row r="90" ht="13.5" customHeight="1">
      <c r="A90" s="56"/>
      <c r="B90" s="102"/>
      <c r="C90" s="46" t="s">
        <v>632</v>
      </c>
      <c r="D90" s="64" t="s">
        <v>633</v>
      </c>
      <c r="E90" s="76">
        <f>COUNTIF('보안'!E10:E116,"ser-005*")</f>
        <v>5</v>
      </c>
      <c r="F90" s="46" t="s">
        <v>60</v>
      </c>
      <c r="G90" s="46"/>
      <c r="H90" s="46"/>
      <c r="I90" s="46"/>
      <c r="J90" s="46"/>
      <c r="K90" s="46"/>
      <c r="L90" s="46"/>
      <c r="M90" s="48"/>
      <c r="N90" s="2"/>
      <c r="O90" s="2"/>
      <c r="P90" s="2"/>
      <c r="Q90" s="2"/>
      <c r="R90" s="2"/>
      <c r="S90" s="2"/>
      <c r="T90" s="2"/>
      <c r="U90" s="2"/>
      <c r="V90" s="2"/>
      <c r="W90" s="2"/>
      <c r="X90" s="2"/>
      <c r="Y90" s="2"/>
      <c r="Z90" s="2"/>
    </row>
    <row r="91" ht="13.5" customHeight="1">
      <c r="A91" s="56"/>
      <c r="B91" s="102"/>
      <c r="C91" s="46" t="s">
        <v>641</v>
      </c>
      <c r="D91" s="64" t="s">
        <v>643</v>
      </c>
      <c r="E91" s="76">
        <f>COUNTIF('보안'!E11:E117,"ser-006*")</f>
        <v>13</v>
      </c>
      <c r="F91" s="46" t="s">
        <v>60</v>
      </c>
      <c r="G91" s="46"/>
      <c r="H91" s="46"/>
      <c r="I91" s="46"/>
      <c r="J91" s="46"/>
      <c r="K91" s="46"/>
      <c r="L91" s="46"/>
      <c r="M91" s="48"/>
      <c r="N91" s="2"/>
      <c r="O91" s="2"/>
      <c r="P91" s="2"/>
      <c r="Q91" s="2"/>
      <c r="R91" s="2"/>
      <c r="S91" s="2"/>
      <c r="T91" s="2"/>
      <c r="U91" s="2"/>
      <c r="V91" s="2"/>
      <c r="W91" s="2"/>
      <c r="X91" s="2"/>
      <c r="Y91" s="2"/>
      <c r="Z91" s="2"/>
    </row>
    <row r="92" ht="13.5" customHeight="1">
      <c r="A92" s="56"/>
      <c r="B92" s="102"/>
      <c r="C92" s="46" t="s">
        <v>649</v>
      </c>
      <c r="D92" s="64" t="s">
        <v>650</v>
      </c>
      <c r="E92" s="76">
        <f>COUNTIF('보안'!E12:E118,"ser-007*")</f>
        <v>9</v>
      </c>
      <c r="F92" s="46" t="s">
        <v>60</v>
      </c>
      <c r="G92" s="46"/>
      <c r="H92" s="46"/>
      <c r="I92" s="46"/>
      <c r="J92" s="46"/>
      <c r="K92" s="46"/>
      <c r="L92" s="46"/>
      <c r="M92" s="48"/>
      <c r="N92" s="2"/>
      <c r="O92" s="2"/>
      <c r="P92" s="2"/>
      <c r="Q92" s="2"/>
      <c r="R92" s="2"/>
      <c r="S92" s="2"/>
      <c r="T92" s="2"/>
      <c r="U92" s="2"/>
      <c r="V92" s="2"/>
      <c r="W92" s="2"/>
      <c r="X92" s="2"/>
      <c r="Y92" s="2"/>
      <c r="Z92" s="2"/>
    </row>
    <row r="93" ht="13.5" customHeight="1">
      <c r="A93" s="56"/>
      <c r="B93" s="102"/>
      <c r="C93" s="46" t="s">
        <v>654</v>
      </c>
      <c r="D93" s="64" t="s">
        <v>656</v>
      </c>
      <c r="E93" s="76">
        <f>COUNTIF('보안'!E13:E119,"ser-008*")</f>
        <v>6</v>
      </c>
      <c r="F93" s="46" t="s">
        <v>60</v>
      </c>
      <c r="G93" s="46"/>
      <c r="H93" s="46"/>
      <c r="I93" s="46"/>
      <c r="J93" s="46"/>
      <c r="K93" s="46"/>
      <c r="L93" s="46"/>
      <c r="M93" s="48"/>
      <c r="N93" s="2"/>
      <c r="O93" s="2"/>
      <c r="P93" s="2"/>
      <c r="Q93" s="2"/>
      <c r="R93" s="2"/>
      <c r="S93" s="2"/>
      <c r="T93" s="2"/>
      <c r="U93" s="2"/>
      <c r="V93" s="2"/>
      <c r="W93" s="2"/>
      <c r="X93" s="2"/>
      <c r="Y93" s="2"/>
      <c r="Z93" s="2"/>
    </row>
    <row r="94" ht="13.5" customHeight="1">
      <c r="A94" s="56"/>
      <c r="B94" s="102"/>
      <c r="C94" s="46" t="s">
        <v>661</v>
      </c>
      <c r="D94" s="64" t="s">
        <v>663</v>
      </c>
      <c r="E94" s="76">
        <f>COUNTIF('보안'!E14:E120,"ser-009*")</f>
        <v>9</v>
      </c>
      <c r="F94" s="46" t="s">
        <v>60</v>
      </c>
      <c r="G94" s="46"/>
      <c r="H94" s="46"/>
      <c r="I94" s="46"/>
      <c r="J94" s="46"/>
      <c r="K94" s="46"/>
      <c r="L94" s="46"/>
      <c r="M94" s="48"/>
      <c r="N94" s="2"/>
      <c r="O94" s="2"/>
      <c r="P94" s="2"/>
      <c r="Q94" s="2"/>
      <c r="R94" s="2"/>
      <c r="S94" s="2"/>
      <c r="T94" s="2"/>
      <c r="U94" s="2"/>
      <c r="V94" s="2"/>
      <c r="W94" s="2"/>
      <c r="X94" s="2"/>
      <c r="Y94" s="2"/>
      <c r="Z94" s="2"/>
    </row>
    <row r="95" ht="13.5" customHeight="1">
      <c r="A95" s="56"/>
      <c r="B95" s="102"/>
      <c r="C95" s="46" t="s">
        <v>668</v>
      </c>
      <c r="D95" s="64" t="s">
        <v>669</v>
      </c>
      <c r="E95" s="76">
        <f>COUNTIF('보안'!E15:E121,"ser-010*")</f>
        <v>6</v>
      </c>
      <c r="F95" s="46" t="s">
        <v>60</v>
      </c>
      <c r="G95" s="46"/>
      <c r="H95" s="46"/>
      <c r="I95" s="46"/>
      <c r="J95" s="46"/>
      <c r="K95" s="46"/>
      <c r="L95" s="46"/>
      <c r="M95" s="48"/>
      <c r="N95" s="2"/>
      <c r="O95" s="2"/>
      <c r="P95" s="2"/>
      <c r="Q95" s="2"/>
      <c r="R95" s="2"/>
      <c r="S95" s="2"/>
      <c r="T95" s="2"/>
      <c r="U95" s="2"/>
      <c r="V95" s="2"/>
      <c r="W95" s="2"/>
      <c r="X95" s="2"/>
      <c r="Y95" s="2"/>
      <c r="Z95" s="2"/>
    </row>
    <row r="96" ht="13.5" customHeight="1">
      <c r="A96" s="56"/>
      <c r="B96" s="102"/>
      <c r="C96" s="46" t="s">
        <v>674</v>
      </c>
      <c r="D96" s="64" t="s">
        <v>675</v>
      </c>
      <c r="E96" s="76">
        <f>COUNTIF('보안'!E15:E121,"ser-011*")</f>
        <v>11</v>
      </c>
      <c r="F96" s="46" t="s">
        <v>60</v>
      </c>
      <c r="G96" s="46"/>
      <c r="H96" s="46"/>
      <c r="I96" s="46"/>
      <c r="J96" s="46"/>
      <c r="K96" s="46"/>
      <c r="L96" s="46"/>
      <c r="M96" s="48"/>
      <c r="N96" s="2"/>
      <c r="O96" s="2"/>
      <c r="P96" s="2"/>
      <c r="Q96" s="2"/>
      <c r="R96" s="2"/>
      <c r="S96" s="2"/>
      <c r="T96" s="2"/>
      <c r="U96" s="2"/>
      <c r="V96" s="2"/>
      <c r="W96" s="2"/>
      <c r="X96" s="2"/>
      <c r="Y96" s="2"/>
      <c r="Z96" s="2"/>
    </row>
    <row r="97" ht="13.5" customHeight="1">
      <c r="A97" s="56"/>
      <c r="B97" s="102"/>
      <c r="C97" s="46" t="s">
        <v>682</v>
      </c>
      <c r="D97" s="64"/>
      <c r="E97" s="76">
        <f>COUNTIF('보안'!E15:E121,"ser-012*")</f>
        <v>2</v>
      </c>
      <c r="F97" s="46" t="s">
        <v>60</v>
      </c>
      <c r="G97" s="46"/>
      <c r="H97" s="46"/>
      <c r="I97" s="46"/>
      <c r="J97" s="46"/>
      <c r="K97" s="46"/>
      <c r="L97" s="46"/>
      <c r="M97" s="48" t="s">
        <v>286</v>
      </c>
      <c r="N97" s="2"/>
      <c r="O97" s="2"/>
      <c r="P97" s="2"/>
      <c r="Q97" s="2"/>
      <c r="R97" s="2"/>
      <c r="S97" s="2"/>
      <c r="T97" s="2"/>
      <c r="U97" s="2"/>
      <c r="V97" s="2"/>
      <c r="W97" s="2"/>
      <c r="X97" s="2"/>
      <c r="Y97" s="2"/>
      <c r="Z97" s="2"/>
    </row>
    <row r="98" ht="13.5" customHeight="1">
      <c r="A98" s="56"/>
      <c r="B98" s="102"/>
      <c r="C98" s="46" t="s">
        <v>690</v>
      </c>
      <c r="D98" s="64"/>
      <c r="E98" s="76">
        <f>COUNTIF('보안'!E16:E112,"ser-013*")</f>
        <v>1</v>
      </c>
      <c r="F98" s="46" t="s">
        <v>60</v>
      </c>
      <c r="G98" s="46"/>
      <c r="H98" s="46"/>
      <c r="I98" s="46"/>
      <c r="J98" s="46"/>
      <c r="K98" s="46"/>
      <c r="L98" s="46"/>
      <c r="M98" s="48" t="s">
        <v>286</v>
      </c>
      <c r="N98" s="2"/>
      <c r="O98" s="2"/>
      <c r="P98" s="2"/>
      <c r="Q98" s="2"/>
      <c r="R98" s="2"/>
      <c r="S98" s="2"/>
      <c r="T98" s="2"/>
      <c r="U98" s="2"/>
      <c r="V98" s="2"/>
      <c r="W98" s="2"/>
      <c r="X98" s="2"/>
      <c r="Y98" s="2"/>
      <c r="Z98" s="2"/>
    </row>
    <row r="99" ht="13.5" customHeight="1">
      <c r="A99" s="56"/>
      <c r="B99" s="103" t="s">
        <v>49</v>
      </c>
      <c r="C99" s="9"/>
      <c r="D99" s="10"/>
      <c r="E99" s="97">
        <f>SUM(E86:E98)</f>
        <v>107</v>
      </c>
      <c r="F99" s="98"/>
      <c r="G99" s="97">
        <v>0.0</v>
      </c>
      <c r="H99" s="99">
        <v>0.0</v>
      </c>
      <c r="I99" s="97">
        <v>0.0</v>
      </c>
      <c r="J99" s="99"/>
      <c r="K99" s="100"/>
      <c r="L99" s="99"/>
      <c r="M99" s="100"/>
      <c r="N99" s="2"/>
      <c r="O99" s="2"/>
      <c r="P99" s="2"/>
      <c r="Q99" s="2"/>
      <c r="R99" s="2"/>
      <c r="S99" s="2"/>
      <c r="T99" s="2"/>
      <c r="U99" s="2"/>
      <c r="V99" s="2"/>
      <c r="W99" s="2"/>
      <c r="X99" s="2"/>
      <c r="Y99" s="2"/>
      <c r="Z99" s="2"/>
    </row>
    <row r="100" ht="13.5" customHeight="1">
      <c r="A100" s="56"/>
      <c r="B100" s="104" t="s">
        <v>705</v>
      </c>
      <c r="C100" s="46" t="s">
        <v>707</v>
      </c>
      <c r="D100" s="64" t="s">
        <v>708</v>
      </c>
      <c r="E100" s="76">
        <f>COUNTIF('품질'!E6:E44,"qur-001*")</f>
        <v>7</v>
      </c>
      <c r="F100" s="46" t="s">
        <v>60</v>
      </c>
      <c r="G100" s="46"/>
      <c r="H100" s="46"/>
      <c r="I100" s="46"/>
      <c r="J100" s="46"/>
      <c r="K100" s="46"/>
      <c r="L100" s="46"/>
      <c r="M100" s="48"/>
      <c r="N100" s="2"/>
      <c r="O100" s="2"/>
      <c r="P100" s="2"/>
      <c r="Q100" s="2"/>
      <c r="R100" s="2"/>
      <c r="S100" s="2"/>
      <c r="T100" s="2"/>
      <c r="U100" s="2"/>
      <c r="V100" s="2"/>
      <c r="W100" s="2"/>
      <c r="X100" s="2"/>
      <c r="Y100" s="2"/>
      <c r="Z100" s="2"/>
    </row>
    <row r="101" ht="13.5" customHeight="1">
      <c r="A101" s="56"/>
      <c r="B101" s="102"/>
      <c r="C101" s="46" t="s">
        <v>712</v>
      </c>
      <c r="D101" s="64" t="s">
        <v>713</v>
      </c>
      <c r="E101" s="76">
        <f>COUNTIF('품질'!E7:E45,"qur-002*")</f>
        <v>10</v>
      </c>
      <c r="F101" s="46" t="s">
        <v>60</v>
      </c>
      <c r="G101" s="46"/>
      <c r="H101" s="46"/>
      <c r="I101" s="46"/>
      <c r="J101" s="46"/>
      <c r="K101" s="46"/>
      <c r="L101" s="46"/>
      <c r="M101" s="48"/>
      <c r="N101" s="2"/>
      <c r="O101" s="2"/>
      <c r="P101" s="2"/>
      <c r="Q101" s="2"/>
      <c r="R101" s="2"/>
      <c r="S101" s="2"/>
      <c r="T101" s="2"/>
      <c r="U101" s="2"/>
      <c r="V101" s="2"/>
      <c r="W101" s="2"/>
      <c r="X101" s="2"/>
      <c r="Y101" s="2"/>
      <c r="Z101" s="2"/>
    </row>
    <row r="102" ht="13.5" customHeight="1">
      <c r="A102" s="56"/>
      <c r="B102" s="102"/>
      <c r="C102" s="46" t="s">
        <v>722</v>
      </c>
      <c r="D102" s="64" t="s">
        <v>723</v>
      </c>
      <c r="E102" s="76">
        <f>COUNTIF('품질'!E8:E46,"qur-003*")</f>
        <v>8</v>
      </c>
      <c r="F102" s="46" t="s">
        <v>60</v>
      </c>
      <c r="G102" s="46"/>
      <c r="H102" s="46"/>
      <c r="I102" s="46"/>
      <c r="J102" s="46"/>
      <c r="K102" s="46"/>
      <c r="L102" s="46"/>
      <c r="M102" s="48"/>
      <c r="N102" s="2"/>
      <c r="O102" s="2"/>
      <c r="P102" s="2"/>
      <c r="Q102" s="2"/>
      <c r="R102" s="2"/>
      <c r="S102" s="2"/>
      <c r="T102" s="2"/>
      <c r="U102" s="2"/>
      <c r="V102" s="2"/>
      <c r="W102" s="2"/>
      <c r="X102" s="2"/>
      <c r="Y102" s="2"/>
      <c r="Z102" s="2"/>
    </row>
    <row r="103" ht="13.5" customHeight="1">
      <c r="A103" s="56"/>
      <c r="B103" s="102"/>
      <c r="C103" s="46" t="s">
        <v>731</v>
      </c>
      <c r="D103" s="64" t="s">
        <v>732</v>
      </c>
      <c r="E103" s="76">
        <f>COUNTIF('품질'!E9:E47,"qur-004*")</f>
        <v>7</v>
      </c>
      <c r="F103" s="46" t="s">
        <v>60</v>
      </c>
      <c r="G103" s="46"/>
      <c r="H103" s="46"/>
      <c r="I103" s="46"/>
      <c r="J103" s="46"/>
      <c r="K103" s="46"/>
      <c r="L103" s="46"/>
      <c r="M103" s="48"/>
      <c r="N103" s="2"/>
      <c r="O103" s="2"/>
      <c r="P103" s="2"/>
      <c r="Q103" s="2"/>
      <c r="R103" s="2"/>
      <c r="S103" s="2"/>
      <c r="T103" s="2"/>
      <c r="U103" s="2"/>
      <c r="V103" s="2"/>
      <c r="W103" s="2"/>
      <c r="X103" s="2"/>
      <c r="Y103" s="2"/>
      <c r="Z103" s="2"/>
    </row>
    <row r="104" ht="13.5" customHeight="1">
      <c r="A104" s="56"/>
      <c r="B104" s="102"/>
      <c r="C104" s="46" t="s">
        <v>740</v>
      </c>
      <c r="D104" s="64" t="s">
        <v>742</v>
      </c>
      <c r="E104" s="76">
        <f>COUNTIF('품질'!E10:E48,"qur-005*")</f>
        <v>7</v>
      </c>
      <c r="F104" s="46" t="s">
        <v>60</v>
      </c>
      <c r="G104" s="46"/>
      <c r="H104" s="46"/>
      <c r="I104" s="46"/>
      <c r="J104" s="46"/>
      <c r="K104" s="46"/>
      <c r="L104" s="46"/>
      <c r="M104" s="48"/>
      <c r="N104" s="2"/>
      <c r="O104" s="2"/>
      <c r="P104" s="2"/>
      <c r="Q104" s="2"/>
      <c r="R104" s="2"/>
      <c r="S104" s="2"/>
      <c r="T104" s="2"/>
      <c r="U104" s="2"/>
      <c r="V104" s="2"/>
      <c r="W104" s="2"/>
      <c r="X104" s="2"/>
      <c r="Y104" s="2"/>
      <c r="Z104" s="2"/>
    </row>
    <row r="105" ht="13.5" customHeight="1">
      <c r="A105" s="56"/>
      <c r="B105" s="103" t="s">
        <v>49</v>
      </c>
      <c r="C105" s="9"/>
      <c r="D105" s="10"/>
      <c r="E105" s="97">
        <f>SUM(E100:E104)</f>
        <v>39</v>
      </c>
      <c r="F105" s="98"/>
      <c r="G105" s="97">
        <v>0.0</v>
      </c>
      <c r="H105" s="99">
        <v>0.0</v>
      </c>
      <c r="I105" s="97">
        <v>0.0</v>
      </c>
      <c r="J105" s="99"/>
      <c r="K105" s="100"/>
      <c r="L105" s="99"/>
      <c r="M105" s="100"/>
      <c r="N105" s="2"/>
      <c r="O105" s="2"/>
      <c r="P105" s="2"/>
      <c r="Q105" s="2"/>
      <c r="R105" s="2"/>
      <c r="S105" s="2"/>
      <c r="T105" s="2"/>
      <c r="U105" s="2"/>
      <c r="V105" s="2"/>
      <c r="W105" s="2"/>
      <c r="X105" s="2"/>
      <c r="Y105" s="2"/>
      <c r="Z105" s="2"/>
    </row>
    <row r="106" ht="13.5" customHeight="1">
      <c r="A106" s="56"/>
      <c r="B106" s="104" t="s">
        <v>755</v>
      </c>
      <c r="C106" s="46" t="s">
        <v>757</v>
      </c>
      <c r="D106" s="64" t="s">
        <v>759</v>
      </c>
      <c r="E106" s="76">
        <f>COUNTIF('제약'!E6:E40,"cor-001*")</f>
        <v>6</v>
      </c>
      <c r="F106" s="46" t="s">
        <v>60</v>
      </c>
      <c r="G106" s="46"/>
      <c r="H106" s="46"/>
      <c r="I106" s="46"/>
      <c r="J106" s="46"/>
      <c r="K106" s="46"/>
      <c r="L106" s="46"/>
      <c r="M106" s="48"/>
      <c r="N106" s="2"/>
      <c r="O106" s="2"/>
      <c r="P106" s="2"/>
      <c r="Q106" s="2"/>
      <c r="R106" s="2"/>
      <c r="S106" s="2"/>
      <c r="T106" s="2"/>
      <c r="U106" s="2"/>
      <c r="V106" s="2"/>
      <c r="W106" s="2"/>
      <c r="X106" s="2"/>
      <c r="Y106" s="2"/>
      <c r="Z106" s="2"/>
    </row>
    <row r="107" ht="13.5" customHeight="1">
      <c r="A107" s="56"/>
      <c r="B107" s="102"/>
      <c r="C107" s="46" t="s">
        <v>765</v>
      </c>
      <c r="D107" s="64" t="s">
        <v>767</v>
      </c>
      <c r="E107" s="76">
        <f>COUNTIF('제약'!E7:E41,"cor-002*")</f>
        <v>3</v>
      </c>
      <c r="F107" s="46" t="s">
        <v>60</v>
      </c>
      <c r="G107" s="46"/>
      <c r="H107" s="46"/>
      <c r="I107" s="46"/>
      <c r="J107" s="46"/>
      <c r="K107" s="46"/>
      <c r="L107" s="46"/>
      <c r="M107" s="48"/>
      <c r="N107" s="2"/>
      <c r="O107" s="2"/>
      <c r="P107" s="2"/>
      <c r="Q107" s="2"/>
      <c r="R107" s="2"/>
      <c r="S107" s="2"/>
      <c r="T107" s="2"/>
      <c r="U107" s="2"/>
      <c r="V107" s="2"/>
      <c r="W107" s="2"/>
      <c r="X107" s="2"/>
      <c r="Y107" s="2"/>
      <c r="Z107" s="2"/>
    </row>
    <row r="108" ht="13.5" customHeight="1">
      <c r="A108" s="56"/>
      <c r="B108" s="102"/>
      <c r="C108" s="46" t="s">
        <v>772</v>
      </c>
      <c r="D108" s="64" t="s">
        <v>773</v>
      </c>
      <c r="E108" s="76">
        <f>COUNTIF('제약'!E8:E42,"cor-003*")</f>
        <v>6</v>
      </c>
      <c r="F108" s="46" t="s">
        <v>60</v>
      </c>
      <c r="G108" s="46"/>
      <c r="H108" s="46"/>
      <c r="I108" s="46"/>
      <c r="J108" s="46"/>
      <c r="K108" s="46"/>
      <c r="L108" s="46"/>
      <c r="M108" s="48"/>
      <c r="N108" s="2"/>
      <c r="O108" s="2"/>
      <c r="P108" s="2"/>
      <c r="Q108" s="2"/>
      <c r="R108" s="2"/>
      <c r="S108" s="2"/>
      <c r="T108" s="2"/>
      <c r="U108" s="2"/>
      <c r="V108" s="2"/>
      <c r="W108" s="2"/>
      <c r="X108" s="2"/>
      <c r="Y108" s="2"/>
      <c r="Z108" s="2"/>
    </row>
    <row r="109" ht="13.5" customHeight="1">
      <c r="A109" s="56"/>
      <c r="B109" s="102"/>
      <c r="C109" s="46" t="s">
        <v>780</v>
      </c>
      <c r="D109" s="64" t="s">
        <v>781</v>
      </c>
      <c r="E109" s="76">
        <f>COUNTIF('제약'!E9:E43,"cor-004*")</f>
        <v>6</v>
      </c>
      <c r="F109" s="46" t="s">
        <v>60</v>
      </c>
      <c r="G109" s="46"/>
      <c r="H109" s="46"/>
      <c r="I109" s="46"/>
      <c r="J109" s="46"/>
      <c r="K109" s="46"/>
      <c r="L109" s="46"/>
      <c r="M109" s="48"/>
      <c r="N109" s="2"/>
      <c r="O109" s="2"/>
      <c r="P109" s="2"/>
      <c r="Q109" s="2"/>
      <c r="R109" s="2"/>
      <c r="S109" s="2"/>
      <c r="T109" s="2"/>
      <c r="U109" s="2"/>
      <c r="V109" s="2"/>
      <c r="W109" s="2"/>
      <c r="X109" s="2"/>
      <c r="Y109" s="2"/>
      <c r="Z109" s="2"/>
    </row>
    <row r="110" ht="13.5" customHeight="1">
      <c r="A110" s="56"/>
      <c r="B110" s="102"/>
      <c r="C110" s="46" t="s">
        <v>786</v>
      </c>
      <c r="D110" s="64" t="s">
        <v>787</v>
      </c>
      <c r="E110" s="76">
        <f>COUNTIF('제약'!E10:E44,"cor-005*")</f>
        <v>3</v>
      </c>
      <c r="F110" s="46" t="s">
        <v>60</v>
      </c>
      <c r="G110" s="46"/>
      <c r="H110" s="46"/>
      <c r="I110" s="46"/>
      <c r="J110" s="46"/>
      <c r="K110" s="46"/>
      <c r="L110" s="46"/>
      <c r="M110" s="48"/>
      <c r="N110" s="2"/>
      <c r="O110" s="2"/>
      <c r="P110" s="2"/>
      <c r="Q110" s="2"/>
      <c r="R110" s="2"/>
      <c r="S110" s="2"/>
      <c r="T110" s="2"/>
      <c r="U110" s="2"/>
      <c r="V110" s="2"/>
      <c r="W110" s="2"/>
      <c r="X110" s="2"/>
      <c r="Y110" s="2"/>
      <c r="Z110" s="2"/>
    </row>
    <row r="111" ht="13.5" customHeight="1">
      <c r="A111" s="56"/>
      <c r="B111" s="102"/>
      <c r="C111" s="46" t="s">
        <v>796</v>
      </c>
      <c r="D111" s="64" t="s">
        <v>798</v>
      </c>
      <c r="E111" s="76">
        <f>COUNTIF('제약'!E11:E45,"cor-006*")</f>
        <v>4</v>
      </c>
      <c r="F111" s="46" t="s">
        <v>60</v>
      </c>
      <c r="G111" s="46"/>
      <c r="H111" s="46"/>
      <c r="I111" s="46"/>
      <c r="J111" s="46"/>
      <c r="K111" s="46"/>
      <c r="L111" s="46"/>
      <c r="M111" s="48"/>
      <c r="N111" s="2"/>
      <c r="O111" s="2"/>
      <c r="P111" s="2"/>
      <c r="Q111" s="2"/>
      <c r="R111" s="2"/>
      <c r="S111" s="2"/>
      <c r="T111" s="2"/>
      <c r="U111" s="2"/>
      <c r="V111" s="2"/>
      <c r="W111" s="2"/>
      <c r="X111" s="2"/>
      <c r="Y111" s="2"/>
      <c r="Z111" s="2"/>
    </row>
    <row r="112" ht="13.5" customHeight="1">
      <c r="A112" s="56"/>
      <c r="B112" s="102"/>
      <c r="C112" s="46" t="s">
        <v>805</v>
      </c>
      <c r="D112" s="64" t="s">
        <v>806</v>
      </c>
      <c r="E112" s="76">
        <f>COUNTIF('제약'!E12:E46,"cor-007*")</f>
        <v>2</v>
      </c>
      <c r="F112" s="46" t="s">
        <v>60</v>
      </c>
      <c r="G112" s="46"/>
      <c r="H112" s="46"/>
      <c r="I112" s="46"/>
      <c r="J112" s="46"/>
      <c r="K112" s="46"/>
      <c r="L112" s="46"/>
      <c r="M112" s="48"/>
      <c r="N112" s="2"/>
      <c r="O112" s="2"/>
      <c r="P112" s="2"/>
      <c r="Q112" s="2"/>
      <c r="R112" s="2"/>
      <c r="S112" s="2"/>
      <c r="T112" s="2"/>
      <c r="U112" s="2"/>
      <c r="V112" s="2"/>
      <c r="W112" s="2"/>
      <c r="X112" s="2"/>
      <c r="Y112" s="2"/>
      <c r="Z112" s="2"/>
    </row>
    <row r="113" ht="13.5" customHeight="1">
      <c r="A113" s="56"/>
      <c r="B113" s="34"/>
      <c r="C113" s="46" t="s">
        <v>814</v>
      </c>
      <c r="D113" s="64" t="s">
        <v>815</v>
      </c>
      <c r="E113" s="76">
        <f>COUNTIF('제약'!E13:E47,"cor-008*")</f>
        <v>5</v>
      </c>
      <c r="F113" s="46" t="s">
        <v>60</v>
      </c>
      <c r="G113" s="46"/>
      <c r="H113" s="46"/>
      <c r="I113" s="46"/>
      <c r="J113" s="46"/>
      <c r="K113" s="46"/>
      <c r="L113" s="46"/>
      <c r="M113" s="48"/>
      <c r="N113" s="2"/>
      <c r="O113" s="2"/>
      <c r="P113" s="2"/>
      <c r="Q113" s="2"/>
      <c r="R113" s="2"/>
      <c r="S113" s="2"/>
      <c r="T113" s="2"/>
      <c r="U113" s="2"/>
      <c r="V113" s="2"/>
      <c r="W113" s="2"/>
      <c r="X113" s="2"/>
      <c r="Y113" s="2"/>
      <c r="Z113" s="2"/>
    </row>
    <row r="114" ht="13.5" customHeight="1">
      <c r="A114" s="56"/>
      <c r="B114" s="103" t="s">
        <v>49</v>
      </c>
      <c r="C114" s="9"/>
      <c r="D114" s="10"/>
      <c r="E114" s="97">
        <f>SUM(E106:E113)</f>
        <v>35</v>
      </c>
      <c r="F114" s="98"/>
      <c r="G114" s="97">
        <v>0.0</v>
      </c>
      <c r="H114" s="99">
        <v>0.0</v>
      </c>
      <c r="I114" s="97">
        <v>0.0</v>
      </c>
      <c r="J114" s="99"/>
      <c r="K114" s="100"/>
      <c r="L114" s="99"/>
      <c r="M114" s="100"/>
      <c r="N114" s="2"/>
      <c r="O114" s="2"/>
      <c r="P114" s="2"/>
      <c r="Q114" s="2"/>
      <c r="R114" s="2"/>
      <c r="S114" s="2"/>
      <c r="T114" s="2"/>
      <c r="U114" s="2"/>
      <c r="V114" s="2"/>
      <c r="W114" s="2"/>
      <c r="X114" s="2"/>
      <c r="Y114" s="2"/>
      <c r="Z114" s="2"/>
    </row>
    <row r="115" ht="13.5" customHeight="1">
      <c r="A115" s="56"/>
      <c r="B115" s="101" t="s">
        <v>828</v>
      </c>
      <c r="C115" s="46" t="s">
        <v>829</v>
      </c>
      <c r="D115" s="64" t="s">
        <v>830</v>
      </c>
      <c r="E115" s="76">
        <f>COUNTIF('프로젝트관리'!E6:E59,"pmr-001*")</f>
        <v>8</v>
      </c>
      <c r="F115" s="46" t="s">
        <v>60</v>
      </c>
      <c r="G115" s="46"/>
      <c r="H115" s="46"/>
      <c r="I115" s="46"/>
      <c r="J115" s="46"/>
      <c r="K115" s="46"/>
      <c r="L115" s="46"/>
      <c r="M115" s="48"/>
      <c r="N115" s="2"/>
      <c r="O115" s="2"/>
      <c r="P115" s="2"/>
      <c r="Q115" s="2"/>
      <c r="R115" s="2"/>
      <c r="S115" s="2"/>
      <c r="T115" s="2"/>
      <c r="U115" s="2"/>
      <c r="V115" s="2"/>
      <c r="W115" s="2"/>
      <c r="X115" s="2"/>
      <c r="Y115" s="2"/>
      <c r="Z115" s="2"/>
    </row>
    <row r="116" ht="13.5" customHeight="1">
      <c r="A116" s="56"/>
      <c r="B116" s="102"/>
      <c r="C116" s="46" t="s">
        <v>837</v>
      </c>
      <c r="D116" s="64" t="s">
        <v>838</v>
      </c>
      <c r="E116" s="76">
        <f>COUNTIF('프로젝트관리'!E7:E60,"pmr-002*")</f>
        <v>9</v>
      </c>
      <c r="F116" s="46" t="s">
        <v>60</v>
      </c>
      <c r="G116" s="46"/>
      <c r="H116" s="46"/>
      <c r="I116" s="46"/>
      <c r="J116" s="46"/>
      <c r="K116" s="46"/>
      <c r="L116" s="46"/>
      <c r="M116" s="48"/>
      <c r="N116" s="2"/>
      <c r="O116" s="2"/>
      <c r="P116" s="2"/>
      <c r="Q116" s="2"/>
      <c r="R116" s="2"/>
      <c r="S116" s="2"/>
      <c r="T116" s="2"/>
      <c r="U116" s="2"/>
      <c r="V116" s="2"/>
      <c r="W116" s="2"/>
      <c r="X116" s="2"/>
      <c r="Y116" s="2"/>
      <c r="Z116" s="2"/>
    </row>
    <row r="117" ht="13.5" customHeight="1">
      <c r="A117" s="56"/>
      <c r="B117" s="102"/>
      <c r="C117" s="46" t="s">
        <v>846</v>
      </c>
      <c r="D117" s="64" t="s">
        <v>847</v>
      </c>
      <c r="E117" s="76">
        <f>COUNTIF('프로젝트관리'!E8:E61,"pmr-003*")</f>
        <v>18</v>
      </c>
      <c r="F117" s="46" t="s">
        <v>60</v>
      </c>
      <c r="G117" s="46"/>
      <c r="H117" s="46"/>
      <c r="I117" s="46"/>
      <c r="J117" s="46"/>
      <c r="K117" s="46"/>
      <c r="L117" s="46"/>
      <c r="M117" s="48"/>
      <c r="N117" s="2"/>
      <c r="O117" s="2"/>
      <c r="P117" s="2"/>
      <c r="Q117" s="2"/>
      <c r="R117" s="2"/>
      <c r="S117" s="2"/>
      <c r="T117" s="2"/>
      <c r="U117" s="2"/>
      <c r="V117" s="2"/>
      <c r="W117" s="2"/>
      <c r="X117" s="2"/>
      <c r="Y117" s="2"/>
      <c r="Z117" s="2"/>
    </row>
    <row r="118" ht="13.5" customHeight="1">
      <c r="A118" s="56"/>
      <c r="B118" s="102"/>
      <c r="C118" s="46" t="s">
        <v>851</v>
      </c>
      <c r="D118" s="64" t="s">
        <v>853</v>
      </c>
      <c r="E118" s="76">
        <f>COUNTIF('프로젝트관리'!E9:E62,"pmr-004*")</f>
        <v>12</v>
      </c>
      <c r="F118" s="46" t="s">
        <v>60</v>
      </c>
      <c r="G118" s="46"/>
      <c r="H118" s="46"/>
      <c r="I118" s="46"/>
      <c r="J118" s="46"/>
      <c r="K118" s="46"/>
      <c r="L118" s="46"/>
      <c r="M118" s="48"/>
      <c r="N118" s="2"/>
      <c r="O118" s="2"/>
      <c r="P118" s="2"/>
      <c r="Q118" s="2"/>
      <c r="R118" s="2"/>
      <c r="S118" s="2"/>
      <c r="T118" s="2"/>
      <c r="U118" s="2"/>
      <c r="V118" s="2"/>
      <c r="W118" s="2"/>
      <c r="X118" s="2"/>
      <c r="Y118" s="2"/>
      <c r="Z118" s="2"/>
    </row>
    <row r="119" ht="13.5" customHeight="1">
      <c r="A119" s="56"/>
      <c r="B119" s="102"/>
      <c r="C119" s="46" t="s">
        <v>860</v>
      </c>
      <c r="D119" s="64" t="s">
        <v>861</v>
      </c>
      <c r="E119" s="76">
        <f>COUNTIF('프로젝트관리'!E9:E62,"pmr-005*")</f>
        <v>5</v>
      </c>
      <c r="F119" s="46" t="s">
        <v>60</v>
      </c>
      <c r="G119" s="46"/>
      <c r="H119" s="46"/>
      <c r="I119" s="46"/>
      <c r="J119" s="46"/>
      <c r="K119" s="46"/>
      <c r="L119" s="46"/>
      <c r="M119" s="48"/>
      <c r="N119" s="2"/>
      <c r="O119" s="2"/>
      <c r="P119" s="2"/>
      <c r="Q119" s="2"/>
      <c r="R119" s="2"/>
      <c r="S119" s="2"/>
      <c r="T119" s="2"/>
      <c r="U119" s="2"/>
      <c r="V119" s="2"/>
      <c r="W119" s="2"/>
      <c r="X119" s="2"/>
      <c r="Y119" s="2"/>
      <c r="Z119" s="2"/>
    </row>
    <row r="120" ht="13.5" customHeight="1">
      <c r="A120" s="56"/>
      <c r="B120" s="102"/>
      <c r="C120" s="46" t="s">
        <v>869</v>
      </c>
      <c r="D120" s="64"/>
      <c r="E120" s="76">
        <f>COUNTIF('프로젝트관리'!E9:E62,"pmr-006*")</f>
        <v>1</v>
      </c>
      <c r="F120" s="46" t="s">
        <v>60</v>
      </c>
      <c r="G120" s="46"/>
      <c r="H120" s="46"/>
      <c r="I120" s="46"/>
      <c r="J120" s="46"/>
      <c r="K120" s="46"/>
      <c r="L120" s="46"/>
      <c r="M120" s="48" t="s">
        <v>286</v>
      </c>
      <c r="N120" s="2"/>
      <c r="O120" s="2"/>
      <c r="P120" s="2"/>
      <c r="Q120" s="2"/>
      <c r="R120" s="2"/>
      <c r="S120" s="2"/>
      <c r="T120" s="2"/>
      <c r="U120" s="2"/>
      <c r="V120" s="2"/>
      <c r="W120" s="2"/>
      <c r="X120" s="2"/>
      <c r="Y120" s="2"/>
      <c r="Z120" s="2"/>
    </row>
    <row r="121" ht="13.5" customHeight="1">
      <c r="A121" s="56"/>
      <c r="B121" s="102"/>
      <c r="C121" s="46" t="s">
        <v>874</v>
      </c>
      <c r="D121" s="64"/>
      <c r="E121" s="76">
        <f>COUNTIF('프로젝트관리'!E10:E63,"pmr-007*")</f>
        <v>1</v>
      </c>
      <c r="F121" s="46" t="s">
        <v>60</v>
      </c>
      <c r="G121" s="46"/>
      <c r="H121" s="46"/>
      <c r="I121" s="46"/>
      <c r="J121" s="46"/>
      <c r="K121" s="46"/>
      <c r="L121" s="46"/>
      <c r="M121" s="48" t="s">
        <v>286</v>
      </c>
      <c r="N121" s="2"/>
      <c r="O121" s="2"/>
      <c r="P121" s="2"/>
      <c r="Q121" s="2"/>
      <c r="R121" s="2"/>
      <c r="S121" s="2"/>
      <c r="T121" s="2"/>
      <c r="U121" s="2"/>
      <c r="V121" s="2"/>
      <c r="W121" s="2"/>
      <c r="X121" s="2"/>
      <c r="Y121" s="2"/>
      <c r="Z121" s="2"/>
    </row>
    <row r="122" ht="13.5" customHeight="1">
      <c r="A122" s="56"/>
      <c r="B122" s="103" t="s">
        <v>49</v>
      </c>
      <c r="C122" s="9"/>
      <c r="D122" s="10"/>
      <c r="E122" s="97">
        <f>SUM(E115:E121)</f>
        <v>54</v>
      </c>
      <c r="F122" s="98"/>
      <c r="G122" s="97">
        <v>0.0</v>
      </c>
      <c r="H122" s="99">
        <v>0.0</v>
      </c>
      <c r="I122" s="97">
        <v>0.0</v>
      </c>
      <c r="J122" s="99"/>
      <c r="K122" s="100"/>
      <c r="L122" s="99"/>
      <c r="M122" s="100"/>
      <c r="N122" s="2"/>
      <c r="O122" s="2"/>
      <c r="P122" s="2"/>
      <c r="Q122" s="2"/>
      <c r="R122" s="2"/>
      <c r="S122" s="2"/>
      <c r="T122" s="2"/>
      <c r="U122" s="2"/>
      <c r="V122" s="2"/>
      <c r="W122" s="2"/>
      <c r="X122" s="2"/>
      <c r="Y122" s="2"/>
      <c r="Z122" s="2"/>
    </row>
    <row r="123" ht="13.5" customHeight="1">
      <c r="A123" s="56"/>
      <c r="B123" s="104" t="s">
        <v>885</v>
      </c>
      <c r="C123" s="46" t="s">
        <v>887</v>
      </c>
      <c r="D123" s="64" t="s">
        <v>888</v>
      </c>
      <c r="E123" s="76">
        <f>COUNTIF('프로젝트지원'!E6:E80,"psr-001*")</f>
        <v>22</v>
      </c>
      <c r="F123" s="46" t="s">
        <v>60</v>
      </c>
      <c r="G123" s="46"/>
      <c r="H123" s="46"/>
      <c r="I123" s="46"/>
      <c r="J123" s="46"/>
      <c r="K123" s="46"/>
      <c r="L123" s="46"/>
      <c r="M123" s="48"/>
      <c r="N123" s="2"/>
      <c r="O123" s="2"/>
      <c r="P123" s="2"/>
      <c r="Q123" s="2"/>
      <c r="R123" s="2"/>
      <c r="S123" s="2"/>
      <c r="T123" s="2"/>
      <c r="U123" s="2"/>
      <c r="V123" s="2"/>
      <c r="W123" s="2"/>
      <c r="X123" s="2"/>
      <c r="Y123" s="2"/>
      <c r="Z123" s="2"/>
    </row>
    <row r="124" ht="13.5" customHeight="1">
      <c r="A124" s="56"/>
      <c r="B124" s="102"/>
      <c r="C124" s="46" t="s">
        <v>897</v>
      </c>
      <c r="D124" s="64" t="s">
        <v>898</v>
      </c>
      <c r="E124" s="76">
        <f>COUNTIF('프로젝트지원'!E7:E81,"psr-002*")</f>
        <v>32</v>
      </c>
      <c r="F124" s="46" t="s">
        <v>60</v>
      </c>
      <c r="G124" s="46"/>
      <c r="H124" s="46"/>
      <c r="I124" s="46"/>
      <c r="J124" s="46"/>
      <c r="K124" s="46"/>
      <c r="L124" s="46"/>
      <c r="M124" s="48"/>
      <c r="N124" s="2"/>
      <c r="O124" s="2"/>
      <c r="P124" s="2"/>
      <c r="Q124" s="2"/>
      <c r="R124" s="2"/>
      <c r="S124" s="2"/>
      <c r="T124" s="2"/>
      <c r="U124" s="2"/>
      <c r="V124" s="2"/>
      <c r="W124" s="2"/>
      <c r="X124" s="2"/>
      <c r="Y124" s="2"/>
      <c r="Z124" s="2"/>
    </row>
    <row r="125" ht="13.5" customHeight="1">
      <c r="A125" s="56"/>
      <c r="B125" s="102"/>
      <c r="C125" s="46" t="s">
        <v>904</v>
      </c>
      <c r="D125" s="64" t="s">
        <v>906</v>
      </c>
      <c r="E125" s="76">
        <f>COUNTIF('프로젝트지원'!E8:E82,"psr-003*")</f>
        <v>9</v>
      </c>
      <c r="F125" s="46" t="s">
        <v>60</v>
      </c>
      <c r="G125" s="46"/>
      <c r="H125" s="46"/>
      <c r="I125" s="46"/>
      <c r="J125" s="46"/>
      <c r="K125" s="46"/>
      <c r="L125" s="46"/>
      <c r="M125" s="48"/>
      <c r="N125" s="2"/>
      <c r="O125" s="2"/>
      <c r="P125" s="2"/>
      <c r="Q125" s="2"/>
      <c r="R125" s="2"/>
      <c r="S125" s="2"/>
      <c r="T125" s="2"/>
      <c r="U125" s="2"/>
      <c r="V125" s="2"/>
      <c r="W125" s="2"/>
      <c r="X125" s="2"/>
      <c r="Y125" s="2"/>
      <c r="Z125" s="2"/>
    </row>
    <row r="126" ht="13.5" customHeight="1">
      <c r="A126" s="56"/>
      <c r="B126" s="102"/>
      <c r="C126" s="46" t="s">
        <v>910</v>
      </c>
      <c r="D126" s="64" t="s">
        <v>911</v>
      </c>
      <c r="E126" s="76">
        <f>COUNTIF('프로젝트지원'!E9:E83,"psr-004*")</f>
        <v>12</v>
      </c>
      <c r="F126" s="46" t="s">
        <v>60</v>
      </c>
      <c r="G126" s="46"/>
      <c r="H126" s="46"/>
      <c r="I126" s="46"/>
      <c r="J126" s="46"/>
      <c r="K126" s="46"/>
      <c r="L126" s="46"/>
      <c r="M126" s="48"/>
      <c r="N126" s="2"/>
      <c r="O126" s="2"/>
      <c r="P126" s="2"/>
      <c r="Q126" s="2"/>
      <c r="R126" s="2"/>
      <c r="S126" s="2"/>
      <c r="T126" s="2"/>
      <c r="U126" s="2"/>
      <c r="V126" s="2"/>
      <c r="W126" s="2"/>
      <c r="X126" s="2"/>
      <c r="Y126" s="2"/>
      <c r="Z126" s="2"/>
    </row>
    <row r="127" ht="13.5" customHeight="1">
      <c r="A127" s="56"/>
      <c r="B127" s="103" t="s">
        <v>49</v>
      </c>
      <c r="C127" s="9"/>
      <c r="D127" s="10"/>
      <c r="E127" s="97">
        <f>SUM(E123:E126)</f>
        <v>75</v>
      </c>
      <c r="F127" s="98"/>
      <c r="G127" s="97">
        <v>0.0</v>
      </c>
      <c r="H127" s="99">
        <v>0.0</v>
      </c>
      <c r="I127" s="97">
        <v>0.0</v>
      </c>
      <c r="J127" s="99"/>
      <c r="K127" s="100"/>
      <c r="L127" s="99"/>
      <c r="M127" s="100"/>
      <c r="N127" s="2"/>
      <c r="O127" s="2"/>
      <c r="P127" s="2"/>
      <c r="Q127" s="2"/>
      <c r="R127" s="2"/>
      <c r="S127" s="2"/>
      <c r="T127" s="2"/>
      <c r="U127" s="2"/>
      <c r="V127" s="2"/>
      <c r="W127" s="2"/>
      <c r="X127" s="2"/>
      <c r="Y127" s="2"/>
      <c r="Z127" s="2"/>
    </row>
    <row r="128" ht="13.5" customHeight="1">
      <c r="A128" s="56"/>
      <c r="B128" s="104" t="s">
        <v>925</v>
      </c>
      <c r="C128" s="46" t="s">
        <v>926</v>
      </c>
      <c r="D128" s="64" t="s">
        <v>927</v>
      </c>
      <c r="E128" s="76">
        <f>COUNTIF('컨설팅'!E6:E23,"cnr-001*")</f>
        <v>12</v>
      </c>
      <c r="F128" s="76" t="s">
        <v>931</v>
      </c>
      <c r="G128" s="46"/>
      <c r="H128" s="46"/>
      <c r="I128" s="46"/>
      <c r="J128" s="46"/>
      <c r="K128" s="46"/>
      <c r="L128" s="46"/>
      <c r="M128" s="48"/>
      <c r="N128" s="2"/>
      <c r="O128" s="2"/>
      <c r="P128" s="2"/>
      <c r="Q128" s="2"/>
      <c r="R128" s="2"/>
      <c r="S128" s="2"/>
      <c r="T128" s="2"/>
      <c r="U128" s="2"/>
      <c r="V128" s="2"/>
      <c r="W128" s="2"/>
      <c r="X128" s="2"/>
      <c r="Y128" s="2"/>
      <c r="Z128" s="2"/>
    </row>
    <row r="129" ht="13.5" customHeight="1">
      <c r="A129" s="56"/>
      <c r="B129" s="102"/>
      <c r="C129" s="46" t="s">
        <v>936</v>
      </c>
      <c r="D129" s="64" t="s">
        <v>938</v>
      </c>
      <c r="E129" s="76">
        <f>COUNTIF('컨설팅'!E7:E24,"cnr-002*")</f>
        <v>6</v>
      </c>
      <c r="F129" s="46" t="s">
        <v>60</v>
      </c>
      <c r="G129" s="46"/>
      <c r="H129" s="46"/>
      <c r="I129" s="46"/>
      <c r="J129" s="46"/>
      <c r="K129" s="46"/>
      <c r="L129" s="46"/>
      <c r="M129" s="48"/>
      <c r="N129" s="2"/>
      <c r="O129" s="2"/>
      <c r="P129" s="2"/>
      <c r="Q129" s="2"/>
      <c r="R129" s="2"/>
      <c r="S129" s="2"/>
      <c r="T129" s="2"/>
      <c r="U129" s="2"/>
      <c r="V129" s="2"/>
      <c r="W129" s="2"/>
      <c r="X129" s="2"/>
      <c r="Y129" s="2"/>
      <c r="Z129" s="2"/>
    </row>
    <row r="130" ht="13.5" customHeight="1">
      <c r="A130" s="44"/>
      <c r="B130" s="103" t="s">
        <v>49</v>
      </c>
      <c r="C130" s="9"/>
      <c r="D130" s="10"/>
      <c r="E130" s="97">
        <f>SUM(E128:E129)</f>
        <v>18</v>
      </c>
      <c r="F130" s="98"/>
      <c r="G130" s="97">
        <v>0.0</v>
      </c>
      <c r="H130" s="99">
        <v>0.0</v>
      </c>
      <c r="I130" s="97">
        <v>0.0</v>
      </c>
      <c r="J130" s="99"/>
      <c r="K130" s="100"/>
      <c r="L130" s="99"/>
      <c r="M130" s="100"/>
      <c r="N130" s="2"/>
      <c r="O130" s="2"/>
      <c r="P130" s="2"/>
      <c r="Q130" s="2"/>
      <c r="R130" s="2"/>
      <c r="S130" s="2"/>
      <c r="T130" s="2"/>
      <c r="U130" s="2"/>
      <c r="V130" s="2"/>
      <c r="W130" s="2"/>
      <c r="X130" s="2"/>
      <c r="Y130" s="2"/>
      <c r="Z130" s="2"/>
    </row>
    <row r="131" ht="13.5" customHeight="1">
      <c r="A131" s="113" t="s">
        <v>950</v>
      </c>
      <c r="B131" s="9"/>
      <c r="C131" s="9"/>
      <c r="D131" s="10"/>
      <c r="E131" s="97">
        <f>SUM(E49,E63,E73,E79,E85,E99,E105,E114,E122,E127,E130)</f>
        <v>553</v>
      </c>
      <c r="F131" s="100" t="s">
        <v>12</v>
      </c>
      <c r="G131" s="97">
        <v>0.0</v>
      </c>
      <c r="H131" s="97">
        <v>0.0</v>
      </c>
      <c r="I131" s="97">
        <v>0.0</v>
      </c>
      <c r="J131" s="97"/>
      <c r="K131" s="100"/>
      <c r="L131" s="97"/>
      <c r="M131" s="100"/>
      <c r="N131" s="2"/>
      <c r="O131" s="2"/>
      <c r="P131" s="2"/>
      <c r="Q131" s="2"/>
      <c r="R131" s="2"/>
      <c r="S131" s="2"/>
      <c r="T131" s="2"/>
      <c r="U131" s="2"/>
      <c r="V131" s="2"/>
      <c r="W131" s="2"/>
      <c r="X131" s="2"/>
      <c r="Y131" s="2"/>
      <c r="Z131" s="2"/>
    </row>
    <row r="132" ht="13.5" customHeight="1">
      <c r="A132" s="20" t="s">
        <v>959</v>
      </c>
      <c r="B132" s="9"/>
      <c r="C132" s="9"/>
      <c r="D132" s="10"/>
      <c r="E132" s="23">
        <f>E40+E131</f>
        <v>999</v>
      </c>
      <c r="F132" s="23" t="s">
        <v>12</v>
      </c>
      <c r="G132" s="23">
        <v>0.0</v>
      </c>
      <c r="H132" s="23">
        <v>0.0</v>
      </c>
      <c r="I132" s="23">
        <v>0.0</v>
      </c>
      <c r="J132" s="23"/>
      <c r="K132" s="23"/>
      <c r="L132" s="23"/>
      <c r="M132" s="23"/>
      <c r="N132" s="2"/>
      <c r="O132" s="2"/>
      <c r="P132" s="2"/>
      <c r="Q132" s="2"/>
      <c r="R132" s="2"/>
      <c r="S132" s="2"/>
      <c r="T132" s="2"/>
      <c r="U132" s="2"/>
      <c r="V132" s="2"/>
      <c r="W132" s="2"/>
      <c r="X132" s="2"/>
      <c r="Y132" s="2"/>
      <c r="Z132" s="2"/>
    </row>
    <row r="133" ht="13.5" customHeight="1">
      <c r="A133" s="12"/>
      <c r="B133" s="12"/>
      <c r="C133" s="12"/>
      <c r="D133" s="12"/>
      <c r="E133" s="14"/>
      <c r="F133" s="12"/>
      <c r="G133" s="12"/>
      <c r="H133" s="12"/>
      <c r="I133" s="12"/>
      <c r="J133" s="12"/>
      <c r="K133" s="12"/>
      <c r="L133" s="12"/>
      <c r="M133" s="12"/>
      <c r="N133" s="2"/>
      <c r="O133" s="2"/>
      <c r="P133" s="2"/>
      <c r="Q133" s="2"/>
      <c r="R133" s="2"/>
      <c r="S133" s="2"/>
      <c r="T133" s="2"/>
      <c r="U133" s="2"/>
      <c r="V133" s="2"/>
      <c r="W133" s="2"/>
      <c r="X133" s="2"/>
      <c r="Y133" s="2"/>
      <c r="Z133" s="2"/>
    </row>
    <row r="134" ht="13.5" customHeight="1">
      <c r="A134" s="12"/>
      <c r="B134" s="12"/>
      <c r="C134" s="12"/>
      <c r="D134" s="12"/>
      <c r="E134" s="14"/>
      <c r="F134" s="12"/>
      <c r="G134" s="12"/>
      <c r="H134" s="12"/>
      <c r="I134" s="12"/>
      <c r="J134" s="12"/>
      <c r="K134" s="12"/>
      <c r="L134" s="12"/>
      <c r="M134" s="12"/>
      <c r="N134" s="2"/>
      <c r="O134" s="2"/>
      <c r="P134" s="2"/>
      <c r="Q134" s="2"/>
      <c r="R134" s="2"/>
      <c r="S134" s="2"/>
      <c r="T134" s="2"/>
      <c r="U134" s="2"/>
      <c r="V134" s="2"/>
      <c r="W134" s="2"/>
      <c r="X134" s="2"/>
      <c r="Y134" s="2"/>
      <c r="Z134" s="2"/>
    </row>
    <row r="135" ht="13.5" customHeight="1">
      <c r="A135" s="12"/>
      <c r="B135" s="12"/>
      <c r="C135" s="12"/>
      <c r="D135" s="12"/>
      <c r="E135" s="14"/>
      <c r="F135" s="12"/>
      <c r="G135" s="12"/>
      <c r="H135" s="12"/>
      <c r="I135" s="12"/>
      <c r="J135" s="12"/>
      <c r="K135" s="12"/>
      <c r="L135" s="12"/>
      <c r="M135" s="12"/>
      <c r="N135" s="2"/>
      <c r="O135" s="2"/>
      <c r="P135" s="2"/>
      <c r="Q135" s="2"/>
      <c r="R135" s="2"/>
      <c r="S135" s="2"/>
      <c r="T135" s="2"/>
      <c r="U135" s="2"/>
      <c r="V135" s="2"/>
      <c r="W135" s="2"/>
      <c r="X135" s="2"/>
      <c r="Y135" s="2"/>
      <c r="Z135" s="2"/>
    </row>
    <row r="136" ht="13.5" customHeight="1">
      <c r="A136" s="12"/>
      <c r="B136" s="12"/>
      <c r="C136" s="12"/>
      <c r="D136" s="12"/>
      <c r="E136" s="14"/>
      <c r="F136" s="12"/>
      <c r="G136" s="12"/>
      <c r="H136" s="12"/>
      <c r="I136" s="12"/>
      <c r="J136" s="12"/>
      <c r="K136" s="12"/>
      <c r="L136" s="12"/>
      <c r="M136" s="12"/>
      <c r="N136" s="2"/>
      <c r="O136" s="2"/>
      <c r="P136" s="2"/>
      <c r="Q136" s="2"/>
      <c r="R136" s="2"/>
      <c r="S136" s="2"/>
      <c r="T136" s="2"/>
      <c r="U136" s="2"/>
      <c r="V136" s="2"/>
      <c r="W136" s="2"/>
      <c r="X136" s="2"/>
      <c r="Y136" s="2"/>
      <c r="Z136" s="2"/>
    </row>
    <row r="137" ht="13.5" customHeight="1">
      <c r="A137" s="12"/>
      <c r="B137" s="12"/>
      <c r="C137" s="12"/>
      <c r="D137" s="12"/>
      <c r="E137" s="14"/>
      <c r="F137" s="12"/>
      <c r="G137" s="12"/>
      <c r="H137" s="12"/>
      <c r="I137" s="12"/>
      <c r="J137" s="12"/>
      <c r="K137" s="12"/>
      <c r="L137" s="12"/>
      <c r="M137" s="12"/>
      <c r="N137" s="2"/>
      <c r="O137" s="2"/>
      <c r="P137" s="2"/>
      <c r="Q137" s="2"/>
      <c r="R137" s="2"/>
      <c r="S137" s="2"/>
      <c r="T137" s="2"/>
      <c r="U137" s="2"/>
      <c r="V137" s="2"/>
      <c r="W137" s="2"/>
      <c r="X137" s="2"/>
      <c r="Y137" s="2"/>
      <c r="Z137" s="2"/>
    </row>
    <row r="138" ht="13.5" customHeight="1">
      <c r="A138" s="12"/>
      <c r="B138" s="12"/>
      <c r="C138" s="12"/>
      <c r="D138" s="12"/>
      <c r="E138" s="14"/>
      <c r="F138" s="12"/>
      <c r="G138" s="12"/>
      <c r="H138" s="12"/>
      <c r="I138" s="12"/>
      <c r="J138" s="12"/>
      <c r="K138" s="12"/>
      <c r="L138" s="12"/>
      <c r="M138" s="12"/>
      <c r="N138" s="2"/>
      <c r="O138" s="2"/>
      <c r="P138" s="2"/>
      <c r="Q138" s="2"/>
      <c r="R138" s="2"/>
      <c r="S138" s="2"/>
      <c r="T138" s="2"/>
      <c r="U138" s="2"/>
      <c r="V138" s="2"/>
      <c r="W138" s="2"/>
      <c r="X138" s="2"/>
      <c r="Y138" s="2"/>
      <c r="Z138" s="2"/>
    </row>
    <row r="139" ht="13.5" customHeight="1">
      <c r="A139" s="12"/>
      <c r="B139" s="12"/>
      <c r="C139" s="12"/>
      <c r="D139" s="12"/>
      <c r="E139" s="14"/>
      <c r="F139" s="12"/>
      <c r="G139" s="12"/>
      <c r="H139" s="12"/>
      <c r="I139" s="12"/>
      <c r="J139" s="12"/>
      <c r="K139" s="12"/>
      <c r="L139" s="12"/>
      <c r="M139" s="12"/>
      <c r="N139" s="2"/>
      <c r="O139" s="2"/>
      <c r="P139" s="2"/>
      <c r="Q139" s="2"/>
      <c r="R139" s="2"/>
      <c r="S139" s="2"/>
      <c r="T139" s="2"/>
      <c r="U139" s="2"/>
      <c r="V139" s="2"/>
      <c r="W139" s="2"/>
      <c r="X139" s="2"/>
      <c r="Y139" s="2"/>
      <c r="Z139" s="2"/>
    </row>
    <row r="140" ht="13.5" customHeight="1">
      <c r="A140" s="12"/>
      <c r="B140" s="12"/>
      <c r="C140" s="12"/>
      <c r="D140" s="12"/>
      <c r="E140" s="14"/>
      <c r="F140" s="12"/>
      <c r="G140" s="12"/>
      <c r="H140" s="12"/>
      <c r="I140" s="12"/>
      <c r="J140" s="12"/>
      <c r="K140" s="12"/>
      <c r="L140" s="12"/>
      <c r="M140" s="12"/>
      <c r="N140" s="2"/>
      <c r="O140" s="2"/>
      <c r="P140" s="2"/>
      <c r="Q140" s="2"/>
      <c r="R140" s="2"/>
      <c r="S140" s="2"/>
      <c r="T140" s="2"/>
      <c r="U140" s="2"/>
      <c r="V140" s="2"/>
      <c r="W140" s="2"/>
      <c r="X140" s="2"/>
      <c r="Y140" s="2"/>
      <c r="Z140" s="2"/>
    </row>
    <row r="141" ht="13.5" customHeight="1">
      <c r="A141" s="12"/>
      <c r="B141" s="12"/>
      <c r="C141" s="12"/>
      <c r="D141" s="12"/>
      <c r="E141" s="14"/>
      <c r="F141" s="12"/>
      <c r="G141" s="12"/>
      <c r="H141" s="12"/>
      <c r="I141" s="12"/>
      <c r="J141" s="12"/>
      <c r="K141" s="12"/>
      <c r="L141" s="12"/>
      <c r="M141" s="12"/>
      <c r="N141" s="2"/>
      <c r="O141" s="2"/>
      <c r="P141" s="2"/>
      <c r="Q141" s="2"/>
      <c r="R141" s="2"/>
      <c r="S141" s="2"/>
      <c r="T141" s="2"/>
      <c r="U141" s="2"/>
      <c r="V141" s="2"/>
      <c r="W141" s="2"/>
      <c r="X141" s="2"/>
      <c r="Y141" s="2"/>
      <c r="Z141" s="2"/>
    </row>
    <row r="142" ht="13.5" customHeight="1">
      <c r="A142" s="12"/>
      <c r="B142" s="12"/>
      <c r="C142" s="12"/>
      <c r="D142" s="12"/>
      <c r="E142" s="14"/>
      <c r="F142" s="12"/>
      <c r="G142" s="12"/>
      <c r="H142" s="12"/>
      <c r="I142" s="12"/>
      <c r="J142" s="12"/>
      <c r="K142" s="12"/>
      <c r="L142" s="12"/>
      <c r="M142" s="12"/>
      <c r="N142" s="2"/>
      <c r="O142" s="2"/>
      <c r="P142" s="2"/>
      <c r="Q142" s="2"/>
      <c r="R142" s="2"/>
      <c r="S142" s="2"/>
      <c r="T142" s="2"/>
      <c r="U142" s="2"/>
      <c r="V142" s="2"/>
      <c r="W142" s="2"/>
      <c r="X142" s="2"/>
      <c r="Y142" s="2"/>
      <c r="Z142" s="2"/>
    </row>
    <row r="143" ht="13.5" customHeight="1">
      <c r="A143" s="12"/>
      <c r="B143" s="12"/>
      <c r="C143" s="12"/>
      <c r="D143" s="12"/>
      <c r="E143" s="14"/>
      <c r="F143" s="12"/>
      <c r="G143" s="12"/>
      <c r="H143" s="12"/>
      <c r="I143" s="12"/>
      <c r="J143" s="12"/>
      <c r="K143" s="12"/>
      <c r="L143" s="12"/>
      <c r="M143" s="12"/>
      <c r="N143" s="2"/>
      <c r="O143" s="2"/>
      <c r="P143" s="2"/>
      <c r="Q143" s="2"/>
      <c r="R143" s="2"/>
      <c r="S143" s="2"/>
      <c r="T143" s="2"/>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6">
    <mergeCell ref="B86:B98"/>
    <mergeCell ref="B99:D99"/>
    <mergeCell ref="B115:B121"/>
    <mergeCell ref="B122:D122"/>
    <mergeCell ref="B123:B126"/>
    <mergeCell ref="B127:D127"/>
    <mergeCell ref="B128:B129"/>
    <mergeCell ref="B130:D130"/>
    <mergeCell ref="A131:D131"/>
    <mergeCell ref="A132:D132"/>
    <mergeCell ref="A3:B4"/>
    <mergeCell ref="A5:A39"/>
    <mergeCell ref="B5:B39"/>
    <mergeCell ref="A40:D40"/>
    <mergeCell ref="A41:A130"/>
    <mergeCell ref="B41:B48"/>
    <mergeCell ref="B49:D49"/>
    <mergeCell ref="A1:M1"/>
    <mergeCell ref="A2:B2"/>
    <mergeCell ref="C3:D3"/>
    <mergeCell ref="F3:F4"/>
    <mergeCell ref="G3:I3"/>
    <mergeCell ref="J3:L3"/>
    <mergeCell ref="M3:M4"/>
    <mergeCell ref="B50:B62"/>
    <mergeCell ref="B63:D63"/>
    <mergeCell ref="B64:B72"/>
    <mergeCell ref="B73:D73"/>
    <mergeCell ref="B74:B78"/>
    <mergeCell ref="B79:D79"/>
    <mergeCell ref="B80:B84"/>
    <mergeCell ref="B85:D85"/>
    <mergeCell ref="B100:B104"/>
    <mergeCell ref="B105:D105"/>
    <mergeCell ref="B106:B113"/>
    <mergeCell ref="B114:D114"/>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4.75"/>
    <col customWidth="1" min="2" max="2" width="18.75"/>
    <col customWidth="1" min="3" max="4" width="25.13"/>
    <col customWidth="1" min="5" max="5" width="15.75"/>
    <col customWidth="1" min="6" max="6" width="18.88"/>
    <col customWidth="1" min="7" max="7" width="45.63"/>
    <col customWidth="1" min="8" max="8" width="13.75"/>
    <col customWidth="1" min="9" max="9" width="12.75"/>
    <col customWidth="1" min="10" max="10" width="55.38"/>
    <col customWidth="1" min="11" max="11" width="51.25"/>
    <col customWidth="1" hidden="1" min="12" max="12" width="24.75"/>
    <col customWidth="1" hidden="1" min="13" max="13" width="30.75"/>
    <col customWidth="1" hidden="1" min="14" max="14" width="15.75"/>
    <col customWidth="1" hidden="1" min="15" max="16" width="12.63"/>
    <col customWidth="1" min="17" max="17" width="12.63"/>
    <col customWidth="1" min="18" max="19" width="15.75"/>
    <col customWidth="1" min="20" max="20" width="20.75"/>
    <col customWidth="1" min="21" max="21" width="24.63"/>
    <col customWidth="1" min="22" max="22" width="12.63"/>
  </cols>
  <sheetData>
    <row r="1" ht="31.5" customHeight="1">
      <c r="A1" s="21" t="s">
        <v>17</v>
      </c>
      <c r="B1" s="24"/>
      <c r="C1" s="24"/>
      <c r="D1" s="24"/>
      <c r="E1" s="24"/>
      <c r="F1" s="24"/>
      <c r="G1" s="24"/>
      <c r="H1" s="24"/>
      <c r="I1" s="24"/>
      <c r="J1" s="24"/>
      <c r="K1" s="24"/>
      <c r="L1" s="24"/>
      <c r="M1" s="24"/>
      <c r="N1" s="24"/>
      <c r="O1" s="24"/>
      <c r="P1" s="24"/>
      <c r="Q1" s="24"/>
      <c r="R1" s="24"/>
      <c r="S1" s="24"/>
      <c r="T1" s="27"/>
      <c r="U1" s="28"/>
      <c r="V1" s="30"/>
      <c r="W1" s="28"/>
      <c r="X1" s="28"/>
      <c r="Y1" s="28"/>
      <c r="Z1" s="28"/>
    </row>
    <row r="2" ht="13.5" customHeight="1">
      <c r="A2" s="35" t="s">
        <v>38</v>
      </c>
      <c r="B2" s="37"/>
      <c r="C2" s="39"/>
      <c r="D2" s="40" t="s">
        <v>47</v>
      </c>
      <c r="E2" s="37"/>
      <c r="F2" s="37"/>
      <c r="G2" s="39"/>
      <c r="H2" s="35" t="s">
        <v>50</v>
      </c>
      <c r="I2" s="37"/>
      <c r="J2" s="43"/>
      <c r="K2" s="40" t="s">
        <v>51</v>
      </c>
      <c r="L2" s="37"/>
      <c r="M2" s="37"/>
      <c r="N2" s="37"/>
      <c r="O2" s="39"/>
      <c r="P2" s="35" t="s">
        <v>6</v>
      </c>
      <c r="Q2" s="37"/>
      <c r="R2" s="39"/>
      <c r="S2" s="40" t="s">
        <v>33</v>
      </c>
      <c r="T2" s="39"/>
      <c r="U2" s="28"/>
      <c r="V2" s="30"/>
      <c r="W2" s="28"/>
      <c r="X2" s="28"/>
      <c r="Y2" s="28"/>
      <c r="Z2" s="28"/>
    </row>
    <row r="3" ht="13.5" customHeight="1">
      <c r="A3" s="35" t="s">
        <v>54</v>
      </c>
      <c r="B3" s="37"/>
      <c r="C3" s="39"/>
      <c r="D3" s="40" t="s">
        <v>55</v>
      </c>
      <c r="E3" s="37"/>
      <c r="F3" s="37"/>
      <c r="G3" s="39"/>
      <c r="H3" s="35" t="s">
        <v>56</v>
      </c>
      <c r="I3" s="37"/>
      <c r="J3" s="43"/>
      <c r="K3" s="40" t="s">
        <v>44</v>
      </c>
      <c r="L3" s="37"/>
      <c r="M3" s="37"/>
      <c r="N3" s="37"/>
      <c r="O3" s="39"/>
      <c r="P3" s="35" t="s">
        <v>3</v>
      </c>
      <c r="Q3" s="37"/>
      <c r="R3" s="39"/>
      <c r="S3" s="40" t="s">
        <v>43</v>
      </c>
      <c r="T3" s="39"/>
      <c r="U3" s="28"/>
      <c r="V3" s="30"/>
      <c r="W3" s="28"/>
      <c r="X3" s="28"/>
      <c r="Y3" s="28"/>
      <c r="Z3" s="28"/>
    </row>
    <row r="4" ht="13.5" customHeight="1">
      <c r="A4" s="49"/>
      <c r="B4" s="49"/>
      <c r="C4" s="49"/>
      <c r="D4" s="49"/>
      <c r="E4" s="49"/>
      <c r="F4" s="49"/>
      <c r="G4" s="49"/>
      <c r="H4" s="49"/>
      <c r="I4" s="49"/>
      <c r="J4" s="50" t="s">
        <v>59</v>
      </c>
      <c r="K4" s="49"/>
      <c r="L4" s="49"/>
      <c r="M4" s="49"/>
      <c r="N4" s="49"/>
      <c r="O4" s="49"/>
      <c r="P4" s="49"/>
      <c r="Q4" s="51"/>
      <c r="R4" s="51"/>
      <c r="S4" s="51"/>
      <c r="T4" s="52"/>
      <c r="U4" s="28"/>
      <c r="V4" s="30"/>
      <c r="W4" s="28"/>
      <c r="X4" s="28"/>
      <c r="Y4" s="28"/>
      <c r="Z4" s="28"/>
    </row>
    <row r="5" ht="13.5" customHeight="1">
      <c r="A5" s="53" t="s">
        <v>61</v>
      </c>
      <c r="B5" s="53" t="s">
        <v>62</v>
      </c>
      <c r="C5" s="53" t="s">
        <v>63</v>
      </c>
      <c r="D5" s="53" t="s">
        <v>64</v>
      </c>
      <c r="E5" s="53" t="s">
        <v>65</v>
      </c>
      <c r="F5" s="53" t="s">
        <v>66</v>
      </c>
      <c r="G5" s="53" t="s">
        <v>67</v>
      </c>
      <c r="H5" s="53" t="s">
        <v>68</v>
      </c>
      <c r="I5" s="53" t="s">
        <v>69</v>
      </c>
      <c r="J5" s="55" t="s">
        <v>70</v>
      </c>
      <c r="K5" s="53" t="s">
        <v>71</v>
      </c>
      <c r="L5" s="53" t="s">
        <v>72</v>
      </c>
      <c r="M5" s="53" t="s">
        <v>73</v>
      </c>
      <c r="N5" s="53" t="s">
        <v>74</v>
      </c>
      <c r="O5" s="53" t="s">
        <v>75</v>
      </c>
      <c r="P5" s="53" t="s">
        <v>77</v>
      </c>
      <c r="Q5" s="53" t="s">
        <v>79</v>
      </c>
      <c r="R5" s="53" t="s">
        <v>80</v>
      </c>
      <c r="S5" s="53" t="s">
        <v>81</v>
      </c>
      <c r="T5" s="58" t="s">
        <v>82</v>
      </c>
      <c r="U5" s="28"/>
      <c r="V5" s="30"/>
      <c r="W5" s="28"/>
      <c r="X5" s="28"/>
      <c r="Y5" s="28"/>
      <c r="Z5" s="28"/>
    </row>
    <row r="6" ht="13.5" customHeight="1">
      <c r="A6" s="59" t="s">
        <v>51</v>
      </c>
      <c r="B6" s="59" t="s">
        <v>57</v>
      </c>
      <c r="C6" s="60" t="s">
        <v>58</v>
      </c>
      <c r="D6" s="60" t="s">
        <v>83</v>
      </c>
      <c r="E6" s="61" t="s">
        <v>84</v>
      </c>
      <c r="F6" s="62" t="s">
        <v>85</v>
      </c>
      <c r="G6" s="63" t="s">
        <v>86</v>
      </c>
      <c r="H6" s="61" t="s">
        <v>88</v>
      </c>
      <c r="I6" s="61" t="s">
        <v>60</v>
      </c>
      <c r="J6" s="63" t="s">
        <v>90</v>
      </c>
      <c r="K6" s="65"/>
      <c r="L6" s="59" t="s">
        <v>91</v>
      </c>
      <c r="M6" s="61"/>
      <c r="N6" s="61"/>
      <c r="O6" s="61"/>
      <c r="P6" s="61"/>
      <c r="Q6" s="61" t="s">
        <v>93</v>
      </c>
      <c r="R6" s="61" t="s">
        <v>94</v>
      </c>
      <c r="S6" s="61" t="s">
        <v>94</v>
      </c>
      <c r="T6" s="66">
        <v>46232.0</v>
      </c>
      <c r="U6" s="28"/>
      <c r="V6" s="30"/>
      <c r="W6" s="28"/>
      <c r="X6" s="28"/>
      <c r="Y6" s="28"/>
      <c r="Z6" s="28"/>
    </row>
    <row r="7" ht="13.5" customHeight="1">
      <c r="A7" s="67"/>
      <c r="B7" s="67"/>
      <c r="C7" s="67"/>
      <c r="D7" s="67"/>
      <c r="E7" s="61" t="s">
        <v>95</v>
      </c>
      <c r="F7" s="68"/>
      <c r="G7" s="63" t="s">
        <v>96</v>
      </c>
      <c r="H7" s="61" t="s">
        <v>88</v>
      </c>
      <c r="I7" s="61" t="s">
        <v>60</v>
      </c>
      <c r="J7" s="62" t="s">
        <v>97</v>
      </c>
      <c r="K7" s="69" t="s">
        <v>99</v>
      </c>
      <c r="L7" s="67"/>
      <c r="M7" s="61"/>
      <c r="N7" s="61"/>
      <c r="O7" s="61"/>
      <c r="P7" s="61"/>
      <c r="Q7" s="61" t="s">
        <v>93</v>
      </c>
      <c r="R7" s="61" t="s">
        <v>94</v>
      </c>
      <c r="S7" s="61" t="s">
        <v>94</v>
      </c>
      <c r="T7" s="66">
        <v>46255.0</v>
      </c>
      <c r="U7" s="28"/>
      <c r="V7" s="30"/>
      <c r="W7" s="28"/>
      <c r="X7" s="28"/>
      <c r="Y7" s="28"/>
      <c r="Z7" s="28"/>
    </row>
    <row r="8" ht="13.5" customHeight="1">
      <c r="A8" s="67"/>
      <c r="B8" s="67"/>
      <c r="C8" s="67"/>
      <c r="D8" s="67"/>
      <c r="E8" s="61" t="s">
        <v>101</v>
      </c>
      <c r="F8" s="68"/>
      <c r="G8" s="63" t="s">
        <v>102</v>
      </c>
      <c r="H8" s="61" t="s">
        <v>88</v>
      </c>
      <c r="I8" s="61" t="s">
        <v>60</v>
      </c>
      <c r="J8" s="62" t="s">
        <v>103</v>
      </c>
      <c r="K8" s="70"/>
      <c r="L8" s="67"/>
      <c r="M8" s="61"/>
      <c r="N8" s="61"/>
      <c r="O8" s="61"/>
      <c r="P8" s="61"/>
      <c r="Q8" s="61" t="s">
        <v>93</v>
      </c>
      <c r="R8" s="61" t="s">
        <v>94</v>
      </c>
      <c r="S8" s="61" t="s">
        <v>94</v>
      </c>
      <c r="T8" s="66">
        <v>46232.0</v>
      </c>
      <c r="U8" s="28"/>
      <c r="V8" s="30"/>
      <c r="W8" s="28"/>
      <c r="X8" s="28"/>
      <c r="Y8" s="28"/>
      <c r="Z8" s="28"/>
    </row>
    <row r="9" ht="13.5" customHeight="1">
      <c r="A9" s="67"/>
      <c r="B9" s="67"/>
      <c r="C9" s="67"/>
      <c r="D9" s="67"/>
      <c r="E9" s="61" t="s">
        <v>106</v>
      </c>
      <c r="F9" s="68"/>
      <c r="G9" s="63" t="s">
        <v>107</v>
      </c>
      <c r="H9" s="61" t="s">
        <v>88</v>
      </c>
      <c r="I9" s="61" t="s">
        <v>60</v>
      </c>
      <c r="J9" s="62" t="s">
        <v>108</v>
      </c>
      <c r="K9" s="69" t="s">
        <v>109</v>
      </c>
      <c r="L9" s="67"/>
      <c r="M9" s="61"/>
      <c r="N9" s="61"/>
      <c r="O9" s="61"/>
      <c r="P9" s="61"/>
      <c r="Q9" s="61" t="s">
        <v>93</v>
      </c>
      <c r="R9" s="61" t="s">
        <v>94</v>
      </c>
      <c r="S9" s="61" t="s">
        <v>94</v>
      </c>
      <c r="T9" s="66">
        <v>46255.0</v>
      </c>
      <c r="U9" s="28"/>
      <c r="V9" s="30"/>
      <c r="W9" s="28"/>
      <c r="X9" s="28"/>
      <c r="Y9" s="28"/>
      <c r="Z9" s="28"/>
    </row>
    <row r="10" ht="13.5" customHeight="1">
      <c r="A10" s="67"/>
      <c r="B10" s="67"/>
      <c r="C10" s="67"/>
      <c r="D10" s="67"/>
      <c r="E10" s="61" t="s">
        <v>110</v>
      </c>
      <c r="F10" s="62" t="s">
        <v>111</v>
      </c>
      <c r="G10" s="63" t="s">
        <v>112</v>
      </c>
      <c r="H10" s="61" t="s">
        <v>88</v>
      </c>
      <c r="I10" s="61" t="s">
        <v>60</v>
      </c>
      <c r="J10" s="72" t="s">
        <v>113</v>
      </c>
      <c r="K10" s="70"/>
      <c r="L10" s="67"/>
      <c r="M10" s="61"/>
      <c r="N10" s="61"/>
      <c r="O10" s="61"/>
      <c r="P10" s="61"/>
      <c r="Q10" s="61" t="s">
        <v>93</v>
      </c>
      <c r="R10" s="61" t="s">
        <v>94</v>
      </c>
      <c r="S10" s="61" t="s">
        <v>94</v>
      </c>
      <c r="T10" s="66">
        <v>46232.0</v>
      </c>
      <c r="U10" s="28"/>
      <c r="V10" s="30"/>
      <c r="W10" s="28"/>
      <c r="X10" s="28"/>
      <c r="Y10" s="28"/>
      <c r="Z10" s="28"/>
    </row>
    <row r="11" ht="13.5" customHeight="1">
      <c r="A11" s="67"/>
      <c r="B11" s="67"/>
      <c r="C11" s="67"/>
      <c r="D11" s="67"/>
      <c r="E11" s="61" t="s">
        <v>116</v>
      </c>
      <c r="F11" s="68"/>
      <c r="G11" s="63" t="s">
        <v>117</v>
      </c>
      <c r="H11" s="61" t="s">
        <v>88</v>
      </c>
      <c r="I11" s="61" t="s">
        <v>60</v>
      </c>
      <c r="J11" s="62" t="s">
        <v>118</v>
      </c>
      <c r="K11" s="70"/>
      <c r="L11" s="67"/>
      <c r="M11" s="61"/>
      <c r="N11" s="61"/>
      <c r="O11" s="61"/>
      <c r="P11" s="61"/>
      <c r="Q11" s="61" t="s">
        <v>93</v>
      </c>
      <c r="R11" s="61" t="s">
        <v>94</v>
      </c>
      <c r="S11" s="61" t="s">
        <v>94</v>
      </c>
      <c r="T11" s="66">
        <v>46232.0</v>
      </c>
      <c r="U11" s="28"/>
      <c r="V11" s="30"/>
      <c r="W11" s="28"/>
      <c r="X11" s="28"/>
      <c r="Y11" s="28"/>
      <c r="Z11" s="28"/>
    </row>
    <row r="12" ht="13.5" customHeight="1">
      <c r="A12" s="67"/>
      <c r="B12" s="67"/>
      <c r="C12" s="67"/>
      <c r="D12" s="67"/>
      <c r="E12" s="61" t="s">
        <v>121</v>
      </c>
      <c r="F12" s="68"/>
      <c r="G12" s="63" t="s">
        <v>122</v>
      </c>
      <c r="H12" s="61" t="s">
        <v>88</v>
      </c>
      <c r="I12" s="61" t="s">
        <v>60</v>
      </c>
      <c r="J12" s="62" t="s">
        <v>123</v>
      </c>
      <c r="K12" s="65"/>
      <c r="L12" s="67"/>
      <c r="M12" s="61"/>
      <c r="N12" s="61"/>
      <c r="O12" s="61"/>
      <c r="P12" s="61"/>
      <c r="Q12" s="61" t="s">
        <v>93</v>
      </c>
      <c r="R12" s="61" t="s">
        <v>94</v>
      </c>
      <c r="S12" s="61" t="s">
        <v>94</v>
      </c>
      <c r="T12" s="66">
        <v>46232.0</v>
      </c>
      <c r="U12" s="28"/>
      <c r="V12" s="30"/>
      <c r="W12" s="28"/>
      <c r="X12" s="28"/>
      <c r="Y12" s="28"/>
      <c r="Z12" s="28"/>
    </row>
    <row r="13" ht="13.5" customHeight="1">
      <c r="A13" s="67"/>
      <c r="B13" s="67"/>
      <c r="C13" s="67"/>
      <c r="D13" s="67"/>
      <c r="E13" s="61" t="s">
        <v>126</v>
      </c>
      <c r="F13" s="62" t="s">
        <v>127</v>
      </c>
      <c r="G13" s="63" t="s">
        <v>128</v>
      </c>
      <c r="H13" s="61" t="s">
        <v>88</v>
      </c>
      <c r="I13" s="61" t="s">
        <v>60</v>
      </c>
      <c r="J13" s="62" t="s">
        <v>129</v>
      </c>
      <c r="K13" s="65"/>
      <c r="L13" s="67"/>
      <c r="M13" s="61"/>
      <c r="N13" s="61"/>
      <c r="O13" s="61"/>
      <c r="P13" s="61"/>
      <c r="Q13" s="61" t="s">
        <v>93</v>
      </c>
      <c r="R13" s="61" t="s">
        <v>94</v>
      </c>
      <c r="S13" s="61" t="s">
        <v>94</v>
      </c>
      <c r="T13" s="66">
        <v>46232.0</v>
      </c>
      <c r="U13" s="30"/>
      <c r="V13" s="30"/>
      <c r="W13" s="28"/>
      <c r="X13" s="28"/>
      <c r="Y13" s="28"/>
      <c r="Z13" s="28"/>
    </row>
    <row r="14" ht="13.5" customHeight="1">
      <c r="A14" s="67"/>
      <c r="B14" s="67"/>
      <c r="C14" s="67"/>
      <c r="D14" s="67"/>
      <c r="E14" s="61" t="s">
        <v>130</v>
      </c>
      <c r="F14" s="62" t="s">
        <v>131</v>
      </c>
      <c r="G14" s="63" t="s">
        <v>133</v>
      </c>
      <c r="H14" s="61" t="s">
        <v>88</v>
      </c>
      <c r="I14" s="61" t="s">
        <v>60</v>
      </c>
      <c r="J14" s="62" t="s">
        <v>135</v>
      </c>
      <c r="K14" s="65"/>
      <c r="L14" s="67"/>
      <c r="M14" s="61"/>
      <c r="N14" s="61"/>
      <c r="O14" s="61"/>
      <c r="P14" s="61"/>
      <c r="Q14" s="61" t="s">
        <v>93</v>
      </c>
      <c r="R14" s="61" t="s">
        <v>94</v>
      </c>
      <c r="S14" s="61" t="s">
        <v>94</v>
      </c>
      <c r="T14" s="66">
        <v>46232.0</v>
      </c>
      <c r="U14" s="28"/>
      <c r="V14" s="30"/>
      <c r="W14" s="28"/>
      <c r="X14" s="28"/>
      <c r="Y14" s="28"/>
      <c r="Z14" s="28"/>
    </row>
    <row r="15" ht="13.5" customHeight="1">
      <c r="A15" s="67"/>
      <c r="B15" s="67"/>
      <c r="C15" s="67"/>
      <c r="D15" s="67"/>
      <c r="E15" s="61" t="s">
        <v>136</v>
      </c>
      <c r="F15" s="62" t="s">
        <v>137</v>
      </c>
      <c r="G15" s="63" t="s">
        <v>138</v>
      </c>
      <c r="H15" s="61" t="s">
        <v>88</v>
      </c>
      <c r="I15" s="61" t="s">
        <v>60</v>
      </c>
      <c r="J15" s="73" t="s">
        <v>139</v>
      </c>
      <c r="K15" s="74" t="s">
        <v>140</v>
      </c>
      <c r="L15" s="67"/>
      <c r="M15" s="61"/>
      <c r="N15" s="61"/>
      <c r="O15" s="61"/>
      <c r="P15" s="61"/>
      <c r="Q15" s="61" t="s">
        <v>93</v>
      </c>
      <c r="R15" s="61" t="s">
        <v>94</v>
      </c>
      <c r="S15" s="61" t="s">
        <v>94</v>
      </c>
      <c r="T15" s="66">
        <v>46255.0</v>
      </c>
      <c r="U15" s="28"/>
      <c r="V15" s="30"/>
      <c r="W15" s="28"/>
      <c r="X15" s="28"/>
      <c r="Y15" s="28"/>
      <c r="Z15" s="28"/>
    </row>
    <row r="16" ht="13.5" customHeight="1">
      <c r="A16" s="67"/>
      <c r="B16" s="67"/>
      <c r="C16" s="67"/>
      <c r="D16" s="67"/>
      <c r="E16" s="61" t="s">
        <v>142</v>
      </c>
      <c r="F16" s="68"/>
      <c r="G16" s="63" t="s">
        <v>144</v>
      </c>
      <c r="H16" s="61" t="s">
        <v>88</v>
      </c>
      <c r="I16" s="61" t="s">
        <v>60</v>
      </c>
      <c r="J16" s="62" t="s">
        <v>145</v>
      </c>
      <c r="K16" s="65"/>
      <c r="L16" s="67"/>
      <c r="M16" s="61"/>
      <c r="N16" s="61"/>
      <c r="O16" s="61"/>
      <c r="P16" s="61"/>
      <c r="Q16" s="61" t="s">
        <v>93</v>
      </c>
      <c r="R16" s="61" t="s">
        <v>94</v>
      </c>
      <c r="S16" s="61" t="s">
        <v>94</v>
      </c>
      <c r="T16" s="66">
        <v>46232.0</v>
      </c>
      <c r="U16" s="28"/>
      <c r="V16" s="30"/>
      <c r="W16" s="28"/>
      <c r="X16" s="28"/>
      <c r="Y16" s="28"/>
      <c r="Z16" s="28"/>
    </row>
    <row r="17" ht="13.5" customHeight="1">
      <c r="A17" s="67"/>
      <c r="B17" s="67"/>
      <c r="C17" s="67"/>
      <c r="D17" s="67"/>
      <c r="E17" s="61" t="s">
        <v>146</v>
      </c>
      <c r="F17" s="62" t="s">
        <v>147</v>
      </c>
      <c r="G17" s="63" t="s">
        <v>148</v>
      </c>
      <c r="H17" s="61" t="s">
        <v>88</v>
      </c>
      <c r="I17" s="61" t="s">
        <v>60</v>
      </c>
      <c r="J17" s="75" t="s">
        <v>149</v>
      </c>
      <c r="K17" s="74" t="s">
        <v>150</v>
      </c>
      <c r="L17" s="67"/>
      <c r="M17" s="61"/>
      <c r="N17" s="61"/>
      <c r="O17" s="61"/>
      <c r="P17" s="61"/>
      <c r="Q17" s="61" t="s">
        <v>93</v>
      </c>
      <c r="R17" s="61" t="s">
        <v>94</v>
      </c>
      <c r="S17" s="61" t="s">
        <v>94</v>
      </c>
      <c r="T17" s="66">
        <v>46255.0</v>
      </c>
      <c r="U17" s="28"/>
      <c r="V17" s="30"/>
      <c r="W17" s="28"/>
      <c r="X17" s="28"/>
      <c r="Y17" s="28"/>
      <c r="Z17" s="28"/>
    </row>
    <row r="18" ht="13.5" customHeight="1">
      <c r="A18" s="67"/>
      <c r="B18" s="67"/>
      <c r="C18" s="67"/>
      <c r="D18" s="67"/>
      <c r="E18" s="61" t="s">
        <v>153</v>
      </c>
      <c r="F18" s="68"/>
      <c r="G18" s="63" t="s">
        <v>156</v>
      </c>
      <c r="H18" s="61" t="s">
        <v>88</v>
      </c>
      <c r="I18" s="61" t="s">
        <v>60</v>
      </c>
      <c r="J18" s="75" t="s">
        <v>157</v>
      </c>
      <c r="K18" s="74" t="s">
        <v>158</v>
      </c>
      <c r="L18" s="67"/>
      <c r="M18" s="61"/>
      <c r="N18" s="61"/>
      <c r="O18" s="61"/>
      <c r="P18" s="61"/>
      <c r="Q18" s="61" t="s">
        <v>93</v>
      </c>
      <c r="R18" s="61" t="s">
        <v>94</v>
      </c>
      <c r="S18" s="61" t="s">
        <v>94</v>
      </c>
      <c r="T18" s="66">
        <v>46255.0</v>
      </c>
      <c r="U18" s="28"/>
      <c r="V18" s="30"/>
      <c r="W18" s="28"/>
      <c r="X18" s="28"/>
      <c r="Y18" s="28"/>
      <c r="Z18" s="28"/>
    </row>
    <row r="19" ht="13.5" customHeight="1">
      <c r="A19" s="67"/>
      <c r="B19" s="67"/>
      <c r="C19" s="67"/>
      <c r="D19" s="67"/>
      <c r="E19" s="61" t="s">
        <v>161</v>
      </c>
      <c r="F19" s="68"/>
      <c r="G19" s="63" t="s">
        <v>162</v>
      </c>
      <c r="H19" s="61" t="s">
        <v>88</v>
      </c>
      <c r="I19" s="61" t="s">
        <v>60</v>
      </c>
      <c r="J19" s="63" t="s">
        <v>163</v>
      </c>
      <c r="K19" s="74" t="s">
        <v>164</v>
      </c>
      <c r="L19" s="67"/>
      <c r="M19" s="61"/>
      <c r="N19" s="61"/>
      <c r="O19" s="61"/>
      <c r="P19" s="61"/>
      <c r="Q19" s="61" t="s">
        <v>93</v>
      </c>
      <c r="R19" s="61" t="s">
        <v>94</v>
      </c>
      <c r="S19" s="61" t="s">
        <v>94</v>
      </c>
      <c r="T19" s="66">
        <v>46255.0</v>
      </c>
      <c r="U19" s="28"/>
      <c r="V19" s="30"/>
      <c r="W19" s="28"/>
      <c r="X19" s="28"/>
      <c r="Y19" s="28"/>
      <c r="Z19" s="28"/>
    </row>
    <row r="20" ht="13.5" customHeight="1">
      <c r="A20" s="67"/>
      <c r="B20" s="67"/>
      <c r="C20" s="67"/>
      <c r="D20" s="67"/>
      <c r="E20" s="61" t="s">
        <v>168</v>
      </c>
      <c r="F20" s="62" t="s">
        <v>169</v>
      </c>
      <c r="G20" s="63" t="s">
        <v>170</v>
      </c>
      <c r="H20" s="61" t="s">
        <v>88</v>
      </c>
      <c r="I20" s="61" t="s">
        <v>60</v>
      </c>
      <c r="J20" s="62" t="s">
        <v>171</v>
      </c>
      <c r="K20" s="70"/>
      <c r="L20" s="67"/>
      <c r="M20" s="61"/>
      <c r="N20" s="61"/>
      <c r="O20" s="61"/>
      <c r="P20" s="61"/>
      <c r="Q20" s="61" t="s">
        <v>93</v>
      </c>
      <c r="R20" s="61" t="s">
        <v>94</v>
      </c>
      <c r="S20" s="61" t="s">
        <v>94</v>
      </c>
      <c r="T20" s="66">
        <v>46232.0</v>
      </c>
      <c r="U20" s="28"/>
      <c r="V20" s="30"/>
      <c r="W20" s="28"/>
      <c r="X20" s="28"/>
      <c r="Y20" s="28"/>
      <c r="Z20" s="28"/>
    </row>
    <row r="21" ht="13.5" customHeight="1">
      <c r="A21" s="67"/>
      <c r="B21" s="67"/>
      <c r="C21" s="67"/>
      <c r="D21" s="67"/>
      <c r="E21" s="61" t="s">
        <v>174</v>
      </c>
      <c r="F21" s="68"/>
      <c r="G21" s="63" t="s">
        <v>175</v>
      </c>
      <c r="H21" s="61" t="s">
        <v>88</v>
      </c>
      <c r="I21" s="61" t="s">
        <v>60</v>
      </c>
      <c r="J21" s="62" t="s">
        <v>176</v>
      </c>
      <c r="K21" s="69" t="s">
        <v>177</v>
      </c>
      <c r="L21" s="67"/>
      <c r="M21" s="61"/>
      <c r="N21" s="61"/>
      <c r="O21" s="61"/>
      <c r="P21" s="61"/>
      <c r="Q21" s="61" t="s">
        <v>93</v>
      </c>
      <c r="R21" s="61" t="s">
        <v>94</v>
      </c>
      <c r="S21" s="61" t="s">
        <v>94</v>
      </c>
      <c r="T21" s="66">
        <v>46255.0</v>
      </c>
      <c r="U21" s="28"/>
      <c r="V21" s="30"/>
      <c r="W21" s="28"/>
      <c r="X21" s="28"/>
      <c r="Y21" s="28"/>
      <c r="Z21" s="28"/>
    </row>
    <row r="22" ht="13.5" customHeight="1">
      <c r="A22" s="77"/>
      <c r="B22" s="77"/>
      <c r="C22" s="77"/>
      <c r="D22" s="77"/>
      <c r="E22" s="61" t="s">
        <v>180</v>
      </c>
      <c r="F22" s="68"/>
      <c r="G22" s="63" t="s">
        <v>181</v>
      </c>
      <c r="H22" s="61" t="s">
        <v>88</v>
      </c>
      <c r="I22" s="61" t="s">
        <v>60</v>
      </c>
      <c r="J22" s="73" t="s">
        <v>182</v>
      </c>
      <c r="K22" s="69" t="s">
        <v>183</v>
      </c>
      <c r="L22" s="77"/>
      <c r="M22" s="61"/>
      <c r="N22" s="61"/>
      <c r="O22" s="61"/>
      <c r="P22" s="61"/>
      <c r="Q22" s="61" t="s">
        <v>93</v>
      </c>
      <c r="R22" s="61" t="s">
        <v>94</v>
      </c>
      <c r="S22" s="61" t="s">
        <v>94</v>
      </c>
      <c r="T22" s="66">
        <v>46255.0</v>
      </c>
      <c r="U22" s="28"/>
      <c r="V22" s="30"/>
      <c r="W22" s="28"/>
      <c r="X22" s="28"/>
      <c r="Y22" s="28"/>
      <c r="Z22" s="28"/>
    </row>
    <row r="23" ht="13.5" customHeight="1">
      <c r="A23" s="78" t="s">
        <v>51</v>
      </c>
      <c r="B23" s="78" t="s">
        <v>76</v>
      </c>
      <c r="C23" s="79" t="s">
        <v>78</v>
      </c>
      <c r="D23" s="79" t="s">
        <v>188</v>
      </c>
      <c r="E23" s="81" t="s">
        <v>189</v>
      </c>
      <c r="F23" s="82" t="s">
        <v>190</v>
      </c>
      <c r="G23" s="83" t="s">
        <v>191</v>
      </c>
      <c r="H23" s="81" t="s">
        <v>88</v>
      </c>
      <c r="I23" s="81" t="s">
        <v>60</v>
      </c>
      <c r="J23" s="82" t="s">
        <v>194</v>
      </c>
      <c r="K23" s="65"/>
      <c r="L23" s="78" t="s">
        <v>195</v>
      </c>
      <c r="M23" s="81"/>
      <c r="N23" s="81"/>
      <c r="O23" s="81"/>
      <c r="P23" s="81"/>
      <c r="Q23" s="81" t="s">
        <v>93</v>
      </c>
      <c r="R23" s="81" t="s">
        <v>94</v>
      </c>
      <c r="S23" s="81" t="s">
        <v>94</v>
      </c>
      <c r="T23" s="84">
        <v>46232.0</v>
      </c>
      <c r="U23" s="28"/>
      <c r="V23" s="30"/>
      <c r="W23" s="28"/>
      <c r="X23" s="28"/>
      <c r="Y23" s="28"/>
      <c r="Z23" s="28"/>
    </row>
    <row r="24" ht="13.5" customHeight="1">
      <c r="A24" s="67"/>
      <c r="B24" s="67"/>
      <c r="C24" s="67"/>
      <c r="D24" s="67"/>
      <c r="E24" s="81" t="s">
        <v>196</v>
      </c>
      <c r="F24" s="85"/>
      <c r="G24" s="83" t="s">
        <v>198</v>
      </c>
      <c r="H24" s="81" t="s">
        <v>88</v>
      </c>
      <c r="I24" s="81" t="s">
        <v>60</v>
      </c>
      <c r="J24" s="82" t="s">
        <v>200</v>
      </c>
      <c r="K24" s="65"/>
      <c r="L24" s="67"/>
      <c r="M24" s="81"/>
      <c r="N24" s="81"/>
      <c r="O24" s="81"/>
      <c r="P24" s="81"/>
      <c r="Q24" s="81" t="s">
        <v>93</v>
      </c>
      <c r="R24" s="81" t="s">
        <v>94</v>
      </c>
      <c r="S24" s="81" t="s">
        <v>94</v>
      </c>
      <c r="T24" s="86">
        <v>46232.0</v>
      </c>
      <c r="U24" s="28"/>
      <c r="V24" s="30"/>
      <c r="W24" s="28"/>
      <c r="X24" s="28"/>
      <c r="Y24" s="28"/>
      <c r="Z24" s="28"/>
    </row>
    <row r="25" ht="13.5" customHeight="1">
      <c r="A25" s="67"/>
      <c r="B25" s="67"/>
      <c r="C25" s="67"/>
      <c r="D25" s="67"/>
      <c r="E25" s="81" t="s">
        <v>201</v>
      </c>
      <c r="F25" s="85"/>
      <c r="G25" s="83" t="s">
        <v>202</v>
      </c>
      <c r="H25" s="81" t="s">
        <v>88</v>
      </c>
      <c r="I25" s="81" t="s">
        <v>60</v>
      </c>
      <c r="J25" s="82" t="s">
        <v>203</v>
      </c>
      <c r="K25" s="65"/>
      <c r="L25" s="67"/>
      <c r="M25" s="81"/>
      <c r="N25" s="81"/>
      <c r="O25" s="81"/>
      <c r="P25" s="81"/>
      <c r="Q25" s="81" t="s">
        <v>93</v>
      </c>
      <c r="R25" s="81" t="s">
        <v>94</v>
      </c>
      <c r="S25" s="81" t="s">
        <v>94</v>
      </c>
      <c r="T25" s="86">
        <v>46232.0</v>
      </c>
      <c r="U25" s="28"/>
      <c r="V25" s="30"/>
      <c r="W25" s="28"/>
      <c r="X25" s="28"/>
      <c r="Y25" s="28"/>
      <c r="Z25" s="28"/>
    </row>
    <row r="26" ht="13.5" customHeight="1">
      <c r="A26" s="67"/>
      <c r="B26" s="67"/>
      <c r="C26" s="67"/>
      <c r="D26" s="67"/>
      <c r="E26" s="81" t="s">
        <v>206</v>
      </c>
      <c r="F26" s="85"/>
      <c r="G26" s="83" t="s">
        <v>207</v>
      </c>
      <c r="H26" s="81" t="s">
        <v>88</v>
      </c>
      <c r="I26" s="81" t="s">
        <v>60</v>
      </c>
      <c r="J26" s="87" t="s">
        <v>208</v>
      </c>
      <c r="K26" s="69" t="s">
        <v>209</v>
      </c>
      <c r="L26" s="67"/>
      <c r="M26" s="81"/>
      <c r="N26" s="81"/>
      <c r="O26" s="81"/>
      <c r="P26" s="81"/>
      <c r="Q26" s="81" t="s">
        <v>93</v>
      </c>
      <c r="R26" s="81" t="s">
        <v>94</v>
      </c>
      <c r="S26" s="81" t="s">
        <v>94</v>
      </c>
      <c r="T26" s="86">
        <v>46255.0</v>
      </c>
      <c r="U26" s="28"/>
      <c r="V26" s="30"/>
      <c r="W26" s="28"/>
      <c r="X26" s="28"/>
      <c r="Y26" s="28"/>
      <c r="Z26" s="28"/>
    </row>
    <row r="27" ht="13.5" customHeight="1">
      <c r="A27" s="67"/>
      <c r="B27" s="67"/>
      <c r="C27" s="67"/>
      <c r="D27" s="67"/>
      <c r="E27" s="81" t="s">
        <v>212</v>
      </c>
      <c r="F27" s="85"/>
      <c r="G27" s="83" t="s">
        <v>213</v>
      </c>
      <c r="H27" s="81" t="s">
        <v>88</v>
      </c>
      <c r="I27" s="81" t="s">
        <v>60</v>
      </c>
      <c r="J27" s="82" t="s">
        <v>214</v>
      </c>
      <c r="K27" s="65"/>
      <c r="L27" s="67"/>
      <c r="M27" s="81"/>
      <c r="N27" s="81"/>
      <c r="O27" s="81"/>
      <c r="P27" s="81"/>
      <c r="Q27" s="81" t="s">
        <v>93</v>
      </c>
      <c r="R27" s="81" t="s">
        <v>94</v>
      </c>
      <c r="S27" s="81" t="s">
        <v>94</v>
      </c>
      <c r="T27" s="86">
        <v>46232.0</v>
      </c>
      <c r="U27" s="28"/>
      <c r="V27" s="30"/>
      <c r="W27" s="28"/>
      <c r="X27" s="28"/>
      <c r="Y27" s="28"/>
      <c r="Z27" s="28"/>
    </row>
    <row r="28" ht="13.5" customHeight="1">
      <c r="A28" s="67"/>
      <c r="B28" s="67"/>
      <c r="C28" s="67"/>
      <c r="D28" s="67"/>
      <c r="E28" s="81" t="s">
        <v>215</v>
      </c>
      <c r="F28" s="85"/>
      <c r="G28" s="83" t="s">
        <v>216</v>
      </c>
      <c r="H28" s="81" t="s">
        <v>88</v>
      </c>
      <c r="I28" s="81" t="s">
        <v>60</v>
      </c>
      <c r="J28" s="82" t="s">
        <v>218</v>
      </c>
      <c r="K28" s="65"/>
      <c r="L28" s="67"/>
      <c r="M28" s="81"/>
      <c r="N28" s="81"/>
      <c r="O28" s="81"/>
      <c r="P28" s="81"/>
      <c r="Q28" s="81" t="s">
        <v>93</v>
      </c>
      <c r="R28" s="81" t="s">
        <v>94</v>
      </c>
      <c r="S28" s="81" t="s">
        <v>94</v>
      </c>
      <c r="T28" s="86">
        <v>46232.0</v>
      </c>
      <c r="U28" s="28"/>
      <c r="V28" s="30"/>
      <c r="W28" s="28"/>
      <c r="X28" s="28"/>
      <c r="Y28" s="28"/>
      <c r="Z28" s="28"/>
    </row>
    <row r="29" ht="13.5" customHeight="1">
      <c r="A29" s="67"/>
      <c r="B29" s="67"/>
      <c r="C29" s="67"/>
      <c r="D29" s="67"/>
      <c r="E29" s="81" t="s">
        <v>220</v>
      </c>
      <c r="F29" s="82" t="s">
        <v>221</v>
      </c>
      <c r="G29" s="83" t="s">
        <v>222</v>
      </c>
      <c r="H29" s="81" t="s">
        <v>88</v>
      </c>
      <c r="I29" s="81" t="s">
        <v>60</v>
      </c>
      <c r="J29" s="82" t="s">
        <v>223</v>
      </c>
      <c r="K29" s="74" t="s">
        <v>224</v>
      </c>
      <c r="L29" s="67"/>
      <c r="M29" s="81"/>
      <c r="N29" s="81"/>
      <c r="O29" s="81"/>
      <c r="P29" s="81"/>
      <c r="Q29" s="81" t="s">
        <v>93</v>
      </c>
      <c r="R29" s="81" t="s">
        <v>94</v>
      </c>
      <c r="S29" s="81" t="s">
        <v>94</v>
      </c>
      <c r="T29" s="86">
        <v>46255.0</v>
      </c>
      <c r="U29" s="28"/>
      <c r="V29" s="30"/>
      <c r="W29" s="28"/>
      <c r="X29" s="28"/>
      <c r="Y29" s="28"/>
      <c r="Z29" s="28"/>
    </row>
    <row r="30" ht="13.5" customHeight="1">
      <c r="A30" s="67"/>
      <c r="B30" s="67"/>
      <c r="C30" s="67"/>
      <c r="D30" s="67"/>
      <c r="E30" s="81" t="s">
        <v>225</v>
      </c>
      <c r="F30" s="85"/>
      <c r="G30" s="83" t="s">
        <v>226</v>
      </c>
      <c r="H30" s="81" t="s">
        <v>88</v>
      </c>
      <c r="I30" s="81" t="s">
        <v>60</v>
      </c>
      <c r="J30" s="82" t="s">
        <v>228</v>
      </c>
      <c r="K30" s="65"/>
      <c r="L30" s="67"/>
      <c r="M30" s="81"/>
      <c r="N30" s="81"/>
      <c r="O30" s="81"/>
      <c r="P30" s="81"/>
      <c r="Q30" s="81" t="s">
        <v>93</v>
      </c>
      <c r="R30" s="81" t="s">
        <v>94</v>
      </c>
      <c r="S30" s="81" t="s">
        <v>94</v>
      </c>
      <c r="T30" s="86">
        <v>46232.0</v>
      </c>
      <c r="U30" s="28"/>
      <c r="V30" s="30"/>
      <c r="W30" s="28"/>
      <c r="X30" s="28"/>
      <c r="Y30" s="28"/>
      <c r="Z30" s="28"/>
    </row>
    <row r="31" ht="13.5" customHeight="1">
      <c r="A31" s="67"/>
      <c r="B31" s="67"/>
      <c r="C31" s="67"/>
      <c r="D31" s="67"/>
      <c r="E31" s="81" t="s">
        <v>230</v>
      </c>
      <c r="F31" s="85"/>
      <c r="G31" s="83" t="s">
        <v>231</v>
      </c>
      <c r="H31" s="81" t="s">
        <v>88</v>
      </c>
      <c r="I31" s="81" t="s">
        <v>60</v>
      </c>
      <c r="J31" s="82" t="s">
        <v>233</v>
      </c>
      <c r="K31" s="65"/>
      <c r="L31" s="67"/>
      <c r="M31" s="81"/>
      <c r="N31" s="81"/>
      <c r="O31" s="81"/>
      <c r="P31" s="81"/>
      <c r="Q31" s="81" t="s">
        <v>93</v>
      </c>
      <c r="R31" s="81" t="s">
        <v>94</v>
      </c>
      <c r="S31" s="81" t="s">
        <v>94</v>
      </c>
      <c r="T31" s="86">
        <v>46232.0</v>
      </c>
      <c r="U31" s="28"/>
      <c r="V31" s="30"/>
      <c r="W31" s="28"/>
      <c r="X31" s="28"/>
      <c r="Y31" s="28"/>
      <c r="Z31" s="28"/>
    </row>
    <row r="32" ht="13.5" customHeight="1">
      <c r="A32" s="67"/>
      <c r="B32" s="67"/>
      <c r="C32" s="67"/>
      <c r="D32" s="67"/>
      <c r="E32" s="81" t="s">
        <v>236</v>
      </c>
      <c r="F32" s="82" t="s">
        <v>237</v>
      </c>
      <c r="G32" s="83" t="s">
        <v>238</v>
      </c>
      <c r="H32" s="81" t="s">
        <v>88</v>
      </c>
      <c r="I32" s="81" t="s">
        <v>60</v>
      </c>
      <c r="J32" s="82" t="s">
        <v>240</v>
      </c>
      <c r="K32" s="88" t="s">
        <v>241</v>
      </c>
      <c r="L32" s="67"/>
      <c r="M32" s="81"/>
      <c r="N32" s="81"/>
      <c r="O32" s="81"/>
      <c r="P32" s="81"/>
      <c r="Q32" s="81" t="s">
        <v>93</v>
      </c>
      <c r="R32" s="81" t="s">
        <v>94</v>
      </c>
      <c r="S32" s="81" t="s">
        <v>94</v>
      </c>
      <c r="T32" s="86">
        <v>46255.0</v>
      </c>
      <c r="U32" s="28"/>
      <c r="V32" s="30"/>
      <c r="W32" s="28"/>
      <c r="X32" s="28"/>
      <c r="Y32" s="28"/>
      <c r="Z32" s="28"/>
    </row>
    <row r="33" ht="13.5" customHeight="1">
      <c r="A33" s="67"/>
      <c r="B33" s="67"/>
      <c r="C33" s="67"/>
      <c r="D33" s="67"/>
      <c r="E33" s="81" t="s">
        <v>242</v>
      </c>
      <c r="F33" s="85"/>
      <c r="G33" s="83" t="s">
        <v>244</v>
      </c>
      <c r="H33" s="81" t="s">
        <v>88</v>
      </c>
      <c r="I33" s="81" t="s">
        <v>60</v>
      </c>
      <c r="J33" s="82" t="s">
        <v>246</v>
      </c>
      <c r="K33" s="74" t="s">
        <v>247</v>
      </c>
      <c r="L33" s="67"/>
      <c r="M33" s="81"/>
      <c r="N33" s="81"/>
      <c r="O33" s="81"/>
      <c r="P33" s="81"/>
      <c r="Q33" s="81" t="s">
        <v>93</v>
      </c>
      <c r="R33" s="81" t="s">
        <v>94</v>
      </c>
      <c r="S33" s="81" t="s">
        <v>94</v>
      </c>
      <c r="T33" s="86">
        <v>46255.0</v>
      </c>
      <c r="U33" s="28"/>
      <c r="V33" s="30"/>
      <c r="W33" s="28"/>
      <c r="X33" s="28"/>
      <c r="Y33" s="28"/>
      <c r="Z33" s="28"/>
    </row>
    <row r="34" ht="13.5" customHeight="1">
      <c r="A34" s="67"/>
      <c r="B34" s="67"/>
      <c r="C34" s="67"/>
      <c r="D34" s="67"/>
      <c r="E34" s="81" t="s">
        <v>250</v>
      </c>
      <c r="F34" s="85"/>
      <c r="G34" s="83" t="s">
        <v>251</v>
      </c>
      <c r="H34" s="81" t="s">
        <v>88</v>
      </c>
      <c r="I34" s="81" t="s">
        <v>60</v>
      </c>
      <c r="J34" s="82" t="s">
        <v>252</v>
      </c>
      <c r="K34" s="74" t="s">
        <v>253</v>
      </c>
      <c r="L34" s="67"/>
      <c r="M34" s="81"/>
      <c r="N34" s="81"/>
      <c r="O34" s="81"/>
      <c r="P34" s="81"/>
      <c r="Q34" s="81" t="s">
        <v>93</v>
      </c>
      <c r="R34" s="81" t="s">
        <v>94</v>
      </c>
      <c r="S34" s="81" t="s">
        <v>94</v>
      </c>
      <c r="T34" s="86">
        <v>46255.0</v>
      </c>
      <c r="U34" s="28"/>
      <c r="V34" s="30"/>
      <c r="W34" s="28"/>
      <c r="X34" s="28"/>
      <c r="Y34" s="28"/>
      <c r="Z34" s="28"/>
    </row>
    <row r="35" ht="13.5" customHeight="1">
      <c r="A35" s="67"/>
      <c r="B35" s="67"/>
      <c r="C35" s="67"/>
      <c r="D35" s="67"/>
      <c r="E35" s="81" t="s">
        <v>254</v>
      </c>
      <c r="F35" s="85"/>
      <c r="G35" s="83" t="s">
        <v>255</v>
      </c>
      <c r="H35" s="81" t="s">
        <v>88</v>
      </c>
      <c r="I35" s="81" t="s">
        <v>60</v>
      </c>
      <c r="J35" s="82" t="s">
        <v>256</v>
      </c>
      <c r="K35" s="65"/>
      <c r="L35" s="67"/>
      <c r="M35" s="81"/>
      <c r="N35" s="81"/>
      <c r="O35" s="81"/>
      <c r="P35" s="81"/>
      <c r="Q35" s="81" t="s">
        <v>93</v>
      </c>
      <c r="R35" s="81" t="s">
        <v>94</v>
      </c>
      <c r="S35" s="81" t="s">
        <v>94</v>
      </c>
      <c r="T35" s="86">
        <v>46232.0</v>
      </c>
      <c r="U35" s="28"/>
      <c r="V35" s="30"/>
      <c r="W35" s="28"/>
      <c r="X35" s="28"/>
      <c r="Y35" s="28"/>
      <c r="Z35" s="28"/>
    </row>
    <row r="36" ht="13.5" customHeight="1">
      <c r="A36" s="67"/>
      <c r="B36" s="67"/>
      <c r="C36" s="67"/>
      <c r="D36" s="67"/>
      <c r="E36" s="89" t="s">
        <v>259</v>
      </c>
      <c r="F36" s="90"/>
      <c r="G36" s="90" t="s">
        <v>260</v>
      </c>
      <c r="H36" s="89" t="s">
        <v>88</v>
      </c>
      <c r="I36" s="89" t="s">
        <v>60</v>
      </c>
      <c r="J36" s="70" t="s">
        <v>261</v>
      </c>
      <c r="K36" s="65"/>
      <c r="L36" s="67"/>
      <c r="M36" s="81"/>
      <c r="N36" s="81"/>
      <c r="O36" s="81"/>
      <c r="P36" s="81"/>
      <c r="Q36" s="81" t="s">
        <v>93</v>
      </c>
      <c r="R36" s="81" t="s">
        <v>94</v>
      </c>
      <c r="S36" s="81" t="s">
        <v>94</v>
      </c>
      <c r="T36" s="86">
        <v>46232.0</v>
      </c>
      <c r="U36" s="28"/>
      <c r="V36" s="30"/>
      <c r="W36" s="28"/>
      <c r="X36" s="28"/>
      <c r="Y36" s="28"/>
      <c r="Z36" s="28"/>
    </row>
    <row r="37" ht="13.5" customHeight="1">
      <c r="A37" s="67"/>
      <c r="B37" s="67"/>
      <c r="C37" s="67"/>
      <c r="D37" s="67"/>
      <c r="E37" s="81" t="s">
        <v>264</v>
      </c>
      <c r="F37" s="85"/>
      <c r="G37" s="83" t="s">
        <v>265</v>
      </c>
      <c r="H37" s="81" t="s">
        <v>88</v>
      </c>
      <c r="I37" s="81" t="s">
        <v>60</v>
      </c>
      <c r="J37" s="82" t="s">
        <v>266</v>
      </c>
      <c r="K37" s="65"/>
      <c r="L37" s="67"/>
      <c r="M37" s="81"/>
      <c r="N37" s="81"/>
      <c r="O37" s="81"/>
      <c r="P37" s="81"/>
      <c r="Q37" s="81" t="s">
        <v>93</v>
      </c>
      <c r="R37" s="81" t="s">
        <v>94</v>
      </c>
      <c r="S37" s="81" t="s">
        <v>94</v>
      </c>
      <c r="T37" s="86">
        <v>46232.0</v>
      </c>
      <c r="U37" s="28"/>
      <c r="V37" s="30"/>
      <c r="W37" s="28"/>
      <c r="X37" s="28"/>
      <c r="Y37" s="28"/>
      <c r="Z37" s="28"/>
    </row>
    <row r="38" ht="13.5" customHeight="1">
      <c r="A38" s="67"/>
      <c r="B38" s="67"/>
      <c r="C38" s="67"/>
      <c r="D38" s="67"/>
      <c r="E38" s="81" t="s">
        <v>269</v>
      </c>
      <c r="F38" s="82" t="s">
        <v>270</v>
      </c>
      <c r="G38" s="83" t="s">
        <v>271</v>
      </c>
      <c r="H38" s="81" t="s">
        <v>88</v>
      </c>
      <c r="I38" s="81" t="s">
        <v>60</v>
      </c>
      <c r="J38" s="82" t="s">
        <v>272</v>
      </c>
      <c r="K38" s="74" t="s">
        <v>273</v>
      </c>
      <c r="L38" s="67"/>
      <c r="M38" s="81"/>
      <c r="N38" s="81"/>
      <c r="O38" s="81"/>
      <c r="P38" s="81"/>
      <c r="Q38" s="81" t="s">
        <v>93</v>
      </c>
      <c r="R38" s="81" t="s">
        <v>94</v>
      </c>
      <c r="S38" s="81" t="s">
        <v>94</v>
      </c>
      <c r="T38" s="86">
        <v>46255.0</v>
      </c>
      <c r="U38" s="28"/>
      <c r="V38" s="30"/>
      <c r="W38" s="28"/>
      <c r="X38" s="28"/>
      <c r="Y38" s="28"/>
      <c r="Z38" s="28"/>
    </row>
    <row r="39" ht="13.5" customHeight="1">
      <c r="A39" s="67"/>
      <c r="B39" s="67"/>
      <c r="C39" s="67"/>
      <c r="D39" s="67"/>
      <c r="E39" s="81" t="s">
        <v>276</v>
      </c>
      <c r="F39" s="85"/>
      <c r="G39" s="83" t="s">
        <v>277</v>
      </c>
      <c r="H39" s="81" t="s">
        <v>88</v>
      </c>
      <c r="I39" s="81" t="s">
        <v>60</v>
      </c>
      <c r="J39" s="83" t="s">
        <v>278</v>
      </c>
      <c r="K39" s="65"/>
      <c r="L39" s="67"/>
      <c r="M39" s="81"/>
      <c r="N39" s="81"/>
      <c r="O39" s="81"/>
      <c r="P39" s="81"/>
      <c r="Q39" s="81" t="s">
        <v>93</v>
      </c>
      <c r="R39" s="81" t="s">
        <v>94</v>
      </c>
      <c r="S39" s="81" t="s">
        <v>94</v>
      </c>
      <c r="T39" s="86">
        <v>46232.0</v>
      </c>
      <c r="U39" s="28"/>
      <c r="V39" s="30"/>
      <c r="W39" s="28"/>
      <c r="X39" s="28"/>
      <c r="Y39" s="28"/>
      <c r="Z39" s="28"/>
    </row>
    <row r="40" ht="13.5" customHeight="1">
      <c r="A40" s="67"/>
      <c r="B40" s="67"/>
      <c r="C40" s="67"/>
      <c r="D40" s="67"/>
      <c r="E40" s="81" t="s">
        <v>279</v>
      </c>
      <c r="F40" s="85"/>
      <c r="G40" s="83" t="s">
        <v>280</v>
      </c>
      <c r="H40" s="81" t="s">
        <v>88</v>
      </c>
      <c r="I40" s="81" t="s">
        <v>60</v>
      </c>
      <c r="J40" s="70" t="s">
        <v>282</v>
      </c>
      <c r="K40" s="92" t="s">
        <v>283</v>
      </c>
      <c r="L40" s="67"/>
      <c r="M40" s="81"/>
      <c r="N40" s="81"/>
      <c r="O40" s="81"/>
      <c r="P40" s="81"/>
      <c r="Q40" s="81" t="s">
        <v>93</v>
      </c>
      <c r="R40" s="93" t="s">
        <v>94</v>
      </c>
      <c r="S40" s="93" t="s">
        <v>94</v>
      </c>
      <c r="T40" s="86">
        <v>46259.0</v>
      </c>
      <c r="U40" s="28"/>
      <c r="V40" s="30"/>
      <c r="W40" s="28"/>
      <c r="X40" s="28"/>
      <c r="Y40" s="28"/>
      <c r="Z40" s="28"/>
    </row>
    <row r="41" ht="13.5" customHeight="1">
      <c r="A41" s="67"/>
      <c r="B41" s="67"/>
      <c r="C41" s="67"/>
      <c r="D41" s="67"/>
      <c r="E41" s="81" t="s">
        <v>284</v>
      </c>
      <c r="F41" s="85"/>
      <c r="G41" s="83" t="s">
        <v>285</v>
      </c>
      <c r="H41" s="81" t="s">
        <v>88</v>
      </c>
      <c r="I41" s="81" t="s">
        <v>60</v>
      </c>
      <c r="J41" s="83" t="s">
        <v>287</v>
      </c>
      <c r="K41" s="65"/>
      <c r="L41" s="67"/>
      <c r="M41" s="81"/>
      <c r="N41" s="81"/>
      <c r="O41" s="81"/>
      <c r="P41" s="81"/>
      <c r="Q41" s="81" t="s">
        <v>93</v>
      </c>
      <c r="R41" s="81" t="s">
        <v>94</v>
      </c>
      <c r="S41" s="81" t="s">
        <v>94</v>
      </c>
      <c r="T41" s="86">
        <v>46232.0</v>
      </c>
      <c r="U41" s="28"/>
      <c r="V41" s="30"/>
      <c r="W41" s="28"/>
      <c r="X41" s="28"/>
      <c r="Y41" s="28"/>
      <c r="Z41" s="28"/>
    </row>
    <row r="42" ht="13.5" customHeight="1">
      <c r="A42" s="67"/>
      <c r="B42" s="67"/>
      <c r="C42" s="67"/>
      <c r="D42" s="67"/>
      <c r="E42" s="81" t="s">
        <v>289</v>
      </c>
      <c r="F42" s="82" t="s">
        <v>290</v>
      </c>
      <c r="G42" s="83" t="s">
        <v>291</v>
      </c>
      <c r="H42" s="81" t="s">
        <v>88</v>
      </c>
      <c r="I42" s="81" t="s">
        <v>60</v>
      </c>
      <c r="J42" s="83" t="s">
        <v>292</v>
      </c>
      <c r="K42" s="65"/>
      <c r="L42" s="67"/>
      <c r="M42" s="81"/>
      <c r="N42" s="81"/>
      <c r="O42" s="81"/>
      <c r="P42" s="81"/>
      <c r="Q42" s="81" t="s">
        <v>93</v>
      </c>
      <c r="R42" s="81" t="s">
        <v>94</v>
      </c>
      <c r="S42" s="81" t="s">
        <v>94</v>
      </c>
      <c r="T42" s="86">
        <v>46232.0</v>
      </c>
      <c r="U42" s="28"/>
      <c r="V42" s="30"/>
      <c r="W42" s="28"/>
      <c r="X42" s="28"/>
      <c r="Y42" s="28"/>
      <c r="Z42" s="28"/>
    </row>
    <row r="43" ht="13.5" customHeight="1">
      <c r="A43" s="67"/>
      <c r="B43" s="67"/>
      <c r="C43" s="67"/>
      <c r="D43" s="67"/>
      <c r="E43" s="81" t="s">
        <v>294</v>
      </c>
      <c r="F43" s="85"/>
      <c r="G43" s="83" t="s">
        <v>295</v>
      </c>
      <c r="H43" s="81" t="s">
        <v>88</v>
      </c>
      <c r="I43" s="81" t="s">
        <v>60</v>
      </c>
      <c r="J43" s="82" t="s">
        <v>296</v>
      </c>
      <c r="K43" s="74" t="s">
        <v>297</v>
      </c>
      <c r="L43" s="67"/>
      <c r="M43" s="81"/>
      <c r="N43" s="81"/>
      <c r="O43" s="81"/>
      <c r="P43" s="81"/>
      <c r="Q43" s="81" t="s">
        <v>93</v>
      </c>
      <c r="R43" s="81" t="s">
        <v>94</v>
      </c>
      <c r="S43" s="81" t="s">
        <v>94</v>
      </c>
      <c r="T43" s="86">
        <v>46255.0</v>
      </c>
      <c r="U43" s="28"/>
      <c r="V43" s="30"/>
      <c r="W43" s="28"/>
      <c r="X43" s="28"/>
      <c r="Y43" s="28"/>
      <c r="Z43" s="28"/>
    </row>
    <row r="44" ht="13.5" customHeight="1">
      <c r="A44" s="67"/>
      <c r="B44" s="67"/>
      <c r="C44" s="67"/>
      <c r="D44" s="67"/>
      <c r="E44" s="81" t="s">
        <v>298</v>
      </c>
      <c r="F44" s="85"/>
      <c r="G44" s="83" t="s">
        <v>299</v>
      </c>
      <c r="H44" s="81" t="s">
        <v>88</v>
      </c>
      <c r="I44" s="81" t="s">
        <v>60</v>
      </c>
      <c r="J44" s="83" t="s">
        <v>301</v>
      </c>
      <c r="K44" s="65"/>
      <c r="L44" s="67"/>
      <c r="M44" s="81"/>
      <c r="N44" s="81"/>
      <c r="O44" s="81"/>
      <c r="P44" s="81"/>
      <c r="Q44" s="81" t="s">
        <v>93</v>
      </c>
      <c r="R44" s="81" t="s">
        <v>94</v>
      </c>
      <c r="S44" s="81" t="s">
        <v>94</v>
      </c>
      <c r="T44" s="86">
        <v>46232.0</v>
      </c>
      <c r="U44" s="28"/>
      <c r="V44" s="30"/>
      <c r="W44" s="28"/>
      <c r="X44" s="28"/>
      <c r="Y44" s="28"/>
      <c r="Z44" s="28"/>
    </row>
    <row r="45" ht="13.5" customHeight="1">
      <c r="A45" s="67"/>
      <c r="B45" s="67"/>
      <c r="C45" s="67"/>
      <c r="D45" s="67"/>
      <c r="E45" s="81" t="s">
        <v>302</v>
      </c>
      <c r="F45" s="85"/>
      <c r="G45" s="83" t="s">
        <v>303</v>
      </c>
      <c r="H45" s="81" t="s">
        <v>88</v>
      </c>
      <c r="I45" s="81" t="s">
        <v>60</v>
      </c>
      <c r="J45" s="82" t="s">
        <v>304</v>
      </c>
      <c r="K45" s="65"/>
      <c r="L45" s="67"/>
      <c r="M45" s="81"/>
      <c r="N45" s="81"/>
      <c r="O45" s="81"/>
      <c r="P45" s="81"/>
      <c r="Q45" s="81" t="s">
        <v>93</v>
      </c>
      <c r="R45" s="81" t="s">
        <v>94</v>
      </c>
      <c r="S45" s="81" t="s">
        <v>94</v>
      </c>
      <c r="T45" s="86">
        <v>46232.0</v>
      </c>
      <c r="U45" s="28"/>
      <c r="V45" s="30"/>
      <c r="W45" s="28"/>
      <c r="X45" s="28"/>
      <c r="Y45" s="28"/>
      <c r="Z45" s="28"/>
    </row>
    <row r="46" ht="13.5" customHeight="1">
      <c r="A46" s="67"/>
      <c r="B46" s="67"/>
      <c r="C46" s="67"/>
      <c r="D46" s="67"/>
      <c r="E46" s="81" t="s">
        <v>306</v>
      </c>
      <c r="F46" s="82" t="s">
        <v>307</v>
      </c>
      <c r="G46" s="83" t="s">
        <v>308</v>
      </c>
      <c r="H46" s="81" t="s">
        <v>88</v>
      </c>
      <c r="I46" s="81" t="s">
        <v>60</v>
      </c>
      <c r="J46" s="82" t="s">
        <v>309</v>
      </c>
      <c r="K46" s="65"/>
      <c r="L46" s="67"/>
      <c r="M46" s="81"/>
      <c r="N46" s="81"/>
      <c r="O46" s="81"/>
      <c r="P46" s="81"/>
      <c r="Q46" s="81" t="s">
        <v>93</v>
      </c>
      <c r="R46" s="81" t="s">
        <v>94</v>
      </c>
      <c r="S46" s="81" t="s">
        <v>94</v>
      </c>
      <c r="T46" s="86">
        <v>46232.0</v>
      </c>
      <c r="U46" s="28"/>
      <c r="V46" s="30"/>
      <c r="W46" s="28"/>
      <c r="X46" s="28"/>
      <c r="Y46" s="28"/>
      <c r="Z46" s="28"/>
    </row>
    <row r="47" ht="13.5" customHeight="1">
      <c r="A47" s="67"/>
      <c r="B47" s="67"/>
      <c r="C47" s="67"/>
      <c r="D47" s="67"/>
      <c r="E47" s="81" t="s">
        <v>311</v>
      </c>
      <c r="F47" s="85"/>
      <c r="G47" s="83" t="s">
        <v>312</v>
      </c>
      <c r="H47" s="81" t="s">
        <v>88</v>
      </c>
      <c r="I47" s="81" t="s">
        <v>60</v>
      </c>
      <c r="J47" s="82" t="s">
        <v>313</v>
      </c>
      <c r="K47" s="65"/>
      <c r="L47" s="67"/>
      <c r="M47" s="81"/>
      <c r="N47" s="81"/>
      <c r="O47" s="81"/>
      <c r="P47" s="81"/>
      <c r="Q47" s="81" t="s">
        <v>93</v>
      </c>
      <c r="R47" s="81" t="s">
        <v>94</v>
      </c>
      <c r="S47" s="81" t="s">
        <v>94</v>
      </c>
      <c r="T47" s="86">
        <v>46232.0</v>
      </c>
      <c r="U47" s="28"/>
      <c r="V47" s="30"/>
      <c r="W47" s="28"/>
      <c r="X47" s="28"/>
      <c r="Y47" s="28"/>
      <c r="Z47" s="28"/>
    </row>
    <row r="48" ht="13.5" customHeight="1">
      <c r="A48" s="67"/>
      <c r="B48" s="67"/>
      <c r="C48" s="67"/>
      <c r="D48" s="67"/>
      <c r="E48" s="81" t="s">
        <v>314</v>
      </c>
      <c r="F48" s="85"/>
      <c r="G48" s="83" t="s">
        <v>315</v>
      </c>
      <c r="H48" s="81" t="s">
        <v>88</v>
      </c>
      <c r="I48" s="81" t="s">
        <v>60</v>
      </c>
      <c r="J48" s="83" t="s">
        <v>316</v>
      </c>
      <c r="K48" s="65"/>
      <c r="L48" s="67"/>
      <c r="M48" s="81"/>
      <c r="N48" s="81"/>
      <c r="O48" s="81"/>
      <c r="P48" s="81"/>
      <c r="Q48" s="81" t="s">
        <v>93</v>
      </c>
      <c r="R48" s="81" t="s">
        <v>94</v>
      </c>
      <c r="S48" s="81" t="s">
        <v>94</v>
      </c>
      <c r="T48" s="86">
        <v>46232.0</v>
      </c>
      <c r="U48" s="28"/>
      <c r="V48" s="30"/>
      <c r="W48" s="28"/>
      <c r="X48" s="28"/>
      <c r="Y48" s="28"/>
      <c r="Z48" s="28"/>
    </row>
    <row r="49" ht="13.5" customHeight="1">
      <c r="A49" s="67"/>
      <c r="B49" s="67"/>
      <c r="C49" s="67"/>
      <c r="D49" s="67"/>
      <c r="E49" s="81" t="s">
        <v>318</v>
      </c>
      <c r="F49" s="85"/>
      <c r="G49" s="83" t="s">
        <v>319</v>
      </c>
      <c r="H49" s="81" t="s">
        <v>88</v>
      </c>
      <c r="I49" s="81" t="s">
        <v>60</v>
      </c>
      <c r="J49" s="83" t="s">
        <v>321</v>
      </c>
      <c r="K49" s="65"/>
      <c r="L49" s="67"/>
      <c r="M49" s="81"/>
      <c r="N49" s="81"/>
      <c r="O49" s="81"/>
      <c r="P49" s="81"/>
      <c r="Q49" s="81" t="s">
        <v>93</v>
      </c>
      <c r="R49" s="81" t="s">
        <v>94</v>
      </c>
      <c r="S49" s="81" t="s">
        <v>94</v>
      </c>
      <c r="T49" s="86">
        <v>46232.0</v>
      </c>
      <c r="U49" s="28"/>
      <c r="V49" s="30"/>
      <c r="W49" s="28"/>
      <c r="X49" s="28"/>
      <c r="Y49" s="28"/>
      <c r="Z49" s="28"/>
    </row>
    <row r="50" ht="13.5" customHeight="1">
      <c r="A50" s="77"/>
      <c r="B50" s="77"/>
      <c r="C50" s="77"/>
      <c r="D50" s="77"/>
      <c r="E50" s="81" t="s">
        <v>324</v>
      </c>
      <c r="F50" s="85"/>
      <c r="G50" s="83" t="s">
        <v>325</v>
      </c>
      <c r="H50" s="81" t="s">
        <v>88</v>
      </c>
      <c r="I50" s="81" t="s">
        <v>60</v>
      </c>
      <c r="J50" s="83" t="s">
        <v>326</v>
      </c>
      <c r="K50" s="65"/>
      <c r="L50" s="77"/>
      <c r="M50" s="81"/>
      <c r="N50" s="81"/>
      <c r="O50" s="81"/>
      <c r="P50" s="81"/>
      <c r="Q50" s="81" t="s">
        <v>93</v>
      </c>
      <c r="R50" s="81" t="s">
        <v>94</v>
      </c>
      <c r="S50" s="81" t="s">
        <v>94</v>
      </c>
      <c r="T50" s="86">
        <v>46232.0</v>
      </c>
      <c r="U50" s="28"/>
      <c r="V50" s="30"/>
      <c r="W50" s="28"/>
      <c r="X50" s="28"/>
      <c r="Y50" s="28"/>
      <c r="Z50" s="28"/>
    </row>
    <row r="51" ht="13.5" customHeight="1">
      <c r="A51" s="59" t="s">
        <v>51</v>
      </c>
      <c r="B51" s="59" t="s">
        <v>87</v>
      </c>
      <c r="C51" s="60" t="s">
        <v>89</v>
      </c>
      <c r="D51" s="60" t="s">
        <v>329</v>
      </c>
      <c r="E51" s="61" t="s">
        <v>332</v>
      </c>
      <c r="F51" s="62" t="s">
        <v>333</v>
      </c>
      <c r="G51" s="63" t="s">
        <v>334</v>
      </c>
      <c r="H51" s="61" t="s">
        <v>88</v>
      </c>
      <c r="I51" s="61" t="s">
        <v>60</v>
      </c>
      <c r="J51" s="63" t="s">
        <v>335</v>
      </c>
      <c r="K51" s="70"/>
      <c r="L51" s="59" t="s">
        <v>336</v>
      </c>
      <c r="M51" s="61"/>
      <c r="N51" s="61"/>
      <c r="O51" s="61"/>
      <c r="P51" s="61"/>
      <c r="Q51" s="61" t="s">
        <v>93</v>
      </c>
      <c r="R51" s="61" t="s">
        <v>94</v>
      </c>
      <c r="S51" s="61" t="s">
        <v>94</v>
      </c>
      <c r="T51" s="66">
        <v>46232.0</v>
      </c>
      <c r="U51" s="28"/>
      <c r="V51" s="30"/>
      <c r="W51" s="28"/>
      <c r="X51" s="28"/>
      <c r="Y51" s="28"/>
      <c r="Z51" s="28"/>
    </row>
    <row r="52" ht="13.5" customHeight="1">
      <c r="A52" s="67"/>
      <c r="B52" s="67"/>
      <c r="C52" s="67"/>
      <c r="D52" s="67"/>
      <c r="E52" s="61" t="s">
        <v>339</v>
      </c>
      <c r="F52" s="68"/>
      <c r="G52" s="63" t="s">
        <v>340</v>
      </c>
      <c r="H52" s="61" t="s">
        <v>88</v>
      </c>
      <c r="I52" s="61" t="s">
        <v>60</v>
      </c>
      <c r="J52" s="73" t="s">
        <v>341</v>
      </c>
      <c r="K52" s="70"/>
      <c r="L52" s="67"/>
      <c r="M52" s="61"/>
      <c r="N52" s="61"/>
      <c r="O52" s="61"/>
      <c r="P52" s="61"/>
      <c r="Q52" s="61" t="s">
        <v>93</v>
      </c>
      <c r="R52" s="61" t="s">
        <v>94</v>
      </c>
      <c r="S52" s="61" t="s">
        <v>94</v>
      </c>
      <c r="T52" s="66">
        <v>46232.0</v>
      </c>
      <c r="U52" s="28"/>
      <c r="V52" s="30"/>
      <c r="W52" s="28"/>
      <c r="X52" s="28"/>
      <c r="Y52" s="28"/>
      <c r="Z52" s="28"/>
    </row>
    <row r="53" ht="13.5" customHeight="1">
      <c r="A53" s="67"/>
      <c r="B53" s="67"/>
      <c r="C53" s="67"/>
      <c r="D53" s="67"/>
      <c r="E53" s="61" t="s">
        <v>342</v>
      </c>
      <c r="F53" s="68"/>
      <c r="G53" s="63" t="s">
        <v>343</v>
      </c>
      <c r="H53" s="61" t="s">
        <v>88</v>
      </c>
      <c r="I53" s="61" t="s">
        <v>60</v>
      </c>
      <c r="J53" s="62" t="s">
        <v>344</v>
      </c>
      <c r="K53" s="65"/>
      <c r="L53" s="67"/>
      <c r="M53" s="61"/>
      <c r="N53" s="61"/>
      <c r="O53" s="61"/>
      <c r="P53" s="61"/>
      <c r="Q53" s="61" t="s">
        <v>93</v>
      </c>
      <c r="R53" s="61" t="s">
        <v>94</v>
      </c>
      <c r="S53" s="61" t="s">
        <v>94</v>
      </c>
      <c r="T53" s="66">
        <v>46232.0</v>
      </c>
      <c r="U53" s="28"/>
      <c r="V53" s="30"/>
      <c r="W53" s="28"/>
      <c r="X53" s="28"/>
      <c r="Y53" s="28"/>
      <c r="Z53" s="28"/>
    </row>
    <row r="54" ht="13.5" customHeight="1">
      <c r="A54" s="67"/>
      <c r="B54" s="67"/>
      <c r="C54" s="67"/>
      <c r="D54" s="67"/>
      <c r="E54" s="61" t="s">
        <v>347</v>
      </c>
      <c r="F54" s="68"/>
      <c r="G54" s="63" t="s">
        <v>348</v>
      </c>
      <c r="H54" s="61" t="s">
        <v>88</v>
      </c>
      <c r="I54" s="61" t="s">
        <v>60</v>
      </c>
      <c r="J54" s="62" t="s">
        <v>349</v>
      </c>
      <c r="K54" s="65"/>
      <c r="L54" s="67"/>
      <c r="M54" s="61"/>
      <c r="N54" s="61"/>
      <c r="O54" s="61"/>
      <c r="P54" s="61"/>
      <c r="Q54" s="61" t="s">
        <v>93</v>
      </c>
      <c r="R54" s="61" t="s">
        <v>94</v>
      </c>
      <c r="S54" s="61" t="s">
        <v>94</v>
      </c>
      <c r="T54" s="66">
        <v>46232.0</v>
      </c>
      <c r="U54" s="28"/>
      <c r="V54" s="30"/>
      <c r="W54" s="28"/>
      <c r="X54" s="28"/>
      <c r="Y54" s="28"/>
      <c r="Z54" s="28"/>
    </row>
    <row r="55" ht="13.5" customHeight="1">
      <c r="A55" s="67"/>
      <c r="B55" s="67"/>
      <c r="C55" s="67"/>
      <c r="D55" s="67"/>
      <c r="E55" s="61" t="s">
        <v>351</v>
      </c>
      <c r="F55" s="68"/>
      <c r="G55" s="63" t="s">
        <v>352</v>
      </c>
      <c r="H55" s="61" t="s">
        <v>88</v>
      </c>
      <c r="I55" s="61" t="s">
        <v>60</v>
      </c>
      <c r="J55" s="63" t="s">
        <v>353</v>
      </c>
      <c r="K55" s="65"/>
      <c r="L55" s="67"/>
      <c r="M55" s="61"/>
      <c r="N55" s="61"/>
      <c r="O55" s="61"/>
      <c r="P55" s="61"/>
      <c r="Q55" s="61" t="s">
        <v>93</v>
      </c>
      <c r="R55" s="61" t="s">
        <v>94</v>
      </c>
      <c r="S55" s="61" t="s">
        <v>94</v>
      </c>
      <c r="T55" s="66">
        <v>46232.0</v>
      </c>
      <c r="U55" s="28"/>
      <c r="V55" s="30"/>
      <c r="W55" s="28"/>
      <c r="X55" s="28"/>
      <c r="Y55" s="28"/>
      <c r="Z55" s="28"/>
    </row>
    <row r="56" ht="13.5" customHeight="1">
      <c r="A56" s="67"/>
      <c r="B56" s="67"/>
      <c r="C56" s="67"/>
      <c r="D56" s="67"/>
      <c r="E56" s="61" t="s">
        <v>354</v>
      </c>
      <c r="F56" s="62" t="s">
        <v>355</v>
      </c>
      <c r="G56" s="63" t="s">
        <v>356</v>
      </c>
      <c r="H56" s="61" t="s">
        <v>88</v>
      </c>
      <c r="I56" s="61" t="s">
        <v>60</v>
      </c>
      <c r="J56" s="73" t="s">
        <v>358</v>
      </c>
      <c r="K56" s="74" t="s">
        <v>359</v>
      </c>
      <c r="L56" s="67"/>
      <c r="M56" s="61"/>
      <c r="N56" s="61"/>
      <c r="O56" s="61"/>
      <c r="P56" s="61"/>
      <c r="Q56" s="61" t="s">
        <v>93</v>
      </c>
      <c r="R56" s="61" t="s">
        <v>94</v>
      </c>
      <c r="S56" s="61" t="s">
        <v>94</v>
      </c>
      <c r="T56" s="66">
        <v>46255.0</v>
      </c>
      <c r="U56" s="28"/>
      <c r="V56" s="30"/>
      <c r="W56" s="28"/>
      <c r="X56" s="28"/>
      <c r="Y56" s="28"/>
      <c r="Z56" s="28"/>
    </row>
    <row r="57" ht="13.5" customHeight="1">
      <c r="A57" s="67"/>
      <c r="B57" s="67"/>
      <c r="C57" s="67"/>
      <c r="D57" s="67"/>
      <c r="E57" s="61" t="s">
        <v>360</v>
      </c>
      <c r="F57" s="68"/>
      <c r="G57" s="63" t="s">
        <v>361</v>
      </c>
      <c r="H57" s="61" t="s">
        <v>88</v>
      </c>
      <c r="I57" s="61" t="s">
        <v>60</v>
      </c>
      <c r="J57" s="62" t="s">
        <v>362</v>
      </c>
      <c r="K57" s="74" t="s">
        <v>364</v>
      </c>
      <c r="L57" s="67"/>
      <c r="M57" s="61"/>
      <c r="N57" s="61"/>
      <c r="O57" s="61"/>
      <c r="P57" s="61"/>
      <c r="Q57" s="61" t="s">
        <v>93</v>
      </c>
      <c r="R57" s="61" t="s">
        <v>94</v>
      </c>
      <c r="S57" s="61" t="s">
        <v>94</v>
      </c>
      <c r="T57" s="66">
        <v>46255.0</v>
      </c>
      <c r="U57" s="28"/>
      <c r="V57" s="30"/>
      <c r="W57" s="28"/>
      <c r="X57" s="28"/>
      <c r="Y57" s="28"/>
      <c r="Z57" s="28"/>
    </row>
    <row r="58" ht="13.5" customHeight="1">
      <c r="A58" s="67"/>
      <c r="B58" s="67"/>
      <c r="C58" s="67"/>
      <c r="D58" s="67"/>
      <c r="E58" s="61" t="s">
        <v>365</v>
      </c>
      <c r="F58" s="68"/>
      <c r="G58" s="63" t="s">
        <v>366</v>
      </c>
      <c r="H58" s="61" t="s">
        <v>88</v>
      </c>
      <c r="I58" s="61" t="s">
        <v>60</v>
      </c>
      <c r="J58" s="62" t="s">
        <v>367</v>
      </c>
      <c r="K58" s="65"/>
      <c r="L58" s="67"/>
      <c r="M58" s="61"/>
      <c r="N58" s="61"/>
      <c r="O58" s="61"/>
      <c r="P58" s="61"/>
      <c r="Q58" s="61" t="s">
        <v>93</v>
      </c>
      <c r="R58" s="61" t="s">
        <v>94</v>
      </c>
      <c r="S58" s="61" t="s">
        <v>94</v>
      </c>
      <c r="T58" s="66">
        <v>46232.0</v>
      </c>
      <c r="U58" s="28"/>
      <c r="V58" s="30"/>
      <c r="W58" s="28"/>
      <c r="X58" s="28"/>
      <c r="Y58" s="28"/>
      <c r="Z58" s="28"/>
    </row>
    <row r="59" ht="13.5" customHeight="1">
      <c r="A59" s="67"/>
      <c r="B59" s="67"/>
      <c r="C59" s="67"/>
      <c r="D59" s="67"/>
      <c r="E59" s="61" t="s">
        <v>368</v>
      </c>
      <c r="F59" s="68"/>
      <c r="G59" s="63" t="s">
        <v>369</v>
      </c>
      <c r="H59" s="61" t="s">
        <v>88</v>
      </c>
      <c r="I59" s="61" t="s">
        <v>60</v>
      </c>
      <c r="J59" s="62" t="s">
        <v>370</v>
      </c>
      <c r="K59" s="70"/>
      <c r="L59" s="67"/>
      <c r="M59" s="61"/>
      <c r="N59" s="61"/>
      <c r="O59" s="61"/>
      <c r="P59" s="61"/>
      <c r="Q59" s="61" t="s">
        <v>93</v>
      </c>
      <c r="R59" s="61" t="s">
        <v>94</v>
      </c>
      <c r="S59" s="61" t="s">
        <v>94</v>
      </c>
      <c r="T59" s="66">
        <v>46232.0</v>
      </c>
      <c r="U59" s="28"/>
      <c r="V59" s="30"/>
      <c r="W59" s="28"/>
      <c r="X59" s="28"/>
      <c r="Y59" s="28"/>
      <c r="Z59" s="28"/>
    </row>
    <row r="60" ht="13.5" customHeight="1">
      <c r="A60" s="67"/>
      <c r="B60" s="67"/>
      <c r="C60" s="67"/>
      <c r="D60" s="67"/>
      <c r="E60" s="61" t="s">
        <v>371</v>
      </c>
      <c r="F60" s="68"/>
      <c r="G60" s="63" t="s">
        <v>372</v>
      </c>
      <c r="H60" s="61" t="s">
        <v>88</v>
      </c>
      <c r="I60" s="61" t="s">
        <v>60</v>
      </c>
      <c r="J60" s="62" t="s">
        <v>373</v>
      </c>
      <c r="K60" s="74" t="s">
        <v>374</v>
      </c>
      <c r="L60" s="67"/>
      <c r="M60" s="61"/>
      <c r="N60" s="61"/>
      <c r="O60" s="61"/>
      <c r="P60" s="61"/>
      <c r="Q60" s="61" t="s">
        <v>93</v>
      </c>
      <c r="R60" s="61" t="s">
        <v>94</v>
      </c>
      <c r="S60" s="61" t="s">
        <v>94</v>
      </c>
      <c r="T60" s="66">
        <v>46255.0</v>
      </c>
      <c r="U60" s="28"/>
      <c r="V60" s="30"/>
      <c r="W60" s="28"/>
      <c r="X60" s="28"/>
      <c r="Y60" s="28"/>
      <c r="Z60" s="28"/>
    </row>
    <row r="61" ht="13.5" customHeight="1">
      <c r="A61" s="67"/>
      <c r="B61" s="67"/>
      <c r="C61" s="67"/>
      <c r="D61" s="67"/>
      <c r="E61" s="61" t="s">
        <v>378</v>
      </c>
      <c r="F61" s="62" t="s">
        <v>379</v>
      </c>
      <c r="G61" s="63" t="s">
        <v>380</v>
      </c>
      <c r="H61" s="61" t="s">
        <v>88</v>
      </c>
      <c r="I61" s="61" t="s">
        <v>60</v>
      </c>
      <c r="J61" s="62" t="s">
        <v>381</v>
      </c>
      <c r="K61" s="65"/>
      <c r="L61" s="67"/>
      <c r="M61" s="61"/>
      <c r="N61" s="61"/>
      <c r="O61" s="61"/>
      <c r="P61" s="61"/>
      <c r="Q61" s="61" t="s">
        <v>93</v>
      </c>
      <c r="R61" s="61" t="s">
        <v>94</v>
      </c>
      <c r="S61" s="61" t="s">
        <v>94</v>
      </c>
      <c r="T61" s="66">
        <v>46232.0</v>
      </c>
      <c r="U61" s="28"/>
      <c r="V61" s="30"/>
      <c r="W61" s="28"/>
      <c r="X61" s="28"/>
      <c r="Y61" s="28"/>
      <c r="Z61" s="28"/>
    </row>
    <row r="62" ht="13.5" customHeight="1">
      <c r="A62" s="67"/>
      <c r="B62" s="67"/>
      <c r="C62" s="67"/>
      <c r="D62" s="67"/>
      <c r="E62" s="61" t="s">
        <v>382</v>
      </c>
      <c r="F62" s="68"/>
      <c r="G62" s="63" t="s">
        <v>383</v>
      </c>
      <c r="H62" s="61" t="s">
        <v>88</v>
      </c>
      <c r="I62" s="61" t="s">
        <v>60</v>
      </c>
      <c r="J62" s="62" t="s">
        <v>386</v>
      </c>
      <c r="K62" s="65"/>
      <c r="L62" s="67"/>
      <c r="M62" s="61"/>
      <c r="N62" s="61"/>
      <c r="O62" s="61"/>
      <c r="P62" s="61"/>
      <c r="Q62" s="61" t="s">
        <v>93</v>
      </c>
      <c r="R62" s="61" t="s">
        <v>94</v>
      </c>
      <c r="S62" s="61" t="s">
        <v>94</v>
      </c>
      <c r="T62" s="66">
        <v>46232.0</v>
      </c>
      <c r="U62" s="28"/>
      <c r="V62" s="30"/>
      <c r="W62" s="28"/>
      <c r="X62" s="28"/>
      <c r="Y62" s="28"/>
      <c r="Z62" s="28"/>
    </row>
    <row r="63" ht="13.5" customHeight="1">
      <c r="A63" s="67"/>
      <c r="B63" s="67"/>
      <c r="C63" s="67"/>
      <c r="D63" s="67"/>
      <c r="E63" s="61" t="s">
        <v>387</v>
      </c>
      <c r="F63" s="68"/>
      <c r="G63" s="63" t="s">
        <v>388</v>
      </c>
      <c r="H63" s="61" t="s">
        <v>88</v>
      </c>
      <c r="I63" s="61" t="s">
        <v>60</v>
      </c>
      <c r="J63" s="62" t="s">
        <v>389</v>
      </c>
      <c r="K63" s="65"/>
      <c r="L63" s="67"/>
      <c r="M63" s="61"/>
      <c r="N63" s="61"/>
      <c r="O63" s="61"/>
      <c r="P63" s="61"/>
      <c r="Q63" s="61" t="s">
        <v>93</v>
      </c>
      <c r="R63" s="61" t="s">
        <v>94</v>
      </c>
      <c r="S63" s="61" t="s">
        <v>94</v>
      </c>
      <c r="T63" s="66">
        <v>46232.0</v>
      </c>
      <c r="U63" s="28"/>
      <c r="V63" s="30"/>
      <c r="W63" s="28"/>
      <c r="X63" s="28"/>
      <c r="Y63" s="28"/>
      <c r="Z63" s="28"/>
    </row>
    <row r="64" ht="13.5" customHeight="1">
      <c r="A64" s="67"/>
      <c r="B64" s="67"/>
      <c r="C64" s="67"/>
      <c r="D64" s="67"/>
      <c r="E64" s="61" t="s">
        <v>392</v>
      </c>
      <c r="F64" s="68"/>
      <c r="G64" s="63" t="s">
        <v>393</v>
      </c>
      <c r="H64" s="61" t="s">
        <v>88</v>
      </c>
      <c r="I64" s="61" t="s">
        <v>60</v>
      </c>
      <c r="J64" s="62" t="s">
        <v>394</v>
      </c>
      <c r="K64" s="65"/>
      <c r="L64" s="67"/>
      <c r="M64" s="61"/>
      <c r="N64" s="61"/>
      <c r="O64" s="61"/>
      <c r="P64" s="61"/>
      <c r="Q64" s="61" t="s">
        <v>93</v>
      </c>
      <c r="R64" s="61" t="s">
        <v>94</v>
      </c>
      <c r="S64" s="61" t="s">
        <v>94</v>
      </c>
      <c r="T64" s="66">
        <v>46232.0</v>
      </c>
      <c r="U64" s="28"/>
      <c r="V64" s="30"/>
      <c r="W64" s="28"/>
      <c r="X64" s="28"/>
      <c r="Y64" s="28"/>
      <c r="Z64" s="28"/>
    </row>
    <row r="65" ht="13.5" customHeight="1">
      <c r="A65" s="67"/>
      <c r="B65" s="67"/>
      <c r="C65" s="67"/>
      <c r="D65" s="67"/>
      <c r="E65" s="61" t="s">
        <v>396</v>
      </c>
      <c r="F65" s="62" t="s">
        <v>398</v>
      </c>
      <c r="G65" s="63" t="s">
        <v>399</v>
      </c>
      <c r="H65" s="61" t="s">
        <v>88</v>
      </c>
      <c r="I65" s="61" t="s">
        <v>60</v>
      </c>
      <c r="J65" s="62" t="s">
        <v>400</v>
      </c>
      <c r="K65" s="65"/>
      <c r="L65" s="67"/>
      <c r="M65" s="61"/>
      <c r="N65" s="61"/>
      <c r="O65" s="61"/>
      <c r="P65" s="61"/>
      <c r="Q65" s="61" t="s">
        <v>93</v>
      </c>
      <c r="R65" s="61" t="s">
        <v>94</v>
      </c>
      <c r="S65" s="61" t="s">
        <v>94</v>
      </c>
      <c r="T65" s="66">
        <v>46232.0</v>
      </c>
      <c r="U65" s="28"/>
      <c r="V65" s="30"/>
      <c r="W65" s="28"/>
      <c r="X65" s="28"/>
      <c r="Y65" s="28"/>
      <c r="Z65" s="28"/>
    </row>
    <row r="66" ht="13.5" customHeight="1">
      <c r="A66" s="67"/>
      <c r="B66" s="67"/>
      <c r="C66" s="67"/>
      <c r="D66" s="67"/>
      <c r="E66" s="61" t="s">
        <v>401</v>
      </c>
      <c r="F66" s="68"/>
      <c r="G66" s="63" t="s">
        <v>402</v>
      </c>
      <c r="H66" s="61" t="s">
        <v>88</v>
      </c>
      <c r="I66" s="61" t="s">
        <v>60</v>
      </c>
      <c r="J66" s="62" t="s">
        <v>403</v>
      </c>
      <c r="K66" s="65"/>
      <c r="L66" s="67"/>
      <c r="M66" s="61"/>
      <c r="N66" s="61"/>
      <c r="O66" s="61"/>
      <c r="P66" s="61"/>
      <c r="Q66" s="61" t="s">
        <v>93</v>
      </c>
      <c r="R66" s="61" t="s">
        <v>94</v>
      </c>
      <c r="S66" s="61" t="s">
        <v>94</v>
      </c>
      <c r="T66" s="66">
        <v>46232.0</v>
      </c>
      <c r="U66" s="28"/>
      <c r="V66" s="30"/>
      <c r="W66" s="28"/>
      <c r="X66" s="28"/>
      <c r="Y66" s="28"/>
      <c r="Z66" s="28"/>
    </row>
    <row r="67" ht="13.5" customHeight="1">
      <c r="A67" s="67"/>
      <c r="B67" s="67"/>
      <c r="C67" s="67"/>
      <c r="D67" s="67"/>
      <c r="E67" s="61" t="s">
        <v>406</v>
      </c>
      <c r="F67" s="68"/>
      <c r="G67" s="63" t="s">
        <v>407</v>
      </c>
      <c r="H67" s="61" t="s">
        <v>88</v>
      </c>
      <c r="I67" s="61" t="s">
        <v>60</v>
      </c>
      <c r="J67" s="62" t="s">
        <v>408</v>
      </c>
      <c r="K67" s="65"/>
      <c r="L67" s="67"/>
      <c r="M67" s="61"/>
      <c r="N67" s="61"/>
      <c r="O67" s="61"/>
      <c r="P67" s="61"/>
      <c r="Q67" s="61" t="s">
        <v>93</v>
      </c>
      <c r="R67" s="61" t="s">
        <v>94</v>
      </c>
      <c r="S67" s="61" t="s">
        <v>94</v>
      </c>
      <c r="T67" s="66">
        <v>46232.0</v>
      </c>
      <c r="U67" s="28"/>
      <c r="V67" s="30"/>
      <c r="W67" s="28"/>
      <c r="X67" s="28"/>
      <c r="Y67" s="28"/>
      <c r="Z67" s="28"/>
    </row>
    <row r="68" ht="13.5" customHeight="1">
      <c r="A68" s="67"/>
      <c r="B68" s="67"/>
      <c r="C68" s="67"/>
      <c r="D68" s="67"/>
      <c r="E68" s="61" t="s">
        <v>411</v>
      </c>
      <c r="F68" s="68"/>
      <c r="G68" s="63" t="s">
        <v>412</v>
      </c>
      <c r="H68" s="61" t="s">
        <v>88</v>
      </c>
      <c r="I68" s="61" t="s">
        <v>60</v>
      </c>
      <c r="J68" s="62" t="s">
        <v>413</v>
      </c>
      <c r="K68" s="65"/>
      <c r="L68" s="67"/>
      <c r="M68" s="61"/>
      <c r="N68" s="61"/>
      <c r="O68" s="61"/>
      <c r="P68" s="61"/>
      <c r="Q68" s="61" t="s">
        <v>93</v>
      </c>
      <c r="R68" s="61" t="s">
        <v>94</v>
      </c>
      <c r="S68" s="61" t="s">
        <v>94</v>
      </c>
      <c r="T68" s="66">
        <v>46232.0</v>
      </c>
      <c r="U68" s="28"/>
      <c r="V68" s="30"/>
      <c r="W68" s="28"/>
      <c r="X68" s="28"/>
      <c r="Y68" s="28"/>
      <c r="Z68" s="28"/>
    </row>
    <row r="69" ht="13.5" customHeight="1">
      <c r="A69" s="67"/>
      <c r="B69" s="67"/>
      <c r="C69" s="67"/>
      <c r="D69" s="67"/>
      <c r="E69" s="61" t="s">
        <v>417</v>
      </c>
      <c r="F69" s="62" t="s">
        <v>418</v>
      </c>
      <c r="G69" s="63" t="s">
        <v>419</v>
      </c>
      <c r="H69" s="61" t="s">
        <v>88</v>
      </c>
      <c r="I69" s="61" t="s">
        <v>60</v>
      </c>
      <c r="J69" s="62" t="s">
        <v>420</v>
      </c>
      <c r="K69" s="65"/>
      <c r="L69" s="67"/>
      <c r="M69" s="61"/>
      <c r="N69" s="61"/>
      <c r="O69" s="61"/>
      <c r="P69" s="61"/>
      <c r="Q69" s="61" t="s">
        <v>93</v>
      </c>
      <c r="R69" s="61" t="s">
        <v>94</v>
      </c>
      <c r="S69" s="61" t="s">
        <v>94</v>
      </c>
      <c r="T69" s="66">
        <v>46232.0</v>
      </c>
      <c r="U69" s="28"/>
      <c r="V69" s="30"/>
      <c r="W69" s="28"/>
      <c r="X69" s="28"/>
      <c r="Y69" s="28"/>
      <c r="Z69" s="28"/>
    </row>
    <row r="70" ht="13.5" customHeight="1">
      <c r="A70" s="67"/>
      <c r="B70" s="67"/>
      <c r="C70" s="67"/>
      <c r="D70" s="67"/>
      <c r="E70" s="61" t="s">
        <v>421</v>
      </c>
      <c r="F70" s="68"/>
      <c r="G70" s="63" t="s">
        <v>422</v>
      </c>
      <c r="H70" s="61" t="s">
        <v>88</v>
      </c>
      <c r="I70" s="61" t="s">
        <v>60</v>
      </c>
      <c r="J70" s="62" t="s">
        <v>423</v>
      </c>
      <c r="K70" s="65"/>
      <c r="L70" s="67"/>
      <c r="M70" s="61"/>
      <c r="N70" s="61"/>
      <c r="O70" s="61"/>
      <c r="P70" s="61"/>
      <c r="Q70" s="61" t="s">
        <v>93</v>
      </c>
      <c r="R70" s="61" t="s">
        <v>94</v>
      </c>
      <c r="S70" s="61" t="s">
        <v>94</v>
      </c>
      <c r="T70" s="66">
        <v>46232.0</v>
      </c>
      <c r="U70" s="28"/>
      <c r="V70" s="30"/>
      <c r="W70" s="28"/>
      <c r="X70" s="28"/>
      <c r="Y70" s="28"/>
      <c r="Z70" s="28"/>
    </row>
    <row r="71" ht="13.5" customHeight="1">
      <c r="A71" s="67"/>
      <c r="B71" s="67"/>
      <c r="C71" s="67"/>
      <c r="D71" s="67"/>
      <c r="E71" s="61" t="s">
        <v>426</v>
      </c>
      <c r="F71" s="68"/>
      <c r="G71" s="63" t="s">
        <v>427</v>
      </c>
      <c r="H71" s="61" t="s">
        <v>88</v>
      </c>
      <c r="I71" s="61" t="s">
        <v>60</v>
      </c>
      <c r="J71" s="62" t="s">
        <v>428</v>
      </c>
      <c r="K71" s="69" t="s">
        <v>430</v>
      </c>
      <c r="L71" s="67"/>
      <c r="M71" s="61"/>
      <c r="N71" s="61"/>
      <c r="O71" s="61"/>
      <c r="P71" s="61"/>
      <c r="Q71" s="61" t="s">
        <v>93</v>
      </c>
      <c r="R71" s="61" t="s">
        <v>94</v>
      </c>
      <c r="S71" s="61" t="s">
        <v>94</v>
      </c>
      <c r="T71" s="66">
        <v>46255.0</v>
      </c>
      <c r="U71" s="28"/>
      <c r="V71" s="30"/>
      <c r="W71" s="28"/>
      <c r="X71" s="28"/>
      <c r="Y71" s="28"/>
      <c r="Z71" s="28"/>
    </row>
    <row r="72" ht="13.5" customHeight="1">
      <c r="A72" s="67"/>
      <c r="B72" s="67"/>
      <c r="C72" s="67"/>
      <c r="D72" s="67"/>
      <c r="E72" s="61" t="s">
        <v>433</v>
      </c>
      <c r="F72" s="68"/>
      <c r="G72" s="63" t="s">
        <v>434</v>
      </c>
      <c r="H72" s="61" t="s">
        <v>88</v>
      </c>
      <c r="I72" s="61" t="s">
        <v>60</v>
      </c>
      <c r="J72" s="62" t="s">
        <v>435</v>
      </c>
      <c r="K72" s="65"/>
      <c r="L72" s="67"/>
      <c r="M72" s="61"/>
      <c r="N72" s="61"/>
      <c r="O72" s="61"/>
      <c r="P72" s="61"/>
      <c r="Q72" s="61" t="s">
        <v>93</v>
      </c>
      <c r="R72" s="61" t="s">
        <v>94</v>
      </c>
      <c r="S72" s="61" t="s">
        <v>94</v>
      </c>
      <c r="T72" s="66">
        <v>46232.0</v>
      </c>
      <c r="U72" s="28"/>
      <c r="V72" s="30"/>
      <c r="W72" s="28"/>
      <c r="X72" s="28"/>
      <c r="Y72" s="28"/>
      <c r="Z72" s="28"/>
    </row>
    <row r="73" ht="13.5" customHeight="1">
      <c r="A73" s="67"/>
      <c r="B73" s="67"/>
      <c r="C73" s="67"/>
      <c r="D73" s="67"/>
      <c r="E73" s="61" t="s">
        <v>437</v>
      </c>
      <c r="F73" s="68"/>
      <c r="G73" s="63" t="s">
        <v>438</v>
      </c>
      <c r="H73" s="61" t="s">
        <v>88</v>
      </c>
      <c r="I73" s="61" t="s">
        <v>60</v>
      </c>
      <c r="J73" s="62" t="s">
        <v>439</v>
      </c>
      <c r="K73" s="65"/>
      <c r="L73" s="67"/>
      <c r="M73" s="61"/>
      <c r="N73" s="61"/>
      <c r="O73" s="61"/>
      <c r="P73" s="61"/>
      <c r="Q73" s="61" t="s">
        <v>93</v>
      </c>
      <c r="R73" s="61" t="s">
        <v>94</v>
      </c>
      <c r="S73" s="61" t="s">
        <v>94</v>
      </c>
      <c r="T73" s="66">
        <v>46232.0</v>
      </c>
      <c r="U73" s="28"/>
      <c r="V73" s="30"/>
      <c r="W73" s="28"/>
      <c r="X73" s="28"/>
      <c r="Y73" s="28"/>
      <c r="Z73" s="28"/>
    </row>
    <row r="74" ht="13.5" customHeight="1">
      <c r="A74" s="67"/>
      <c r="B74" s="67"/>
      <c r="C74" s="67"/>
      <c r="D74" s="67"/>
      <c r="E74" s="61" t="s">
        <v>440</v>
      </c>
      <c r="F74" s="68"/>
      <c r="G74" s="63" t="s">
        <v>441</v>
      </c>
      <c r="H74" s="61" t="s">
        <v>88</v>
      </c>
      <c r="I74" s="61" t="s">
        <v>60</v>
      </c>
      <c r="J74" s="63" t="s">
        <v>442</v>
      </c>
      <c r="K74" s="65"/>
      <c r="L74" s="67"/>
      <c r="M74" s="61"/>
      <c r="N74" s="61"/>
      <c r="O74" s="61"/>
      <c r="P74" s="61"/>
      <c r="Q74" s="61" t="s">
        <v>93</v>
      </c>
      <c r="R74" s="61" t="s">
        <v>94</v>
      </c>
      <c r="S74" s="61" t="s">
        <v>94</v>
      </c>
      <c r="T74" s="66">
        <v>46232.0</v>
      </c>
      <c r="U74" s="28"/>
      <c r="V74" s="30"/>
      <c r="W74" s="28"/>
      <c r="X74" s="28"/>
      <c r="Y74" s="28"/>
      <c r="Z74" s="28"/>
    </row>
    <row r="75" ht="13.5" customHeight="1">
      <c r="A75" s="67"/>
      <c r="B75" s="67"/>
      <c r="C75" s="67"/>
      <c r="D75" s="67"/>
      <c r="E75" s="61" t="s">
        <v>444</v>
      </c>
      <c r="F75" s="62" t="s">
        <v>445</v>
      </c>
      <c r="G75" s="63" t="s">
        <v>446</v>
      </c>
      <c r="H75" s="61" t="s">
        <v>88</v>
      </c>
      <c r="I75" s="61" t="s">
        <v>60</v>
      </c>
      <c r="J75" s="62" t="s">
        <v>447</v>
      </c>
      <c r="K75" s="65"/>
      <c r="L75" s="67"/>
      <c r="M75" s="61"/>
      <c r="N75" s="61"/>
      <c r="O75" s="61"/>
      <c r="P75" s="61"/>
      <c r="Q75" s="61" t="s">
        <v>93</v>
      </c>
      <c r="R75" s="61" t="s">
        <v>94</v>
      </c>
      <c r="S75" s="61" t="s">
        <v>94</v>
      </c>
      <c r="T75" s="66">
        <v>46232.0</v>
      </c>
      <c r="U75" s="28"/>
      <c r="V75" s="30"/>
      <c r="W75" s="28"/>
      <c r="X75" s="28"/>
      <c r="Y75" s="28"/>
      <c r="Z75" s="28"/>
    </row>
    <row r="76" ht="13.5" customHeight="1">
      <c r="A76" s="67"/>
      <c r="B76" s="67"/>
      <c r="C76" s="67"/>
      <c r="D76" s="67"/>
      <c r="E76" s="61" t="s">
        <v>449</v>
      </c>
      <c r="F76" s="68"/>
      <c r="G76" s="63" t="s">
        <v>450</v>
      </c>
      <c r="H76" s="61" t="s">
        <v>88</v>
      </c>
      <c r="I76" s="61" t="s">
        <v>60</v>
      </c>
      <c r="J76" s="62" t="s">
        <v>451</v>
      </c>
      <c r="K76" s="65"/>
      <c r="L76" s="67"/>
      <c r="M76" s="61"/>
      <c r="N76" s="61"/>
      <c r="O76" s="61"/>
      <c r="P76" s="61"/>
      <c r="Q76" s="61" t="s">
        <v>93</v>
      </c>
      <c r="R76" s="61" t="s">
        <v>94</v>
      </c>
      <c r="S76" s="61" t="s">
        <v>94</v>
      </c>
      <c r="T76" s="66">
        <v>46232.0</v>
      </c>
      <c r="U76" s="28"/>
      <c r="V76" s="30"/>
      <c r="W76" s="28"/>
      <c r="X76" s="28"/>
      <c r="Y76" s="28"/>
      <c r="Z76" s="28"/>
    </row>
    <row r="77" ht="13.5" customHeight="1">
      <c r="A77" s="67"/>
      <c r="B77" s="67"/>
      <c r="C77" s="67"/>
      <c r="D77" s="67"/>
      <c r="E77" s="61" t="s">
        <v>452</v>
      </c>
      <c r="F77" s="68"/>
      <c r="G77" s="63" t="s">
        <v>454</v>
      </c>
      <c r="H77" s="61" t="s">
        <v>88</v>
      </c>
      <c r="I77" s="61" t="s">
        <v>60</v>
      </c>
      <c r="J77" s="63" t="s">
        <v>455</v>
      </c>
      <c r="K77" s="65"/>
      <c r="L77" s="67"/>
      <c r="M77" s="61"/>
      <c r="N77" s="61"/>
      <c r="O77" s="61"/>
      <c r="P77" s="61"/>
      <c r="Q77" s="61" t="s">
        <v>93</v>
      </c>
      <c r="R77" s="61" t="s">
        <v>94</v>
      </c>
      <c r="S77" s="61" t="s">
        <v>94</v>
      </c>
      <c r="T77" s="66">
        <v>46232.0</v>
      </c>
      <c r="U77" s="28"/>
      <c r="V77" s="30"/>
      <c r="W77" s="28"/>
      <c r="X77" s="28"/>
      <c r="Y77" s="28"/>
      <c r="Z77" s="28"/>
    </row>
    <row r="78" ht="13.5" customHeight="1">
      <c r="A78" s="67"/>
      <c r="B78" s="67"/>
      <c r="C78" s="67"/>
      <c r="D78" s="67"/>
      <c r="E78" s="61" t="s">
        <v>456</v>
      </c>
      <c r="F78" s="68"/>
      <c r="G78" s="63" t="s">
        <v>457</v>
      </c>
      <c r="H78" s="61" t="s">
        <v>88</v>
      </c>
      <c r="I78" s="61" t="s">
        <v>60</v>
      </c>
      <c r="J78" s="63" t="s">
        <v>458</v>
      </c>
      <c r="K78" s="70"/>
      <c r="L78" s="67"/>
      <c r="M78" s="61"/>
      <c r="N78" s="61"/>
      <c r="O78" s="61"/>
      <c r="P78" s="61"/>
      <c r="Q78" s="61" t="s">
        <v>93</v>
      </c>
      <c r="R78" s="61" t="s">
        <v>94</v>
      </c>
      <c r="S78" s="61" t="s">
        <v>94</v>
      </c>
      <c r="T78" s="66">
        <v>46232.0</v>
      </c>
      <c r="U78" s="28"/>
      <c r="V78" s="30"/>
      <c r="W78" s="28"/>
      <c r="X78" s="28"/>
      <c r="Y78" s="28"/>
      <c r="Z78" s="28"/>
    </row>
    <row r="79" ht="13.5" customHeight="1">
      <c r="A79" s="67"/>
      <c r="B79" s="67"/>
      <c r="C79" s="67"/>
      <c r="D79" s="67"/>
      <c r="E79" s="61" t="s">
        <v>459</v>
      </c>
      <c r="F79" s="68"/>
      <c r="G79" s="63" t="s">
        <v>460</v>
      </c>
      <c r="H79" s="61" t="s">
        <v>88</v>
      </c>
      <c r="I79" s="61" t="s">
        <v>60</v>
      </c>
      <c r="J79" s="63" t="s">
        <v>461</v>
      </c>
      <c r="K79" s="65"/>
      <c r="L79" s="67"/>
      <c r="M79" s="61"/>
      <c r="N79" s="61"/>
      <c r="O79" s="61"/>
      <c r="P79" s="61"/>
      <c r="Q79" s="61" t="s">
        <v>93</v>
      </c>
      <c r="R79" s="61" t="s">
        <v>94</v>
      </c>
      <c r="S79" s="61" t="s">
        <v>94</v>
      </c>
      <c r="T79" s="66">
        <v>46232.0</v>
      </c>
      <c r="U79" s="28"/>
      <c r="V79" s="30"/>
      <c r="W79" s="28"/>
      <c r="X79" s="28"/>
      <c r="Y79" s="28"/>
      <c r="Z79" s="28"/>
    </row>
    <row r="80" ht="13.5" customHeight="1">
      <c r="A80" s="67"/>
      <c r="B80" s="67"/>
      <c r="C80" s="67"/>
      <c r="D80" s="67"/>
      <c r="E80" s="61" t="s">
        <v>462</v>
      </c>
      <c r="F80" s="68"/>
      <c r="G80" s="63" t="s">
        <v>464</v>
      </c>
      <c r="H80" s="61" t="s">
        <v>88</v>
      </c>
      <c r="I80" s="61" t="s">
        <v>60</v>
      </c>
      <c r="J80" s="63" t="s">
        <v>465</v>
      </c>
      <c r="K80" s="65"/>
      <c r="L80" s="67"/>
      <c r="M80" s="61"/>
      <c r="N80" s="61"/>
      <c r="O80" s="61"/>
      <c r="P80" s="61"/>
      <c r="Q80" s="61" t="s">
        <v>93</v>
      </c>
      <c r="R80" s="61" t="s">
        <v>94</v>
      </c>
      <c r="S80" s="61" t="s">
        <v>94</v>
      </c>
      <c r="T80" s="66">
        <v>46232.0</v>
      </c>
      <c r="U80" s="28"/>
      <c r="V80" s="30"/>
      <c r="W80" s="28"/>
      <c r="X80" s="28"/>
      <c r="Y80" s="28"/>
      <c r="Z80" s="28"/>
    </row>
    <row r="81" ht="13.5" customHeight="1">
      <c r="A81" s="67"/>
      <c r="B81" s="67"/>
      <c r="C81" s="67"/>
      <c r="D81" s="67"/>
      <c r="E81" s="61" t="s">
        <v>468</v>
      </c>
      <c r="F81" s="62" t="s">
        <v>469</v>
      </c>
      <c r="G81" s="63" t="s">
        <v>470</v>
      </c>
      <c r="H81" s="61" t="s">
        <v>88</v>
      </c>
      <c r="I81" s="61" t="s">
        <v>60</v>
      </c>
      <c r="J81" s="73" t="s">
        <v>471</v>
      </c>
      <c r="K81" s="92" t="s">
        <v>472</v>
      </c>
      <c r="L81" s="67"/>
      <c r="M81" s="61"/>
      <c r="N81" s="61"/>
      <c r="O81" s="61"/>
      <c r="P81" s="61"/>
      <c r="Q81" s="61" t="s">
        <v>93</v>
      </c>
      <c r="R81" s="105" t="s">
        <v>94</v>
      </c>
      <c r="S81" s="105" t="s">
        <v>94</v>
      </c>
      <c r="T81" s="66">
        <v>46259.0</v>
      </c>
      <c r="U81" s="28"/>
      <c r="V81" s="30"/>
      <c r="W81" s="28"/>
      <c r="X81" s="28"/>
      <c r="Y81" s="28"/>
      <c r="Z81" s="28"/>
    </row>
    <row r="82" ht="13.5" customHeight="1">
      <c r="A82" s="67"/>
      <c r="B82" s="67"/>
      <c r="C82" s="67"/>
      <c r="D82" s="67"/>
      <c r="E82" s="61" t="s">
        <v>475</v>
      </c>
      <c r="F82" s="68"/>
      <c r="G82" s="63" t="s">
        <v>476</v>
      </c>
      <c r="H82" s="61" t="s">
        <v>88</v>
      </c>
      <c r="I82" s="61" t="s">
        <v>60</v>
      </c>
      <c r="J82" s="62" t="s">
        <v>477</v>
      </c>
      <c r="K82" s="65"/>
      <c r="L82" s="67"/>
      <c r="M82" s="61"/>
      <c r="N82" s="61"/>
      <c r="O82" s="61"/>
      <c r="P82" s="61"/>
      <c r="Q82" s="61" t="s">
        <v>93</v>
      </c>
      <c r="R82" s="61" t="s">
        <v>94</v>
      </c>
      <c r="S82" s="61" t="s">
        <v>94</v>
      </c>
      <c r="T82" s="66">
        <v>46232.0</v>
      </c>
      <c r="U82" s="28"/>
      <c r="V82" s="30"/>
      <c r="W82" s="28"/>
      <c r="X82" s="28"/>
      <c r="Y82" s="28"/>
      <c r="Z82" s="28"/>
    </row>
    <row r="83" ht="13.5" customHeight="1">
      <c r="A83" s="67"/>
      <c r="B83" s="67"/>
      <c r="C83" s="67"/>
      <c r="D83" s="67"/>
      <c r="E83" s="61" t="s">
        <v>478</v>
      </c>
      <c r="F83" s="68"/>
      <c r="G83" s="63" t="s">
        <v>479</v>
      </c>
      <c r="H83" s="61" t="s">
        <v>88</v>
      </c>
      <c r="I83" s="61" t="s">
        <v>60</v>
      </c>
      <c r="J83" s="63" t="s">
        <v>482</v>
      </c>
      <c r="K83" s="65"/>
      <c r="L83" s="67"/>
      <c r="M83" s="61"/>
      <c r="N83" s="61"/>
      <c r="O83" s="61"/>
      <c r="P83" s="61"/>
      <c r="Q83" s="61" t="s">
        <v>93</v>
      </c>
      <c r="R83" s="61" t="s">
        <v>94</v>
      </c>
      <c r="S83" s="61" t="s">
        <v>94</v>
      </c>
      <c r="T83" s="66">
        <v>46232.0</v>
      </c>
      <c r="U83" s="28"/>
      <c r="V83" s="30"/>
      <c r="W83" s="28"/>
      <c r="X83" s="28"/>
      <c r="Y83" s="28"/>
      <c r="Z83" s="28"/>
    </row>
    <row r="84" ht="13.5" customHeight="1">
      <c r="A84" s="67"/>
      <c r="B84" s="67"/>
      <c r="C84" s="67"/>
      <c r="D84" s="67"/>
      <c r="E84" s="61" t="s">
        <v>483</v>
      </c>
      <c r="F84" s="68"/>
      <c r="G84" s="63" t="s">
        <v>484</v>
      </c>
      <c r="H84" s="61" t="s">
        <v>88</v>
      </c>
      <c r="I84" s="61" t="s">
        <v>60</v>
      </c>
      <c r="J84" s="63" t="s">
        <v>485</v>
      </c>
      <c r="K84" s="70"/>
      <c r="L84" s="67"/>
      <c r="M84" s="61"/>
      <c r="N84" s="61"/>
      <c r="O84" s="61"/>
      <c r="P84" s="61"/>
      <c r="Q84" s="61" t="s">
        <v>93</v>
      </c>
      <c r="R84" s="61" t="s">
        <v>94</v>
      </c>
      <c r="S84" s="61" t="s">
        <v>94</v>
      </c>
      <c r="T84" s="66">
        <v>46232.0</v>
      </c>
      <c r="U84" s="28"/>
      <c r="V84" s="30"/>
      <c r="W84" s="28"/>
      <c r="X84" s="28"/>
      <c r="Y84" s="28"/>
      <c r="Z84" s="28"/>
    </row>
    <row r="85" ht="13.5" customHeight="1">
      <c r="A85" s="67"/>
      <c r="B85" s="67"/>
      <c r="C85" s="67"/>
      <c r="D85" s="67"/>
      <c r="E85" s="61" t="s">
        <v>488</v>
      </c>
      <c r="F85" s="62" t="s">
        <v>489</v>
      </c>
      <c r="G85" s="63" t="s">
        <v>490</v>
      </c>
      <c r="H85" s="61" t="s">
        <v>88</v>
      </c>
      <c r="I85" s="61" t="s">
        <v>60</v>
      </c>
      <c r="J85" s="63" t="s">
        <v>491</v>
      </c>
      <c r="K85" s="65"/>
      <c r="L85" s="67"/>
      <c r="M85" s="61"/>
      <c r="N85" s="61"/>
      <c r="O85" s="61"/>
      <c r="P85" s="61"/>
      <c r="Q85" s="61" t="s">
        <v>93</v>
      </c>
      <c r="R85" s="61" t="s">
        <v>94</v>
      </c>
      <c r="S85" s="61" t="s">
        <v>94</v>
      </c>
      <c r="T85" s="66">
        <v>46232.0</v>
      </c>
      <c r="U85" s="28"/>
      <c r="V85" s="30"/>
      <c r="W85" s="28"/>
      <c r="X85" s="28"/>
      <c r="Y85" s="28"/>
      <c r="Z85" s="28"/>
    </row>
    <row r="86" ht="13.5" customHeight="1">
      <c r="A86" s="67"/>
      <c r="B86" s="67"/>
      <c r="C86" s="67"/>
      <c r="D86" s="67"/>
      <c r="E86" s="61" t="s">
        <v>494</v>
      </c>
      <c r="F86" s="62" t="s">
        <v>495</v>
      </c>
      <c r="G86" s="63" t="s">
        <v>496</v>
      </c>
      <c r="H86" s="61" t="s">
        <v>88</v>
      </c>
      <c r="I86" s="61" t="s">
        <v>60</v>
      </c>
      <c r="J86" s="73" t="s">
        <v>497</v>
      </c>
      <c r="K86" s="106" t="s">
        <v>498</v>
      </c>
      <c r="L86" s="67"/>
      <c r="M86" s="61"/>
      <c r="N86" s="61"/>
      <c r="O86" s="61"/>
      <c r="P86" s="61"/>
      <c r="Q86" s="61" t="s">
        <v>93</v>
      </c>
      <c r="R86" s="105" t="s">
        <v>94</v>
      </c>
      <c r="S86" s="105" t="s">
        <v>94</v>
      </c>
      <c r="T86" s="66">
        <v>46259.0</v>
      </c>
      <c r="U86" s="28"/>
      <c r="V86" s="30"/>
      <c r="W86" s="28"/>
      <c r="X86" s="28"/>
      <c r="Y86" s="28"/>
      <c r="Z86" s="28"/>
    </row>
    <row r="87" ht="24.0" customHeight="1">
      <c r="A87" s="77"/>
      <c r="B87" s="77"/>
      <c r="C87" s="77"/>
      <c r="D87" s="77"/>
      <c r="E87" s="61" t="s">
        <v>499</v>
      </c>
      <c r="F87" s="68"/>
      <c r="G87" s="63" t="s">
        <v>502</v>
      </c>
      <c r="H87" s="61" t="s">
        <v>88</v>
      </c>
      <c r="I87" s="61" t="s">
        <v>60</v>
      </c>
      <c r="J87" s="62" t="s">
        <v>503</v>
      </c>
      <c r="K87" s="65"/>
      <c r="L87" s="77"/>
      <c r="M87" s="61"/>
      <c r="N87" s="61"/>
      <c r="O87" s="61"/>
      <c r="P87" s="61"/>
      <c r="Q87" s="61" t="s">
        <v>93</v>
      </c>
      <c r="R87" s="61" t="s">
        <v>94</v>
      </c>
      <c r="S87" s="61" t="s">
        <v>94</v>
      </c>
      <c r="T87" s="66">
        <v>46232.0</v>
      </c>
      <c r="U87" s="28"/>
      <c r="V87" s="30"/>
      <c r="W87" s="28"/>
      <c r="X87" s="28"/>
      <c r="Y87" s="28"/>
      <c r="Z87" s="28"/>
    </row>
    <row r="88" ht="36.0" customHeight="1">
      <c r="A88" s="78" t="s">
        <v>51</v>
      </c>
      <c r="B88" s="78" t="s">
        <v>98</v>
      </c>
      <c r="C88" s="79" t="s">
        <v>100</v>
      </c>
      <c r="D88" s="79" t="s">
        <v>506</v>
      </c>
      <c r="E88" s="81" t="s">
        <v>507</v>
      </c>
      <c r="F88" s="82" t="s">
        <v>508</v>
      </c>
      <c r="G88" s="83" t="s">
        <v>509</v>
      </c>
      <c r="H88" s="81" t="s">
        <v>88</v>
      </c>
      <c r="I88" s="81" t="s">
        <v>60</v>
      </c>
      <c r="J88" s="82" t="s">
        <v>510</v>
      </c>
      <c r="K88" s="65"/>
      <c r="L88" s="78" t="s">
        <v>511</v>
      </c>
      <c r="M88" s="81"/>
      <c r="N88" s="81"/>
      <c r="O88" s="81"/>
      <c r="P88" s="81"/>
      <c r="Q88" s="81" t="s">
        <v>93</v>
      </c>
      <c r="R88" s="81" t="s">
        <v>94</v>
      </c>
      <c r="S88" s="81" t="s">
        <v>94</v>
      </c>
      <c r="T88" s="84">
        <v>46232.0</v>
      </c>
      <c r="U88" s="28"/>
      <c r="V88" s="30"/>
      <c r="W88" s="28"/>
      <c r="X88" s="28"/>
      <c r="Y88" s="28"/>
      <c r="Z88" s="28"/>
    </row>
    <row r="89" ht="24.0" customHeight="1">
      <c r="A89" s="67"/>
      <c r="B89" s="67"/>
      <c r="C89" s="67"/>
      <c r="D89" s="67"/>
      <c r="E89" s="81" t="s">
        <v>513</v>
      </c>
      <c r="F89" s="85"/>
      <c r="G89" s="83" t="s">
        <v>514</v>
      </c>
      <c r="H89" s="81" t="s">
        <v>88</v>
      </c>
      <c r="I89" s="81" t="s">
        <v>60</v>
      </c>
      <c r="J89" s="82" t="s">
        <v>515</v>
      </c>
      <c r="K89" s="65"/>
      <c r="L89" s="67"/>
      <c r="M89" s="81"/>
      <c r="N89" s="81"/>
      <c r="O89" s="81"/>
      <c r="P89" s="81"/>
      <c r="Q89" s="81" t="s">
        <v>93</v>
      </c>
      <c r="R89" s="81" t="s">
        <v>94</v>
      </c>
      <c r="S89" s="81" t="s">
        <v>94</v>
      </c>
      <c r="T89" s="86">
        <v>46232.0</v>
      </c>
      <c r="U89" s="28"/>
      <c r="V89" s="30"/>
      <c r="W89" s="28"/>
      <c r="X89" s="28"/>
      <c r="Y89" s="28"/>
      <c r="Z89" s="28"/>
    </row>
    <row r="90" ht="24.0" customHeight="1">
      <c r="A90" s="67"/>
      <c r="B90" s="67"/>
      <c r="C90" s="67"/>
      <c r="D90" s="67"/>
      <c r="E90" s="81" t="s">
        <v>517</v>
      </c>
      <c r="F90" s="85"/>
      <c r="G90" s="83" t="s">
        <v>518</v>
      </c>
      <c r="H90" s="81" t="s">
        <v>88</v>
      </c>
      <c r="I90" s="81" t="s">
        <v>60</v>
      </c>
      <c r="J90" s="82" t="s">
        <v>519</v>
      </c>
      <c r="K90" s="65"/>
      <c r="L90" s="67"/>
      <c r="M90" s="81"/>
      <c r="N90" s="81"/>
      <c r="O90" s="81"/>
      <c r="P90" s="81"/>
      <c r="Q90" s="81" t="s">
        <v>93</v>
      </c>
      <c r="R90" s="81" t="s">
        <v>94</v>
      </c>
      <c r="S90" s="81" t="s">
        <v>94</v>
      </c>
      <c r="T90" s="86">
        <v>46232.0</v>
      </c>
      <c r="U90" s="28"/>
      <c r="V90" s="30"/>
      <c r="W90" s="28"/>
      <c r="X90" s="28"/>
      <c r="Y90" s="28"/>
      <c r="Z90" s="28"/>
    </row>
    <row r="91" ht="24.0" customHeight="1">
      <c r="A91" s="67"/>
      <c r="B91" s="67"/>
      <c r="C91" s="67"/>
      <c r="D91" s="67"/>
      <c r="E91" s="81" t="s">
        <v>520</v>
      </c>
      <c r="F91" s="85"/>
      <c r="G91" s="83" t="s">
        <v>521</v>
      </c>
      <c r="H91" s="81" t="s">
        <v>88</v>
      </c>
      <c r="I91" s="81" t="s">
        <v>60</v>
      </c>
      <c r="J91" s="90" t="s">
        <v>522</v>
      </c>
      <c r="K91" s="65"/>
      <c r="L91" s="67"/>
      <c r="M91" s="81"/>
      <c r="N91" s="81"/>
      <c r="O91" s="81"/>
      <c r="P91" s="81"/>
      <c r="Q91" s="81" t="s">
        <v>93</v>
      </c>
      <c r="R91" s="81" t="s">
        <v>94</v>
      </c>
      <c r="S91" s="81" t="s">
        <v>94</v>
      </c>
      <c r="T91" s="86">
        <v>46232.0</v>
      </c>
      <c r="U91" s="28"/>
      <c r="V91" s="30"/>
      <c r="W91" s="28"/>
      <c r="X91" s="28"/>
      <c r="Y91" s="28"/>
      <c r="Z91" s="28"/>
    </row>
    <row r="92" ht="24.0" customHeight="1">
      <c r="A92" s="67"/>
      <c r="B92" s="67"/>
      <c r="C92" s="67"/>
      <c r="D92" s="67"/>
      <c r="E92" s="81" t="s">
        <v>523</v>
      </c>
      <c r="F92" s="85"/>
      <c r="G92" s="83" t="s">
        <v>524</v>
      </c>
      <c r="H92" s="81" t="s">
        <v>88</v>
      </c>
      <c r="I92" s="81" t="s">
        <v>60</v>
      </c>
      <c r="J92" s="82" t="s">
        <v>525</v>
      </c>
      <c r="K92" s="65"/>
      <c r="L92" s="67"/>
      <c r="M92" s="81"/>
      <c r="N92" s="81"/>
      <c r="O92" s="81"/>
      <c r="P92" s="81"/>
      <c r="Q92" s="81" t="s">
        <v>93</v>
      </c>
      <c r="R92" s="81" t="s">
        <v>94</v>
      </c>
      <c r="S92" s="81" t="s">
        <v>94</v>
      </c>
      <c r="T92" s="86">
        <v>46232.0</v>
      </c>
      <c r="U92" s="28"/>
      <c r="V92" s="30"/>
      <c r="W92" s="28"/>
      <c r="X92" s="28"/>
      <c r="Y92" s="28"/>
      <c r="Z92" s="28"/>
    </row>
    <row r="93" ht="13.5" customHeight="1">
      <c r="A93" s="67"/>
      <c r="B93" s="67"/>
      <c r="C93" s="67"/>
      <c r="D93" s="67"/>
      <c r="E93" s="81" t="s">
        <v>529</v>
      </c>
      <c r="F93" s="82" t="s">
        <v>530</v>
      </c>
      <c r="G93" s="83" t="s">
        <v>531</v>
      </c>
      <c r="H93" s="81" t="s">
        <v>88</v>
      </c>
      <c r="I93" s="81" t="s">
        <v>60</v>
      </c>
      <c r="J93" s="82" t="s">
        <v>532</v>
      </c>
      <c r="K93" s="65"/>
      <c r="L93" s="67"/>
      <c r="M93" s="81"/>
      <c r="N93" s="81"/>
      <c r="O93" s="81"/>
      <c r="P93" s="81"/>
      <c r="Q93" s="81" t="s">
        <v>93</v>
      </c>
      <c r="R93" s="81" t="s">
        <v>94</v>
      </c>
      <c r="S93" s="81" t="s">
        <v>94</v>
      </c>
      <c r="T93" s="86">
        <v>46232.0</v>
      </c>
      <c r="U93" s="28"/>
      <c r="V93" s="30"/>
      <c r="W93" s="28"/>
      <c r="X93" s="28"/>
      <c r="Y93" s="28"/>
      <c r="Z93" s="28"/>
    </row>
    <row r="94" ht="13.5" customHeight="1">
      <c r="A94" s="67"/>
      <c r="B94" s="67"/>
      <c r="C94" s="67"/>
      <c r="D94" s="67"/>
      <c r="E94" s="81" t="s">
        <v>533</v>
      </c>
      <c r="F94" s="85"/>
      <c r="G94" s="83" t="s">
        <v>535</v>
      </c>
      <c r="H94" s="81" t="s">
        <v>88</v>
      </c>
      <c r="I94" s="81" t="s">
        <v>60</v>
      </c>
      <c r="J94" s="82" t="s">
        <v>537</v>
      </c>
      <c r="K94" s="69" t="s">
        <v>538</v>
      </c>
      <c r="L94" s="67"/>
      <c r="M94" s="81"/>
      <c r="N94" s="81"/>
      <c r="O94" s="81"/>
      <c r="P94" s="81"/>
      <c r="Q94" s="81" t="s">
        <v>93</v>
      </c>
      <c r="R94" s="81" t="s">
        <v>94</v>
      </c>
      <c r="S94" s="81" t="s">
        <v>94</v>
      </c>
      <c r="T94" s="86">
        <v>46255.0</v>
      </c>
      <c r="U94" s="28"/>
      <c r="V94" s="30"/>
      <c r="W94" s="28"/>
      <c r="X94" s="28"/>
      <c r="Y94" s="28"/>
      <c r="Z94" s="28"/>
    </row>
    <row r="95" ht="13.5" customHeight="1">
      <c r="A95" s="67"/>
      <c r="B95" s="67"/>
      <c r="C95" s="67"/>
      <c r="D95" s="67"/>
      <c r="E95" s="81" t="s">
        <v>539</v>
      </c>
      <c r="F95" s="85"/>
      <c r="G95" s="83" t="s">
        <v>540</v>
      </c>
      <c r="H95" s="81" t="s">
        <v>88</v>
      </c>
      <c r="I95" s="81" t="s">
        <v>60</v>
      </c>
      <c r="J95" s="82" t="s">
        <v>541</v>
      </c>
      <c r="K95" s="69" t="s">
        <v>542</v>
      </c>
      <c r="L95" s="67"/>
      <c r="M95" s="81"/>
      <c r="N95" s="81"/>
      <c r="O95" s="81"/>
      <c r="P95" s="81"/>
      <c r="Q95" s="81" t="s">
        <v>93</v>
      </c>
      <c r="R95" s="81" t="s">
        <v>94</v>
      </c>
      <c r="S95" s="81" t="s">
        <v>94</v>
      </c>
      <c r="T95" s="86">
        <v>46255.0</v>
      </c>
      <c r="U95" s="28"/>
      <c r="V95" s="30"/>
      <c r="W95" s="28"/>
      <c r="X95" s="28"/>
      <c r="Y95" s="28"/>
      <c r="Z95" s="28"/>
    </row>
    <row r="96" ht="13.5" customHeight="1">
      <c r="A96" s="67"/>
      <c r="B96" s="67"/>
      <c r="C96" s="67"/>
      <c r="D96" s="67"/>
      <c r="E96" s="81" t="s">
        <v>545</v>
      </c>
      <c r="F96" s="82" t="s">
        <v>546</v>
      </c>
      <c r="G96" s="83" t="s">
        <v>547</v>
      </c>
      <c r="H96" s="81" t="s">
        <v>88</v>
      </c>
      <c r="I96" s="81" t="s">
        <v>60</v>
      </c>
      <c r="J96" s="82" t="s">
        <v>548</v>
      </c>
      <c r="K96" s="65"/>
      <c r="L96" s="67"/>
      <c r="M96" s="81"/>
      <c r="N96" s="81"/>
      <c r="O96" s="81"/>
      <c r="P96" s="81"/>
      <c r="Q96" s="81" t="s">
        <v>93</v>
      </c>
      <c r="R96" s="81" t="s">
        <v>94</v>
      </c>
      <c r="S96" s="81" t="s">
        <v>94</v>
      </c>
      <c r="T96" s="86">
        <v>46232.0</v>
      </c>
      <c r="U96" s="28"/>
      <c r="V96" s="30"/>
      <c r="W96" s="28"/>
      <c r="X96" s="28"/>
      <c r="Y96" s="28"/>
      <c r="Z96" s="28"/>
    </row>
    <row r="97" ht="13.5" customHeight="1">
      <c r="A97" s="67"/>
      <c r="B97" s="67"/>
      <c r="C97" s="67"/>
      <c r="D97" s="67"/>
      <c r="E97" s="81" t="s">
        <v>551</v>
      </c>
      <c r="F97" s="85"/>
      <c r="G97" s="83" t="s">
        <v>552</v>
      </c>
      <c r="H97" s="81" t="s">
        <v>88</v>
      </c>
      <c r="I97" s="81" t="s">
        <v>60</v>
      </c>
      <c r="J97" s="82" t="s">
        <v>553</v>
      </c>
      <c r="K97" s="65"/>
      <c r="L97" s="67"/>
      <c r="M97" s="81"/>
      <c r="N97" s="81"/>
      <c r="O97" s="81"/>
      <c r="P97" s="81"/>
      <c r="Q97" s="81" t="s">
        <v>93</v>
      </c>
      <c r="R97" s="81" t="s">
        <v>94</v>
      </c>
      <c r="S97" s="81" t="s">
        <v>94</v>
      </c>
      <c r="T97" s="86">
        <v>46232.0</v>
      </c>
      <c r="U97" s="28"/>
      <c r="V97" s="30"/>
      <c r="W97" s="28"/>
      <c r="X97" s="28"/>
      <c r="Y97" s="28"/>
      <c r="Z97" s="28"/>
    </row>
    <row r="98" ht="13.5" customHeight="1">
      <c r="A98" s="67"/>
      <c r="B98" s="67"/>
      <c r="C98" s="67"/>
      <c r="D98" s="67"/>
      <c r="E98" s="81" t="s">
        <v>554</v>
      </c>
      <c r="F98" s="85"/>
      <c r="G98" s="83" t="s">
        <v>555</v>
      </c>
      <c r="H98" s="81" t="s">
        <v>88</v>
      </c>
      <c r="I98" s="81" t="s">
        <v>60</v>
      </c>
      <c r="J98" s="109" t="s">
        <v>556</v>
      </c>
      <c r="K98" s="106" t="s">
        <v>558</v>
      </c>
      <c r="L98" s="67"/>
      <c r="M98" s="81"/>
      <c r="N98" s="81"/>
      <c r="O98" s="81"/>
      <c r="P98" s="81"/>
      <c r="Q98" s="81" t="s">
        <v>93</v>
      </c>
      <c r="R98" s="81" t="s">
        <v>94</v>
      </c>
      <c r="S98" s="81" t="s">
        <v>94</v>
      </c>
      <c r="T98" s="86">
        <v>46259.0</v>
      </c>
      <c r="U98" s="28"/>
      <c r="V98" s="30"/>
      <c r="W98" s="28"/>
      <c r="X98" s="28"/>
      <c r="Y98" s="28"/>
      <c r="Z98" s="28"/>
    </row>
    <row r="99" ht="13.5" customHeight="1">
      <c r="A99" s="67"/>
      <c r="B99" s="67"/>
      <c r="C99" s="67"/>
      <c r="D99" s="67"/>
      <c r="E99" s="81" t="s">
        <v>559</v>
      </c>
      <c r="F99" s="85"/>
      <c r="G99" s="83" t="s">
        <v>560</v>
      </c>
      <c r="H99" s="81" t="s">
        <v>88</v>
      </c>
      <c r="I99" s="81" t="s">
        <v>60</v>
      </c>
      <c r="J99" s="82" t="s">
        <v>561</v>
      </c>
      <c r="K99" s="65"/>
      <c r="L99" s="67"/>
      <c r="M99" s="81"/>
      <c r="N99" s="81"/>
      <c r="O99" s="81"/>
      <c r="P99" s="81"/>
      <c r="Q99" s="81" t="s">
        <v>93</v>
      </c>
      <c r="R99" s="81" t="s">
        <v>94</v>
      </c>
      <c r="S99" s="81" t="s">
        <v>94</v>
      </c>
      <c r="T99" s="86">
        <v>46232.0</v>
      </c>
      <c r="U99" s="28"/>
      <c r="V99" s="30"/>
      <c r="W99" s="28"/>
      <c r="X99" s="28"/>
      <c r="Y99" s="28"/>
      <c r="Z99" s="28"/>
    </row>
    <row r="100" ht="13.5" customHeight="1">
      <c r="A100" s="67"/>
      <c r="B100" s="67"/>
      <c r="C100" s="67"/>
      <c r="D100" s="67"/>
      <c r="E100" s="81" t="s">
        <v>562</v>
      </c>
      <c r="F100" s="85"/>
      <c r="G100" s="83" t="s">
        <v>563</v>
      </c>
      <c r="H100" s="81" t="s">
        <v>88</v>
      </c>
      <c r="I100" s="81" t="s">
        <v>60</v>
      </c>
      <c r="J100" s="82" t="s">
        <v>564</v>
      </c>
      <c r="K100" s="65"/>
      <c r="L100" s="67"/>
      <c r="M100" s="81"/>
      <c r="N100" s="81"/>
      <c r="O100" s="81"/>
      <c r="P100" s="81"/>
      <c r="Q100" s="81" t="s">
        <v>93</v>
      </c>
      <c r="R100" s="81" t="s">
        <v>94</v>
      </c>
      <c r="S100" s="81" t="s">
        <v>94</v>
      </c>
      <c r="T100" s="86">
        <v>46232.0</v>
      </c>
      <c r="U100" s="28"/>
      <c r="V100" s="30"/>
      <c r="W100" s="28"/>
      <c r="X100" s="28"/>
      <c r="Y100" s="28"/>
      <c r="Z100" s="28"/>
    </row>
    <row r="101" ht="13.5" customHeight="1">
      <c r="A101" s="67"/>
      <c r="B101" s="67"/>
      <c r="C101" s="67"/>
      <c r="D101" s="67"/>
      <c r="E101" s="81" t="s">
        <v>567</v>
      </c>
      <c r="F101" s="82" t="s">
        <v>569</v>
      </c>
      <c r="G101" s="83" t="s">
        <v>570</v>
      </c>
      <c r="H101" s="81" t="s">
        <v>88</v>
      </c>
      <c r="I101" s="81" t="s">
        <v>60</v>
      </c>
      <c r="J101" s="82" t="s">
        <v>571</v>
      </c>
      <c r="K101" s="65"/>
      <c r="L101" s="67"/>
      <c r="M101" s="81"/>
      <c r="N101" s="81"/>
      <c r="O101" s="81"/>
      <c r="P101" s="81"/>
      <c r="Q101" s="81" t="s">
        <v>93</v>
      </c>
      <c r="R101" s="81" t="s">
        <v>94</v>
      </c>
      <c r="S101" s="81" t="s">
        <v>94</v>
      </c>
      <c r="T101" s="86">
        <v>46232.0</v>
      </c>
      <c r="U101" s="28"/>
      <c r="V101" s="30"/>
      <c r="W101" s="28"/>
      <c r="X101" s="28"/>
      <c r="Y101" s="28"/>
      <c r="Z101" s="28"/>
    </row>
    <row r="102" ht="13.5" customHeight="1">
      <c r="A102" s="67"/>
      <c r="B102" s="67"/>
      <c r="C102" s="67"/>
      <c r="D102" s="67"/>
      <c r="E102" s="81" t="s">
        <v>572</v>
      </c>
      <c r="F102" s="85"/>
      <c r="G102" s="83" t="s">
        <v>573</v>
      </c>
      <c r="H102" s="81" t="s">
        <v>88</v>
      </c>
      <c r="I102" s="81" t="s">
        <v>60</v>
      </c>
      <c r="J102" s="82" t="s">
        <v>574</v>
      </c>
      <c r="K102" s="65"/>
      <c r="L102" s="67"/>
      <c r="M102" s="81"/>
      <c r="N102" s="81"/>
      <c r="O102" s="81"/>
      <c r="P102" s="81"/>
      <c r="Q102" s="81" t="s">
        <v>93</v>
      </c>
      <c r="R102" s="81" t="s">
        <v>94</v>
      </c>
      <c r="S102" s="81" t="s">
        <v>94</v>
      </c>
      <c r="T102" s="86">
        <v>46232.0</v>
      </c>
      <c r="U102" s="28"/>
      <c r="V102" s="30"/>
      <c r="W102" s="28"/>
      <c r="X102" s="28"/>
      <c r="Y102" s="28"/>
      <c r="Z102" s="28"/>
    </row>
    <row r="103" ht="13.5" customHeight="1">
      <c r="A103" s="67"/>
      <c r="B103" s="67"/>
      <c r="C103" s="67"/>
      <c r="D103" s="67"/>
      <c r="E103" s="81" t="s">
        <v>577</v>
      </c>
      <c r="F103" s="85"/>
      <c r="G103" s="83" t="s">
        <v>578</v>
      </c>
      <c r="H103" s="81" t="s">
        <v>88</v>
      </c>
      <c r="I103" s="81" t="s">
        <v>60</v>
      </c>
      <c r="J103" s="90" t="s">
        <v>579</v>
      </c>
      <c r="K103" s="65"/>
      <c r="L103" s="67"/>
      <c r="M103" s="81"/>
      <c r="N103" s="81"/>
      <c r="O103" s="81"/>
      <c r="P103" s="81"/>
      <c r="Q103" s="81" t="s">
        <v>93</v>
      </c>
      <c r="R103" s="81" t="s">
        <v>94</v>
      </c>
      <c r="S103" s="81" t="s">
        <v>94</v>
      </c>
      <c r="T103" s="86">
        <v>46232.0</v>
      </c>
      <c r="U103" s="28"/>
      <c r="V103" s="30"/>
      <c r="W103" s="28"/>
      <c r="X103" s="28"/>
      <c r="Y103" s="28"/>
      <c r="Z103" s="28"/>
    </row>
    <row r="104" ht="13.5" customHeight="1">
      <c r="A104" s="67"/>
      <c r="B104" s="67"/>
      <c r="C104" s="67"/>
      <c r="D104" s="67"/>
      <c r="E104" s="81" t="s">
        <v>582</v>
      </c>
      <c r="F104" s="82" t="s">
        <v>583</v>
      </c>
      <c r="G104" s="83" t="s">
        <v>584</v>
      </c>
      <c r="H104" s="81" t="s">
        <v>88</v>
      </c>
      <c r="I104" s="81" t="s">
        <v>60</v>
      </c>
      <c r="J104" s="82" t="s">
        <v>585</v>
      </c>
      <c r="K104" s="69" t="s">
        <v>586</v>
      </c>
      <c r="L104" s="67"/>
      <c r="M104" s="81"/>
      <c r="N104" s="81"/>
      <c r="O104" s="81"/>
      <c r="P104" s="81"/>
      <c r="Q104" s="81" t="s">
        <v>93</v>
      </c>
      <c r="R104" s="81" t="s">
        <v>94</v>
      </c>
      <c r="S104" s="81" t="s">
        <v>94</v>
      </c>
      <c r="T104" s="86">
        <v>46255.0</v>
      </c>
      <c r="U104" s="28"/>
      <c r="V104" s="30"/>
      <c r="W104" s="28"/>
      <c r="X104" s="28"/>
      <c r="Y104" s="28"/>
      <c r="Z104" s="28"/>
    </row>
    <row r="105" ht="13.5" customHeight="1">
      <c r="A105" s="67"/>
      <c r="B105" s="67"/>
      <c r="C105" s="67"/>
      <c r="D105" s="67"/>
      <c r="E105" s="81" t="s">
        <v>587</v>
      </c>
      <c r="F105" s="85"/>
      <c r="G105" s="90" t="s">
        <v>590</v>
      </c>
      <c r="H105" s="89" t="s">
        <v>88</v>
      </c>
      <c r="I105" s="89" t="s">
        <v>60</v>
      </c>
      <c r="J105" s="70" t="s">
        <v>591</v>
      </c>
      <c r="K105" s="65"/>
      <c r="L105" s="67"/>
      <c r="M105" s="81"/>
      <c r="N105" s="81"/>
      <c r="O105" s="81"/>
      <c r="P105" s="81"/>
      <c r="Q105" s="81" t="s">
        <v>93</v>
      </c>
      <c r="R105" s="81" t="s">
        <v>94</v>
      </c>
      <c r="S105" s="81" t="s">
        <v>94</v>
      </c>
      <c r="T105" s="86">
        <v>46232.0</v>
      </c>
      <c r="U105" s="28"/>
      <c r="V105" s="30"/>
      <c r="W105" s="28"/>
      <c r="X105" s="28"/>
      <c r="Y105" s="28"/>
      <c r="Z105" s="28"/>
    </row>
    <row r="106" ht="13.5" customHeight="1">
      <c r="A106" s="67"/>
      <c r="B106" s="67"/>
      <c r="C106" s="67"/>
      <c r="D106" s="67"/>
      <c r="E106" s="81" t="s">
        <v>592</v>
      </c>
      <c r="F106" s="82" t="s">
        <v>593</v>
      </c>
      <c r="G106" s="83" t="s">
        <v>594</v>
      </c>
      <c r="H106" s="81" t="s">
        <v>88</v>
      </c>
      <c r="I106" s="81" t="s">
        <v>60</v>
      </c>
      <c r="J106" s="90" t="s">
        <v>596</v>
      </c>
      <c r="K106" s="65"/>
      <c r="L106" s="67"/>
      <c r="M106" s="81"/>
      <c r="N106" s="81"/>
      <c r="O106" s="81"/>
      <c r="P106" s="81"/>
      <c r="Q106" s="81" t="s">
        <v>93</v>
      </c>
      <c r="R106" s="81" t="s">
        <v>94</v>
      </c>
      <c r="S106" s="81" t="s">
        <v>94</v>
      </c>
      <c r="T106" s="86">
        <v>46232.0</v>
      </c>
      <c r="U106" s="28"/>
      <c r="V106" s="30"/>
      <c r="W106" s="28"/>
      <c r="X106" s="28"/>
      <c r="Y106" s="28"/>
      <c r="Z106" s="28"/>
    </row>
    <row r="107" ht="13.5" customHeight="1">
      <c r="A107" s="67"/>
      <c r="B107" s="67"/>
      <c r="C107" s="67"/>
      <c r="D107" s="67"/>
      <c r="E107" s="81" t="s">
        <v>598</v>
      </c>
      <c r="F107" s="85"/>
      <c r="G107" s="83" t="s">
        <v>599</v>
      </c>
      <c r="H107" s="81" t="s">
        <v>88</v>
      </c>
      <c r="I107" s="81" t="s">
        <v>60</v>
      </c>
      <c r="J107" s="82" t="s">
        <v>600</v>
      </c>
      <c r="K107" s="70"/>
      <c r="L107" s="67"/>
      <c r="M107" s="81"/>
      <c r="N107" s="81"/>
      <c r="O107" s="81"/>
      <c r="P107" s="81"/>
      <c r="Q107" s="81" t="s">
        <v>93</v>
      </c>
      <c r="R107" s="81" t="s">
        <v>94</v>
      </c>
      <c r="S107" s="81" t="s">
        <v>94</v>
      </c>
      <c r="T107" s="86">
        <v>46232.0</v>
      </c>
      <c r="U107" s="28"/>
      <c r="V107" s="30"/>
      <c r="W107" s="28"/>
      <c r="X107" s="28"/>
      <c r="Y107" s="28"/>
      <c r="Z107" s="28"/>
    </row>
    <row r="108" ht="13.5" customHeight="1">
      <c r="A108" s="77"/>
      <c r="B108" s="77"/>
      <c r="C108" s="77"/>
      <c r="D108" s="77"/>
      <c r="E108" s="81" t="s">
        <v>601</v>
      </c>
      <c r="F108" s="82" t="s">
        <v>602</v>
      </c>
      <c r="G108" s="83" t="s">
        <v>603</v>
      </c>
      <c r="H108" s="81" t="s">
        <v>88</v>
      </c>
      <c r="I108" s="81" t="s">
        <v>60</v>
      </c>
      <c r="J108" s="82" t="s">
        <v>604</v>
      </c>
      <c r="K108" s="65"/>
      <c r="L108" s="77"/>
      <c r="M108" s="81"/>
      <c r="N108" s="81"/>
      <c r="O108" s="81"/>
      <c r="P108" s="81"/>
      <c r="Q108" s="81" t="s">
        <v>93</v>
      </c>
      <c r="R108" s="81" t="s">
        <v>94</v>
      </c>
      <c r="S108" s="81" t="s">
        <v>94</v>
      </c>
      <c r="T108" s="86">
        <v>46232.0</v>
      </c>
      <c r="U108" s="28"/>
      <c r="V108" s="30"/>
      <c r="W108" s="28"/>
      <c r="X108" s="28"/>
      <c r="Y108" s="28"/>
      <c r="Z108" s="28"/>
    </row>
    <row r="109" ht="13.5" customHeight="1">
      <c r="A109" s="59" t="s">
        <v>51</v>
      </c>
      <c r="B109" s="59" t="s">
        <v>104</v>
      </c>
      <c r="C109" s="60" t="s">
        <v>105</v>
      </c>
      <c r="D109" s="60" t="s">
        <v>608</v>
      </c>
      <c r="E109" s="61" t="s">
        <v>609</v>
      </c>
      <c r="F109" s="62" t="s">
        <v>610</v>
      </c>
      <c r="G109" s="63" t="s">
        <v>611</v>
      </c>
      <c r="H109" s="61" t="s">
        <v>88</v>
      </c>
      <c r="I109" s="61" t="s">
        <v>60</v>
      </c>
      <c r="J109" s="62" t="s">
        <v>612</v>
      </c>
      <c r="K109" s="70"/>
      <c r="L109" s="59" t="s">
        <v>613</v>
      </c>
      <c r="M109" s="61"/>
      <c r="N109" s="61"/>
      <c r="O109" s="61"/>
      <c r="P109" s="61"/>
      <c r="Q109" s="61" t="s">
        <v>93</v>
      </c>
      <c r="R109" s="61" t="s">
        <v>94</v>
      </c>
      <c r="S109" s="61" t="s">
        <v>94</v>
      </c>
      <c r="T109" s="66">
        <v>46232.0</v>
      </c>
      <c r="U109" s="28"/>
      <c r="V109" s="30"/>
      <c r="W109" s="28"/>
      <c r="X109" s="28"/>
      <c r="Y109" s="28"/>
      <c r="Z109" s="28"/>
    </row>
    <row r="110" ht="13.5" customHeight="1">
      <c r="A110" s="67"/>
      <c r="B110" s="67"/>
      <c r="C110" s="67"/>
      <c r="D110" s="67"/>
      <c r="E110" s="61" t="s">
        <v>616</v>
      </c>
      <c r="F110" s="68"/>
      <c r="G110" s="63" t="s">
        <v>617</v>
      </c>
      <c r="H110" s="61" t="s">
        <v>88</v>
      </c>
      <c r="I110" s="61" t="s">
        <v>60</v>
      </c>
      <c r="J110" s="62" t="s">
        <v>618</v>
      </c>
      <c r="K110" s="65"/>
      <c r="L110" s="67"/>
      <c r="M110" s="61"/>
      <c r="N110" s="61"/>
      <c r="O110" s="61"/>
      <c r="P110" s="61"/>
      <c r="Q110" s="61" t="s">
        <v>93</v>
      </c>
      <c r="R110" s="61" t="s">
        <v>94</v>
      </c>
      <c r="S110" s="61" t="s">
        <v>94</v>
      </c>
      <c r="T110" s="66">
        <v>46232.0</v>
      </c>
      <c r="U110" s="28"/>
      <c r="V110" s="30"/>
      <c r="W110" s="28"/>
      <c r="X110" s="28"/>
      <c r="Y110" s="28"/>
      <c r="Z110" s="28"/>
    </row>
    <row r="111" ht="13.5" customHeight="1">
      <c r="A111" s="67"/>
      <c r="B111" s="67"/>
      <c r="C111" s="67"/>
      <c r="D111" s="67"/>
      <c r="E111" s="61" t="s">
        <v>620</v>
      </c>
      <c r="F111" s="68"/>
      <c r="G111" s="63" t="s">
        <v>622</v>
      </c>
      <c r="H111" s="61" t="s">
        <v>88</v>
      </c>
      <c r="I111" s="61" t="s">
        <v>60</v>
      </c>
      <c r="J111" s="62" t="s">
        <v>623</v>
      </c>
      <c r="K111" s="65"/>
      <c r="L111" s="67"/>
      <c r="M111" s="61"/>
      <c r="N111" s="61"/>
      <c r="O111" s="61"/>
      <c r="P111" s="61"/>
      <c r="Q111" s="61" t="s">
        <v>93</v>
      </c>
      <c r="R111" s="61" t="s">
        <v>94</v>
      </c>
      <c r="S111" s="61" t="s">
        <v>94</v>
      </c>
      <c r="T111" s="66">
        <v>46232.0</v>
      </c>
      <c r="U111" s="28"/>
      <c r="V111" s="30"/>
      <c r="W111" s="28"/>
      <c r="X111" s="28"/>
      <c r="Y111" s="28"/>
      <c r="Z111" s="28"/>
    </row>
    <row r="112" ht="13.5" customHeight="1">
      <c r="A112" s="67"/>
      <c r="B112" s="67"/>
      <c r="C112" s="67"/>
      <c r="D112" s="67"/>
      <c r="E112" s="61" t="s">
        <v>624</v>
      </c>
      <c r="F112" s="68"/>
      <c r="G112" s="63" t="s">
        <v>625</v>
      </c>
      <c r="H112" s="61" t="s">
        <v>88</v>
      </c>
      <c r="I112" s="61" t="s">
        <v>60</v>
      </c>
      <c r="J112" s="62" t="s">
        <v>626</v>
      </c>
      <c r="K112" s="65"/>
      <c r="L112" s="67"/>
      <c r="M112" s="61"/>
      <c r="N112" s="61"/>
      <c r="O112" s="61"/>
      <c r="P112" s="61"/>
      <c r="Q112" s="61" t="s">
        <v>93</v>
      </c>
      <c r="R112" s="61" t="s">
        <v>94</v>
      </c>
      <c r="S112" s="61" t="s">
        <v>94</v>
      </c>
      <c r="T112" s="66">
        <v>46232.0</v>
      </c>
      <c r="U112" s="28"/>
      <c r="V112" s="30"/>
      <c r="W112" s="28"/>
      <c r="X112" s="28"/>
      <c r="Y112" s="28"/>
      <c r="Z112" s="28"/>
    </row>
    <row r="113" ht="13.5" customHeight="1">
      <c r="A113" s="67"/>
      <c r="B113" s="67"/>
      <c r="C113" s="67"/>
      <c r="D113" s="67"/>
      <c r="E113" s="61" t="s">
        <v>629</v>
      </c>
      <c r="F113" s="68"/>
      <c r="G113" s="63" t="s">
        <v>630</v>
      </c>
      <c r="H113" s="61" t="s">
        <v>88</v>
      </c>
      <c r="I113" s="61" t="s">
        <v>60</v>
      </c>
      <c r="J113" s="62" t="s">
        <v>631</v>
      </c>
      <c r="K113" s="65"/>
      <c r="L113" s="67"/>
      <c r="M113" s="61"/>
      <c r="N113" s="61"/>
      <c r="O113" s="61"/>
      <c r="P113" s="61"/>
      <c r="Q113" s="61" t="s">
        <v>93</v>
      </c>
      <c r="R113" s="61" t="s">
        <v>94</v>
      </c>
      <c r="S113" s="61" t="s">
        <v>94</v>
      </c>
      <c r="T113" s="66">
        <v>46232.0</v>
      </c>
      <c r="U113" s="28"/>
      <c r="V113" s="30"/>
      <c r="W113" s="28"/>
      <c r="X113" s="28"/>
      <c r="Y113" s="28"/>
      <c r="Z113" s="28"/>
    </row>
    <row r="114" ht="13.5" customHeight="1">
      <c r="A114" s="67"/>
      <c r="B114" s="67"/>
      <c r="C114" s="67"/>
      <c r="D114" s="67"/>
      <c r="E114" s="61" t="s">
        <v>634</v>
      </c>
      <c r="F114" s="62" t="s">
        <v>635</v>
      </c>
      <c r="G114" s="63" t="s">
        <v>636</v>
      </c>
      <c r="H114" s="61" t="s">
        <v>88</v>
      </c>
      <c r="I114" s="61" t="s">
        <v>60</v>
      </c>
      <c r="J114" s="62" t="s">
        <v>637</v>
      </c>
      <c r="K114" s="69" t="s">
        <v>638</v>
      </c>
      <c r="L114" s="67"/>
      <c r="M114" s="61"/>
      <c r="N114" s="61"/>
      <c r="O114" s="61"/>
      <c r="P114" s="61"/>
      <c r="Q114" s="61" t="s">
        <v>93</v>
      </c>
      <c r="R114" s="61" t="s">
        <v>94</v>
      </c>
      <c r="S114" s="61" t="s">
        <v>94</v>
      </c>
      <c r="T114" s="66">
        <v>46255.0</v>
      </c>
      <c r="U114" s="28"/>
      <c r="V114" s="30"/>
      <c r="W114" s="28"/>
      <c r="X114" s="28"/>
      <c r="Y114" s="28"/>
      <c r="Z114" s="28"/>
    </row>
    <row r="115" ht="13.5" customHeight="1">
      <c r="A115" s="67"/>
      <c r="B115" s="67"/>
      <c r="C115" s="67"/>
      <c r="D115" s="67"/>
      <c r="E115" s="61" t="s">
        <v>639</v>
      </c>
      <c r="F115" s="68"/>
      <c r="G115" s="63" t="s">
        <v>640</v>
      </c>
      <c r="H115" s="61" t="s">
        <v>88</v>
      </c>
      <c r="I115" s="61" t="s">
        <v>60</v>
      </c>
      <c r="J115" s="62" t="s">
        <v>642</v>
      </c>
      <c r="K115" s="69" t="s">
        <v>644</v>
      </c>
      <c r="L115" s="67"/>
      <c r="M115" s="61"/>
      <c r="N115" s="61"/>
      <c r="O115" s="61"/>
      <c r="P115" s="61"/>
      <c r="Q115" s="61" t="s">
        <v>93</v>
      </c>
      <c r="R115" s="61" t="s">
        <v>94</v>
      </c>
      <c r="S115" s="61" t="s">
        <v>94</v>
      </c>
      <c r="T115" s="66">
        <v>46255.0</v>
      </c>
      <c r="U115" s="28"/>
      <c r="V115" s="30"/>
      <c r="W115" s="28"/>
      <c r="X115" s="28"/>
      <c r="Y115" s="28"/>
      <c r="Z115" s="28"/>
    </row>
    <row r="116" ht="13.5" customHeight="1">
      <c r="A116" s="67"/>
      <c r="B116" s="67"/>
      <c r="C116" s="67"/>
      <c r="D116" s="67"/>
      <c r="E116" s="61" t="s">
        <v>645</v>
      </c>
      <c r="F116" s="68"/>
      <c r="G116" s="63" t="s">
        <v>646</v>
      </c>
      <c r="H116" s="61" t="s">
        <v>88</v>
      </c>
      <c r="I116" s="61" t="s">
        <v>60</v>
      </c>
      <c r="J116" s="63" t="s">
        <v>647</v>
      </c>
      <c r="K116" s="111" t="s">
        <v>648</v>
      </c>
      <c r="L116" s="67"/>
      <c r="M116" s="61"/>
      <c r="N116" s="61"/>
      <c r="O116" s="61"/>
      <c r="P116" s="61"/>
      <c r="Q116" s="61" t="s">
        <v>93</v>
      </c>
      <c r="R116" s="61" t="s">
        <v>94</v>
      </c>
      <c r="S116" s="61" t="s">
        <v>94</v>
      </c>
      <c r="T116" s="66">
        <v>46255.0</v>
      </c>
      <c r="U116" s="28"/>
      <c r="V116" s="30"/>
      <c r="W116" s="28"/>
      <c r="X116" s="28"/>
      <c r="Y116" s="28"/>
      <c r="Z116" s="28"/>
    </row>
    <row r="117" ht="13.5" customHeight="1">
      <c r="A117" s="67"/>
      <c r="B117" s="67"/>
      <c r="C117" s="67"/>
      <c r="D117" s="67"/>
      <c r="E117" s="61" t="s">
        <v>651</v>
      </c>
      <c r="F117" s="68"/>
      <c r="G117" s="63" t="s">
        <v>652</v>
      </c>
      <c r="H117" s="61" t="s">
        <v>88</v>
      </c>
      <c r="I117" s="61" t="s">
        <v>60</v>
      </c>
      <c r="J117" s="63" t="s">
        <v>653</v>
      </c>
      <c r="K117" s="65"/>
      <c r="L117" s="67"/>
      <c r="M117" s="61"/>
      <c r="N117" s="61"/>
      <c r="O117" s="61"/>
      <c r="P117" s="61"/>
      <c r="Q117" s="61" t="s">
        <v>93</v>
      </c>
      <c r="R117" s="61" t="s">
        <v>94</v>
      </c>
      <c r="S117" s="61" t="s">
        <v>94</v>
      </c>
      <c r="T117" s="66">
        <v>46232.0</v>
      </c>
      <c r="U117" s="28"/>
      <c r="V117" s="30"/>
      <c r="W117" s="28"/>
      <c r="X117" s="28"/>
      <c r="Y117" s="28"/>
      <c r="Z117" s="28"/>
    </row>
    <row r="118" ht="13.5" customHeight="1">
      <c r="A118" s="67"/>
      <c r="B118" s="67"/>
      <c r="C118" s="67"/>
      <c r="D118" s="67"/>
      <c r="E118" s="61" t="s">
        <v>655</v>
      </c>
      <c r="F118" s="62" t="s">
        <v>657</v>
      </c>
      <c r="G118" s="63" t="s">
        <v>658</v>
      </c>
      <c r="H118" s="61" t="s">
        <v>88</v>
      </c>
      <c r="I118" s="61" t="s">
        <v>60</v>
      </c>
      <c r="J118" s="62" t="s">
        <v>659</v>
      </c>
      <c r="K118" s="65"/>
      <c r="L118" s="67"/>
      <c r="M118" s="61"/>
      <c r="N118" s="61"/>
      <c r="O118" s="61"/>
      <c r="P118" s="61"/>
      <c r="Q118" s="61" t="s">
        <v>93</v>
      </c>
      <c r="R118" s="61" t="s">
        <v>94</v>
      </c>
      <c r="S118" s="61" t="s">
        <v>94</v>
      </c>
      <c r="T118" s="66">
        <v>46232.0</v>
      </c>
      <c r="U118" s="28"/>
      <c r="V118" s="30"/>
      <c r="W118" s="28"/>
      <c r="X118" s="28"/>
      <c r="Y118" s="28"/>
      <c r="Z118" s="28"/>
    </row>
    <row r="119" ht="13.5" customHeight="1">
      <c r="A119" s="67"/>
      <c r="B119" s="67"/>
      <c r="C119" s="67"/>
      <c r="D119" s="67"/>
      <c r="E119" s="61" t="s">
        <v>660</v>
      </c>
      <c r="F119" s="68"/>
      <c r="G119" s="63" t="s">
        <v>662</v>
      </c>
      <c r="H119" s="61" t="s">
        <v>88</v>
      </c>
      <c r="I119" s="61" t="s">
        <v>60</v>
      </c>
      <c r="J119" s="62" t="s">
        <v>664</v>
      </c>
      <c r="K119" s="65"/>
      <c r="L119" s="67"/>
      <c r="M119" s="61"/>
      <c r="N119" s="61"/>
      <c r="O119" s="61"/>
      <c r="P119" s="61"/>
      <c r="Q119" s="61" t="s">
        <v>93</v>
      </c>
      <c r="R119" s="61" t="s">
        <v>94</v>
      </c>
      <c r="S119" s="61" t="s">
        <v>94</v>
      </c>
      <c r="T119" s="66">
        <v>46232.0</v>
      </c>
      <c r="U119" s="28"/>
      <c r="V119" s="30"/>
      <c r="W119" s="28"/>
      <c r="X119" s="28"/>
      <c r="Y119" s="28"/>
      <c r="Z119" s="28"/>
    </row>
    <row r="120" ht="13.5" customHeight="1">
      <c r="A120" s="67"/>
      <c r="B120" s="67"/>
      <c r="C120" s="67"/>
      <c r="D120" s="67"/>
      <c r="E120" s="61" t="s">
        <v>665</v>
      </c>
      <c r="F120" s="68"/>
      <c r="G120" s="63" t="s">
        <v>666</v>
      </c>
      <c r="H120" s="61" t="s">
        <v>88</v>
      </c>
      <c r="I120" s="61" t="s">
        <v>60</v>
      </c>
      <c r="J120" s="62" t="s">
        <v>667</v>
      </c>
      <c r="K120" s="65"/>
      <c r="L120" s="67"/>
      <c r="M120" s="61"/>
      <c r="N120" s="61"/>
      <c r="O120" s="61"/>
      <c r="P120" s="61"/>
      <c r="Q120" s="61" t="s">
        <v>93</v>
      </c>
      <c r="R120" s="61" t="s">
        <v>94</v>
      </c>
      <c r="S120" s="61" t="s">
        <v>94</v>
      </c>
      <c r="T120" s="66">
        <v>46232.0</v>
      </c>
      <c r="U120" s="28"/>
      <c r="V120" s="30"/>
      <c r="W120" s="28"/>
      <c r="X120" s="28"/>
      <c r="Y120" s="28"/>
      <c r="Z120" s="28"/>
    </row>
    <row r="121" ht="13.5" customHeight="1">
      <c r="A121" s="77"/>
      <c r="B121" s="77"/>
      <c r="C121" s="77"/>
      <c r="D121" s="77"/>
      <c r="E121" s="61" t="s">
        <v>670</v>
      </c>
      <c r="F121" s="62" t="s">
        <v>671</v>
      </c>
      <c r="G121" s="63" t="s">
        <v>672</v>
      </c>
      <c r="H121" s="61" t="s">
        <v>88</v>
      </c>
      <c r="I121" s="61" t="s">
        <v>60</v>
      </c>
      <c r="J121" s="62" t="s">
        <v>673</v>
      </c>
      <c r="K121" s="65"/>
      <c r="L121" s="77"/>
      <c r="M121" s="61"/>
      <c r="N121" s="61"/>
      <c r="O121" s="61"/>
      <c r="P121" s="61"/>
      <c r="Q121" s="61" t="s">
        <v>93</v>
      </c>
      <c r="R121" s="61" t="s">
        <v>94</v>
      </c>
      <c r="S121" s="61" t="s">
        <v>94</v>
      </c>
      <c r="T121" s="66">
        <v>46232.0</v>
      </c>
      <c r="U121" s="28"/>
      <c r="V121" s="30"/>
      <c r="W121" s="28"/>
      <c r="X121" s="28"/>
      <c r="Y121" s="28"/>
      <c r="Z121" s="28"/>
    </row>
    <row r="122" ht="13.5" customHeight="1">
      <c r="A122" s="78" t="s">
        <v>51</v>
      </c>
      <c r="B122" s="78" t="s">
        <v>114</v>
      </c>
      <c r="C122" s="79" t="s">
        <v>115</v>
      </c>
      <c r="D122" s="79" t="s">
        <v>676</v>
      </c>
      <c r="E122" s="81" t="s">
        <v>677</v>
      </c>
      <c r="F122" s="82" t="s">
        <v>678</v>
      </c>
      <c r="G122" s="83" t="s">
        <v>679</v>
      </c>
      <c r="H122" s="81" t="s">
        <v>88</v>
      </c>
      <c r="I122" s="81" t="s">
        <v>60</v>
      </c>
      <c r="J122" s="87" t="s">
        <v>680</v>
      </c>
      <c r="K122" s="65"/>
      <c r="L122" s="78" t="s">
        <v>681</v>
      </c>
      <c r="M122" s="81"/>
      <c r="N122" s="81"/>
      <c r="O122" s="81"/>
      <c r="P122" s="81"/>
      <c r="Q122" s="81" t="s">
        <v>93</v>
      </c>
      <c r="R122" s="81" t="s">
        <v>94</v>
      </c>
      <c r="S122" s="81" t="s">
        <v>94</v>
      </c>
      <c r="T122" s="84">
        <v>46232.0</v>
      </c>
      <c r="U122" s="28"/>
      <c r="V122" s="30"/>
      <c r="W122" s="28"/>
      <c r="X122" s="28"/>
      <c r="Y122" s="28"/>
      <c r="Z122" s="28"/>
    </row>
    <row r="123" ht="13.5" customHeight="1">
      <c r="A123" s="67"/>
      <c r="B123" s="67"/>
      <c r="C123" s="67"/>
      <c r="D123" s="67"/>
      <c r="E123" s="81" t="s">
        <v>683</v>
      </c>
      <c r="F123" s="85"/>
      <c r="G123" s="83" t="s">
        <v>684</v>
      </c>
      <c r="H123" s="81" t="s">
        <v>88</v>
      </c>
      <c r="I123" s="81" t="s">
        <v>60</v>
      </c>
      <c r="J123" s="82" t="s">
        <v>685</v>
      </c>
      <c r="K123" s="65"/>
      <c r="L123" s="67"/>
      <c r="M123" s="81"/>
      <c r="N123" s="81"/>
      <c r="O123" s="81"/>
      <c r="P123" s="81"/>
      <c r="Q123" s="81" t="s">
        <v>93</v>
      </c>
      <c r="R123" s="81" t="s">
        <v>94</v>
      </c>
      <c r="S123" s="81" t="s">
        <v>94</v>
      </c>
      <c r="T123" s="86">
        <v>46232.0</v>
      </c>
      <c r="U123" s="28"/>
      <c r="V123" s="30"/>
      <c r="W123" s="28"/>
      <c r="X123" s="28"/>
      <c r="Y123" s="28"/>
      <c r="Z123" s="28"/>
    </row>
    <row r="124" ht="13.5" customHeight="1">
      <c r="A124" s="67"/>
      <c r="B124" s="67"/>
      <c r="C124" s="67"/>
      <c r="D124" s="67"/>
      <c r="E124" s="81" t="s">
        <v>686</v>
      </c>
      <c r="F124" s="85"/>
      <c r="G124" s="83" t="s">
        <v>687</v>
      </c>
      <c r="H124" s="81" t="s">
        <v>88</v>
      </c>
      <c r="I124" s="81" t="s">
        <v>60</v>
      </c>
      <c r="J124" s="70" t="s">
        <v>688</v>
      </c>
      <c r="K124" s="69" t="s">
        <v>689</v>
      </c>
      <c r="L124" s="67"/>
      <c r="M124" s="81"/>
      <c r="N124" s="81"/>
      <c r="O124" s="81"/>
      <c r="P124" s="81"/>
      <c r="Q124" s="81" t="s">
        <v>93</v>
      </c>
      <c r="R124" s="81" t="s">
        <v>94</v>
      </c>
      <c r="S124" s="81" t="s">
        <v>94</v>
      </c>
      <c r="T124" s="86">
        <v>46255.0</v>
      </c>
      <c r="U124" s="28"/>
      <c r="V124" s="30"/>
      <c r="W124" s="28"/>
      <c r="X124" s="28"/>
      <c r="Y124" s="28"/>
      <c r="Z124" s="28"/>
    </row>
    <row r="125" ht="13.5" customHeight="1">
      <c r="A125" s="67"/>
      <c r="B125" s="67"/>
      <c r="C125" s="67"/>
      <c r="D125" s="67"/>
      <c r="E125" s="81" t="s">
        <v>691</v>
      </c>
      <c r="F125" s="82" t="s">
        <v>692</v>
      </c>
      <c r="G125" s="83" t="s">
        <v>693</v>
      </c>
      <c r="H125" s="81" t="s">
        <v>88</v>
      </c>
      <c r="I125" s="81" t="s">
        <v>60</v>
      </c>
      <c r="J125" s="82" t="s">
        <v>694</v>
      </c>
      <c r="K125" s="65"/>
      <c r="L125" s="67"/>
      <c r="M125" s="81"/>
      <c r="N125" s="81"/>
      <c r="O125" s="81"/>
      <c r="P125" s="81"/>
      <c r="Q125" s="81" t="s">
        <v>93</v>
      </c>
      <c r="R125" s="81" t="s">
        <v>94</v>
      </c>
      <c r="S125" s="81" t="s">
        <v>94</v>
      </c>
      <c r="T125" s="86">
        <v>46232.0</v>
      </c>
      <c r="U125" s="28"/>
      <c r="V125" s="30"/>
      <c r="W125" s="28"/>
      <c r="X125" s="28"/>
      <c r="Y125" s="28"/>
      <c r="Z125" s="28"/>
    </row>
    <row r="126" ht="13.5" customHeight="1">
      <c r="A126" s="67"/>
      <c r="B126" s="67"/>
      <c r="C126" s="67"/>
      <c r="D126" s="67"/>
      <c r="E126" s="81" t="s">
        <v>695</v>
      </c>
      <c r="F126" s="82"/>
      <c r="G126" s="83" t="s">
        <v>696</v>
      </c>
      <c r="H126" s="81" t="s">
        <v>88</v>
      </c>
      <c r="I126" s="81" t="s">
        <v>60</v>
      </c>
      <c r="J126" s="70" t="s">
        <v>697</v>
      </c>
      <c r="K126" s="69" t="s">
        <v>698</v>
      </c>
      <c r="L126" s="67"/>
      <c r="M126" s="81"/>
      <c r="N126" s="81"/>
      <c r="O126" s="81"/>
      <c r="P126" s="81"/>
      <c r="Q126" s="81" t="s">
        <v>93</v>
      </c>
      <c r="R126" s="81" t="s">
        <v>94</v>
      </c>
      <c r="S126" s="81" t="s">
        <v>94</v>
      </c>
      <c r="T126" s="86">
        <v>46255.0</v>
      </c>
      <c r="U126" s="28"/>
      <c r="V126" s="30"/>
      <c r="W126" s="28"/>
      <c r="X126" s="28"/>
      <c r="Y126" s="28"/>
      <c r="Z126" s="28"/>
    </row>
    <row r="127" ht="13.5" customHeight="1">
      <c r="A127" s="67"/>
      <c r="B127" s="67"/>
      <c r="C127" s="67"/>
      <c r="D127" s="67"/>
      <c r="E127" s="81" t="s">
        <v>699</v>
      </c>
      <c r="F127" s="82"/>
      <c r="G127" s="83" t="s">
        <v>700</v>
      </c>
      <c r="H127" s="81" t="s">
        <v>88</v>
      </c>
      <c r="I127" s="81" t="s">
        <v>60</v>
      </c>
      <c r="J127" s="82" t="s">
        <v>701</v>
      </c>
      <c r="K127" s="65"/>
      <c r="L127" s="67"/>
      <c r="M127" s="81"/>
      <c r="N127" s="81"/>
      <c r="O127" s="81"/>
      <c r="P127" s="81"/>
      <c r="Q127" s="81" t="s">
        <v>93</v>
      </c>
      <c r="R127" s="81" t="s">
        <v>94</v>
      </c>
      <c r="S127" s="81" t="s">
        <v>94</v>
      </c>
      <c r="T127" s="86">
        <v>46232.0</v>
      </c>
      <c r="U127" s="28"/>
      <c r="V127" s="30"/>
      <c r="W127" s="28"/>
      <c r="X127" s="28"/>
      <c r="Y127" s="28"/>
      <c r="Z127" s="28"/>
    </row>
    <row r="128" ht="13.5" customHeight="1">
      <c r="A128" s="67"/>
      <c r="B128" s="67"/>
      <c r="C128" s="67"/>
      <c r="D128" s="67"/>
      <c r="E128" s="81" t="s">
        <v>702</v>
      </c>
      <c r="F128" s="82" t="s">
        <v>703</v>
      </c>
      <c r="G128" s="83" t="s">
        <v>704</v>
      </c>
      <c r="H128" s="81" t="s">
        <v>88</v>
      </c>
      <c r="I128" s="81" t="s">
        <v>60</v>
      </c>
      <c r="J128" s="82" t="s">
        <v>706</v>
      </c>
      <c r="K128" s="65"/>
      <c r="L128" s="67"/>
      <c r="M128" s="81"/>
      <c r="N128" s="81"/>
      <c r="O128" s="81"/>
      <c r="P128" s="81"/>
      <c r="Q128" s="81" t="s">
        <v>93</v>
      </c>
      <c r="R128" s="81" t="s">
        <v>94</v>
      </c>
      <c r="S128" s="81" t="s">
        <v>94</v>
      </c>
      <c r="T128" s="86">
        <v>46232.0</v>
      </c>
      <c r="U128" s="28"/>
      <c r="V128" s="30"/>
      <c r="W128" s="28"/>
      <c r="X128" s="28"/>
      <c r="Y128" s="28"/>
      <c r="Z128" s="28"/>
    </row>
    <row r="129" ht="13.5" customHeight="1">
      <c r="A129" s="77"/>
      <c r="B129" s="77"/>
      <c r="C129" s="77"/>
      <c r="D129" s="77"/>
      <c r="E129" s="81" t="s">
        <v>709</v>
      </c>
      <c r="F129" s="85"/>
      <c r="G129" s="83" t="s">
        <v>710</v>
      </c>
      <c r="H129" s="81" t="s">
        <v>88</v>
      </c>
      <c r="I129" s="81" t="s">
        <v>60</v>
      </c>
      <c r="J129" s="82" t="s">
        <v>711</v>
      </c>
      <c r="K129" s="65"/>
      <c r="L129" s="77"/>
      <c r="M129" s="81"/>
      <c r="N129" s="81"/>
      <c r="O129" s="81"/>
      <c r="P129" s="81"/>
      <c r="Q129" s="81" t="s">
        <v>93</v>
      </c>
      <c r="R129" s="81" t="s">
        <v>94</v>
      </c>
      <c r="S129" s="81" t="s">
        <v>94</v>
      </c>
      <c r="T129" s="86">
        <v>46232.0</v>
      </c>
      <c r="U129" s="28"/>
      <c r="V129" s="30"/>
      <c r="W129" s="28"/>
      <c r="X129" s="28"/>
      <c r="Y129" s="28"/>
      <c r="Z129" s="28"/>
    </row>
    <row r="130" ht="13.5" customHeight="1">
      <c r="A130" s="59" t="s">
        <v>51</v>
      </c>
      <c r="B130" s="59" t="s">
        <v>119</v>
      </c>
      <c r="C130" s="60" t="s">
        <v>120</v>
      </c>
      <c r="D130" s="60" t="s">
        <v>714</v>
      </c>
      <c r="E130" s="61" t="s">
        <v>715</v>
      </c>
      <c r="F130" s="62" t="s">
        <v>716</v>
      </c>
      <c r="G130" s="63" t="s">
        <v>717</v>
      </c>
      <c r="H130" s="61" t="s">
        <v>88</v>
      </c>
      <c r="I130" s="61" t="s">
        <v>60</v>
      </c>
      <c r="J130" s="62" t="s">
        <v>718</v>
      </c>
      <c r="K130" s="65"/>
      <c r="L130" s="59" t="s">
        <v>719</v>
      </c>
      <c r="M130" s="61"/>
      <c r="N130" s="61"/>
      <c r="O130" s="61"/>
      <c r="P130" s="61"/>
      <c r="Q130" s="61" t="s">
        <v>93</v>
      </c>
      <c r="R130" s="61" t="s">
        <v>94</v>
      </c>
      <c r="S130" s="61" t="s">
        <v>94</v>
      </c>
      <c r="T130" s="66">
        <v>46232.0</v>
      </c>
      <c r="U130" s="28"/>
      <c r="V130" s="30"/>
      <c r="W130" s="28"/>
      <c r="X130" s="28"/>
      <c r="Y130" s="28"/>
      <c r="Z130" s="28"/>
    </row>
    <row r="131" ht="13.5" customHeight="1">
      <c r="A131" s="67"/>
      <c r="B131" s="67"/>
      <c r="C131" s="67"/>
      <c r="D131" s="67"/>
      <c r="E131" s="61" t="s">
        <v>720</v>
      </c>
      <c r="F131" s="68"/>
      <c r="G131" s="63" t="s">
        <v>721</v>
      </c>
      <c r="H131" s="61" t="s">
        <v>88</v>
      </c>
      <c r="I131" s="61" t="s">
        <v>60</v>
      </c>
      <c r="J131" s="62" t="s">
        <v>718</v>
      </c>
      <c r="K131" s="65"/>
      <c r="L131" s="67"/>
      <c r="M131" s="61"/>
      <c r="N131" s="61"/>
      <c r="O131" s="61"/>
      <c r="P131" s="61"/>
      <c r="Q131" s="61" t="s">
        <v>93</v>
      </c>
      <c r="R131" s="61" t="s">
        <v>94</v>
      </c>
      <c r="S131" s="61" t="s">
        <v>94</v>
      </c>
      <c r="T131" s="66">
        <v>46232.0</v>
      </c>
      <c r="U131" s="28"/>
      <c r="V131" s="30"/>
      <c r="W131" s="28"/>
      <c r="X131" s="28"/>
      <c r="Y131" s="28"/>
      <c r="Z131" s="28"/>
    </row>
    <row r="132" ht="13.5" customHeight="1">
      <c r="A132" s="67"/>
      <c r="B132" s="67"/>
      <c r="C132" s="67"/>
      <c r="D132" s="67"/>
      <c r="E132" s="61" t="s">
        <v>724</v>
      </c>
      <c r="F132" s="68"/>
      <c r="G132" s="63" t="s">
        <v>725</v>
      </c>
      <c r="H132" s="61" t="s">
        <v>88</v>
      </c>
      <c r="I132" s="61" t="s">
        <v>60</v>
      </c>
      <c r="J132" s="62" t="s">
        <v>726</v>
      </c>
      <c r="K132" s="69" t="s">
        <v>727</v>
      </c>
      <c r="L132" s="67"/>
      <c r="M132" s="61"/>
      <c r="N132" s="61"/>
      <c r="O132" s="61"/>
      <c r="P132" s="61"/>
      <c r="Q132" s="61" t="s">
        <v>93</v>
      </c>
      <c r="R132" s="61" t="s">
        <v>94</v>
      </c>
      <c r="S132" s="61" t="s">
        <v>94</v>
      </c>
      <c r="T132" s="66">
        <v>46255.0</v>
      </c>
      <c r="U132" s="28"/>
      <c r="V132" s="30"/>
      <c r="W132" s="28"/>
      <c r="X132" s="28"/>
      <c r="Y132" s="28"/>
      <c r="Z132" s="28"/>
    </row>
    <row r="133" ht="13.5" customHeight="1">
      <c r="A133" s="67"/>
      <c r="B133" s="67"/>
      <c r="C133" s="67"/>
      <c r="D133" s="67"/>
      <c r="E133" s="61" t="s">
        <v>728</v>
      </c>
      <c r="F133" s="68"/>
      <c r="G133" s="63" t="s">
        <v>729</v>
      </c>
      <c r="H133" s="61" t="s">
        <v>88</v>
      </c>
      <c r="I133" s="61" t="s">
        <v>60</v>
      </c>
      <c r="J133" s="62" t="s">
        <v>730</v>
      </c>
      <c r="K133" s="65"/>
      <c r="L133" s="67"/>
      <c r="M133" s="61"/>
      <c r="N133" s="61"/>
      <c r="O133" s="61"/>
      <c r="P133" s="61"/>
      <c r="Q133" s="61" t="s">
        <v>93</v>
      </c>
      <c r="R133" s="61" t="s">
        <v>94</v>
      </c>
      <c r="S133" s="61" t="s">
        <v>94</v>
      </c>
      <c r="T133" s="66">
        <v>46232.0</v>
      </c>
      <c r="U133" s="28"/>
      <c r="V133" s="30"/>
      <c r="W133" s="28"/>
      <c r="X133" s="28"/>
      <c r="Y133" s="28"/>
      <c r="Z133" s="28"/>
    </row>
    <row r="134" ht="13.5" customHeight="1">
      <c r="A134" s="67"/>
      <c r="B134" s="67"/>
      <c r="C134" s="67"/>
      <c r="D134" s="67"/>
      <c r="E134" s="61" t="s">
        <v>733</v>
      </c>
      <c r="F134" s="62" t="s">
        <v>734</v>
      </c>
      <c r="G134" s="63" t="s">
        <v>735</v>
      </c>
      <c r="H134" s="61" t="s">
        <v>88</v>
      </c>
      <c r="I134" s="61" t="s">
        <v>60</v>
      </c>
      <c r="J134" s="62" t="s">
        <v>736</v>
      </c>
      <c r="K134" s="65"/>
      <c r="L134" s="67"/>
      <c r="M134" s="61"/>
      <c r="N134" s="61"/>
      <c r="O134" s="61"/>
      <c r="P134" s="61"/>
      <c r="Q134" s="61" t="s">
        <v>93</v>
      </c>
      <c r="R134" s="61" t="s">
        <v>94</v>
      </c>
      <c r="S134" s="61" t="s">
        <v>94</v>
      </c>
      <c r="T134" s="66">
        <v>46232.0</v>
      </c>
      <c r="U134" s="28"/>
      <c r="V134" s="30"/>
      <c r="W134" s="28"/>
      <c r="X134" s="28"/>
      <c r="Y134" s="28"/>
      <c r="Z134" s="28"/>
    </row>
    <row r="135" ht="13.5" customHeight="1">
      <c r="A135" s="67"/>
      <c r="B135" s="67"/>
      <c r="C135" s="67"/>
      <c r="D135" s="67"/>
      <c r="E135" s="61" t="s">
        <v>737</v>
      </c>
      <c r="F135" s="68"/>
      <c r="G135" s="63" t="s">
        <v>738</v>
      </c>
      <c r="H135" s="61" t="s">
        <v>88</v>
      </c>
      <c r="I135" s="61" t="s">
        <v>60</v>
      </c>
      <c r="J135" s="62" t="s">
        <v>739</v>
      </c>
      <c r="K135" s="65"/>
      <c r="L135" s="67"/>
      <c r="M135" s="61"/>
      <c r="N135" s="61"/>
      <c r="O135" s="61"/>
      <c r="P135" s="61"/>
      <c r="Q135" s="61" t="s">
        <v>93</v>
      </c>
      <c r="R135" s="61" t="s">
        <v>94</v>
      </c>
      <c r="S135" s="61" t="s">
        <v>94</v>
      </c>
      <c r="T135" s="66">
        <v>46232.0</v>
      </c>
      <c r="U135" s="28"/>
      <c r="V135" s="30"/>
      <c r="W135" s="28"/>
      <c r="X135" s="28"/>
      <c r="Y135" s="28"/>
      <c r="Z135" s="28"/>
    </row>
    <row r="136" ht="13.5" customHeight="1">
      <c r="A136" s="67"/>
      <c r="B136" s="67"/>
      <c r="C136" s="67"/>
      <c r="D136" s="67"/>
      <c r="E136" s="61" t="s">
        <v>741</v>
      </c>
      <c r="F136" s="68"/>
      <c r="G136" s="63" t="s">
        <v>743</v>
      </c>
      <c r="H136" s="61" t="s">
        <v>88</v>
      </c>
      <c r="I136" s="61" t="s">
        <v>60</v>
      </c>
      <c r="J136" s="62" t="s">
        <v>744</v>
      </c>
      <c r="K136" s="65"/>
      <c r="L136" s="67"/>
      <c r="M136" s="61"/>
      <c r="N136" s="61"/>
      <c r="O136" s="61"/>
      <c r="P136" s="61"/>
      <c r="Q136" s="61" t="s">
        <v>93</v>
      </c>
      <c r="R136" s="61" t="s">
        <v>94</v>
      </c>
      <c r="S136" s="61" t="s">
        <v>94</v>
      </c>
      <c r="T136" s="66">
        <v>46232.0</v>
      </c>
      <c r="U136" s="28"/>
      <c r="V136" s="30"/>
      <c r="W136" s="28"/>
      <c r="X136" s="28"/>
      <c r="Y136" s="28"/>
      <c r="Z136" s="28"/>
    </row>
    <row r="137" ht="13.5" customHeight="1">
      <c r="A137" s="67"/>
      <c r="B137" s="67"/>
      <c r="C137" s="67"/>
      <c r="D137" s="67"/>
      <c r="E137" s="61" t="s">
        <v>745</v>
      </c>
      <c r="F137" s="68"/>
      <c r="G137" s="63" t="s">
        <v>746</v>
      </c>
      <c r="H137" s="61" t="s">
        <v>88</v>
      </c>
      <c r="I137" s="61" t="s">
        <v>60</v>
      </c>
      <c r="J137" s="63" t="s">
        <v>747</v>
      </c>
      <c r="K137" s="65"/>
      <c r="L137" s="67"/>
      <c r="M137" s="61"/>
      <c r="N137" s="61"/>
      <c r="O137" s="61"/>
      <c r="P137" s="61"/>
      <c r="Q137" s="61" t="s">
        <v>93</v>
      </c>
      <c r="R137" s="61" t="s">
        <v>94</v>
      </c>
      <c r="S137" s="61" t="s">
        <v>94</v>
      </c>
      <c r="T137" s="66">
        <v>46232.0</v>
      </c>
      <c r="U137" s="28"/>
      <c r="V137" s="30"/>
      <c r="W137" s="28"/>
      <c r="X137" s="28"/>
      <c r="Y137" s="28"/>
      <c r="Z137" s="28"/>
    </row>
    <row r="138" ht="13.5" customHeight="1">
      <c r="A138" s="67"/>
      <c r="B138" s="67"/>
      <c r="C138" s="67"/>
      <c r="D138" s="67"/>
      <c r="E138" s="61" t="s">
        <v>748</v>
      </c>
      <c r="F138" s="62" t="s">
        <v>749</v>
      </c>
      <c r="G138" s="63" t="s">
        <v>750</v>
      </c>
      <c r="H138" s="61" t="s">
        <v>88</v>
      </c>
      <c r="I138" s="61" t="s">
        <v>60</v>
      </c>
      <c r="J138" s="62" t="s">
        <v>751</v>
      </c>
      <c r="K138" s="65"/>
      <c r="L138" s="67"/>
      <c r="M138" s="61"/>
      <c r="N138" s="61"/>
      <c r="O138" s="61"/>
      <c r="P138" s="61"/>
      <c r="Q138" s="61" t="s">
        <v>93</v>
      </c>
      <c r="R138" s="61" t="s">
        <v>94</v>
      </c>
      <c r="S138" s="61" t="s">
        <v>94</v>
      </c>
      <c r="T138" s="66">
        <v>46232.0</v>
      </c>
      <c r="U138" s="28"/>
      <c r="V138" s="30"/>
      <c r="W138" s="28"/>
      <c r="X138" s="28"/>
      <c r="Y138" s="28"/>
      <c r="Z138" s="28"/>
    </row>
    <row r="139" ht="13.5" customHeight="1">
      <c r="A139" s="67"/>
      <c r="B139" s="67"/>
      <c r="C139" s="67"/>
      <c r="D139" s="67"/>
      <c r="E139" s="61" t="s">
        <v>752</v>
      </c>
      <c r="F139" s="68"/>
      <c r="G139" s="63" t="s">
        <v>753</v>
      </c>
      <c r="H139" s="61" t="s">
        <v>88</v>
      </c>
      <c r="I139" s="61" t="s">
        <v>60</v>
      </c>
      <c r="J139" s="75" t="s">
        <v>754</v>
      </c>
      <c r="K139" s="65"/>
      <c r="L139" s="67"/>
      <c r="M139" s="61"/>
      <c r="N139" s="61"/>
      <c r="O139" s="61"/>
      <c r="P139" s="61"/>
      <c r="Q139" s="61" t="s">
        <v>93</v>
      </c>
      <c r="R139" s="61" t="s">
        <v>94</v>
      </c>
      <c r="S139" s="61" t="s">
        <v>94</v>
      </c>
      <c r="T139" s="66">
        <v>46232.0</v>
      </c>
      <c r="U139" s="28"/>
      <c r="V139" s="30"/>
      <c r="W139" s="28"/>
      <c r="X139" s="28"/>
      <c r="Y139" s="28"/>
      <c r="Z139" s="28"/>
    </row>
    <row r="140" ht="13.5" customHeight="1">
      <c r="A140" s="67"/>
      <c r="B140" s="67"/>
      <c r="C140" s="67"/>
      <c r="D140" s="67"/>
      <c r="E140" s="61" t="s">
        <v>756</v>
      </c>
      <c r="F140" s="68"/>
      <c r="G140" s="63" t="s">
        <v>758</v>
      </c>
      <c r="H140" s="61" t="s">
        <v>88</v>
      </c>
      <c r="I140" s="61" t="s">
        <v>60</v>
      </c>
      <c r="J140" s="63" t="s">
        <v>760</v>
      </c>
      <c r="K140" s="65"/>
      <c r="L140" s="67"/>
      <c r="M140" s="61"/>
      <c r="N140" s="61"/>
      <c r="O140" s="61"/>
      <c r="P140" s="61"/>
      <c r="Q140" s="61" t="s">
        <v>93</v>
      </c>
      <c r="R140" s="61" t="s">
        <v>94</v>
      </c>
      <c r="S140" s="61" t="s">
        <v>94</v>
      </c>
      <c r="T140" s="66">
        <v>46232.0</v>
      </c>
      <c r="U140" s="28"/>
      <c r="V140" s="30"/>
      <c r="W140" s="28"/>
      <c r="X140" s="28"/>
      <c r="Y140" s="28"/>
      <c r="Z140" s="28"/>
    </row>
    <row r="141" ht="13.5" customHeight="1">
      <c r="A141" s="67"/>
      <c r="B141" s="67"/>
      <c r="C141" s="67"/>
      <c r="D141" s="67"/>
      <c r="E141" s="61" t="s">
        <v>761</v>
      </c>
      <c r="F141" s="62" t="s">
        <v>762</v>
      </c>
      <c r="G141" s="63" t="s">
        <v>763</v>
      </c>
      <c r="H141" s="61" t="s">
        <v>88</v>
      </c>
      <c r="I141" s="61" t="s">
        <v>60</v>
      </c>
      <c r="J141" s="62" t="s">
        <v>764</v>
      </c>
      <c r="K141" s="65"/>
      <c r="L141" s="67"/>
      <c r="M141" s="61"/>
      <c r="N141" s="61"/>
      <c r="O141" s="61"/>
      <c r="P141" s="61"/>
      <c r="Q141" s="61" t="s">
        <v>93</v>
      </c>
      <c r="R141" s="61" t="s">
        <v>94</v>
      </c>
      <c r="S141" s="61" t="s">
        <v>94</v>
      </c>
      <c r="T141" s="66">
        <v>46232.0</v>
      </c>
      <c r="U141" s="28"/>
      <c r="V141" s="30"/>
      <c r="W141" s="28"/>
      <c r="X141" s="28"/>
      <c r="Y141" s="28"/>
      <c r="Z141" s="28"/>
    </row>
    <row r="142" ht="13.5" customHeight="1">
      <c r="A142" s="67"/>
      <c r="B142" s="67"/>
      <c r="C142" s="67"/>
      <c r="D142" s="67"/>
      <c r="E142" s="61" t="s">
        <v>766</v>
      </c>
      <c r="F142" s="68"/>
      <c r="G142" s="63" t="s">
        <v>768</v>
      </c>
      <c r="H142" s="61" t="s">
        <v>88</v>
      </c>
      <c r="I142" s="61" t="s">
        <v>60</v>
      </c>
      <c r="J142" s="62" t="s">
        <v>764</v>
      </c>
      <c r="K142" s="65"/>
      <c r="L142" s="67"/>
      <c r="M142" s="61"/>
      <c r="N142" s="61"/>
      <c r="O142" s="61"/>
      <c r="P142" s="61"/>
      <c r="Q142" s="61" t="s">
        <v>93</v>
      </c>
      <c r="R142" s="61" t="s">
        <v>94</v>
      </c>
      <c r="S142" s="61" t="s">
        <v>94</v>
      </c>
      <c r="T142" s="66">
        <v>46232.0</v>
      </c>
      <c r="U142" s="28"/>
      <c r="V142" s="30"/>
      <c r="W142" s="28"/>
      <c r="X142" s="28"/>
      <c r="Y142" s="28"/>
      <c r="Z142" s="28"/>
    </row>
    <row r="143" ht="13.5" customHeight="1">
      <c r="A143" s="67"/>
      <c r="B143" s="67"/>
      <c r="C143" s="67"/>
      <c r="D143" s="67"/>
      <c r="E143" s="61" t="s">
        <v>769</v>
      </c>
      <c r="F143" s="68"/>
      <c r="G143" s="63" t="s">
        <v>770</v>
      </c>
      <c r="H143" s="61" t="s">
        <v>88</v>
      </c>
      <c r="I143" s="61" t="s">
        <v>60</v>
      </c>
      <c r="J143" s="62" t="s">
        <v>771</v>
      </c>
      <c r="K143" s="65"/>
      <c r="L143" s="67"/>
      <c r="M143" s="61"/>
      <c r="N143" s="61"/>
      <c r="O143" s="61"/>
      <c r="P143" s="61"/>
      <c r="Q143" s="61" t="s">
        <v>93</v>
      </c>
      <c r="R143" s="61" t="s">
        <v>94</v>
      </c>
      <c r="S143" s="61" t="s">
        <v>94</v>
      </c>
      <c r="T143" s="66">
        <v>46232.0</v>
      </c>
      <c r="U143" s="28"/>
      <c r="V143" s="30"/>
      <c r="W143" s="28"/>
      <c r="X143" s="28"/>
      <c r="Y143" s="28"/>
      <c r="Z143" s="28"/>
    </row>
    <row r="144" ht="13.5" customHeight="1">
      <c r="A144" s="67"/>
      <c r="B144" s="67"/>
      <c r="C144" s="67"/>
      <c r="D144" s="67"/>
      <c r="E144" s="61" t="s">
        <v>774</v>
      </c>
      <c r="F144" s="62" t="s">
        <v>775</v>
      </c>
      <c r="G144" s="63" t="s">
        <v>776</v>
      </c>
      <c r="H144" s="61" t="s">
        <v>88</v>
      </c>
      <c r="I144" s="61" t="s">
        <v>60</v>
      </c>
      <c r="J144" s="63" t="s">
        <v>777</v>
      </c>
      <c r="K144" s="65"/>
      <c r="L144" s="67"/>
      <c r="M144" s="61"/>
      <c r="N144" s="61"/>
      <c r="O144" s="61"/>
      <c r="P144" s="61"/>
      <c r="Q144" s="61" t="s">
        <v>93</v>
      </c>
      <c r="R144" s="61" t="s">
        <v>94</v>
      </c>
      <c r="S144" s="61" t="s">
        <v>94</v>
      </c>
      <c r="T144" s="66">
        <v>46232.0</v>
      </c>
      <c r="U144" s="28"/>
      <c r="V144" s="30"/>
      <c r="W144" s="28"/>
      <c r="X144" s="28"/>
      <c r="Y144" s="28"/>
      <c r="Z144" s="28"/>
    </row>
    <row r="145" ht="13.5" customHeight="1">
      <c r="A145" s="67"/>
      <c r="B145" s="67"/>
      <c r="C145" s="67"/>
      <c r="D145" s="67"/>
      <c r="E145" s="61" t="s">
        <v>778</v>
      </c>
      <c r="F145" s="68"/>
      <c r="G145" s="63" t="s">
        <v>779</v>
      </c>
      <c r="H145" s="61" t="s">
        <v>88</v>
      </c>
      <c r="I145" s="61" t="s">
        <v>60</v>
      </c>
      <c r="J145" s="63" t="s">
        <v>777</v>
      </c>
      <c r="K145" s="65"/>
      <c r="L145" s="67"/>
      <c r="M145" s="61"/>
      <c r="N145" s="61"/>
      <c r="O145" s="61"/>
      <c r="P145" s="61"/>
      <c r="Q145" s="61" t="s">
        <v>93</v>
      </c>
      <c r="R145" s="61" t="s">
        <v>94</v>
      </c>
      <c r="S145" s="61" t="s">
        <v>94</v>
      </c>
      <c r="T145" s="66">
        <v>46232.0</v>
      </c>
      <c r="U145" s="28"/>
      <c r="V145" s="30"/>
      <c r="W145" s="28"/>
      <c r="X145" s="28"/>
      <c r="Y145" s="28"/>
      <c r="Z145" s="28"/>
    </row>
    <row r="146" ht="13.5" customHeight="1">
      <c r="A146" s="77"/>
      <c r="B146" s="77"/>
      <c r="C146" s="77"/>
      <c r="D146" s="77"/>
      <c r="E146" s="61" t="s">
        <v>782</v>
      </c>
      <c r="F146" s="68"/>
      <c r="G146" s="63" t="s">
        <v>783</v>
      </c>
      <c r="H146" s="61" t="s">
        <v>88</v>
      </c>
      <c r="I146" s="61" t="s">
        <v>60</v>
      </c>
      <c r="J146" s="75" t="s">
        <v>784</v>
      </c>
      <c r="K146" s="74" t="s">
        <v>785</v>
      </c>
      <c r="L146" s="77"/>
      <c r="M146" s="61"/>
      <c r="N146" s="61"/>
      <c r="O146" s="61"/>
      <c r="P146" s="61"/>
      <c r="Q146" s="61" t="s">
        <v>93</v>
      </c>
      <c r="R146" s="61" t="s">
        <v>94</v>
      </c>
      <c r="S146" s="61" t="s">
        <v>94</v>
      </c>
      <c r="T146" s="66">
        <v>46255.0</v>
      </c>
      <c r="U146" s="28"/>
      <c r="V146" s="30"/>
      <c r="W146" s="28"/>
      <c r="X146" s="28"/>
      <c r="Y146" s="28"/>
      <c r="Z146" s="28"/>
    </row>
    <row r="147" ht="13.5" customHeight="1">
      <c r="A147" s="78" t="s">
        <v>51</v>
      </c>
      <c r="B147" s="78" t="s">
        <v>124</v>
      </c>
      <c r="C147" s="79" t="s">
        <v>125</v>
      </c>
      <c r="D147" s="79" t="s">
        <v>788</v>
      </c>
      <c r="E147" s="81" t="s">
        <v>789</v>
      </c>
      <c r="F147" s="82" t="s">
        <v>790</v>
      </c>
      <c r="G147" s="83" t="s">
        <v>791</v>
      </c>
      <c r="H147" s="81" t="s">
        <v>88</v>
      </c>
      <c r="I147" s="81" t="s">
        <v>60</v>
      </c>
      <c r="J147" s="82" t="s">
        <v>792</v>
      </c>
      <c r="K147" s="65"/>
      <c r="L147" s="78" t="s">
        <v>793</v>
      </c>
      <c r="M147" s="81"/>
      <c r="N147" s="81"/>
      <c r="O147" s="81"/>
      <c r="P147" s="81"/>
      <c r="Q147" s="81" t="s">
        <v>93</v>
      </c>
      <c r="R147" s="81" t="s">
        <v>94</v>
      </c>
      <c r="S147" s="81" t="s">
        <v>94</v>
      </c>
      <c r="T147" s="84">
        <v>46232.0</v>
      </c>
      <c r="U147" s="28"/>
      <c r="V147" s="30"/>
      <c r="W147" s="28"/>
      <c r="X147" s="28"/>
      <c r="Y147" s="28"/>
      <c r="Z147" s="28"/>
    </row>
    <row r="148" ht="13.5" customHeight="1">
      <c r="A148" s="67"/>
      <c r="B148" s="67"/>
      <c r="C148" s="67"/>
      <c r="D148" s="67"/>
      <c r="E148" s="81" t="s">
        <v>794</v>
      </c>
      <c r="F148" s="85"/>
      <c r="G148" s="83" t="s">
        <v>795</v>
      </c>
      <c r="H148" s="81" t="s">
        <v>88</v>
      </c>
      <c r="I148" s="81" t="s">
        <v>60</v>
      </c>
      <c r="J148" s="82" t="s">
        <v>797</v>
      </c>
      <c r="K148" s="65"/>
      <c r="L148" s="67"/>
      <c r="M148" s="81"/>
      <c r="N148" s="81"/>
      <c r="O148" s="81"/>
      <c r="P148" s="81"/>
      <c r="Q148" s="81" t="s">
        <v>93</v>
      </c>
      <c r="R148" s="81" t="s">
        <v>94</v>
      </c>
      <c r="S148" s="81" t="s">
        <v>94</v>
      </c>
      <c r="T148" s="86">
        <v>46232.0</v>
      </c>
      <c r="U148" s="28"/>
      <c r="V148" s="30"/>
      <c r="W148" s="28"/>
      <c r="X148" s="28"/>
      <c r="Y148" s="28"/>
      <c r="Z148" s="28"/>
    </row>
    <row r="149" ht="13.5" customHeight="1">
      <c r="A149" s="67"/>
      <c r="B149" s="67"/>
      <c r="C149" s="67"/>
      <c r="D149" s="67"/>
      <c r="E149" s="81" t="s">
        <v>799</v>
      </c>
      <c r="F149" s="85"/>
      <c r="G149" s="83" t="s">
        <v>800</v>
      </c>
      <c r="H149" s="81" t="s">
        <v>88</v>
      </c>
      <c r="I149" s="81" t="s">
        <v>60</v>
      </c>
      <c r="J149" s="70" t="s">
        <v>801</v>
      </c>
      <c r="K149" s="69" t="s">
        <v>802</v>
      </c>
      <c r="L149" s="67"/>
      <c r="M149" s="81"/>
      <c r="N149" s="81"/>
      <c r="O149" s="81"/>
      <c r="P149" s="81"/>
      <c r="Q149" s="81" t="s">
        <v>93</v>
      </c>
      <c r="R149" s="81" t="s">
        <v>94</v>
      </c>
      <c r="S149" s="81" t="s">
        <v>94</v>
      </c>
      <c r="T149" s="86">
        <v>46255.0</v>
      </c>
      <c r="U149" s="28"/>
      <c r="V149" s="30"/>
      <c r="W149" s="28"/>
      <c r="X149" s="28"/>
      <c r="Y149" s="28"/>
      <c r="Z149" s="28"/>
    </row>
    <row r="150" ht="13.5" customHeight="1">
      <c r="A150" s="67"/>
      <c r="B150" s="67"/>
      <c r="C150" s="67"/>
      <c r="D150" s="67"/>
      <c r="E150" s="81" t="s">
        <v>803</v>
      </c>
      <c r="F150" s="85"/>
      <c r="G150" s="83" t="s">
        <v>804</v>
      </c>
      <c r="H150" s="81" t="s">
        <v>88</v>
      </c>
      <c r="I150" s="81" t="s">
        <v>60</v>
      </c>
      <c r="J150" s="82" t="s">
        <v>797</v>
      </c>
      <c r="K150" s="65"/>
      <c r="L150" s="67"/>
      <c r="M150" s="81"/>
      <c r="N150" s="81"/>
      <c r="O150" s="81"/>
      <c r="P150" s="81"/>
      <c r="Q150" s="81" t="s">
        <v>93</v>
      </c>
      <c r="R150" s="81" t="s">
        <v>94</v>
      </c>
      <c r="S150" s="81" t="s">
        <v>94</v>
      </c>
      <c r="T150" s="86">
        <v>46232.0</v>
      </c>
      <c r="U150" s="28"/>
      <c r="V150" s="30"/>
      <c r="W150" s="28"/>
      <c r="X150" s="28"/>
      <c r="Y150" s="28"/>
      <c r="Z150" s="28"/>
    </row>
    <row r="151" ht="13.5" customHeight="1">
      <c r="A151" s="67"/>
      <c r="B151" s="67"/>
      <c r="C151" s="67"/>
      <c r="D151" s="67"/>
      <c r="E151" s="81" t="s">
        <v>807</v>
      </c>
      <c r="F151" s="82" t="s">
        <v>808</v>
      </c>
      <c r="G151" s="83" t="s">
        <v>809</v>
      </c>
      <c r="H151" s="81" t="s">
        <v>88</v>
      </c>
      <c r="I151" s="81" t="s">
        <v>60</v>
      </c>
      <c r="J151" s="109" t="s">
        <v>810</v>
      </c>
      <c r="K151" s="74" t="s">
        <v>811</v>
      </c>
      <c r="L151" s="67"/>
      <c r="M151" s="81"/>
      <c r="N151" s="81"/>
      <c r="O151" s="81"/>
      <c r="P151" s="81"/>
      <c r="Q151" s="81" t="s">
        <v>93</v>
      </c>
      <c r="R151" s="81" t="s">
        <v>94</v>
      </c>
      <c r="S151" s="81" t="s">
        <v>94</v>
      </c>
      <c r="T151" s="86">
        <v>46255.0</v>
      </c>
      <c r="U151" s="28"/>
      <c r="V151" s="30"/>
      <c r="W151" s="28"/>
      <c r="X151" s="28"/>
      <c r="Y151" s="28"/>
      <c r="Z151" s="28"/>
    </row>
    <row r="152" ht="13.5" customHeight="1">
      <c r="A152" s="67"/>
      <c r="B152" s="67"/>
      <c r="C152" s="67"/>
      <c r="D152" s="67"/>
      <c r="E152" s="81" t="s">
        <v>812</v>
      </c>
      <c r="F152" s="85"/>
      <c r="G152" s="83" t="s">
        <v>813</v>
      </c>
      <c r="H152" s="81" t="s">
        <v>88</v>
      </c>
      <c r="I152" s="81" t="s">
        <v>60</v>
      </c>
      <c r="J152" s="82" t="s">
        <v>816</v>
      </c>
      <c r="K152" s="65"/>
      <c r="L152" s="67"/>
      <c r="M152" s="81"/>
      <c r="N152" s="81"/>
      <c r="O152" s="81"/>
      <c r="P152" s="81"/>
      <c r="Q152" s="81" t="s">
        <v>93</v>
      </c>
      <c r="R152" s="81" t="s">
        <v>94</v>
      </c>
      <c r="S152" s="81" t="s">
        <v>94</v>
      </c>
      <c r="T152" s="86">
        <v>46232.0</v>
      </c>
      <c r="U152" s="28"/>
      <c r="V152" s="30"/>
      <c r="W152" s="28"/>
      <c r="X152" s="28"/>
      <c r="Y152" s="28"/>
      <c r="Z152" s="28"/>
    </row>
    <row r="153" ht="13.5" customHeight="1">
      <c r="A153" s="67"/>
      <c r="B153" s="67"/>
      <c r="C153" s="67"/>
      <c r="D153" s="67"/>
      <c r="E153" s="81" t="s">
        <v>817</v>
      </c>
      <c r="F153" s="85"/>
      <c r="G153" s="83" t="s">
        <v>818</v>
      </c>
      <c r="H153" s="81" t="s">
        <v>88</v>
      </c>
      <c r="I153" s="81" t="s">
        <v>60</v>
      </c>
      <c r="J153" s="70" t="s">
        <v>819</v>
      </c>
      <c r="K153" s="69" t="s">
        <v>820</v>
      </c>
      <c r="L153" s="67"/>
      <c r="M153" s="81"/>
      <c r="N153" s="81"/>
      <c r="O153" s="81"/>
      <c r="P153" s="81"/>
      <c r="Q153" s="81" t="s">
        <v>93</v>
      </c>
      <c r="R153" s="81" t="s">
        <v>94</v>
      </c>
      <c r="S153" s="81" t="s">
        <v>94</v>
      </c>
      <c r="T153" s="86">
        <v>46259.0</v>
      </c>
      <c r="U153" s="28"/>
      <c r="V153" s="30"/>
      <c r="W153" s="28"/>
      <c r="X153" s="28"/>
      <c r="Y153" s="28"/>
      <c r="Z153" s="28"/>
    </row>
    <row r="154" ht="13.5" customHeight="1">
      <c r="A154" s="67"/>
      <c r="B154" s="67"/>
      <c r="C154" s="67"/>
      <c r="D154" s="67"/>
      <c r="E154" s="81" t="s">
        <v>821</v>
      </c>
      <c r="F154" s="85"/>
      <c r="G154" s="83" t="s">
        <v>822</v>
      </c>
      <c r="H154" s="81" t="s">
        <v>88</v>
      </c>
      <c r="I154" s="81" t="s">
        <v>60</v>
      </c>
      <c r="J154" s="82" t="s">
        <v>816</v>
      </c>
      <c r="K154" s="65"/>
      <c r="L154" s="67"/>
      <c r="M154" s="81"/>
      <c r="N154" s="81"/>
      <c r="O154" s="81"/>
      <c r="P154" s="81"/>
      <c r="Q154" s="81" t="s">
        <v>93</v>
      </c>
      <c r="R154" s="81" t="s">
        <v>94</v>
      </c>
      <c r="S154" s="81" t="s">
        <v>94</v>
      </c>
      <c r="T154" s="86">
        <v>46232.0</v>
      </c>
      <c r="U154" s="28"/>
      <c r="V154" s="30"/>
      <c r="W154" s="28"/>
      <c r="X154" s="28"/>
      <c r="Y154" s="28"/>
      <c r="Z154" s="28"/>
    </row>
    <row r="155" ht="13.5" customHeight="1">
      <c r="A155" s="67"/>
      <c r="B155" s="67"/>
      <c r="C155" s="67"/>
      <c r="D155" s="67"/>
      <c r="E155" s="81" t="s">
        <v>823</v>
      </c>
      <c r="F155" s="82" t="s">
        <v>824</v>
      </c>
      <c r="G155" s="83" t="s">
        <v>825</v>
      </c>
      <c r="H155" s="81" t="s">
        <v>88</v>
      </c>
      <c r="I155" s="81" t="s">
        <v>60</v>
      </c>
      <c r="J155" s="82" t="s">
        <v>826</v>
      </c>
      <c r="K155" s="69" t="s">
        <v>827</v>
      </c>
      <c r="L155" s="67"/>
      <c r="M155" s="81"/>
      <c r="N155" s="81"/>
      <c r="O155" s="81"/>
      <c r="P155" s="81"/>
      <c r="Q155" s="81" t="s">
        <v>93</v>
      </c>
      <c r="R155" s="81" t="s">
        <v>94</v>
      </c>
      <c r="S155" s="81" t="s">
        <v>94</v>
      </c>
      <c r="T155" s="86">
        <v>46255.0</v>
      </c>
      <c r="U155" s="28"/>
      <c r="V155" s="30"/>
      <c r="W155" s="28"/>
      <c r="X155" s="28"/>
      <c r="Y155" s="28"/>
      <c r="Z155" s="28"/>
    </row>
    <row r="156" ht="13.5" customHeight="1">
      <c r="A156" s="67"/>
      <c r="B156" s="67"/>
      <c r="C156" s="67"/>
      <c r="D156" s="67"/>
      <c r="E156" s="81" t="s">
        <v>831</v>
      </c>
      <c r="F156" s="85"/>
      <c r="G156" s="83" t="s">
        <v>832</v>
      </c>
      <c r="H156" s="81" t="s">
        <v>88</v>
      </c>
      <c r="I156" s="81" t="s">
        <v>60</v>
      </c>
      <c r="J156" s="70" t="s">
        <v>833</v>
      </c>
      <c r="K156" s="69" t="s">
        <v>827</v>
      </c>
      <c r="L156" s="67"/>
      <c r="M156" s="81"/>
      <c r="N156" s="81"/>
      <c r="O156" s="81"/>
      <c r="P156" s="81"/>
      <c r="Q156" s="81" t="s">
        <v>93</v>
      </c>
      <c r="R156" s="81" t="s">
        <v>94</v>
      </c>
      <c r="S156" s="81" t="s">
        <v>94</v>
      </c>
      <c r="T156" s="86">
        <v>46255.0</v>
      </c>
      <c r="U156" s="28"/>
      <c r="V156" s="30"/>
      <c r="W156" s="28"/>
      <c r="X156" s="28"/>
      <c r="Y156" s="28"/>
      <c r="Z156" s="28"/>
    </row>
    <row r="157" ht="13.5" customHeight="1">
      <c r="A157" s="67"/>
      <c r="B157" s="67"/>
      <c r="C157" s="67"/>
      <c r="D157" s="67"/>
      <c r="E157" s="81" t="s">
        <v>834</v>
      </c>
      <c r="F157" s="85"/>
      <c r="G157" s="83" t="s">
        <v>835</v>
      </c>
      <c r="H157" s="81" t="s">
        <v>88</v>
      </c>
      <c r="I157" s="81" t="s">
        <v>60</v>
      </c>
      <c r="J157" s="90" t="s">
        <v>836</v>
      </c>
      <c r="K157" s="65"/>
      <c r="L157" s="67"/>
      <c r="M157" s="81"/>
      <c r="N157" s="81"/>
      <c r="O157" s="81"/>
      <c r="P157" s="81"/>
      <c r="Q157" s="81" t="s">
        <v>93</v>
      </c>
      <c r="R157" s="81" t="s">
        <v>94</v>
      </c>
      <c r="S157" s="81" t="s">
        <v>94</v>
      </c>
      <c r="T157" s="86">
        <v>46232.0</v>
      </c>
      <c r="U157" s="28"/>
      <c r="V157" s="30"/>
      <c r="W157" s="28"/>
      <c r="X157" s="28"/>
      <c r="Y157" s="28"/>
      <c r="Z157" s="28"/>
    </row>
    <row r="158" ht="13.5" customHeight="1">
      <c r="A158" s="67"/>
      <c r="B158" s="67"/>
      <c r="C158" s="67"/>
      <c r="D158" s="67"/>
      <c r="E158" s="81" t="s">
        <v>839</v>
      </c>
      <c r="F158" s="82" t="s">
        <v>840</v>
      </c>
      <c r="G158" s="83" t="s">
        <v>841</v>
      </c>
      <c r="H158" s="81" t="s">
        <v>88</v>
      </c>
      <c r="I158" s="81" t="s">
        <v>60</v>
      </c>
      <c r="J158" s="82" t="s">
        <v>842</v>
      </c>
      <c r="K158" s="65"/>
      <c r="L158" s="67"/>
      <c r="M158" s="81"/>
      <c r="N158" s="81"/>
      <c r="O158" s="81"/>
      <c r="P158" s="81"/>
      <c r="Q158" s="81" t="s">
        <v>93</v>
      </c>
      <c r="R158" s="81" t="s">
        <v>94</v>
      </c>
      <c r="S158" s="81" t="s">
        <v>94</v>
      </c>
      <c r="T158" s="86">
        <v>46232.0</v>
      </c>
      <c r="U158" s="28"/>
      <c r="V158" s="30"/>
      <c r="W158" s="28"/>
      <c r="X158" s="28"/>
      <c r="Y158" s="28"/>
      <c r="Z158" s="28"/>
    </row>
    <row r="159" ht="13.5" customHeight="1">
      <c r="A159" s="67"/>
      <c r="B159" s="67"/>
      <c r="C159" s="67"/>
      <c r="D159" s="67"/>
      <c r="E159" s="81" t="s">
        <v>843</v>
      </c>
      <c r="F159" s="85"/>
      <c r="G159" s="83" t="s">
        <v>844</v>
      </c>
      <c r="H159" s="81" t="s">
        <v>88</v>
      </c>
      <c r="I159" s="81" t="s">
        <v>60</v>
      </c>
      <c r="J159" s="90" t="s">
        <v>845</v>
      </c>
      <c r="K159" s="65"/>
      <c r="L159" s="67"/>
      <c r="M159" s="81"/>
      <c r="N159" s="81"/>
      <c r="O159" s="81"/>
      <c r="P159" s="81"/>
      <c r="Q159" s="81" t="s">
        <v>93</v>
      </c>
      <c r="R159" s="81" t="s">
        <v>94</v>
      </c>
      <c r="S159" s="81" t="s">
        <v>94</v>
      </c>
      <c r="T159" s="86">
        <v>46232.0</v>
      </c>
      <c r="U159" s="28"/>
      <c r="V159" s="30"/>
      <c r="W159" s="28"/>
      <c r="X159" s="28"/>
      <c r="Y159" s="28"/>
      <c r="Z159" s="28"/>
    </row>
    <row r="160" ht="13.5" customHeight="1">
      <c r="A160" s="67"/>
      <c r="B160" s="67"/>
      <c r="C160" s="67"/>
      <c r="D160" s="67"/>
      <c r="E160" s="81" t="s">
        <v>848</v>
      </c>
      <c r="F160" s="85"/>
      <c r="G160" s="83" t="s">
        <v>849</v>
      </c>
      <c r="H160" s="81" t="s">
        <v>88</v>
      </c>
      <c r="I160" s="81" t="s">
        <v>60</v>
      </c>
      <c r="J160" s="90" t="s">
        <v>850</v>
      </c>
      <c r="K160" s="65"/>
      <c r="L160" s="67"/>
      <c r="M160" s="81"/>
      <c r="N160" s="81"/>
      <c r="O160" s="81"/>
      <c r="P160" s="81"/>
      <c r="Q160" s="81" t="s">
        <v>93</v>
      </c>
      <c r="R160" s="81" t="s">
        <v>94</v>
      </c>
      <c r="S160" s="81" t="s">
        <v>94</v>
      </c>
      <c r="T160" s="86">
        <v>46232.0</v>
      </c>
      <c r="U160" s="28"/>
      <c r="V160" s="30"/>
      <c r="W160" s="28"/>
      <c r="X160" s="28"/>
      <c r="Y160" s="28"/>
      <c r="Z160" s="28"/>
    </row>
    <row r="161" ht="13.5" customHeight="1">
      <c r="A161" s="67"/>
      <c r="B161" s="67"/>
      <c r="C161" s="67"/>
      <c r="D161" s="67"/>
      <c r="E161" s="81" t="s">
        <v>852</v>
      </c>
      <c r="F161" s="85"/>
      <c r="G161" s="83" t="s">
        <v>854</v>
      </c>
      <c r="H161" s="81" t="s">
        <v>88</v>
      </c>
      <c r="I161" s="81" t="s">
        <v>60</v>
      </c>
      <c r="J161" s="90" t="s">
        <v>855</v>
      </c>
      <c r="K161" s="65"/>
      <c r="L161" s="67"/>
      <c r="M161" s="81"/>
      <c r="N161" s="81"/>
      <c r="O161" s="81"/>
      <c r="P161" s="81"/>
      <c r="Q161" s="81" t="s">
        <v>93</v>
      </c>
      <c r="R161" s="81" t="s">
        <v>94</v>
      </c>
      <c r="S161" s="81" t="s">
        <v>94</v>
      </c>
      <c r="T161" s="86">
        <v>46232.0</v>
      </c>
      <c r="U161" s="28"/>
      <c r="V161" s="30"/>
      <c r="W161" s="28"/>
      <c r="X161" s="28"/>
      <c r="Y161" s="28"/>
      <c r="Z161" s="28"/>
    </row>
    <row r="162" ht="13.5" customHeight="1">
      <c r="A162" s="67"/>
      <c r="B162" s="67"/>
      <c r="C162" s="67"/>
      <c r="D162" s="67"/>
      <c r="E162" s="81" t="s">
        <v>856</v>
      </c>
      <c r="F162" s="82" t="s">
        <v>857</v>
      </c>
      <c r="G162" s="83" t="s">
        <v>858</v>
      </c>
      <c r="H162" s="81" t="s">
        <v>88</v>
      </c>
      <c r="I162" s="81" t="s">
        <v>60</v>
      </c>
      <c r="J162" s="112" t="s">
        <v>859</v>
      </c>
      <c r="K162" s="65"/>
      <c r="L162" s="67"/>
      <c r="M162" s="81"/>
      <c r="N162" s="81"/>
      <c r="O162" s="81"/>
      <c r="P162" s="81"/>
      <c r="Q162" s="81" t="s">
        <v>93</v>
      </c>
      <c r="R162" s="81" t="s">
        <v>94</v>
      </c>
      <c r="S162" s="81" t="s">
        <v>94</v>
      </c>
      <c r="T162" s="86">
        <v>46232.0</v>
      </c>
      <c r="U162" s="28"/>
      <c r="V162" s="30"/>
      <c r="W162" s="28"/>
      <c r="X162" s="28"/>
      <c r="Y162" s="28"/>
      <c r="Z162" s="28"/>
    </row>
    <row r="163" ht="13.5" customHeight="1">
      <c r="A163" s="67"/>
      <c r="B163" s="67"/>
      <c r="C163" s="67"/>
      <c r="D163" s="67"/>
      <c r="E163" s="81" t="s">
        <v>862</v>
      </c>
      <c r="F163" s="85"/>
      <c r="G163" s="83" t="s">
        <v>863</v>
      </c>
      <c r="H163" s="81" t="s">
        <v>88</v>
      </c>
      <c r="I163" s="81" t="s">
        <v>60</v>
      </c>
      <c r="J163" s="82" t="s">
        <v>864</v>
      </c>
      <c r="K163" s="65"/>
      <c r="L163" s="67"/>
      <c r="M163" s="81"/>
      <c r="N163" s="81"/>
      <c r="O163" s="81"/>
      <c r="P163" s="81"/>
      <c r="Q163" s="81" t="s">
        <v>93</v>
      </c>
      <c r="R163" s="81" t="s">
        <v>94</v>
      </c>
      <c r="S163" s="81" t="s">
        <v>94</v>
      </c>
      <c r="T163" s="86">
        <v>46232.0</v>
      </c>
      <c r="U163" s="28"/>
      <c r="V163" s="30"/>
      <c r="W163" s="28"/>
      <c r="X163" s="28"/>
      <c r="Y163" s="28"/>
      <c r="Z163" s="28"/>
    </row>
    <row r="164" ht="13.5" customHeight="1">
      <c r="A164" s="67"/>
      <c r="B164" s="67"/>
      <c r="C164" s="67"/>
      <c r="D164" s="67"/>
      <c r="E164" s="81" t="s">
        <v>865</v>
      </c>
      <c r="F164" s="85"/>
      <c r="G164" s="83" t="s">
        <v>866</v>
      </c>
      <c r="H164" s="81" t="s">
        <v>88</v>
      </c>
      <c r="I164" s="81" t="s">
        <v>60</v>
      </c>
      <c r="J164" s="70" t="s">
        <v>867</v>
      </c>
      <c r="K164" s="92" t="s">
        <v>868</v>
      </c>
      <c r="L164" s="67"/>
      <c r="M164" s="81"/>
      <c r="N164" s="81"/>
      <c r="O164" s="81"/>
      <c r="P164" s="81"/>
      <c r="Q164" s="81" t="s">
        <v>93</v>
      </c>
      <c r="R164" s="81" t="s">
        <v>94</v>
      </c>
      <c r="S164" s="81" t="s">
        <v>94</v>
      </c>
      <c r="T164" s="86">
        <v>46260.0</v>
      </c>
      <c r="U164" s="28"/>
      <c r="V164" s="30"/>
      <c r="W164" s="28"/>
      <c r="X164" s="28"/>
      <c r="Y164" s="28"/>
      <c r="Z164" s="28"/>
    </row>
    <row r="165" ht="13.5" customHeight="1">
      <c r="A165" s="77"/>
      <c r="B165" s="77"/>
      <c r="C165" s="77"/>
      <c r="D165" s="77"/>
      <c r="E165" s="81" t="s">
        <v>870</v>
      </c>
      <c r="F165" s="82" t="s">
        <v>871</v>
      </c>
      <c r="G165" s="83" t="s">
        <v>872</v>
      </c>
      <c r="H165" s="81" t="s">
        <v>88</v>
      </c>
      <c r="I165" s="81" t="s">
        <v>60</v>
      </c>
      <c r="J165" s="90" t="s">
        <v>873</v>
      </c>
      <c r="K165" s="65"/>
      <c r="L165" s="77"/>
      <c r="M165" s="81"/>
      <c r="N165" s="81"/>
      <c r="O165" s="81"/>
      <c r="P165" s="81"/>
      <c r="Q165" s="81" t="s">
        <v>93</v>
      </c>
      <c r="R165" s="81" t="s">
        <v>94</v>
      </c>
      <c r="S165" s="81" t="s">
        <v>94</v>
      </c>
      <c r="T165" s="86">
        <v>46232.0</v>
      </c>
      <c r="U165" s="28"/>
      <c r="V165" s="30"/>
      <c r="W165" s="28"/>
      <c r="X165" s="28"/>
      <c r="Y165" s="28"/>
      <c r="Z165" s="28"/>
    </row>
    <row r="166" ht="13.5" customHeight="1">
      <c r="A166" s="59" t="s">
        <v>51</v>
      </c>
      <c r="B166" s="59" t="s">
        <v>132</v>
      </c>
      <c r="C166" s="60" t="s">
        <v>134</v>
      </c>
      <c r="D166" s="60" t="s">
        <v>875</v>
      </c>
      <c r="E166" s="61" t="s">
        <v>876</v>
      </c>
      <c r="F166" s="62" t="s">
        <v>877</v>
      </c>
      <c r="G166" s="63" t="s">
        <v>878</v>
      </c>
      <c r="H166" s="61" t="s">
        <v>88</v>
      </c>
      <c r="I166" s="61" t="s">
        <v>60</v>
      </c>
      <c r="J166" s="63" t="s">
        <v>879</v>
      </c>
      <c r="K166" s="70"/>
      <c r="L166" s="59" t="s">
        <v>681</v>
      </c>
      <c r="M166" s="61"/>
      <c r="N166" s="61"/>
      <c r="O166" s="61"/>
      <c r="P166" s="61"/>
      <c r="Q166" s="61" t="s">
        <v>93</v>
      </c>
      <c r="R166" s="61" t="s">
        <v>94</v>
      </c>
      <c r="S166" s="61" t="s">
        <v>94</v>
      </c>
      <c r="T166" s="66">
        <v>46232.0</v>
      </c>
      <c r="U166" s="28"/>
      <c r="V166" s="30"/>
      <c r="W166" s="28"/>
      <c r="X166" s="28"/>
      <c r="Y166" s="28"/>
      <c r="Z166" s="28"/>
    </row>
    <row r="167" ht="13.5" customHeight="1">
      <c r="A167" s="67"/>
      <c r="B167" s="67"/>
      <c r="C167" s="67"/>
      <c r="D167" s="67"/>
      <c r="E167" s="61" t="s">
        <v>880</v>
      </c>
      <c r="F167" s="68"/>
      <c r="G167" s="63" t="s">
        <v>881</v>
      </c>
      <c r="H167" s="61" t="s">
        <v>88</v>
      </c>
      <c r="I167" s="61" t="s">
        <v>60</v>
      </c>
      <c r="J167" s="63" t="s">
        <v>882</v>
      </c>
      <c r="K167" s="65"/>
      <c r="L167" s="67"/>
      <c r="M167" s="61"/>
      <c r="N167" s="61"/>
      <c r="O167" s="61"/>
      <c r="P167" s="61"/>
      <c r="Q167" s="61" t="s">
        <v>93</v>
      </c>
      <c r="R167" s="61" t="s">
        <v>94</v>
      </c>
      <c r="S167" s="61" t="s">
        <v>94</v>
      </c>
      <c r="T167" s="66">
        <v>46232.0</v>
      </c>
      <c r="U167" s="28"/>
      <c r="V167" s="30"/>
      <c r="W167" s="28"/>
      <c r="X167" s="28"/>
      <c r="Y167" s="28"/>
      <c r="Z167" s="28"/>
    </row>
    <row r="168" ht="13.5" customHeight="1">
      <c r="A168" s="67"/>
      <c r="B168" s="67"/>
      <c r="C168" s="67"/>
      <c r="D168" s="67"/>
      <c r="E168" s="61" t="s">
        <v>883</v>
      </c>
      <c r="F168" s="68"/>
      <c r="G168" s="63" t="s">
        <v>884</v>
      </c>
      <c r="H168" s="61" t="s">
        <v>88</v>
      </c>
      <c r="I168" s="61" t="s">
        <v>60</v>
      </c>
      <c r="J168" s="63" t="s">
        <v>886</v>
      </c>
      <c r="K168" s="65"/>
      <c r="L168" s="67"/>
      <c r="M168" s="61"/>
      <c r="N168" s="61"/>
      <c r="O168" s="61"/>
      <c r="P168" s="61"/>
      <c r="Q168" s="61" t="s">
        <v>93</v>
      </c>
      <c r="R168" s="61" t="s">
        <v>94</v>
      </c>
      <c r="S168" s="61" t="s">
        <v>94</v>
      </c>
      <c r="T168" s="66">
        <v>46232.0</v>
      </c>
      <c r="U168" s="28"/>
      <c r="V168" s="30"/>
      <c r="W168" s="28"/>
      <c r="X168" s="28"/>
      <c r="Y168" s="28"/>
      <c r="Z168" s="28"/>
    </row>
    <row r="169" ht="13.5" customHeight="1">
      <c r="A169" s="67"/>
      <c r="B169" s="67"/>
      <c r="C169" s="67"/>
      <c r="D169" s="67"/>
      <c r="E169" s="61" t="s">
        <v>889</v>
      </c>
      <c r="F169" s="68"/>
      <c r="G169" s="63" t="s">
        <v>890</v>
      </c>
      <c r="H169" s="61" t="s">
        <v>88</v>
      </c>
      <c r="I169" s="61" t="s">
        <v>60</v>
      </c>
      <c r="J169" s="62" t="s">
        <v>891</v>
      </c>
      <c r="K169" s="65"/>
      <c r="L169" s="67"/>
      <c r="M169" s="61"/>
      <c r="N169" s="61"/>
      <c r="O169" s="61"/>
      <c r="P169" s="61"/>
      <c r="Q169" s="61" t="s">
        <v>93</v>
      </c>
      <c r="R169" s="61" t="s">
        <v>94</v>
      </c>
      <c r="S169" s="61" t="s">
        <v>94</v>
      </c>
      <c r="T169" s="66">
        <v>46232.0</v>
      </c>
      <c r="U169" s="28"/>
      <c r="V169" s="30"/>
      <c r="W169" s="28"/>
      <c r="X169" s="28"/>
      <c r="Y169" s="28"/>
      <c r="Z169" s="28"/>
    </row>
    <row r="170" ht="13.5" customHeight="1">
      <c r="A170" s="67"/>
      <c r="B170" s="67"/>
      <c r="C170" s="67"/>
      <c r="D170" s="67"/>
      <c r="E170" s="61" t="s">
        <v>892</v>
      </c>
      <c r="F170" s="62" t="s">
        <v>893</v>
      </c>
      <c r="G170" s="63" t="s">
        <v>894</v>
      </c>
      <c r="H170" s="61" t="s">
        <v>88</v>
      </c>
      <c r="I170" s="61" t="s">
        <v>60</v>
      </c>
      <c r="J170" s="75" t="s">
        <v>895</v>
      </c>
      <c r="K170" s="74" t="s">
        <v>896</v>
      </c>
      <c r="L170" s="67"/>
      <c r="M170" s="61"/>
      <c r="N170" s="61"/>
      <c r="O170" s="61"/>
      <c r="P170" s="61"/>
      <c r="Q170" s="61" t="s">
        <v>93</v>
      </c>
      <c r="R170" s="61" t="s">
        <v>94</v>
      </c>
      <c r="S170" s="61" t="s">
        <v>94</v>
      </c>
      <c r="T170" s="66">
        <v>46255.0</v>
      </c>
      <c r="U170" s="28"/>
      <c r="V170" s="30"/>
      <c r="W170" s="28"/>
      <c r="X170" s="28"/>
      <c r="Y170" s="28"/>
      <c r="Z170" s="28"/>
    </row>
    <row r="171" ht="13.5" customHeight="1">
      <c r="A171" s="67"/>
      <c r="B171" s="67"/>
      <c r="C171" s="67"/>
      <c r="D171" s="67"/>
      <c r="E171" s="61" t="s">
        <v>899</v>
      </c>
      <c r="F171" s="68"/>
      <c r="G171" s="63" t="s">
        <v>900</v>
      </c>
      <c r="H171" s="61" t="s">
        <v>88</v>
      </c>
      <c r="I171" s="61" t="s">
        <v>60</v>
      </c>
      <c r="J171" s="63" t="s">
        <v>901</v>
      </c>
      <c r="K171" s="65"/>
      <c r="L171" s="67"/>
      <c r="M171" s="61"/>
      <c r="N171" s="61"/>
      <c r="O171" s="61"/>
      <c r="P171" s="61"/>
      <c r="Q171" s="61" t="s">
        <v>93</v>
      </c>
      <c r="R171" s="61" t="s">
        <v>94</v>
      </c>
      <c r="S171" s="61" t="s">
        <v>94</v>
      </c>
      <c r="T171" s="66">
        <v>46232.0</v>
      </c>
      <c r="U171" s="28"/>
      <c r="V171" s="30"/>
      <c r="W171" s="28"/>
      <c r="X171" s="28"/>
      <c r="Y171" s="28"/>
      <c r="Z171" s="28"/>
    </row>
    <row r="172" ht="13.5" customHeight="1">
      <c r="A172" s="67"/>
      <c r="B172" s="67"/>
      <c r="C172" s="67"/>
      <c r="D172" s="67"/>
      <c r="E172" s="61" t="s">
        <v>902</v>
      </c>
      <c r="F172" s="68"/>
      <c r="G172" s="63" t="s">
        <v>903</v>
      </c>
      <c r="H172" s="61" t="s">
        <v>88</v>
      </c>
      <c r="I172" s="61" t="s">
        <v>60</v>
      </c>
      <c r="J172" s="63" t="s">
        <v>905</v>
      </c>
      <c r="K172" s="65"/>
      <c r="L172" s="67"/>
      <c r="M172" s="61"/>
      <c r="N172" s="61"/>
      <c r="O172" s="61"/>
      <c r="P172" s="61"/>
      <c r="Q172" s="61" t="s">
        <v>93</v>
      </c>
      <c r="R172" s="61" t="s">
        <v>94</v>
      </c>
      <c r="S172" s="61" t="s">
        <v>94</v>
      </c>
      <c r="T172" s="66">
        <v>46232.0</v>
      </c>
      <c r="U172" s="28"/>
      <c r="V172" s="30"/>
      <c r="W172" s="28"/>
      <c r="X172" s="28"/>
      <c r="Y172" s="28"/>
      <c r="Z172" s="28"/>
    </row>
    <row r="173" ht="13.5" customHeight="1">
      <c r="A173" s="67"/>
      <c r="B173" s="67"/>
      <c r="C173" s="67"/>
      <c r="D173" s="67"/>
      <c r="E173" s="61" t="s">
        <v>907</v>
      </c>
      <c r="F173" s="68"/>
      <c r="G173" s="63" t="s">
        <v>908</v>
      </c>
      <c r="H173" s="61" t="s">
        <v>88</v>
      </c>
      <c r="I173" s="61" t="s">
        <v>60</v>
      </c>
      <c r="J173" s="62" t="s">
        <v>909</v>
      </c>
      <c r="K173" s="65"/>
      <c r="L173" s="67"/>
      <c r="M173" s="61"/>
      <c r="N173" s="61"/>
      <c r="O173" s="61"/>
      <c r="P173" s="61"/>
      <c r="Q173" s="61" t="s">
        <v>93</v>
      </c>
      <c r="R173" s="61" t="s">
        <v>94</v>
      </c>
      <c r="S173" s="61" t="s">
        <v>94</v>
      </c>
      <c r="T173" s="66">
        <v>46232.0</v>
      </c>
      <c r="U173" s="28"/>
      <c r="V173" s="30"/>
      <c r="W173" s="28"/>
      <c r="X173" s="28"/>
      <c r="Y173" s="28"/>
      <c r="Z173" s="28"/>
    </row>
    <row r="174" ht="13.5" customHeight="1">
      <c r="A174" s="67"/>
      <c r="B174" s="67"/>
      <c r="C174" s="67"/>
      <c r="D174" s="67"/>
      <c r="E174" s="61" t="s">
        <v>912</v>
      </c>
      <c r="F174" s="62" t="s">
        <v>913</v>
      </c>
      <c r="G174" s="63" t="s">
        <v>914</v>
      </c>
      <c r="H174" s="61" t="s">
        <v>88</v>
      </c>
      <c r="I174" s="61" t="s">
        <v>60</v>
      </c>
      <c r="J174" s="63" t="s">
        <v>915</v>
      </c>
      <c r="K174" s="65"/>
      <c r="L174" s="67"/>
      <c r="M174" s="61"/>
      <c r="N174" s="61"/>
      <c r="O174" s="61"/>
      <c r="P174" s="61"/>
      <c r="Q174" s="61" t="s">
        <v>93</v>
      </c>
      <c r="R174" s="61" t="s">
        <v>94</v>
      </c>
      <c r="S174" s="61" t="s">
        <v>94</v>
      </c>
      <c r="T174" s="66">
        <v>46232.0</v>
      </c>
      <c r="U174" s="28"/>
      <c r="V174" s="30"/>
      <c r="W174" s="28"/>
      <c r="X174" s="28"/>
      <c r="Y174" s="28"/>
      <c r="Z174" s="28"/>
    </row>
    <row r="175" ht="13.5" customHeight="1">
      <c r="A175" s="67"/>
      <c r="B175" s="67"/>
      <c r="C175" s="67"/>
      <c r="D175" s="67"/>
      <c r="E175" s="61" t="s">
        <v>916</v>
      </c>
      <c r="F175" s="68"/>
      <c r="G175" s="63" t="s">
        <v>917</v>
      </c>
      <c r="H175" s="61" t="s">
        <v>88</v>
      </c>
      <c r="I175" s="61" t="s">
        <v>60</v>
      </c>
      <c r="J175" s="63" t="s">
        <v>918</v>
      </c>
      <c r="K175" s="65"/>
      <c r="L175" s="67"/>
      <c r="M175" s="61"/>
      <c r="N175" s="61"/>
      <c r="O175" s="61"/>
      <c r="P175" s="61"/>
      <c r="Q175" s="61" t="s">
        <v>93</v>
      </c>
      <c r="R175" s="61" t="s">
        <v>94</v>
      </c>
      <c r="S175" s="61" t="s">
        <v>94</v>
      </c>
      <c r="T175" s="66">
        <v>46232.0</v>
      </c>
      <c r="U175" s="28"/>
      <c r="V175" s="30"/>
      <c r="W175" s="28"/>
      <c r="X175" s="28"/>
      <c r="Y175" s="28"/>
      <c r="Z175" s="28"/>
    </row>
    <row r="176" ht="13.5" customHeight="1">
      <c r="A176" s="67"/>
      <c r="B176" s="67"/>
      <c r="C176" s="67"/>
      <c r="D176" s="67"/>
      <c r="E176" s="61" t="s">
        <v>919</v>
      </c>
      <c r="F176" s="68"/>
      <c r="G176" s="63" t="s">
        <v>920</v>
      </c>
      <c r="H176" s="61" t="s">
        <v>88</v>
      </c>
      <c r="I176" s="61" t="s">
        <v>60</v>
      </c>
      <c r="J176" s="63" t="s">
        <v>921</v>
      </c>
      <c r="K176" s="65"/>
      <c r="L176" s="67"/>
      <c r="M176" s="61"/>
      <c r="N176" s="61"/>
      <c r="O176" s="61"/>
      <c r="P176" s="61"/>
      <c r="Q176" s="61" t="s">
        <v>93</v>
      </c>
      <c r="R176" s="61" t="s">
        <v>94</v>
      </c>
      <c r="S176" s="61" t="s">
        <v>94</v>
      </c>
      <c r="T176" s="66">
        <v>46232.0</v>
      </c>
      <c r="U176" s="28"/>
      <c r="V176" s="30"/>
      <c r="W176" s="28"/>
      <c r="X176" s="28"/>
      <c r="Y176" s="28"/>
      <c r="Z176" s="28"/>
    </row>
    <row r="177" ht="13.5" customHeight="1">
      <c r="A177" s="67"/>
      <c r="B177" s="67"/>
      <c r="C177" s="67"/>
      <c r="D177" s="67"/>
      <c r="E177" s="61" t="s">
        <v>922</v>
      </c>
      <c r="F177" s="68"/>
      <c r="G177" s="63" t="s">
        <v>923</v>
      </c>
      <c r="H177" s="61" t="s">
        <v>88</v>
      </c>
      <c r="I177" s="61" t="s">
        <v>60</v>
      </c>
      <c r="J177" s="63" t="s">
        <v>924</v>
      </c>
      <c r="K177" s="65"/>
      <c r="L177" s="67"/>
      <c r="M177" s="61"/>
      <c r="N177" s="61"/>
      <c r="O177" s="61"/>
      <c r="P177" s="61"/>
      <c r="Q177" s="61" t="s">
        <v>93</v>
      </c>
      <c r="R177" s="61" t="s">
        <v>94</v>
      </c>
      <c r="S177" s="61" t="s">
        <v>94</v>
      </c>
      <c r="T177" s="66">
        <v>46232.0</v>
      </c>
      <c r="U177" s="28"/>
      <c r="V177" s="30"/>
      <c r="W177" s="28"/>
      <c r="X177" s="28"/>
      <c r="Y177" s="28"/>
      <c r="Z177" s="28"/>
    </row>
    <row r="178" ht="13.5" customHeight="1">
      <c r="A178" s="67"/>
      <c r="B178" s="67"/>
      <c r="C178" s="67"/>
      <c r="D178" s="67"/>
      <c r="E178" s="61" t="s">
        <v>928</v>
      </c>
      <c r="F178" s="62" t="s">
        <v>929</v>
      </c>
      <c r="G178" s="63" t="s">
        <v>930</v>
      </c>
      <c r="H178" s="61" t="s">
        <v>88</v>
      </c>
      <c r="I178" s="61" t="s">
        <v>60</v>
      </c>
      <c r="J178" s="62" t="s">
        <v>932</v>
      </c>
      <c r="K178" s="70"/>
      <c r="L178" s="67"/>
      <c r="M178" s="61"/>
      <c r="N178" s="61"/>
      <c r="O178" s="61"/>
      <c r="P178" s="61"/>
      <c r="Q178" s="61" t="s">
        <v>93</v>
      </c>
      <c r="R178" s="61" t="s">
        <v>94</v>
      </c>
      <c r="S178" s="61" t="s">
        <v>94</v>
      </c>
      <c r="T178" s="66">
        <v>46232.0</v>
      </c>
      <c r="U178" s="28"/>
      <c r="V178" s="30"/>
      <c r="W178" s="28"/>
      <c r="X178" s="28"/>
      <c r="Y178" s="28"/>
      <c r="Z178" s="28"/>
    </row>
    <row r="179" ht="13.5" customHeight="1">
      <c r="A179" s="77"/>
      <c r="B179" s="77"/>
      <c r="C179" s="77"/>
      <c r="D179" s="77"/>
      <c r="E179" s="61" t="s">
        <v>933</v>
      </c>
      <c r="F179" s="68"/>
      <c r="G179" s="63" t="s">
        <v>934</v>
      </c>
      <c r="H179" s="61" t="s">
        <v>88</v>
      </c>
      <c r="I179" s="61" t="s">
        <v>60</v>
      </c>
      <c r="J179" s="75" t="s">
        <v>935</v>
      </c>
      <c r="K179" s="111" t="s">
        <v>937</v>
      </c>
      <c r="L179" s="77"/>
      <c r="M179" s="61"/>
      <c r="N179" s="61"/>
      <c r="O179" s="61"/>
      <c r="P179" s="61"/>
      <c r="Q179" s="61" t="s">
        <v>93</v>
      </c>
      <c r="R179" s="61" t="s">
        <v>94</v>
      </c>
      <c r="S179" s="61" t="s">
        <v>94</v>
      </c>
      <c r="T179" s="66">
        <v>46255.0</v>
      </c>
      <c r="U179" s="28"/>
      <c r="V179" s="30"/>
      <c r="W179" s="28"/>
      <c r="X179" s="28"/>
      <c r="Y179" s="28"/>
      <c r="Z179" s="28"/>
    </row>
    <row r="180" ht="13.5" customHeight="1">
      <c r="A180" s="78" t="s">
        <v>51</v>
      </c>
      <c r="B180" s="78" t="s">
        <v>141</v>
      </c>
      <c r="C180" s="79" t="s">
        <v>939</v>
      </c>
      <c r="D180" s="79" t="s">
        <v>940</v>
      </c>
      <c r="E180" s="81" t="s">
        <v>941</v>
      </c>
      <c r="F180" s="82" t="s">
        <v>942</v>
      </c>
      <c r="G180" s="83" t="s">
        <v>943</v>
      </c>
      <c r="H180" s="81" t="s">
        <v>88</v>
      </c>
      <c r="I180" s="81" t="s">
        <v>60</v>
      </c>
      <c r="J180" s="82" t="s">
        <v>944</v>
      </c>
      <c r="K180" s="65"/>
      <c r="L180" s="78" t="s">
        <v>681</v>
      </c>
      <c r="M180" s="81"/>
      <c r="N180" s="81"/>
      <c r="O180" s="81"/>
      <c r="P180" s="81"/>
      <c r="Q180" s="81" t="s">
        <v>93</v>
      </c>
      <c r="R180" s="81" t="s">
        <v>94</v>
      </c>
      <c r="S180" s="81" t="s">
        <v>94</v>
      </c>
      <c r="T180" s="84">
        <v>46232.0</v>
      </c>
      <c r="U180" s="28"/>
      <c r="V180" s="30"/>
      <c r="W180" s="28"/>
      <c r="X180" s="28"/>
      <c r="Y180" s="28"/>
      <c r="Z180" s="28"/>
    </row>
    <row r="181" ht="13.5" customHeight="1">
      <c r="A181" s="67"/>
      <c r="B181" s="67"/>
      <c r="C181" s="67"/>
      <c r="D181" s="67"/>
      <c r="E181" s="81" t="s">
        <v>945</v>
      </c>
      <c r="F181" s="85"/>
      <c r="G181" s="83" t="s">
        <v>946</v>
      </c>
      <c r="H181" s="81" t="s">
        <v>88</v>
      </c>
      <c r="I181" s="81" t="s">
        <v>60</v>
      </c>
      <c r="J181" s="82" t="s">
        <v>947</v>
      </c>
      <c r="K181" s="70"/>
      <c r="L181" s="67"/>
      <c r="M181" s="81"/>
      <c r="N181" s="81"/>
      <c r="O181" s="81"/>
      <c r="P181" s="81"/>
      <c r="Q181" s="81" t="s">
        <v>93</v>
      </c>
      <c r="R181" s="81" t="s">
        <v>94</v>
      </c>
      <c r="S181" s="81" t="s">
        <v>94</v>
      </c>
      <c r="T181" s="86">
        <v>46232.0</v>
      </c>
      <c r="U181" s="28"/>
      <c r="V181" s="30"/>
      <c r="W181" s="28"/>
      <c r="X181" s="28"/>
      <c r="Y181" s="28"/>
      <c r="Z181" s="28"/>
    </row>
    <row r="182" ht="13.5" customHeight="1">
      <c r="A182" s="67"/>
      <c r="B182" s="67"/>
      <c r="C182" s="67"/>
      <c r="D182" s="67"/>
      <c r="E182" s="81" t="s">
        <v>948</v>
      </c>
      <c r="F182" s="85"/>
      <c r="G182" s="83" t="s">
        <v>949</v>
      </c>
      <c r="H182" s="81" t="s">
        <v>88</v>
      </c>
      <c r="I182" s="81" t="s">
        <v>60</v>
      </c>
      <c r="J182" s="90" t="s">
        <v>951</v>
      </c>
      <c r="K182" s="65"/>
      <c r="L182" s="67"/>
      <c r="M182" s="81"/>
      <c r="N182" s="81"/>
      <c r="O182" s="81"/>
      <c r="P182" s="81"/>
      <c r="Q182" s="81" t="s">
        <v>93</v>
      </c>
      <c r="R182" s="81" t="s">
        <v>94</v>
      </c>
      <c r="S182" s="81" t="s">
        <v>94</v>
      </c>
      <c r="T182" s="86">
        <v>46232.0</v>
      </c>
      <c r="U182" s="28"/>
      <c r="V182" s="30"/>
      <c r="W182" s="28"/>
      <c r="X182" s="28"/>
      <c r="Y182" s="28"/>
      <c r="Z182" s="28"/>
    </row>
    <row r="183" ht="13.5" customHeight="1">
      <c r="A183" s="67"/>
      <c r="B183" s="67"/>
      <c r="C183" s="67"/>
      <c r="D183" s="67"/>
      <c r="E183" s="81" t="s">
        <v>952</v>
      </c>
      <c r="F183" s="82" t="s">
        <v>953</v>
      </c>
      <c r="G183" s="83" t="s">
        <v>954</v>
      </c>
      <c r="H183" s="81" t="s">
        <v>88</v>
      </c>
      <c r="I183" s="81" t="s">
        <v>60</v>
      </c>
      <c r="J183" s="82" t="s">
        <v>932</v>
      </c>
      <c r="K183" s="65"/>
      <c r="L183" s="67"/>
      <c r="M183" s="81"/>
      <c r="N183" s="81"/>
      <c r="O183" s="81"/>
      <c r="P183" s="81"/>
      <c r="Q183" s="81" t="s">
        <v>93</v>
      </c>
      <c r="R183" s="81" t="s">
        <v>94</v>
      </c>
      <c r="S183" s="81" t="s">
        <v>94</v>
      </c>
      <c r="T183" s="86">
        <v>46232.0</v>
      </c>
      <c r="U183" s="28"/>
      <c r="V183" s="30"/>
      <c r="W183" s="28"/>
      <c r="X183" s="28"/>
      <c r="Y183" s="28"/>
      <c r="Z183" s="28"/>
    </row>
    <row r="184" ht="13.5" customHeight="1">
      <c r="A184" s="67"/>
      <c r="B184" s="67"/>
      <c r="C184" s="67"/>
      <c r="D184" s="67"/>
      <c r="E184" s="81" t="s">
        <v>955</v>
      </c>
      <c r="F184" s="85"/>
      <c r="G184" s="83" t="s">
        <v>956</v>
      </c>
      <c r="H184" s="81" t="s">
        <v>88</v>
      </c>
      <c r="I184" s="81" t="s">
        <v>60</v>
      </c>
      <c r="J184" s="82" t="s">
        <v>957</v>
      </c>
      <c r="K184" s="70"/>
      <c r="L184" s="67"/>
      <c r="M184" s="81"/>
      <c r="N184" s="81"/>
      <c r="O184" s="81"/>
      <c r="P184" s="81"/>
      <c r="Q184" s="81" t="s">
        <v>93</v>
      </c>
      <c r="R184" s="81" t="s">
        <v>94</v>
      </c>
      <c r="S184" s="81" t="s">
        <v>94</v>
      </c>
      <c r="T184" s="86">
        <v>46232.0</v>
      </c>
      <c r="U184" s="28"/>
      <c r="V184" s="30"/>
      <c r="W184" s="28"/>
      <c r="X184" s="28"/>
      <c r="Y184" s="28"/>
      <c r="Z184" s="28"/>
    </row>
    <row r="185" ht="13.5" customHeight="1">
      <c r="A185" s="67"/>
      <c r="B185" s="67"/>
      <c r="C185" s="67"/>
      <c r="D185" s="67"/>
      <c r="E185" s="81" t="s">
        <v>958</v>
      </c>
      <c r="F185" s="85"/>
      <c r="G185" s="83" t="s">
        <v>960</v>
      </c>
      <c r="H185" s="81" t="s">
        <v>88</v>
      </c>
      <c r="I185" s="81" t="s">
        <v>60</v>
      </c>
      <c r="J185" s="82" t="s">
        <v>961</v>
      </c>
      <c r="K185" s="65"/>
      <c r="L185" s="67"/>
      <c r="M185" s="81"/>
      <c r="N185" s="81"/>
      <c r="O185" s="81"/>
      <c r="P185" s="81"/>
      <c r="Q185" s="81" t="s">
        <v>93</v>
      </c>
      <c r="R185" s="81" t="s">
        <v>94</v>
      </c>
      <c r="S185" s="81" t="s">
        <v>94</v>
      </c>
      <c r="T185" s="86">
        <v>46232.0</v>
      </c>
      <c r="U185" s="28"/>
      <c r="V185" s="30"/>
      <c r="W185" s="28"/>
      <c r="X185" s="28"/>
      <c r="Y185" s="28"/>
      <c r="Z185" s="28"/>
    </row>
    <row r="186" ht="13.5" customHeight="1">
      <c r="A186" s="67"/>
      <c r="B186" s="67"/>
      <c r="C186" s="67"/>
      <c r="D186" s="67"/>
      <c r="E186" s="81" t="s">
        <v>962</v>
      </c>
      <c r="F186" s="82" t="s">
        <v>963</v>
      </c>
      <c r="G186" s="83" t="s">
        <v>964</v>
      </c>
      <c r="H186" s="81" t="s">
        <v>88</v>
      </c>
      <c r="I186" s="81" t="s">
        <v>60</v>
      </c>
      <c r="J186" s="82" t="s">
        <v>965</v>
      </c>
      <c r="K186" s="65"/>
      <c r="L186" s="67"/>
      <c r="M186" s="81"/>
      <c r="N186" s="81"/>
      <c r="O186" s="81"/>
      <c r="P186" s="81"/>
      <c r="Q186" s="81" t="s">
        <v>93</v>
      </c>
      <c r="R186" s="81" t="s">
        <v>94</v>
      </c>
      <c r="S186" s="81" t="s">
        <v>94</v>
      </c>
      <c r="T186" s="86">
        <v>46232.0</v>
      </c>
      <c r="U186" s="28"/>
      <c r="V186" s="30"/>
      <c r="W186" s="28"/>
      <c r="X186" s="28"/>
      <c r="Y186" s="28"/>
      <c r="Z186" s="28"/>
    </row>
    <row r="187" ht="13.5" customHeight="1">
      <c r="A187" s="67"/>
      <c r="B187" s="67"/>
      <c r="C187" s="67"/>
      <c r="D187" s="67"/>
      <c r="E187" s="81" t="s">
        <v>966</v>
      </c>
      <c r="F187" s="85"/>
      <c r="G187" s="83" t="s">
        <v>967</v>
      </c>
      <c r="H187" s="81" t="s">
        <v>88</v>
      </c>
      <c r="I187" s="81" t="s">
        <v>60</v>
      </c>
      <c r="J187" s="82" t="s">
        <v>968</v>
      </c>
      <c r="K187" s="65"/>
      <c r="L187" s="67"/>
      <c r="M187" s="81"/>
      <c r="N187" s="81"/>
      <c r="O187" s="81"/>
      <c r="P187" s="81"/>
      <c r="Q187" s="81" t="s">
        <v>93</v>
      </c>
      <c r="R187" s="81" t="s">
        <v>94</v>
      </c>
      <c r="S187" s="81" t="s">
        <v>94</v>
      </c>
      <c r="T187" s="86">
        <v>46232.0</v>
      </c>
      <c r="U187" s="28"/>
      <c r="V187" s="30"/>
      <c r="W187" s="28"/>
      <c r="X187" s="28"/>
      <c r="Y187" s="28"/>
      <c r="Z187" s="28"/>
    </row>
    <row r="188" ht="13.5" customHeight="1">
      <c r="A188" s="67"/>
      <c r="B188" s="67"/>
      <c r="C188" s="67"/>
      <c r="D188" s="67"/>
      <c r="E188" s="81" t="s">
        <v>969</v>
      </c>
      <c r="F188" s="82" t="s">
        <v>970</v>
      </c>
      <c r="G188" s="83" t="s">
        <v>971</v>
      </c>
      <c r="H188" s="81" t="s">
        <v>88</v>
      </c>
      <c r="I188" s="81" t="s">
        <v>60</v>
      </c>
      <c r="J188" s="82" t="s">
        <v>972</v>
      </c>
      <c r="K188" s="74" t="s">
        <v>973</v>
      </c>
      <c r="L188" s="67"/>
      <c r="M188" s="81"/>
      <c r="N188" s="81"/>
      <c r="O188" s="81"/>
      <c r="P188" s="81"/>
      <c r="Q188" s="81" t="s">
        <v>93</v>
      </c>
      <c r="R188" s="81" t="s">
        <v>94</v>
      </c>
      <c r="S188" s="81" t="s">
        <v>94</v>
      </c>
      <c r="T188" s="86">
        <v>46255.0</v>
      </c>
      <c r="U188" s="28"/>
      <c r="V188" s="30"/>
      <c r="W188" s="28"/>
      <c r="X188" s="28"/>
      <c r="Y188" s="28"/>
      <c r="Z188" s="28"/>
    </row>
    <row r="189" ht="13.5" customHeight="1">
      <c r="A189" s="77"/>
      <c r="B189" s="77"/>
      <c r="C189" s="77"/>
      <c r="D189" s="77"/>
      <c r="E189" s="81" t="s">
        <v>974</v>
      </c>
      <c r="F189" s="85"/>
      <c r="G189" s="83" t="s">
        <v>975</v>
      </c>
      <c r="H189" s="81" t="s">
        <v>88</v>
      </c>
      <c r="I189" s="81" t="s">
        <v>60</v>
      </c>
      <c r="J189" s="82" t="s">
        <v>976</v>
      </c>
      <c r="K189" s="69" t="s">
        <v>977</v>
      </c>
      <c r="L189" s="77"/>
      <c r="M189" s="81"/>
      <c r="N189" s="81"/>
      <c r="O189" s="81"/>
      <c r="P189" s="81"/>
      <c r="Q189" s="81" t="s">
        <v>93</v>
      </c>
      <c r="R189" s="81" t="s">
        <v>94</v>
      </c>
      <c r="S189" s="81" t="s">
        <v>94</v>
      </c>
      <c r="T189" s="86">
        <v>46255.0</v>
      </c>
      <c r="U189" s="28"/>
      <c r="V189" s="30"/>
      <c r="W189" s="28"/>
      <c r="X189" s="28"/>
      <c r="Y189" s="28"/>
      <c r="Z189" s="28"/>
    </row>
    <row r="190" ht="13.5" customHeight="1">
      <c r="A190" s="59" t="s">
        <v>51</v>
      </c>
      <c r="B190" s="59" t="s">
        <v>151</v>
      </c>
      <c r="C190" s="59" t="s">
        <v>152</v>
      </c>
      <c r="D190" s="59" t="s">
        <v>978</v>
      </c>
      <c r="E190" s="61" t="s">
        <v>979</v>
      </c>
      <c r="F190" s="62" t="s">
        <v>980</v>
      </c>
      <c r="G190" s="63" t="s">
        <v>981</v>
      </c>
      <c r="H190" s="61" t="s">
        <v>88</v>
      </c>
      <c r="I190" s="61" t="s">
        <v>60</v>
      </c>
      <c r="J190" s="63" t="s">
        <v>982</v>
      </c>
      <c r="K190" s="65"/>
      <c r="L190" s="59" t="s">
        <v>983</v>
      </c>
      <c r="M190" s="61"/>
      <c r="N190" s="61"/>
      <c r="O190" s="61"/>
      <c r="P190" s="61"/>
      <c r="Q190" s="61" t="s">
        <v>93</v>
      </c>
      <c r="R190" s="61" t="s">
        <v>94</v>
      </c>
      <c r="S190" s="61" t="s">
        <v>94</v>
      </c>
      <c r="T190" s="66">
        <v>46232.0</v>
      </c>
      <c r="U190" s="28"/>
      <c r="V190" s="30"/>
      <c r="W190" s="28"/>
      <c r="X190" s="28"/>
      <c r="Y190" s="28"/>
      <c r="Z190" s="28"/>
    </row>
    <row r="191" ht="13.5" customHeight="1">
      <c r="A191" s="67"/>
      <c r="B191" s="67"/>
      <c r="C191" s="67"/>
      <c r="D191" s="67"/>
      <c r="E191" s="61" t="s">
        <v>984</v>
      </c>
      <c r="F191" s="62"/>
      <c r="G191" s="63" t="s">
        <v>985</v>
      </c>
      <c r="H191" s="61" t="s">
        <v>88</v>
      </c>
      <c r="I191" s="61" t="s">
        <v>60</v>
      </c>
      <c r="J191" s="63" t="s">
        <v>986</v>
      </c>
      <c r="K191" s="65"/>
      <c r="L191" s="67"/>
      <c r="M191" s="61"/>
      <c r="N191" s="61"/>
      <c r="O191" s="61"/>
      <c r="P191" s="61"/>
      <c r="Q191" s="61" t="s">
        <v>93</v>
      </c>
      <c r="R191" s="61" t="s">
        <v>94</v>
      </c>
      <c r="S191" s="61" t="s">
        <v>94</v>
      </c>
      <c r="T191" s="66">
        <v>46232.0</v>
      </c>
      <c r="U191" s="28"/>
      <c r="V191" s="30"/>
      <c r="W191" s="28"/>
      <c r="X191" s="28"/>
      <c r="Y191" s="28"/>
      <c r="Z191" s="28"/>
    </row>
    <row r="192" ht="13.5" customHeight="1">
      <c r="A192" s="67"/>
      <c r="B192" s="67"/>
      <c r="C192" s="67"/>
      <c r="D192" s="67"/>
      <c r="E192" s="61" t="s">
        <v>987</v>
      </c>
      <c r="F192" s="62" t="s">
        <v>988</v>
      </c>
      <c r="G192" s="63" t="s">
        <v>989</v>
      </c>
      <c r="H192" s="61" t="s">
        <v>88</v>
      </c>
      <c r="I192" s="61" t="s">
        <v>60</v>
      </c>
      <c r="J192" s="63" t="s">
        <v>990</v>
      </c>
      <c r="K192" s="69" t="s">
        <v>991</v>
      </c>
      <c r="L192" s="67"/>
      <c r="M192" s="61"/>
      <c r="N192" s="61"/>
      <c r="O192" s="61"/>
      <c r="P192" s="61"/>
      <c r="Q192" s="61" t="s">
        <v>93</v>
      </c>
      <c r="R192" s="61" t="s">
        <v>94</v>
      </c>
      <c r="S192" s="61" t="s">
        <v>94</v>
      </c>
      <c r="T192" s="66">
        <v>46255.0</v>
      </c>
      <c r="U192" s="28"/>
      <c r="V192" s="30"/>
      <c r="W192" s="28"/>
      <c r="X192" s="28"/>
      <c r="Y192" s="28"/>
      <c r="Z192" s="28"/>
    </row>
    <row r="193" ht="13.5" customHeight="1">
      <c r="A193" s="67"/>
      <c r="B193" s="67"/>
      <c r="C193" s="67"/>
      <c r="D193" s="67"/>
      <c r="E193" s="61" t="s">
        <v>992</v>
      </c>
      <c r="F193" s="62"/>
      <c r="G193" s="63" t="s">
        <v>993</v>
      </c>
      <c r="H193" s="61" t="s">
        <v>88</v>
      </c>
      <c r="I193" s="61" t="s">
        <v>60</v>
      </c>
      <c r="J193" s="63" t="s">
        <v>994</v>
      </c>
      <c r="K193" s="65"/>
      <c r="L193" s="67"/>
      <c r="M193" s="61"/>
      <c r="N193" s="61"/>
      <c r="O193" s="61"/>
      <c r="P193" s="61"/>
      <c r="Q193" s="61" t="s">
        <v>93</v>
      </c>
      <c r="R193" s="61" t="s">
        <v>94</v>
      </c>
      <c r="S193" s="61" t="s">
        <v>94</v>
      </c>
      <c r="T193" s="66">
        <v>46232.0</v>
      </c>
      <c r="U193" s="28"/>
      <c r="V193" s="30"/>
      <c r="W193" s="28"/>
      <c r="X193" s="28"/>
      <c r="Y193" s="28"/>
      <c r="Z193" s="28"/>
    </row>
    <row r="194" ht="13.5" customHeight="1">
      <c r="A194" s="67"/>
      <c r="B194" s="67"/>
      <c r="C194" s="67"/>
      <c r="D194" s="67"/>
      <c r="E194" s="61" t="s">
        <v>995</v>
      </c>
      <c r="F194" s="62"/>
      <c r="G194" s="63" t="s">
        <v>996</v>
      </c>
      <c r="H194" s="61" t="s">
        <v>88</v>
      </c>
      <c r="I194" s="61" t="s">
        <v>60</v>
      </c>
      <c r="J194" s="63" t="s">
        <v>997</v>
      </c>
      <c r="K194" s="69" t="s">
        <v>998</v>
      </c>
      <c r="L194" s="67"/>
      <c r="M194" s="61"/>
      <c r="N194" s="61"/>
      <c r="O194" s="61"/>
      <c r="P194" s="61"/>
      <c r="Q194" s="61" t="s">
        <v>93</v>
      </c>
      <c r="R194" s="61" t="s">
        <v>94</v>
      </c>
      <c r="S194" s="61" t="s">
        <v>94</v>
      </c>
      <c r="T194" s="66">
        <v>46255.0</v>
      </c>
      <c r="U194" s="28"/>
      <c r="V194" s="30"/>
      <c r="W194" s="28"/>
      <c r="X194" s="28"/>
      <c r="Y194" s="28"/>
      <c r="Z194" s="28"/>
    </row>
    <row r="195" ht="13.5" customHeight="1">
      <c r="A195" s="67"/>
      <c r="B195" s="67"/>
      <c r="C195" s="67"/>
      <c r="D195" s="67"/>
      <c r="E195" s="61" t="s">
        <v>999</v>
      </c>
      <c r="F195" s="62"/>
      <c r="G195" s="63" t="s">
        <v>1000</v>
      </c>
      <c r="H195" s="61" t="s">
        <v>88</v>
      </c>
      <c r="I195" s="61" t="s">
        <v>60</v>
      </c>
      <c r="J195" s="63" t="s">
        <v>1001</v>
      </c>
      <c r="K195" s="69" t="s">
        <v>1002</v>
      </c>
      <c r="L195" s="67"/>
      <c r="M195" s="61"/>
      <c r="N195" s="61"/>
      <c r="O195" s="61"/>
      <c r="P195" s="61"/>
      <c r="Q195" s="61" t="s">
        <v>93</v>
      </c>
      <c r="R195" s="61" t="s">
        <v>94</v>
      </c>
      <c r="S195" s="61" t="s">
        <v>94</v>
      </c>
      <c r="T195" s="66">
        <v>46255.0</v>
      </c>
      <c r="U195" s="28"/>
      <c r="V195" s="30"/>
      <c r="W195" s="28"/>
      <c r="X195" s="28"/>
      <c r="Y195" s="28"/>
      <c r="Z195" s="28"/>
    </row>
    <row r="196" ht="13.5" customHeight="1">
      <c r="A196" s="67"/>
      <c r="B196" s="67"/>
      <c r="C196" s="67"/>
      <c r="D196" s="67"/>
      <c r="E196" s="61" t="s">
        <v>1003</v>
      </c>
      <c r="F196" s="62"/>
      <c r="G196" s="63" t="s">
        <v>1004</v>
      </c>
      <c r="H196" s="61" t="s">
        <v>88</v>
      </c>
      <c r="I196" s="61" t="s">
        <v>60</v>
      </c>
      <c r="J196" s="62" t="s">
        <v>994</v>
      </c>
      <c r="K196" s="65"/>
      <c r="L196" s="67"/>
      <c r="M196" s="61"/>
      <c r="N196" s="61"/>
      <c r="O196" s="61"/>
      <c r="P196" s="61"/>
      <c r="Q196" s="61" t="s">
        <v>93</v>
      </c>
      <c r="R196" s="61" t="s">
        <v>94</v>
      </c>
      <c r="S196" s="61" t="s">
        <v>94</v>
      </c>
      <c r="T196" s="66">
        <v>46232.0</v>
      </c>
      <c r="U196" s="28"/>
      <c r="V196" s="30"/>
      <c r="W196" s="28"/>
      <c r="X196" s="28"/>
      <c r="Y196" s="28"/>
      <c r="Z196" s="28"/>
    </row>
    <row r="197" ht="13.5" customHeight="1">
      <c r="A197" s="67"/>
      <c r="B197" s="67"/>
      <c r="C197" s="67"/>
      <c r="D197" s="67"/>
      <c r="E197" s="61" t="s">
        <v>1005</v>
      </c>
      <c r="F197" s="62" t="s">
        <v>1006</v>
      </c>
      <c r="G197" s="63" t="s">
        <v>1007</v>
      </c>
      <c r="H197" s="61" t="s">
        <v>88</v>
      </c>
      <c r="I197" s="61" t="s">
        <v>60</v>
      </c>
      <c r="J197" s="62" t="s">
        <v>994</v>
      </c>
      <c r="K197" s="65"/>
      <c r="L197" s="67"/>
      <c r="M197" s="61"/>
      <c r="N197" s="61"/>
      <c r="O197" s="61"/>
      <c r="P197" s="61"/>
      <c r="Q197" s="61" t="s">
        <v>93</v>
      </c>
      <c r="R197" s="61" t="s">
        <v>94</v>
      </c>
      <c r="S197" s="61" t="s">
        <v>94</v>
      </c>
      <c r="T197" s="66">
        <v>46232.0</v>
      </c>
      <c r="U197" s="28"/>
      <c r="V197" s="30"/>
      <c r="W197" s="28"/>
      <c r="X197" s="28"/>
      <c r="Y197" s="28"/>
      <c r="Z197" s="28"/>
    </row>
    <row r="198" ht="13.5" customHeight="1">
      <c r="A198" s="67"/>
      <c r="B198" s="67"/>
      <c r="C198" s="67"/>
      <c r="D198" s="67"/>
      <c r="E198" s="61" t="s">
        <v>1008</v>
      </c>
      <c r="F198" s="62"/>
      <c r="G198" s="63" t="s">
        <v>1009</v>
      </c>
      <c r="H198" s="61" t="s">
        <v>88</v>
      </c>
      <c r="I198" s="61" t="s">
        <v>60</v>
      </c>
      <c r="J198" s="62" t="s">
        <v>1010</v>
      </c>
      <c r="K198" s="69" t="s">
        <v>991</v>
      </c>
      <c r="L198" s="67"/>
      <c r="M198" s="61"/>
      <c r="N198" s="61"/>
      <c r="O198" s="61"/>
      <c r="P198" s="61"/>
      <c r="Q198" s="61" t="s">
        <v>93</v>
      </c>
      <c r="R198" s="61" t="s">
        <v>94</v>
      </c>
      <c r="S198" s="61" t="s">
        <v>94</v>
      </c>
      <c r="T198" s="66">
        <v>46255.0</v>
      </c>
      <c r="U198" s="28"/>
      <c r="V198" s="30"/>
      <c r="W198" s="28"/>
      <c r="X198" s="28"/>
      <c r="Y198" s="28"/>
      <c r="Z198" s="28"/>
    </row>
    <row r="199" ht="13.5" customHeight="1">
      <c r="A199" s="67"/>
      <c r="B199" s="67"/>
      <c r="C199" s="67"/>
      <c r="D199" s="67"/>
      <c r="E199" s="61" t="s">
        <v>1011</v>
      </c>
      <c r="F199" s="62"/>
      <c r="G199" s="63" t="s">
        <v>1012</v>
      </c>
      <c r="H199" s="61" t="s">
        <v>88</v>
      </c>
      <c r="I199" s="61" t="s">
        <v>60</v>
      </c>
      <c r="J199" s="62" t="s">
        <v>1013</v>
      </c>
      <c r="K199" s="69" t="s">
        <v>991</v>
      </c>
      <c r="L199" s="67"/>
      <c r="M199" s="61"/>
      <c r="N199" s="61"/>
      <c r="O199" s="61"/>
      <c r="P199" s="61"/>
      <c r="Q199" s="61" t="s">
        <v>93</v>
      </c>
      <c r="R199" s="61" t="s">
        <v>94</v>
      </c>
      <c r="S199" s="61" t="s">
        <v>94</v>
      </c>
      <c r="T199" s="66">
        <v>46255.0</v>
      </c>
      <c r="U199" s="28"/>
      <c r="V199" s="30"/>
      <c r="W199" s="28"/>
      <c r="X199" s="28"/>
      <c r="Y199" s="28"/>
      <c r="Z199" s="28"/>
    </row>
    <row r="200" ht="13.5" customHeight="1">
      <c r="A200" s="67"/>
      <c r="B200" s="67"/>
      <c r="C200" s="67"/>
      <c r="D200" s="67"/>
      <c r="E200" s="61" t="s">
        <v>1014</v>
      </c>
      <c r="F200" s="62" t="s">
        <v>1015</v>
      </c>
      <c r="G200" s="63" t="s">
        <v>1016</v>
      </c>
      <c r="H200" s="61" t="s">
        <v>88</v>
      </c>
      <c r="I200" s="61" t="s">
        <v>60</v>
      </c>
      <c r="J200" s="63" t="s">
        <v>1017</v>
      </c>
      <c r="K200" s="65"/>
      <c r="L200" s="67"/>
      <c r="M200" s="61"/>
      <c r="N200" s="61"/>
      <c r="O200" s="61"/>
      <c r="P200" s="61"/>
      <c r="Q200" s="61" t="s">
        <v>93</v>
      </c>
      <c r="R200" s="61" t="s">
        <v>94</v>
      </c>
      <c r="S200" s="61" t="s">
        <v>94</v>
      </c>
      <c r="T200" s="66">
        <v>46232.0</v>
      </c>
      <c r="U200" s="28"/>
      <c r="V200" s="30"/>
      <c r="W200" s="28"/>
      <c r="X200" s="28"/>
      <c r="Y200" s="28"/>
      <c r="Z200" s="28"/>
    </row>
    <row r="201" ht="13.5" customHeight="1">
      <c r="A201" s="67"/>
      <c r="B201" s="67"/>
      <c r="C201" s="67"/>
      <c r="D201" s="67"/>
      <c r="E201" s="61" t="s">
        <v>1018</v>
      </c>
      <c r="F201" s="62"/>
      <c r="G201" s="63" t="s">
        <v>1019</v>
      </c>
      <c r="H201" s="61" t="s">
        <v>88</v>
      </c>
      <c r="I201" s="61" t="s">
        <v>60</v>
      </c>
      <c r="J201" s="63" t="s">
        <v>1020</v>
      </c>
      <c r="K201" s="65"/>
      <c r="L201" s="67"/>
      <c r="M201" s="61"/>
      <c r="N201" s="61"/>
      <c r="O201" s="61"/>
      <c r="P201" s="61"/>
      <c r="Q201" s="61" t="s">
        <v>93</v>
      </c>
      <c r="R201" s="61" t="s">
        <v>94</v>
      </c>
      <c r="S201" s="61" t="s">
        <v>94</v>
      </c>
      <c r="T201" s="66">
        <v>46232.0</v>
      </c>
      <c r="U201" s="28"/>
      <c r="V201" s="30"/>
      <c r="W201" s="28"/>
      <c r="X201" s="28"/>
      <c r="Y201" s="28"/>
      <c r="Z201" s="28"/>
    </row>
    <row r="202" ht="13.5" customHeight="1">
      <c r="A202" s="67"/>
      <c r="B202" s="67"/>
      <c r="C202" s="67"/>
      <c r="D202" s="67"/>
      <c r="E202" s="61" t="s">
        <v>1021</v>
      </c>
      <c r="F202" s="62"/>
      <c r="G202" s="63" t="s">
        <v>1022</v>
      </c>
      <c r="H202" s="61" t="s">
        <v>88</v>
      </c>
      <c r="I202" s="61" t="s">
        <v>60</v>
      </c>
      <c r="J202" s="63" t="s">
        <v>1023</v>
      </c>
      <c r="K202" s="65"/>
      <c r="L202" s="67"/>
      <c r="M202" s="61"/>
      <c r="N202" s="61"/>
      <c r="O202" s="61"/>
      <c r="P202" s="61"/>
      <c r="Q202" s="61" t="s">
        <v>93</v>
      </c>
      <c r="R202" s="61" t="s">
        <v>94</v>
      </c>
      <c r="S202" s="61" t="s">
        <v>94</v>
      </c>
      <c r="T202" s="66">
        <v>46232.0</v>
      </c>
      <c r="U202" s="28"/>
      <c r="V202" s="30"/>
      <c r="W202" s="28"/>
      <c r="X202" s="28"/>
      <c r="Y202" s="28"/>
      <c r="Z202" s="28"/>
    </row>
    <row r="203" ht="13.5" customHeight="1">
      <c r="A203" s="67"/>
      <c r="B203" s="67"/>
      <c r="C203" s="67"/>
      <c r="D203" s="67"/>
      <c r="E203" s="61" t="s">
        <v>1024</v>
      </c>
      <c r="F203" s="62"/>
      <c r="G203" s="63" t="s">
        <v>1025</v>
      </c>
      <c r="H203" s="61" t="s">
        <v>88</v>
      </c>
      <c r="I203" s="61" t="s">
        <v>60</v>
      </c>
      <c r="J203" s="63" t="s">
        <v>1026</v>
      </c>
      <c r="K203" s="65"/>
      <c r="L203" s="67"/>
      <c r="M203" s="61"/>
      <c r="N203" s="61"/>
      <c r="O203" s="61"/>
      <c r="P203" s="61"/>
      <c r="Q203" s="61" t="s">
        <v>93</v>
      </c>
      <c r="R203" s="61" t="s">
        <v>94</v>
      </c>
      <c r="S203" s="61" t="s">
        <v>94</v>
      </c>
      <c r="T203" s="66">
        <v>46232.0</v>
      </c>
      <c r="U203" s="28"/>
      <c r="V203" s="30"/>
      <c r="W203" s="28"/>
      <c r="X203" s="28"/>
      <c r="Y203" s="28"/>
      <c r="Z203" s="28"/>
    </row>
    <row r="204" ht="13.5" customHeight="1">
      <c r="A204" s="67"/>
      <c r="B204" s="67"/>
      <c r="C204" s="67"/>
      <c r="D204" s="67"/>
      <c r="E204" s="61" t="s">
        <v>1027</v>
      </c>
      <c r="F204" s="62" t="s">
        <v>1028</v>
      </c>
      <c r="G204" s="63" t="s">
        <v>1029</v>
      </c>
      <c r="H204" s="61" t="s">
        <v>88</v>
      </c>
      <c r="I204" s="61" t="s">
        <v>60</v>
      </c>
      <c r="J204" s="63" t="s">
        <v>1030</v>
      </c>
      <c r="K204" s="69" t="s">
        <v>1031</v>
      </c>
      <c r="L204" s="67"/>
      <c r="M204" s="61"/>
      <c r="N204" s="61"/>
      <c r="O204" s="61"/>
      <c r="P204" s="61"/>
      <c r="Q204" s="61" t="s">
        <v>93</v>
      </c>
      <c r="R204" s="61" t="s">
        <v>94</v>
      </c>
      <c r="S204" s="61" t="s">
        <v>94</v>
      </c>
      <c r="T204" s="66">
        <v>46255.0</v>
      </c>
      <c r="U204" s="28"/>
      <c r="V204" s="30"/>
      <c r="W204" s="28"/>
      <c r="X204" s="28"/>
      <c r="Y204" s="28"/>
      <c r="Z204" s="28"/>
    </row>
    <row r="205" ht="13.5" customHeight="1">
      <c r="A205" s="67"/>
      <c r="B205" s="67"/>
      <c r="C205" s="67"/>
      <c r="D205" s="67"/>
      <c r="E205" s="61" t="s">
        <v>1032</v>
      </c>
      <c r="F205" s="62"/>
      <c r="G205" s="63" t="s">
        <v>1033</v>
      </c>
      <c r="H205" s="61" t="s">
        <v>88</v>
      </c>
      <c r="I205" s="61" t="s">
        <v>60</v>
      </c>
      <c r="J205" s="63" t="s">
        <v>1034</v>
      </c>
      <c r="K205" s="69" t="s">
        <v>1031</v>
      </c>
      <c r="L205" s="67"/>
      <c r="M205" s="61"/>
      <c r="N205" s="61"/>
      <c r="O205" s="61"/>
      <c r="P205" s="61"/>
      <c r="Q205" s="61" t="s">
        <v>93</v>
      </c>
      <c r="R205" s="61" t="s">
        <v>94</v>
      </c>
      <c r="S205" s="61" t="s">
        <v>94</v>
      </c>
      <c r="T205" s="66">
        <v>46255.0</v>
      </c>
      <c r="U205" s="28"/>
      <c r="V205" s="30"/>
      <c r="W205" s="28"/>
      <c r="X205" s="28"/>
      <c r="Y205" s="28"/>
      <c r="Z205" s="28"/>
    </row>
    <row r="206" ht="13.5" customHeight="1">
      <c r="A206" s="67"/>
      <c r="B206" s="67"/>
      <c r="C206" s="67"/>
      <c r="D206" s="67"/>
      <c r="E206" s="61" t="s">
        <v>1035</v>
      </c>
      <c r="F206" s="62" t="s">
        <v>1036</v>
      </c>
      <c r="G206" s="63" t="s">
        <v>1037</v>
      </c>
      <c r="H206" s="61" t="s">
        <v>88</v>
      </c>
      <c r="I206" s="61" t="s">
        <v>60</v>
      </c>
      <c r="J206" s="63" t="s">
        <v>1038</v>
      </c>
      <c r="K206" s="70"/>
      <c r="L206" s="67"/>
      <c r="M206" s="61"/>
      <c r="N206" s="61"/>
      <c r="O206" s="61"/>
      <c r="P206" s="61"/>
      <c r="Q206" s="61" t="s">
        <v>93</v>
      </c>
      <c r="R206" s="61" t="s">
        <v>94</v>
      </c>
      <c r="S206" s="61" t="s">
        <v>94</v>
      </c>
      <c r="T206" s="66">
        <v>46232.0</v>
      </c>
      <c r="U206" s="28"/>
      <c r="V206" s="30"/>
      <c r="W206" s="28"/>
      <c r="X206" s="28"/>
      <c r="Y206" s="28"/>
      <c r="Z206" s="28"/>
    </row>
    <row r="207" ht="13.5" customHeight="1">
      <c r="A207" s="67"/>
      <c r="B207" s="67"/>
      <c r="C207" s="67"/>
      <c r="D207" s="67"/>
      <c r="E207" s="61" t="s">
        <v>1039</v>
      </c>
      <c r="F207" s="62"/>
      <c r="G207" s="63" t="s">
        <v>1040</v>
      </c>
      <c r="H207" s="61" t="s">
        <v>88</v>
      </c>
      <c r="I207" s="61" t="s">
        <v>60</v>
      </c>
      <c r="J207" s="62" t="s">
        <v>994</v>
      </c>
      <c r="K207" s="65"/>
      <c r="L207" s="67"/>
      <c r="M207" s="61"/>
      <c r="N207" s="61"/>
      <c r="O207" s="61"/>
      <c r="P207" s="61"/>
      <c r="Q207" s="61" t="s">
        <v>93</v>
      </c>
      <c r="R207" s="61" t="s">
        <v>94</v>
      </c>
      <c r="S207" s="61" t="s">
        <v>94</v>
      </c>
      <c r="T207" s="66">
        <v>46232.0</v>
      </c>
      <c r="U207" s="28"/>
      <c r="V207" s="30"/>
      <c r="W207" s="28"/>
      <c r="X207" s="28"/>
      <c r="Y207" s="28"/>
      <c r="Z207" s="28"/>
    </row>
    <row r="208" ht="13.5" customHeight="1">
      <c r="A208" s="67"/>
      <c r="B208" s="67"/>
      <c r="C208" s="67"/>
      <c r="D208" s="67"/>
      <c r="E208" s="61" t="s">
        <v>1041</v>
      </c>
      <c r="F208" s="62"/>
      <c r="G208" s="63" t="s">
        <v>1042</v>
      </c>
      <c r="H208" s="61" t="s">
        <v>88</v>
      </c>
      <c r="I208" s="61" t="s">
        <v>60</v>
      </c>
      <c r="J208" s="63" t="s">
        <v>1043</v>
      </c>
      <c r="K208" s="65"/>
      <c r="L208" s="67"/>
      <c r="M208" s="61"/>
      <c r="N208" s="61"/>
      <c r="O208" s="61"/>
      <c r="P208" s="61"/>
      <c r="Q208" s="61" t="s">
        <v>93</v>
      </c>
      <c r="R208" s="61" t="s">
        <v>94</v>
      </c>
      <c r="S208" s="61" t="s">
        <v>94</v>
      </c>
      <c r="T208" s="66">
        <v>46232.0</v>
      </c>
      <c r="U208" s="28"/>
      <c r="V208" s="30"/>
      <c r="W208" s="28"/>
      <c r="X208" s="28"/>
      <c r="Y208" s="28"/>
      <c r="Z208" s="28"/>
    </row>
    <row r="209" ht="13.5" customHeight="1">
      <c r="A209" s="67"/>
      <c r="B209" s="67"/>
      <c r="C209" s="67"/>
      <c r="D209" s="67"/>
      <c r="E209" s="61" t="s">
        <v>1044</v>
      </c>
      <c r="F209" s="62"/>
      <c r="G209" s="63" t="s">
        <v>1045</v>
      </c>
      <c r="H209" s="61" t="s">
        <v>88</v>
      </c>
      <c r="I209" s="61" t="s">
        <v>60</v>
      </c>
      <c r="J209" s="63" t="s">
        <v>1046</v>
      </c>
      <c r="K209" s="65"/>
      <c r="L209" s="67"/>
      <c r="M209" s="61"/>
      <c r="N209" s="61"/>
      <c r="O209" s="61"/>
      <c r="P209" s="61"/>
      <c r="Q209" s="61" t="s">
        <v>93</v>
      </c>
      <c r="R209" s="61" t="s">
        <v>94</v>
      </c>
      <c r="S209" s="61" t="s">
        <v>94</v>
      </c>
      <c r="T209" s="66">
        <v>46232.0</v>
      </c>
      <c r="U209" s="28"/>
      <c r="V209" s="30"/>
      <c r="W209" s="28"/>
      <c r="X209" s="28"/>
      <c r="Y209" s="28"/>
      <c r="Z209" s="28"/>
    </row>
    <row r="210" ht="13.5" customHeight="1">
      <c r="A210" s="67"/>
      <c r="B210" s="67"/>
      <c r="C210" s="67"/>
      <c r="D210" s="67"/>
      <c r="E210" s="61" t="s">
        <v>1047</v>
      </c>
      <c r="F210" s="62" t="s">
        <v>1048</v>
      </c>
      <c r="G210" s="63" t="s">
        <v>1049</v>
      </c>
      <c r="H210" s="61" t="s">
        <v>88</v>
      </c>
      <c r="I210" s="61" t="s">
        <v>60</v>
      </c>
      <c r="J210" s="63" t="s">
        <v>1050</v>
      </c>
      <c r="K210" s="65"/>
      <c r="L210" s="67"/>
      <c r="M210" s="61"/>
      <c r="N210" s="61"/>
      <c r="O210" s="61"/>
      <c r="P210" s="61"/>
      <c r="Q210" s="61" t="s">
        <v>93</v>
      </c>
      <c r="R210" s="61" t="s">
        <v>94</v>
      </c>
      <c r="S210" s="61" t="s">
        <v>94</v>
      </c>
      <c r="T210" s="66">
        <v>46232.0</v>
      </c>
      <c r="U210" s="28"/>
      <c r="V210" s="30"/>
      <c r="W210" s="28"/>
      <c r="X210" s="28"/>
      <c r="Y210" s="28"/>
      <c r="Z210" s="28"/>
    </row>
    <row r="211" ht="13.5" customHeight="1">
      <c r="A211" s="67"/>
      <c r="B211" s="67"/>
      <c r="C211" s="67"/>
      <c r="D211" s="67"/>
      <c r="E211" s="61" t="s">
        <v>1051</v>
      </c>
      <c r="F211" s="62"/>
      <c r="G211" s="63" t="s">
        <v>1052</v>
      </c>
      <c r="H211" s="61" t="s">
        <v>88</v>
      </c>
      <c r="I211" s="61" t="s">
        <v>60</v>
      </c>
      <c r="J211" s="63" t="s">
        <v>1053</v>
      </c>
      <c r="K211" s="65"/>
      <c r="L211" s="67"/>
      <c r="M211" s="61"/>
      <c r="N211" s="61"/>
      <c r="O211" s="61"/>
      <c r="P211" s="61"/>
      <c r="Q211" s="61" t="s">
        <v>93</v>
      </c>
      <c r="R211" s="61" t="s">
        <v>94</v>
      </c>
      <c r="S211" s="61" t="s">
        <v>94</v>
      </c>
      <c r="T211" s="66">
        <v>46232.0</v>
      </c>
      <c r="U211" s="28"/>
      <c r="V211" s="30"/>
      <c r="W211" s="28"/>
      <c r="X211" s="28"/>
      <c r="Y211" s="28"/>
      <c r="Z211" s="28"/>
    </row>
    <row r="212" ht="13.5" customHeight="1">
      <c r="A212" s="67"/>
      <c r="B212" s="67"/>
      <c r="C212" s="67"/>
      <c r="D212" s="67"/>
      <c r="E212" s="61" t="s">
        <v>1054</v>
      </c>
      <c r="F212" s="62"/>
      <c r="G212" s="63" t="s">
        <v>1055</v>
      </c>
      <c r="H212" s="61" t="s">
        <v>88</v>
      </c>
      <c r="I212" s="61" t="s">
        <v>60</v>
      </c>
      <c r="J212" s="63" t="s">
        <v>1056</v>
      </c>
      <c r="K212" s="65"/>
      <c r="L212" s="67"/>
      <c r="M212" s="61"/>
      <c r="N212" s="61"/>
      <c r="O212" s="61"/>
      <c r="P212" s="61"/>
      <c r="Q212" s="61" t="s">
        <v>93</v>
      </c>
      <c r="R212" s="61" t="s">
        <v>94</v>
      </c>
      <c r="S212" s="61" t="s">
        <v>94</v>
      </c>
      <c r="T212" s="66">
        <v>46232.0</v>
      </c>
      <c r="U212" s="28"/>
      <c r="V212" s="30"/>
      <c r="W212" s="28"/>
      <c r="X212" s="28"/>
      <c r="Y212" s="28"/>
      <c r="Z212" s="28"/>
    </row>
    <row r="213" ht="13.5" customHeight="1">
      <c r="A213" s="67"/>
      <c r="B213" s="67"/>
      <c r="C213" s="67"/>
      <c r="D213" s="67"/>
      <c r="E213" s="61" t="s">
        <v>1057</v>
      </c>
      <c r="F213" s="62"/>
      <c r="G213" s="63" t="s">
        <v>1058</v>
      </c>
      <c r="H213" s="61" t="s">
        <v>88</v>
      </c>
      <c r="I213" s="61" t="s">
        <v>60</v>
      </c>
      <c r="J213" s="63" t="s">
        <v>1059</v>
      </c>
      <c r="K213" s="65"/>
      <c r="L213" s="67"/>
      <c r="M213" s="61"/>
      <c r="N213" s="61"/>
      <c r="O213" s="61"/>
      <c r="P213" s="61"/>
      <c r="Q213" s="61" t="s">
        <v>93</v>
      </c>
      <c r="R213" s="61" t="s">
        <v>94</v>
      </c>
      <c r="S213" s="61" t="s">
        <v>94</v>
      </c>
      <c r="T213" s="66">
        <v>46232.0</v>
      </c>
      <c r="U213" s="28"/>
      <c r="V213" s="30"/>
      <c r="W213" s="28"/>
      <c r="X213" s="28"/>
      <c r="Y213" s="28"/>
      <c r="Z213" s="28"/>
    </row>
    <row r="214" ht="13.5" customHeight="1">
      <c r="A214" s="67"/>
      <c r="B214" s="67"/>
      <c r="C214" s="67"/>
      <c r="D214" s="67"/>
      <c r="E214" s="61" t="s">
        <v>1060</v>
      </c>
      <c r="F214" s="62" t="s">
        <v>1061</v>
      </c>
      <c r="G214" s="63" t="s">
        <v>1062</v>
      </c>
      <c r="H214" s="61" t="s">
        <v>88</v>
      </c>
      <c r="I214" s="61" t="s">
        <v>60</v>
      </c>
      <c r="J214" s="63" t="s">
        <v>1063</v>
      </c>
      <c r="K214" s="65"/>
      <c r="L214" s="67"/>
      <c r="M214" s="61"/>
      <c r="N214" s="61"/>
      <c r="O214" s="61"/>
      <c r="P214" s="61"/>
      <c r="Q214" s="61" t="s">
        <v>93</v>
      </c>
      <c r="R214" s="61" t="s">
        <v>94</v>
      </c>
      <c r="S214" s="61" t="s">
        <v>94</v>
      </c>
      <c r="T214" s="66">
        <v>46232.0</v>
      </c>
      <c r="U214" s="28"/>
      <c r="V214" s="30"/>
      <c r="W214" s="28"/>
      <c r="X214" s="28"/>
      <c r="Y214" s="28"/>
      <c r="Z214" s="28"/>
    </row>
    <row r="215" ht="13.5" customHeight="1">
      <c r="A215" s="67"/>
      <c r="B215" s="67"/>
      <c r="C215" s="67"/>
      <c r="D215" s="67"/>
      <c r="E215" s="61" t="s">
        <v>1064</v>
      </c>
      <c r="F215" s="62"/>
      <c r="G215" s="63" t="s">
        <v>1065</v>
      </c>
      <c r="H215" s="61" t="s">
        <v>88</v>
      </c>
      <c r="I215" s="61" t="s">
        <v>60</v>
      </c>
      <c r="J215" s="63" t="s">
        <v>1066</v>
      </c>
      <c r="K215" s="65"/>
      <c r="L215" s="67"/>
      <c r="M215" s="61"/>
      <c r="N215" s="61"/>
      <c r="O215" s="61"/>
      <c r="P215" s="61"/>
      <c r="Q215" s="61" t="s">
        <v>93</v>
      </c>
      <c r="R215" s="61" t="s">
        <v>94</v>
      </c>
      <c r="S215" s="61" t="s">
        <v>94</v>
      </c>
      <c r="T215" s="66">
        <v>46232.0</v>
      </c>
      <c r="U215" s="28"/>
      <c r="V215" s="30"/>
      <c r="W215" s="28"/>
      <c r="X215" s="28"/>
      <c r="Y215" s="28"/>
      <c r="Z215" s="28"/>
    </row>
    <row r="216" ht="13.5" customHeight="1">
      <c r="A216" s="67"/>
      <c r="B216" s="67"/>
      <c r="C216" s="67"/>
      <c r="D216" s="67"/>
      <c r="E216" s="61" t="s">
        <v>1067</v>
      </c>
      <c r="F216" s="62"/>
      <c r="G216" s="63" t="s">
        <v>1068</v>
      </c>
      <c r="H216" s="61" t="s">
        <v>88</v>
      </c>
      <c r="I216" s="61" t="s">
        <v>60</v>
      </c>
      <c r="J216" s="63" t="s">
        <v>1069</v>
      </c>
      <c r="K216" s="65"/>
      <c r="L216" s="67"/>
      <c r="M216" s="61"/>
      <c r="N216" s="61"/>
      <c r="O216" s="61"/>
      <c r="P216" s="61"/>
      <c r="Q216" s="61" t="s">
        <v>93</v>
      </c>
      <c r="R216" s="61" t="s">
        <v>94</v>
      </c>
      <c r="S216" s="61" t="s">
        <v>94</v>
      </c>
      <c r="T216" s="66">
        <v>46232.0</v>
      </c>
      <c r="U216" s="28"/>
      <c r="V216" s="30"/>
      <c r="W216" s="28"/>
      <c r="X216" s="28"/>
      <c r="Y216" s="28"/>
      <c r="Z216" s="28"/>
    </row>
    <row r="217" ht="13.5" customHeight="1">
      <c r="A217" s="67"/>
      <c r="B217" s="67"/>
      <c r="C217" s="67"/>
      <c r="D217" s="67"/>
      <c r="E217" s="61" t="s">
        <v>1070</v>
      </c>
      <c r="F217" s="62"/>
      <c r="G217" s="63" t="s">
        <v>1071</v>
      </c>
      <c r="H217" s="61" t="s">
        <v>88</v>
      </c>
      <c r="I217" s="61" t="s">
        <v>60</v>
      </c>
      <c r="J217" s="63" t="s">
        <v>1072</v>
      </c>
      <c r="K217" s="70"/>
      <c r="L217" s="67"/>
      <c r="M217" s="61"/>
      <c r="N217" s="61"/>
      <c r="O217" s="61"/>
      <c r="P217" s="61"/>
      <c r="Q217" s="61" t="s">
        <v>93</v>
      </c>
      <c r="R217" s="61" t="s">
        <v>94</v>
      </c>
      <c r="S217" s="61" t="s">
        <v>94</v>
      </c>
      <c r="T217" s="66">
        <v>46232.0</v>
      </c>
      <c r="U217" s="28"/>
      <c r="V217" s="30"/>
      <c r="W217" s="28"/>
      <c r="X217" s="28"/>
      <c r="Y217" s="28"/>
      <c r="Z217" s="28"/>
    </row>
    <row r="218" ht="13.5" customHeight="1">
      <c r="A218" s="67"/>
      <c r="B218" s="67"/>
      <c r="C218" s="67"/>
      <c r="D218" s="67"/>
      <c r="E218" s="61" t="s">
        <v>1073</v>
      </c>
      <c r="F218" s="62"/>
      <c r="G218" s="63" t="s">
        <v>1074</v>
      </c>
      <c r="H218" s="61" t="s">
        <v>88</v>
      </c>
      <c r="I218" s="61" t="s">
        <v>60</v>
      </c>
      <c r="J218" s="63" t="s">
        <v>1075</v>
      </c>
      <c r="K218" s="65"/>
      <c r="L218" s="67"/>
      <c r="M218" s="61"/>
      <c r="N218" s="61"/>
      <c r="O218" s="61"/>
      <c r="P218" s="61"/>
      <c r="Q218" s="61" t="s">
        <v>93</v>
      </c>
      <c r="R218" s="61" t="s">
        <v>94</v>
      </c>
      <c r="S218" s="61" t="s">
        <v>94</v>
      </c>
      <c r="T218" s="66">
        <v>46232.0</v>
      </c>
      <c r="U218" s="28"/>
      <c r="V218" s="30"/>
      <c r="W218" s="28"/>
      <c r="X218" s="28"/>
      <c r="Y218" s="28"/>
      <c r="Z218" s="28"/>
    </row>
    <row r="219" ht="13.5" customHeight="1">
      <c r="A219" s="67"/>
      <c r="B219" s="67"/>
      <c r="C219" s="67"/>
      <c r="D219" s="67"/>
      <c r="E219" s="61" t="s">
        <v>1076</v>
      </c>
      <c r="F219" s="62"/>
      <c r="G219" s="63" t="s">
        <v>1077</v>
      </c>
      <c r="H219" s="61" t="s">
        <v>88</v>
      </c>
      <c r="I219" s="61" t="s">
        <v>60</v>
      </c>
      <c r="J219" s="63" t="s">
        <v>1078</v>
      </c>
      <c r="K219" s="65"/>
      <c r="L219" s="67"/>
      <c r="M219" s="61"/>
      <c r="N219" s="61"/>
      <c r="O219" s="61"/>
      <c r="P219" s="61"/>
      <c r="Q219" s="61" t="s">
        <v>93</v>
      </c>
      <c r="R219" s="61" t="s">
        <v>94</v>
      </c>
      <c r="S219" s="61" t="s">
        <v>94</v>
      </c>
      <c r="T219" s="66">
        <v>46232.0</v>
      </c>
      <c r="U219" s="28"/>
      <c r="V219" s="30"/>
      <c r="W219" s="28"/>
      <c r="X219" s="28"/>
      <c r="Y219" s="28"/>
      <c r="Z219" s="28"/>
    </row>
    <row r="220" ht="13.5" customHeight="1">
      <c r="A220" s="67"/>
      <c r="B220" s="67"/>
      <c r="C220" s="67"/>
      <c r="D220" s="67"/>
      <c r="E220" s="61" t="s">
        <v>1079</v>
      </c>
      <c r="F220" s="62" t="s">
        <v>1080</v>
      </c>
      <c r="G220" s="63" t="s">
        <v>1081</v>
      </c>
      <c r="H220" s="61" t="s">
        <v>88</v>
      </c>
      <c r="I220" s="61" t="s">
        <v>60</v>
      </c>
      <c r="J220" s="63" t="s">
        <v>1082</v>
      </c>
      <c r="K220" s="65"/>
      <c r="L220" s="67"/>
      <c r="M220" s="61"/>
      <c r="N220" s="61"/>
      <c r="O220" s="61"/>
      <c r="P220" s="61"/>
      <c r="Q220" s="61" t="s">
        <v>93</v>
      </c>
      <c r="R220" s="61" t="s">
        <v>94</v>
      </c>
      <c r="S220" s="61" t="s">
        <v>94</v>
      </c>
      <c r="T220" s="66">
        <v>46232.0</v>
      </c>
      <c r="U220" s="28"/>
      <c r="V220" s="30"/>
      <c r="W220" s="28"/>
      <c r="X220" s="28"/>
      <c r="Y220" s="28"/>
      <c r="Z220" s="28"/>
    </row>
    <row r="221" ht="13.5" customHeight="1">
      <c r="A221" s="67"/>
      <c r="B221" s="67"/>
      <c r="C221" s="67"/>
      <c r="D221" s="67"/>
      <c r="E221" s="61" t="s">
        <v>1083</v>
      </c>
      <c r="F221" s="62"/>
      <c r="G221" s="63" t="s">
        <v>1084</v>
      </c>
      <c r="H221" s="61" t="s">
        <v>88</v>
      </c>
      <c r="I221" s="61" t="s">
        <v>60</v>
      </c>
      <c r="J221" s="63" t="s">
        <v>1085</v>
      </c>
      <c r="K221" s="65"/>
      <c r="L221" s="67"/>
      <c r="M221" s="61"/>
      <c r="N221" s="61"/>
      <c r="O221" s="61"/>
      <c r="P221" s="61"/>
      <c r="Q221" s="61" t="s">
        <v>93</v>
      </c>
      <c r="R221" s="61" t="s">
        <v>94</v>
      </c>
      <c r="S221" s="61" t="s">
        <v>94</v>
      </c>
      <c r="T221" s="66">
        <v>46232.0</v>
      </c>
      <c r="U221" s="28"/>
      <c r="V221" s="30"/>
      <c r="W221" s="28"/>
      <c r="X221" s="28"/>
      <c r="Y221" s="28"/>
      <c r="Z221" s="28"/>
    </row>
    <row r="222" ht="13.5" customHeight="1">
      <c r="A222" s="67"/>
      <c r="B222" s="67"/>
      <c r="C222" s="67"/>
      <c r="D222" s="67"/>
      <c r="E222" s="61" t="s">
        <v>1086</v>
      </c>
      <c r="F222" s="62"/>
      <c r="G222" s="63" t="s">
        <v>1087</v>
      </c>
      <c r="H222" s="61" t="s">
        <v>88</v>
      </c>
      <c r="I222" s="61" t="s">
        <v>60</v>
      </c>
      <c r="J222" s="63" t="s">
        <v>1088</v>
      </c>
      <c r="K222" s="65"/>
      <c r="L222" s="67"/>
      <c r="M222" s="61"/>
      <c r="N222" s="61"/>
      <c r="O222" s="61"/>
      <c r="P222" s="61"/>
      <c r="Q222" s="61" t="s">
        <v>93</v>
      </c>
      <c r="R222" s="61" t="s">
        <v>94</v>
      </c>
      <c r="S222" s="61" t="s">
        <v>94</v>
      </c>
      <c r="T222" s="66">
        <v>46232.0</v>
      </c>
      <c r="U222" s="28"/>
      <c r="V222" s="30"/>
      <c r="W222" s="28"/>
      <c r="X222" s="28"/>
      <c r="Y222" s="28"/>
      <c r="Z222" s="28"/>
    </row>
    <row r="223" ht="13.5" customHeight="1">
      <c r="A223" s="67"/>
      <c r="B223" s="67"/>
      <c r="C223" s="67"/>
      <c r="D223" s="67"/>
      <c r="E223" s="61" t="s">
        <v>1089</v>
      </c>
      <c r="F223" s="62" t="s">
        <v>1090</v>
      </c>
      <c r="G223" s="63" t="s">
        <v>1091</v>
      </c>
      <c r="H223" s="61" t="s">
        <v>88</v>
      </c>
      <c r="I223" s="61" t="s">
        <v>60</v>
      </c>
      <c r="J223" s="63" t="s">
        <v>1092</v>
      </c>
      <c r="K223" s="65"/>
      <c r="L223" s="67"/>
      <c r="M223" s="61"/>
      <c r="N223" s="61"/>
      <c r="O223" s="61"/>
      <c r="P223" s="61"/>
      <c r="Q223" s="61" t="s">
        <v>93</v>
      </c>
      <c r="R223" s="61" t="s">
        <v>94</v>
      </c>
      <c r="S223" s="61" t="s">
        <v>94</v>
      </c>
      <c r="T223" s="66">
        <v>46232.0</v>
      </c>
      <c r="U223" s="28"/>
      <c r="V223" s="30"/>
      <c r="W223" s="28"/>
      <c r="X223" s="28"/>
      <c r="Y223" s="28"/>
      <c r="Z223" s="28"/>
    </row>
    <row r="224" ht="13.5" customHeight="1">
      <c r="A224" s="67"/>
      <c r="B224" s="67"/>
      <c r="C224" s="67"/>
      <c r="D224" s="67"/>
      <c r="E224" s="61" t="s">
        <v>1093</v>
      </c>
      <c r="F224" s="62"/>
      <c r="G224" s="63" t="s">
        <v>1094</v>
      </c>
      <c r="H224" s="61" t="s">
        <v>88</v>
      </c>
      <c r="I224" s="61" t="s">
        <v>60</v>
      </c>
      <c r="J224" s="63" t="s">
        <v>1095</v>
      </c>
      <c r="K224" s="65"/>
      <c r="L224" s="67"/>
      <c r="M224" s="61"/>
      <c r="N224" s="61"/>
      <c r="O224" s="61"/>
      <c r="P224" s="61"/>
      <c r="Q224" s="61" t="s">
        <v>93</v>
      </c>
      <c r="R224" s="61" t="s">
        <v>94</v>
      </c>
      <c r="S224" s="61" t="s">
        <v>94</v>
      </c>
      <c r="T224" s="66">
        <v>46232.0</v>
      </c>
      <c r="U224" s="28"/>
      <c r="V224" s="30"/>
      <c r="W224" s="28"/>
      <c r="X224" s="28"/>
      <c r="Y224" s="28"/>
      <c r="Z224" s="28"/>
    </row>
    <row r="225" ht="13.5" customHeight="1">
      <c r="A225" s="67"/>
      <c r="B225" s="67"/>
      <c r="C225" s="67"/>
      <c r="D225" s="67"/>
      <c r="E225" s="61" t="s">
        <v>1096</v>
      </c>
      <c r="F225" s="62"/>
      <c r="G225" s="63" t="s">
        <v>1097</v>
      </c>
      <c r="H225" s="61" t="s">
        <v>88</v>
      </c>
      <c r="I225" s="61" t="s">
        <v>60</v>
      </c>
      <c r="J225" s="63" t="s">
        <v>1098</v>
      </c>
      <c r="K225" s="65"/>
      <c r="L225" s="67"/>
      <c r="M225" s="61"/>
      <c r="N225" s="61"/>
      <c r="O225" s="61"/>
      <c r="P225" s="61"/>
      <c r="Q225" s="61" t="s">
        <v>93</v>
      </c>
      <c r="R225" s="61" t="s">
        <v>94</v>
      </c>
      <c r="S225" s="61" t="s">
        <v>94</v>
      </c>
      <c r="T225" s="66">
        <v>46232.0</v>
      </c>
      <c r="U225" s="28"/>
      <c r="V225" s="30"/>
      <c r="W225" s="28"/>
      <c r="X225" s="28"/>
      <c r="Y225" s="28"/>
      <c r="Z225" s="28"/>
    </row>
    <row r="226" ht="13.5" customHeight="1">
      <c r="A226" s="77"/>
      <c r="B226" s="77"/>
      <c r="C226" s="77"/>
      <c r="D226" s="77"/>
      <c r="E226" s="61" t="s">
        <v>1099</v>
      </c>
      <c r="F226" s="62"/>
      <c r="G226" s="63" t="s">
        <v>1100</v>
      </c>
      <c r="H226" s="61" t="s">
        <v>88</v>
      </c>
      <c r="I226" s="61" t="s">
        <v>60</v>
      </c>
      <c r="J226" s="63" t="s">
        <v>1101</v>
      </c>
      <c r="K226" s="65"/>
      <c r="L226" s="77"/>
      <c r="M226" s="61"/>
      <c r="N226" s="61"/>
      <c r="O226" s="61"/>
      <c r="P226" s="61"/>
      <c r="Q226" s="61" t="s">
        <v>93</v>
      </c>
      <c r="R226" s="61" t="s">
        <v>94</v>
      </c>
      <c r="S226" s="61" t="s">
        <v>94</v>
      </c>
      <c r="T226" s="66">
        <v>46232.0</v>
      </c>
      <c r="U226" s="28"/>
      <c r="V226" s="30"/>
      <c r="W226" s="28"/>
      <c r="X226" s="28"/>
      <c r="Y226" s="28"/>
      <c r="Z226" s="28"/>
    </row>
    <row r="227" ht="13.5" customHeight="1">
      <c r="A227" s="78" t="s">
        <v>51</v>
      </c>
      <c r="B227" s="78" t="s">
        <v>154</v>
      </c>
      <c r="C227" s="79" t="s">
        <v>155</v>
      </c>
      <c r="D227" s="79" t="s">
        <v>1102</v>
      </c>
      <c r="E227" s="89" t="s">
        <v>1103</v>
      </c>
      <c r="F227" s="82" t="s">
        <v>1104</v>
      </c>
      <c r="G227" s="83" t="s">
        <v>1105</v>
      </c>
      <c r="H227" s="81" t="s">
        <v>88</v>
      </c>
      <c r="I227" s="81" t="s">
        <v>60</v>
      </c>
      <c r="J227" s="114" t="s">
        <v>1106</v>
      </c>
      <c r="K227" s="65"/>
      <c r="L227" s="78" t="s">
        <v>1107</v>
      </c>
      <c r="M227" s="81"/>
      <c r="N227" s="81"/>
      <c r="O227" s="81"/>
      <c r="P227" s="81"/>
      <c r="Q227" s="81" t="s">
        <v>93</v>
      </c>
      <c r="R227" s="81" t="s">
        <v>94</v>
      </c>
      <c r="S227" s="81" t="s">
        <v>94</v>
      </c>
      <c r="T227" s="84">
        <v>46232.0</v>
      </c>
      <c r="U227" s="28"/>
      <c r="V227" s="30"/>
      <c r="W227" s="28"/>
      <c r="X227" s="28"/>
      <c r="Y227" s="28"/>
      <c r="Z227" s="28"/>
    </row>
    <row r="228" ht="13.5" customHeight="1">
      <c r="A228" s="67"/>
      <c r="B228" s="67"/>
      <c r="C228" s="67"/>
      <c r="D228" s="67"/>
      <c r="E228" s="89" t="s">
        <v>1108</v>
      </c>
      <c r="F228" s="82"/>
      <c r="G228" s="83" t="s">
        <v>1109</v>
      </c>
      <c r="H228" s="81" t="s">
        <v>88</v>
      </c>
      <c r="I228" s="81" t="s">
        <v>60</v>
      </c>
      <c r="J228" s="90" t="s">
        <v>1110</v>
      </c>
      <c r="K228" s="65"/>
      <c r="L228" s="67"/>
      <c r="M228" s="81"/>
      <c r="N228" s="81"/>
      <c r="O228" s="81"/>
      <c r="P228" s="81"/>
      <c r="Q228" s="81" t="s">
        <v>93</v>
      </c>
      <c r="R228" s="81" t="s">
        <v>94</v>
      </c>
      <c r="S228" s="81" t="s">
        <v>94</v>
      </c>
      <c r="T228" s="86">
        <v>46232.0</v>
      </c>
      <c r="U228" s="28"/>
      <c r="V228" s="30"/>
      <c r="W228" s="28"/>
      <c r="X228" s="28"/>
      <c r="Y228" s="28"/>
      <c r="Z228" s="28"/>
    </row>
    <row r="229" ht="13.5" customHeight="1">
      <c r="A229" s="67"/>
      <c r="B229" s="67"/>
      <c r="C229" s="67"/>
      <c r="D229" s="67"/>
      <c r="E229" s="89" t="s">
        <v>1111</v>
      </c>
      <c r="F229" s="82"/>
      <c r="G229" s="83" t="s">
        <v>1112</v>
      </c>
      <c r="H229" s="81" t="s">
        <v>88</v>
      </c>
      <c r="I229" s="81" t="s">
        <v>60</v>
      </c>
      <c r="J229" s="90" t="s">
        <v>1113</v>
      </c>
      <c r="K229" s="65"/>
      <c r="L229" s="67"/>
      <c r="M229" s="81"/>
      <c r="N229" s="81"/>
      <c r="O229" s="81"/>
      <c r="P229" s="81"/>
      <c r="Q229" s="81" t="s">
        <v>93</v>
      </c>
      <c r="R229" s="81" t="s">
        <v>94</v>
      </c>
      <c r="S229" s="81" t="s">
        <v>94</v>
      </c>
      <c r="T229" s="86">
        <v>46232.0</v>
      </c>
      <c r="U229" s="28"/>
      <c r="V229" s="30"/>
      <c r="W229" s="28"/>
      <c r="X229" s="28"/>
      <c r="Y229" s="28"/>
      <c r="Z229" s="28"/>
    </row>
    <row r="230" ht="13.5" customHeight="1">
      <c r="A230" s="67"/>
      <c r="B230" s="67"/>
      <c r="C230" s="67"/>
      <c r="D230" s="67"/>
      <c r="E230" s="89" t="s">
        <v>1114</v>
      </c>
      <c r="F230" s="82"/>
      <c r="G230" s="83" t="s">
        <v>1115</v>
      </c>
      <c r="H230" s="81" t="s">
        <v>88</v>
      </c>
      <c r="I230" s="81" t="s">
        <v>60</v>
      </c>
      <c r="J230" s="114" t="s">
        <v>1116</v>
      </c>
      <c r="K230" s="65"/>
      <c r="L230" s="67"/>
      <c r="M230" s="81"/>
      <c r="N230" s="81"/>
      <c r="O230" s="81"/>
      <c r="P230" s="81"/>
      <c r="Q230" s="81" t="s">
        <v>93</v>
      </c>
      <c r="R230" s="81" t="s">
        <v>94</v>
      </c>
      <c r="S230" s="81" t="s">
        <v>94</v>
      </c>
      <c r="T230" s="86">
        <v>46232.0</v>
      </c>
      <c r="U230" s="28"/>
      <c r="V230" s="30"/>
      <c r="W230" s="28"/>
      <c r="X230" s="28"/>
      <c r="Y230" s="28"/>
      <c r="Z230" s="28"/>
    </row>
    <row r="231" ht="13.5" customHeight="1">
      <c r="A231" s="67"/>
      <c r="B231" s="67"/>
      <c r="C231" s="67"/>
      <c r="D231" s="67"/>
      <c r="E231" s="89" t="s">
        <v>1117</v>
      </c>
      <c r="F231" s="82" t="s">
        <v>1118</v>
      </c>
      <c r="G231" s="83" t="s">
        <v>1119</v>
      </c>
      <c r="H231" s="81" t="s">
        <v>88</v>
      </c>
      <c r="I231" s="81" t="s">
        <v>60</v>
      </c>
      <c r="J231" s="90" t="s">
        <v>1120</v>
      </c>
      <c r="K231" s="65"/>
      <c r="L231" s="67"/>
      <c r="M231" s="81"/>
      <c r="N231" s="81"/>
      <c r="O231" s="81"/>
      <c r="P231" s="81"/>
      <c r="Q231" s="81" t="s">
        <v>93</v>
      </c>
      <c r="R231" s="81" t="s">
        <v>94</v>
      </c>
      <c r="S231" s="81" t="s">
        <v>94</v>
      </c>
      <c r="T231" s="86">
        <v>46232.0</v>
      </c>
      <c r="U231" s="28"/>
      <c r="V231" s="30"/>
      <c r="W231" s="28"/>
      <c r="X231" s="28"/>
      <c r="Y231" s="28"/>
      <c r="Z231" s="28"/>
    </row>
    <row r="232" ht="13.5" customHeight="1">
      <c r="A232" s="67"/>
      <c r="B232" s="67"/>
      <c r="C232" s="67"/>
      <c r="D232" s="67"/>
      <c r="E232" s="89" t="s">
        <v>1121</v>
      </c>
      <c r="F232" s="82"/>
      <c r="G232" s="83" t="s">
        <v>1122</v>
      </c>
      <c r="H232" s="81" t="s">
        <v>88</v>
      </c>
      <c r="I232" s="81" t="s">
        <v>60</v>
      </c>
      <c r="J232" s="90" t="s">
        <v>1123</v>
      </c>
      <c r="K232" s="65"/>
      <c r="L232" s="67"/>
      <c r="M232" s="81"/>
      <c r="N232" s="81"/>
      <c r="O232" s="81"/>
      <c r="P232" s="81"/>
      <c r="Q232" s="81" t="s">
        <v>93</v>
      </c>
      <c r="R232" s="81" t="s">
        <v>94</v>
      </c>
      <c r="S232" s="81" t="s">
        <v>94</v>
      </c>
      <c r="T232" s="86">
        <v>46232.0</v>
      </c>
      <c r="U232" s="28"/>
      <c r="V232" s="30"/>
      <c r="W232" s="28"/>
      <c r="X232" s="28"/>
      <c r="Y232" s="28"/>
      <c r="Z232" s="28"/>
    </row>
    <row r="233" ht="13.5" customHeight="1">
      <c r="A233" s="67"/>
      <c r="B233" s="67"/>
      <c r="C233" s="67"/>
      <c r="D233" s="67"/>
      <c r="E233" s="89" t="s">
        <v>1124</v>
      </c>
      <c r="F233" s="82" t="s">
        <v>1125</v>
      </c>
      <c r="G233" s="83" t="s">
        <v>1126</v>
      </c>
      <c r="H233" s="81" t="s">
        <v>88</v>
      </c>
      <c r="I233" s="81" t="s">
        <v>60</v>
      </c>
      <c r="J233" s="90" t="s">
        <v>1127</v>
      </c>
      <c r="K233" s="65"/>
      <c r="L233" s="67"/>
      <c r="M233" s="81"/>
      <c r="N233" s="81"/>
      <c r="O233" s="81"/>
      <c r="P233" s="81"/>
      <c r="Q233" s="81" t="s">
        <v>93</v>
      </c>
      <c r="R233" s="81" t="s">
        <v>94</v>
      </c>
      <c r="S233" s="81" t="s">
        <v>94</v>
      </c>
      <c r="T233" s="86">
        <v>46232.0</v>
      </c>
      <c r="U233" s="28"/>
      <c r="V233" s="30"/>
      <c r="W233" s="28"/>
      <c r="X233" s="28"/>
      <c r="Y233" s="28"/>
      <c r="Z233" s="28"/>
    </row>
    <row r="234" ht="13.5" customHeight="1">
      <c r="A234" s="67"/>
      <c r="B234" s="67"/>
      <c r="C234" s="67"/>
      <c r="D234" s="67"/>
      <c r="E234" s="89" t="s">
        <v>1128</v>
      </c>
      <c r="F234" s="82"/>
      <c r="G234" s="83" t="s">
        <v>1129</v>
      </c>
      <c r="H234" s="81" t="s">
        <v>88</v>
      </c>
      <c r="I234" s="81" t="s">
        <v>60</v>
      </c>
      <c r="J234" s="114" t="s">
        <v>1130</v>
      </c>
      <c r="K234" s="65"/>
      <c r="L234" s="67"/>
      <c r="M234" s="81"/>
      <c r="N234" s="81"/>
      <c r="O234" s="81"/>
      <c r="P234" s="81"/>
      <c r="Q234" s="81" t="s">
        <v>93</v>
      </c>
      <c r="R234" s="81" t="s">
        <v>94</v>
      </c>
      <c r="S234" s="81" t="s">
        <v>94</v>
      </c>
      <c r="T234" s="86">
        <v>46232.0</v>
      </c>
      <c r="U234" s="28"/>
      <c r="V234" s="30"/>
      <c r="W234" s="28"/>
      <c r="X234" s="28"/>
      <c r="Y234" s="28"/>
      <c r="Z234" s="28"/>
    </row>
    <row r="235" ht="13.5" customHeight="1">
      <c r="A235" s="67"/>
      <c r="B235" s="67"/>
      <c r="C235" s="67"/>
      <c r="D235" s="67"/>
      <c r="E235" s="89" t="s">
        <v>1131</v>
      </c>
      <c r="F235" s="82" t="s">
        <v>1132</v>
      </c>
      <c r="G235" s="83" t="s">
        <v>1133</v>
      </c>
      <c r="H235" s="81" t="s">
        <v>88</v>
      </c>
      <c r="I235" s="81" t="s">
        <v>60</v>
      </c>
      <c r="J235" s="90" t="s">
        <v>1134</v>
      </c>
      <c r="K235" s="65"/>
      <c r="L235" s="67"/>
      <c r="M235" s="81"/>
      <c r="N235" s="81"/>
      <c r="O235" s="81"/>
      <c r="P235" s="81"/>
      <c r="Q235" s="81" t="s">
        <v>93</v>
      </c>
      <c r="R235" s="81" t="s">
        <v>94</v>
      </c>
      <c r="S235" s="81" t="s">
        <v>94</v>
      </c>
      <c r="T235" s="86">
        <v>46232.0</v>
      </c>
      <c r="U235" s="28"/>
      <c r="V235" s="30"/>
      <c r="W235" s="28"/>
      <c r="X235" s="28"/>
      <c r="Y235" s="28"/>
      <c r="Z235" s="28"/>
    </row>
    <row r="236" ht="13.5" customHeight="1">
      <c r="A236" s="67"/>
      <c r="B236" s="67"/>
      <c r="C236" s="67"/>
      <c r="D236" s="67"/>
      <c r="E236" s="89" t="s">
        <v>1135</v>
      </c>
      <c r="F236" s="82"/>
      <c r="G236" s="83" t="s">
        <v>1136</v>
      </c>
      <c r="H236" s="81" t="s">
        <v>88</v>
      </c>
      <c r="I236" s="81" t="s">
        <v>60</v>
      </c>
      <c r="J236" s="90" t="s">
        <v>1137</v>
      </c>
      <c r="K236" s="65"/>
      <c r="L236" s="67"/>
      <c r="M236" s="81"/>
      <c r="N236" s="81"/>
      <c r="O236" s="81"/>
      <c r="P236" s="81"/>
      <c r="Q236" s="81" t="s">
        <v>93</v>
      </c>
      <c r="R236" s="81" t="s">
        <v>94</v>
      </c>
      <c r="S236" s="81" t="s">
        <v>94</v>
      </c>
      <c r="T236" s="86">
        <v>46232.0</v>
      </c>
      <c r="U236" s="28"/>
      <c r="V236" s="30"/>
      <c r="W236" s="28"/>
      <c r="X236" s="28"/>
      <c r="Y236" s="28"/>
      <c r="Z236" s="28"/>
    </row>
    <row r="237" ht="13.5" customHeight="1">
      <c r="A237" s="67"/>
      <c r="B237" s="67"/>
      <c r="C237" s="67"/>
      <c r="D237" s="67"/>
      <c r="E237" s="89" t="s">
        <v>1138</v>
      </c>
      <c r="F237" s="82"/>
      <c r="G237" s="83" t="s">
        <v>1139</v>
      </c>
      <c r="H237" s="81" t="s">
        <v>88</v>
      </c>
      <c r="I237" s="81" t="s">
        <v>60</v>
      </c>
      <c r="J237" s="90" t="s">
        <v>1140</v>
      </c>
      <c r="K237" s="65"/>
      <c r="L237" s="67"/>
      <c r="M237" s="81"/>
      <c r="N237" s="81"/>
      <c r="O237" s="81"/>
      <c r="P237" s="81"/>
      <c r="Q237" s="81" t="s">
        <v>93</v>
      </c>
      <c r="R237" s="81" t="s">
        <v>94</v>
      </c>
      <c r="S237" s="81" t="s">
        <v>94</v>
      </c>
      <c r="T237" s="86">
        <v>46232.0</v>
      </c>
      <c r="U237" s="28"/>
      <c r="V237" s="30"/>
      <c r="W237" s="28"/>
      <c r="X237" s="28"/>
      <c r="Y237" s="28"/>
      <c r="Z237" s="28"/>
    </row>
    <row r="238" ht="13.5" customHeight="1">
      <c r="A238" s="67"/>
      <c r="B238" s="67"/>
      <c r="C238" s="67"/>
      <c r="D238" s="67"/>
      <c r="E238" s="89" t="s">
        <v>1141</v>
      </c>
      <c r="F238" s="82" t="s">
        <v>1142</v>
      </c>
      <c r="G238" s="83" t="s">
        <v>1143</v>
      </c>
      <c r="H238" s="81" t="s">
        <v>88</v>
      </c>
      <c r="I238" s="81" t="s">
        <v>60</v>
      </c>
      <c r="J238" s="90" t="s">
        <v>1144</v>
      </c>
      <c r="K238" s="65"/>
      <c r="L238" s="67"/>
      <c r="M238" s="81"/>
      <c r="N238" s="81"/>
      <c r="O238" s="81"/>
      <c r="P238" s="81"/>
      <c r="Q238" s="81" t="s">
        <v>93</v>
      </c>
      <c r="R238" s="81" t="s">
        <v>94</v>
      </c>
      <c r="S238" s="81" t="s">
        <v>94</v>
      </c>
      <c r="T238" s="86">
        <v>46232.0</v>
      </c>
      <c r="U238" s="28"/>
      <c r="V238" s="30"/>
      <c r="W238" s="28"/>
      <c r="X238" s="28"/>
      <c r="Y238" s="28"/>
      <c r="Z238" s="28"/>
    </row>
    <row r="239" ht="13.5" customHeight="1">
      <c r="A239" s="67"/>
      <c r="B239" s="67"/>
      <c r="C239" s="67"/>
      <c r="D239" s="67"/>
      <c r="E239" s="89" t="s">
        <v>1145</v>
      </c>
      <c r="F239" s="82"/>
      <c r="G239" s="83" t="s">
        <v>1146</v>
      </c>
      <c r="H239" s="81" t="s">
        <v>88</v>
      </c>
      <c r="I239" s="81" t="s">
        <v>60</v>
      </c>
      <c r="J239" s="90" t="s">
        <v>1147</v>
      </c>
      <c r="K239" s="65"/>
      <c r="L239" s="67"/>
      <c r="M239" s="81"/>
      <c r="N239" s="81"/>
      <c r="O239" s="81"/>
      <c r="P239" s="81"/>
      <c r="Q239" s="81" t="s">
        <v>93</v>
      </c>
      <c r="R239" s="81" t="s">
        <v>94</v>
      </c>
      <c r="S239" s="81" t="s">
        <v>94</v>
      </c>
      <c r="T239" s="86">
        <v>46232.0</v>
      </c>
      <c r="U239" s="28"/>
      <c r="V239" s="30"/>
      <c r="W239" s="28"/>
      <c r="X239" s="28"/>
      <c r="Y239" s="28"/>
      <c r="Z239" s="28"/>
    </row>
    <row r="240" ht="13.5" customHeight="1">
      <c r="A240" s="67"/>
      <c r="B240" s="67"/>
      <c r="C240" s="67"/>
      <c r="D240" s="67"/>
      <c r="E240" s="89" t="s">
        <v>1148</v>
      </c>
      <c r="F240" s="82"/>
      <c r="G240" s="83" t="s">
        <v>1149</v>
      </c>
      <c r="H240" s="81" t="s">
        <v>88</v>
      </c>
      <c r="I240" s="81" t="s">
        <v>60</v>
      </c>
      <c r="J240" s="90" t="s">
        <v>1150</v>
      </c>
      <c r="K240" s="65"/>
      <c r="L240" s="67"/>
      <c r="M240" s="81"/>
      <c r="N240" s="81"/>
      <c r="O240" s="81"/>
      <c r="P240" s="81"/>
      <c r="Q240" s="81" t="s">
        <v>93</v>
      </c>
      <c r="R240" s="81" t="s">
        <v>94</v>
      </c>
      <c r="S240" s="81" t="s">
        <v>94</v>
      </c>
      <c r="T240" s="86">
        <v>46232.0</v>
      </c>
      <c r="U240" s="28"/>
      <c r="V240" s="30"/>
      <c r="W240" s="28"/>
      <c r="X240" s="28"/>
      <c r="Y240" s="28"/>
      <c r="Z240" s="28"/>
    </row>
    <row r="241" ht="13.5" customHeight="1">
      <c r="A241" s="67"/>
      <c r="B241" s="67"/>
      <c r="C241" s="67"/>
      <c r="D241" s="67"/>
      <c r="E241" s="89" t="s">
        <v>1151</v>
      </c>
      <c r="F241" s="82"/>
      <c r="G241" s="83" t="s">
        <v>1152</v>
      </c>
      <c r="H241" s="81" t="s">
        <v>88</v>
      </c>
      <c r="I241" s="81" t="s">
        <v>60</v>
      </c>
      <c r="J241" s="90" t="s">
        <v>1153</v>
      </c>
      <c r="K241" s="70"/>
      <c r="L241" s="67"/>
      <c r="M241" s="81"/>
      <c r="N241" s="81"/>
      <c r="O241" s="81"/>
      <c r="P241" s="81"/>
      <c r="Q241" s="81" t="s">
        <v>93</v>
      </c>
      <c r="R241" s="81" t="s">
        <v>94</v>
      </c>
      <c r="S241" s="81" t="s">
        <v>94</v>
      </c>
      <c r="T241" s="86">
        <v>46232.0</v>
      </c>
      <c r="U241" s="28"/>
      <c r="V241" s="30"/>
      <c r="W241" s="28"/>
      <c r="X241" s="28"/>
      <c r="Y241" s="28"/>
      <c r="Z241" s="28"/>
    </row>
    <row r="242" ht="13.5" customHeight="1">
      <c r="A242" s="67"/>
      <c r="B242" s="67"/>
      <c r="C242" s="67"/>
      <c r="D242" s="67"/>
      <c r="E242" s="89" t="s">
        <v>1154</v>
      </c>
      <c r="F242" s="82"/>
      <c r="G242" s="83" t="s">
        <v>1155</v>
      </c>
      <c r="H242" s="81" t="s">
        <v>88</v>
      </c>
      <c r="I242" s="81" t="s">
        <v>60</v>
      </c>
      <c r="J242" s="90" t="s">
        <v>1156</v>
      </c>
      <c r="K242" s="65"/>
      <c r="L242" s="67"/>
      <c r="M242" s="81"/>
      <c r="N242" s="81"/>
      <c r="O242" s="81"/>
      <c r="P242" s="81"/>
      <c r="Q242" s="81" t="s">
        <v>93</v>
      </c>
      <c r="R242" s="81" t="s">
        <v>94</v>
      </c>
      <c r="S242" s="81" t="s">
        <v>94</v>
      </c>
      <c r="T242" s="86">
        <v>46232.0</v>
      </c>
      <c r="U242" s="28"/>
      <c r="V242" s="30"/>
      <c r="W242" s="28"/>
      <c r="X242" s="28"/>
      <c r="Y242" s="28"/>
      <c r="Z242" s="28"/>
    </row>
    <row r="243" ht="13.5" customHeight="1">
      <c r="A243" s="67"/>
      <c r="B243" s="67"/>
      <c r="C243" s="67"/>
      <c r="D243" s="67"/>
      <c r="E243" s="89" t="s">
        <v>1157</v>
      </c>
      <c r="F243" s="82" t="s">
        <v>1158</v>
      </c>
      <c r="G243" s="83" t="s">
        <v>1159</v>
      </c>
      <c r="H243" s="81" t="s">
        <v>88</v>
      </c>
      <c r="I243" s="81" t="s">
        <v>60</v>
      </c>
      <c r="J243" s="90" t="s">
        <v>1160</v>
      </c>
      <c r="K243" s="65"/>
      <c r="L243" s="67"/>
      <c r="M243" s="81"/>
      <c r="N243" s="81"/>
      <c r="O243" s="81"/>
      <c r="P243" s="81"/>
      <c r="Q243" s="81" t="s">
        <v>93</v>
      </c>
      <c r="R243" s="81" t="s">
        <v>94</v>
      </c>
      <c r="S243" s="81" t="s">
        <v>94</v>
      </c>
      <c r="T243" s="86">
        <v>46232.0</v>
      </c>
      <c r="U243" s="28"/>
      <c r="V243" s="30"/>
      <c r="W243" s="28"/>
      <c r="X243" s="28"/>
      <c r="Y243" s="28"/>
      <c r="Z243" s="28"/>
    </row>
    <row r="244" ht="13.5" customHeight="1">
      <c r="A244" s="67"/>
      <c r="B244" s="67"/>
      <c r="C244" s="67"/>
      <c r="D244" s="67"/>
      <c r="E244" s="89" t="s">
        <v>1161</v>
      </c>
      <c r="F244" s="82" t="s">
        <v>1162</v>
      </c>
      <c r="G244" s="83" t="s">
        <v>1163</v>
      </c>
      <c r="H244" s="81" t="s">
        <v>88</v>
      </c>
      <c r="I244" s="81" t="s">
        <v>60</v>
      </c>
      <c r="J244" s="90" t="s">
        <v>1164</v>
      </c>
      <c r="K244" s="70"/>
      <c r="L244" s="67"/>
      <c r="M244" s="81"/>
      <c r="N244" s="81"/>
      <c r="O244" s="81"/>
      <c r="P244" s="81"/>
      <c r="Q244" s="81" t="s">
        <v>93</v>
      </c>
      <c r="R244" s="81" t="s">
        <v>94</v>
      </c>
      <c r="S244" s="81" t="s">
        <v>94</v>
      </c>
      <c r="T244" s="86">
        <v>46232.0</v>
      </c>
      <c r="U244" s="28"/>
      <c r="V244" s="30"/>
      <c r="W244" s="28"/>
      <c r="X244" s="28"/>
      <c r="Y244" s="28"/>
      <c r="Z244" s="28"/>
    </row>
    <row r="245" ht="13.5" customHeight="1">
      <c r="A245" s="67"/>
      <c r="B245" s="67"/>
      <c r="C245" s="67"/>
      <c r="D245" s="67"/>
      <c r="E245" s="89" t="s">
        <v>1165</v>
      </c>
      <c r="F245" s="82"/>
      <c r="G245" s="83" t="s">
        <v>1166</v>
      </c>
      <c r="H245" s="81" t="s">
        <v>88</v>
      </c>
      <c r="I245" s="81" t="s">
        <v>60</v>
      </c>
      <c r="J245" s="90" t="s">
        <v>1167</v>
      </c>
      <c r="K245" s="65"/>
      <c r="L245" s="67"/>
      <c r="M245" s="81"/>
      <c r="N245" s="81"/>
      <c r="O245" s="81"/>
      <c r="P245" s="81"/>
      <c r="Q245" s="81" t="s">
        <v>93</v>
      </c>
      <c r="R245" s="81" t="s">
        <v>94</v>
      </c>
      <c r="S245" s="81" t="s">
        <v>94</v>
      </c>
      <c r="T245" s="86">
        <v>46232.0</v>
      </c>
      <c r="U245" s="28"/>
      <c r="V245" s="30"/>
      <c r="W245" s="28"/>
      <c r="X245" s="28"/>
      <c r="Y245" s="28"/>
      <c r="Z245" s="28"/>
    </row>
    <row r="246" ht="13.5" customHeight="1">
      <c r="A246" s="67"/>
      <c r="B246" s="67"/>
      <c r="C246" s="67"/>
      <c r="D246" s="67"/>
      <c r="E246" s="89" t="s">
        <v>1168</v>
      </c>
      <c r="F246" s="82" t="s">
        <v>1169</v>
      </c>
      <c r="G246" s="83" t="s">
        <v>1170</v>
      </c>
      <c r="H246" s="81" t="s">
        <v>88</v>
      </c>
      <c r="I246" s="81" t="s">
        <v>60</v>
      </c>
      <c r="J246" s="90" t="s">
        <v>1171</v>
      </c>
      <c r="K246" s="65"/>
      <c r="L246" s="67"/>
      <c r="M246" s="81"/>
      <c r="N246" s="81"/>
      <c r="O246" s="81"/>
      <c r="P246" s="81"/>
      <c r="Q246" s="81" t="s">
        <v>93</v>
      </c>
      <c r="R246" s="81" t="s">
        <v>94</v>
      </c>
      <c r="S246" s="81" t="s">
        <v>94</v>
      </c>
      <c r="T246" s="86">
        <v>46232.0</v>
      </c>
      <c r="U246" s="28"/>
      <c r="V246" s="30"/>
      <c r="W246" s="28"/>
      <c r="X246" s="28"/>
      <c r="Y246" s="28"/>
      <c r="Z246" s="28"/>
    </row>
    <row r="247" ht="13.5" customHeight="1">
      <c r="A247" s="67"/>
      <c r="B247" s="67"/>
      <c r="C247" s="67"/>
      <c r="D247" s="67"/>
      <c r="E247" s="89" t="s">
        <v>1172</v>
      </c>
      <c r="F247" s="82"/>
      <c r="G247" s="83" t="s">
        <v>1173</v>
      </c>
      <c r="H247" s="81" t="s">
        <v>88</v>
      </c>
      <c r="I247" s="81" t="s">
        <v>60</v>
      </c>
      <c r="J247" s="90" t="s">
        <v>1174</v>
      </c>
      <c r="K247" s="65"/>
      <c r="L247" s="67"/>
      <c r="M247" s="81"/>
      <c r="N247" s="81"/>
      <c r="O247" s="81"/>
      <c r="P247" s="81"/>
      <c r="Q247" s="81" t="s">
        <v>93</v>
      </c>
      <c r="R247" s="81" t="s">
        <v>94</v>
      </c>
      <c r="S247" s="81" t="s">
        <v>94</v>
      </c>
      <c r="T247" s="86">
        <v>46232.0</v>
      </c>
      <c r="U247" s="28"/>
      <c r="V247" s="30"/>
      <c r="W247" s="28"/>
      <c r="X247" s="28"/>
      <c r="Y247" s="28"/>
      <c r="Z247" s="28"/>
    </row>
    <row r="248" ht="13.5" customHeight="1">
      <c r="A248" s="67"/>
      <c r="B248" s="67"/>
      <c r="C248" s="67"/>
      <c r="D248" s="67"/>
      <c r="E248" s="89" t="s">
        <v>1175</v>
      </c>
      <c r="F248" s="82" t="s">
        <v>1176</v>
      </c>
      <c r="G248" s="83" t="s">
        <v>1177</v>
      </c>
      <c r="H248" s="81" t="s">
        <v>88</v>
      </c>
      <c r="I248" s="81" t="s">
        <v>60</v>
      </c>
      <c r="J248" s="90" t="s">
        <v>1178</v>
      </c>
      <c r="K248" s="65"/>
      <c r="L248" s="67"/>
      <c r="M248" s="81"/>
      <c r="N248" s="81"/>
      <c r="O248" s="81"/>
      <c r="P248" s="81"/>
      <c r="Q248" s="81" t="s">
        <v>93</v>
      </c>
      <c r="R248" s="81" t="s">
        <v>94</v>
      </c>
      <c r="S248" s="81" t="s">
        <v>94</v>
      </c>
      <c r="T248" s="86">
        <v>46232.0</v>
      </c>
      <c r="U248" s="28"/>
      <c r="V248" s="30"/>
      <c r="W248" s="28"/>
      <c r="X248" s="28"/>
      <c r="Y248" s="28"/>
      <c r="Z248" s="28"/>
    </row>
    <row r="249" ht="13.5" customHeight="1">
      <c r="A249" s="67"/>
      <c r="B249" s="67"/>
      <c r="C249" s="67"/>
      <c r="D249" s="67"/>
      <c r="E249" s="89" t="s">
        <v>1179</v>
      </c>
      <c r="F249" s="82" t="s">
        <v>1180</v>
      </c>
      <c r="G249" s="83" t="s">
        <v>1181</v>
      </c>
      <c r="H249" s="81" t="s">
        <v>88</v>
      </c>
      <c r="I249" s="81" t="s">
        <v>60</v>
      </c>
      <c r="J249" s="90" t="s">
        <v>1181</v>
      </c>
      <c r="K249" s="65"/>
      <c r="L249" s="67"/>
      <c r="M249" s="81"/>
      <c r="N249" s="81"/>
      <c r="O249" s="81"/>
      <c r="P249" s="81"/>
      <c r="Q249" s="81" t="s">
        <v>93</v>
      </c>
      <c r="R249" s="81" t="s">
        <v>94</v>
      </c>
      <c r="S249" s="81" t="s">
        <v>94</v>
      </c>
      <c r="T249" s="86">
        <v>46232.0</v>
      </c>
      <c r="U249" s="28"/>
      <c r="V249" s="30"/>
      <c r="W249" s="28"/>
      <c r="X249" s="28"/>
      <c r="Y249" s="28"/>
      <c r="Z249" s="28"/>
    </row>
    <row r="250" ht="13.5" customHeight="1">
      <c r="A250" s="77"/>
      <c r="B250" s="77"/>
      <c r="C250" s="77"/>
      <c r="D250" s="77"/>
      <c r="E250" s="89" t="s">
        <v>1182</v>
      </c>
      <c r="F250" s="82"/>
      <c r="G250" s="83" t="s">
        <v>1183</v>
      </c>
      <c r="H250" s="81" t="s">
        <v>88</v>
      </c>
      <c r="I250" s="81" t="s">
        <v>60</v>
      </c>
      <c r="J250" s="90" t="s">
        <v>1184</v>
      </c>
      <c r="K250" s="74" t="s">
        <v>1185</v>
      </c>
      <c r="L250" s="77"/>
      <c r="M250" s="81"/>
      <c r="N250" s="81"/>
      <c r="O250" s="81"/>
      <c r="P250" s="81"/>
      <c r="Q250" s="81" t="s">
        <v>93</v>
      </c>
      <c r="R250" s="81" t="s">
        <v>94</v>
      </c>
      <c r="S250" s="81" t="s">
        <v>94</v>
      </c>
      <c r="T250" s="86">
        <v>46255.0</v>
      </c>
      <c r="U250" s="28"/>
      <c r="V250" s="30"/>
      <c r="W250" s="28"/>
      <c r="X250" s="28"/>
      <c r="Y250" s="28"/>
      <c r="Z250" s="28"/>
    </row>
    <row r="251" ht="13.5" customHeight="1">
      <c r="A251" s="59" t="s">
        <v>51</v>
      </c>
      <c r="B251" s="59" t="s">
        <v>159</v>
      </c>
      <c r="C251" s="60" t="s">
        <v>160</v>
      </c>
      <c r="D251" s="60" t="s">
        <v>1186</v>
      </c>
      <c r="E251" s="61" t="s">
        <v>1187</v>
      </c>
      <c r="F251" s="62" t="s">
        <v>1188</v>
      </c>
      <c r="G251" s="63" t="s">
        <v>1189</v>
      </c>
      <c r="H251" s="61" t="s">
        <v>88</v>
      </c>
      <c r="I251" s="61" t="s">
        <v>60</v>
      </c>
      <c r="J251" s="63" t="s">
        <v>1190</v>
      </c>
      <c r="K251" s="65"/>
      <c r="L251" s="59" t="s">
        <v>1191</v>
      </c>
      <c r="M251" s="61"/>
      <c r="N251" s="61"/>
      <c r="O251" s="61"/>
      <c r="P251" s="61"/>
      <c r="Q251" s="61" t="s">
        <v>93</v>
      </c>
      <c r="R251" s="61" t="s">
        <v>94</v>
      </c>
      <c r="S251" s="61" t="s">
        <v>94</v>
      </c>
      <c r="T251" s="66">
        <v>46232.0</v>
      </c>
      <c r="U251" s="28"/>
      <c r="V251" s="30"/>
      <c r="W251" s="28"/>
      <c r="X251" s="28"/>
      <c r="Y251" s="28"/>
      <c r="Z251" s="28"/>
    </row>
    <row r="252" ht="13.5" customHeight="1">
      <c r="A252" s="67"/>
      <c r="B252" s="67"/>
      <c r="C252" s="67"/>
      <c r="D252" s="67"/>
      <c r="E252" s="61" t="s">
        <v>1192</v>
      </c>
      <c r="F252" s="68"/>
      <c r="G252" s="63" t="s">
        <v>1193</v>
      </c>
      <c r="H252" s="61" t="s">
        <v>88</v>
      </c>
      <c r="I252" s="61" t="s">
        <v>60</v>
      </c>
      <c r="J252" s="63" t="s">
        <v>1194</v>
      </c>
      <c r="K252" s="65"/>
      <c r="L252" s="67"/>
      <c r="M252" s="61"/>
      <c r="N252" s="61"/>
      <c r="O252" s="61"/>
      <c r="P252" s="61"/>
      <c r="Q252" s="61" t="s">
        <v>93</v>
      </c>
      <c r="R252" s="61" t="s">
        <v>94</v>
      </c>
      <c r="S252" s="61" t="s">
        <v>94</v>
      </c>
      <c r="T252" s="66">
        <v>46232.0</v>
      </c>
      <c r="U252" s="28"/>
      <c r="V252" s="30"/>
      <c r="W252" s="28"/>
      <c r="X252" s="28"/>
      <c r="Y252" s="28"/>
      <c r="Z252" s="28"/>
    </row>
    <row r="253" ht="13.5" customHeight="1">
      <c r="A253" s="67"/>
      <c r="B253" s="67"/>
      <c r="C253" s="67"/>
      <c r="D253" s="67"/>
      <c r="E253" s="61" t="s">
        <v>1195</v>
      </c>
      <c r="F253" s="68"/>
      <c r="G253" s="63" t="s">
        <v>1196</v>
      </c>
      <c r="H253" s="61" t="s">
        <v>88</v>
      </c>
      <c r="I253" s="61" t="s">
        <v>60</v>
      </c>
      <c r="J253" s="63" t="s">
        <v>1197</v>
      </c>
      <c r="K253" s="65"/>
      <c r="L253" s="67"/>
      <c r="M253" s="61"/>
      <c r="N253" s="61"/>
      <c r="O253" s="61"/>
      <c r="P253" s="61"/>
      <c r="Q253" s="61" t="s">
        <v>93</v>
      </c>
      <c r="R253" s="61" t="s">
        <v>94</v>
      </c>
      <c r="S253" s="61" t="s">
        <v>94</v>
      </c>
      <c r="T253" s="66">
        <v>46232.0</v>
      </c>
      <c r="U253" s="28"/>
      <c r="V253" s="30"/>
      <c r="W253" s="28"/>
      <c r="X253" s="28"/>
      <c r="Y253" s="28"/>
      <c r="Z253" s="28"/>
    </row>
    <row r="254" ht="13.5" customHeight="1">
      <c r="A254" s="67"/>
      <c r="B254" s="67"/>
      <c r="C254" s="67"/>
      <c r="D254" s="67"/>
      <c r="E254" s="61" t="s">
        <v>1198</v>
      </c>
      <c r="F254" s="62" t="s">
        <v>1199</v>
      </c>
      <c r="G254" s="63" t="s">
        <v>1200</v>
      </c>
      <c r="H254" s="61" t="s">
        <v>88</v>
      </c>
      <c r="I254" s="61" t="s">
        <v>60</v>
      </c>
      <c r="J254" s="62" t="s">
        <v>1201</v>
      </c>
      <c r="K254" s="65"/>
      <c r="L254" s="67"/>
      <c r="M254" s="61"/>
      <c r="N254" s="61"/>
      <c r="O254" s="61"/>
      <c r="P254" s="61"/>
      <c r="Q254" s="61" t="s">
        <v>93</v>
      </c>
      <c r="R254" s="61" t="s">
        <v>94</v>
      </c>
      <c r="S254" s="61" t="s">
        <v>94</v>
      </c>
      <c r="T254" s="66">
        <v>46232.0</v>
      </c>
      <c r="U254" s="28"/>
      <c r="V254" s="30"/>
      <c r="W254" s="28"/>
      <c r="X254" s="28"/>
      <c r="Y254" s="28"/>
      <c r="Z254" s="28"/>
    </row>
    <row r="255" ht="13.5" customHeight="1">
      <c r="A255" s="67"/>
      <c r="B255" s="67"/>
      <c r="C255" s="67"/>
      <c r="D255" s="67"/>
      <c r="E255" s="61" t="s">
        <v>1202</v>
      </c>
      <c r="F255" s="68"/>
      <c r="G255" s="63" t="s">
        <v>1203</v>
      </c>
      <c r="H255" s="61" t="s">
        <v>88</v>
      </c>
      <c r="I255" s="61" t="s">
        <v>60</v>
      </c>
      <c r="J255" s="62" t="s">
        <v>1204</v>
      </c>
      <c r="K255" s="74" t="s">
        <v>1205</v>
      </c>
      <c r="L255" s="67"/>
      <c r="M255" s="61"/>
      <c r="N255" s="61"/>
      <c r="O255" s="61"/>
      <c r="P255" s="61"/>
      <c r="Q255" s="61" t="s">
        <v>93</v>
      </c>
      <c r="R255" s="61" t="s">
        <v>94</v>
      </c>
      <c r="S255" s="61" t="s">
        <v>94</v>
      </c>
      <c r="T255" s="66">
        <v>46255.0</v>
      </c>
      <c r="U255" s="28"/>
      <c r="V255" s="30"/>
      <c r="W255" s="28"/>
      <c r="X255" s="28"/>
      <c r="Y255" s="28"/>
      <c r="Z255" s="28"/>
    </row>
    <row r="256" ht="13.5" customHeight="1">
      <c r="A256" s="67"/>
      <c r="B256" s="67"/>
      <c r="C256" s="67"/>
      <c r="D256" s="67"/>
      <c r="E256" s="61" t="s">
        <v>1206</v>
      </c>
      <c r="F256" s="68"/>
      <c r="G256" s="63" t="s">
        <v>1207</v>
      </c>
      <c r="H256" s="61" t="s">
        <v>88</v>
      </c>
      <c r="I256" s="61" t="s">
        <v>60</v>
      </c>
      <c r="J256" s="62" t="s">
        <v>1208</v>
      </c>
      <c r="K256" s="88" t="s">
        <v>1209</v>
      </c>
      <c r="L256" s="67"/>
      <c r="M256" s="61"/>
      <c r="N256" s="61"/>
      <c r="O256" s="61"/>
      <c r="P256" s="61"/>
      <c r="Q256" s="61" t="s">
        <v>93</v>
      </c>
      <c r="R256" s="61" t="s">
        <v>94</v>
      </c>
      <c r="S256" s="61" t="s">
        <v>94</v>
      </c>
      <c r="T256" s="66">
        <v>46255.0</v>
      </c>
      <c r="U256" s="28"/>
      <c r="V256" s="30"/>
      <c r="W256" s="28"/>
      <c r="X256" s="28"/>
      <c r="Y256" s="28"/>
      <c r="Z256" s="28"/>
    </row>
    <row r="257" ht="79.5" customHeight="1">
      <c r="A257" s="67"/>
      <c r="B257" s="67"/>
      <c r="C257" s="67"/>
      <c r="D257" s="67"/>
      <c r="E257" s="61" t="s">
        <v>1210</v>
      </c>
      <c r="F257" s="68"/>
      <c r="G257" s="63" t="s">
        <v>1211</v>
      </c>
      <c r="H257" s="61" t="s">
        <v>88</v>
      </c>
      <c r="I257" s="61" t="s">
        <v>60</v>
      </c>
      <c r="J257" s="62" t="s">
        <v>1212</v>
      </c>
      <c r="K257" s="74" t="s">
        <v>1213</v>
      </c>
      <c r="L257" s="67"/>
      <c r="M257" s="61"/>
      <c r="N257" s="61"/>
      <c r="O257" s="61"/>
      <c r="P257" s="61"/>
      <c r="Q257" s="61" t="s">
        <v>93</v>
      </c>
      <c r="R257" s="61" t="s">
        <v>94</v>
      </c>
      <c r="S257" s="61" t="s">
        <v>94</v>
      </c>
      <c r="T257" s="66">
        <v>46255.0</v>
      </c>
      <c r="U257" s="28"/>
      <c r="V257" s="30"/>
      <c r="W257" s="28"/>
      <c r="X257" s="28"/>
      <c r="Y257" s="28"/>
      <c r="Z257" s="28"/>
    </row>
    <row r="258" ht="13.5" customHeight="1">
      <c r="A258" s="67"/>
      <c r="B258" s="67"/>
      <c r="C258" s="67"/>
      <c r="D258" s="67"/>
      <c r="E258" s="61" t="s">
        <v>1214</v>
      </c>
      <c r="F258" s="68"/>
      <c r="G258" s="63" t="s">
        <v>1215</v>
      </c>
      <c r="H258" s="61" t="s">
        <v>88</v>
      </c>
      <c r="I258" s="61" t="s">
        <v>60</v>
      </c>
      <c r="J258" s="62" t="s">
        <v>1216</v>
      </c>
      <c r="K258" s="88" t="s">
        <v>1217</v>
      </c>
      <c r="L258" s="67"/>
      <c r="M258" s="61"/>
      <c r="N258" s="61"/>
      <c r="O258" s="61"/>
      <c r="P258" s="61"/>
      <c r="Q258" s="61" t="s">
        <v>93</v>
      </c>
      <c r="R258" s="61" t="s">
        <v>94</v>
      </c>
      <c r="S258" s="61" t="s">
        <v>94</v>
      </c>
      <c r="T258" s="66">
        <v>46255.0</v>
      </c>
      <c r="U258" s="28"/>
      <c r="V258" s="30"/>
      <c r="W258" s="28"/>
      <c r="X258" s="28"/>
      <c r="Y258" s="28"/>
      <c r="Z258" s="28"/>
    </row>
    <row r="259" ht="13.5" customHeight="1">
      <c r="A259" s="67"/>
      <c r="B259" s="67"/>
      <c r="C259" s="67"/>
      <c r="D259" s="67"/>
      <c r="E259" s="61" t="s">
        <v>1218</v>
      </c>
      <c r="F259" s="62" t="s">
        <v>1219</v>
      </c>
      <c r="G259" s="63" t="s">
        <v>1220</v>
      </c>
      <c r="H259" s="61" t="s">
        <v>88</v>
      </c>
      <c r="I259" s="61" t="s">
        <v>60</v>
      </c>
      <c r="J259" s="62" t="s">
        <v>1221</v>
      </c>
      <c r="K259" s="65"/>
      <c r="L259" s="67"/>
      <c r="M259" s="61"/>
      <c r="N259" s="61"/>
      <c r="O259" s="61"/>
      <c r="P259" s="61"/>
      <c r="Q259" s="61" t="s">
        <v>93</v>
      </c>
      <c r="R259" s="61" t="s">
        <v>94</v>
      </c>
      <c r="S259" s="61" t="s">
        <v>94</v>
      </c>
      <c r="T259" s="66">
        <v>46232.0</v>
      </c>
      <c r="U259" s="28"/>
      <c r="V259" s="30"/>
      <c r="W259" s="28"/>
      <c r="X259" s="28"/>
      <c r="Y259" s="28"/>
      <c r="Z259" s="28"/>
    </row>
    <row r="260" ht="13.5" customHeight="1">
      <c r="A260" s="67"/>
      <c r="B260" s="67"/>
      <c r="C260" s="67"/>
      <c r="D260" s="67"/>
      <c r="E260" s="61" t="s">
        <v>1222</v>
      </c>
      <c r="F260" s="68"/>
      <c r="G260" s="63" t="s">
        <v>1223</v>
      </c>
      <c r="H260" s="61" t="s">
        <v>88</v>
      </c>
      <c r="I260" s="61" t="s">
        <v>60</v>
      </c>
      <c r="J260" s="62" t="s">
        <v>1224</v>
      </c>
      <c r="K260" s="65"/>
      <c r="L260" s="67"/>
      <c r="M260" s="61"/>
      <c r="N260" s="61"/>
      <c r="O260" s="61"/>
      <c r="P260" s="61"/>
      <c r="Q260" s="61" t="s">
        <v>93</v>
      </c>
      <c r="R260" s="61" t="s">
        <v>94</v>
      </c>
      <c r="S260" s="61" t="s">
        <v>94</v>
      </c>
      <c r="T260" s="66">
        <v>46232.0</v>
      </c>
      <c r="U260" s="28"/>
      <c r="V260" s="30"/>
      <c r="W260" s="28"/>
      <c r="X260" s="28"/>
      <c r="Y260" s="28"/>
      <c r="Z260" s="28"/>
    </row>
    <row r="261" ht="13.5" customHeight="1">
      <c r="A261" s="67"/>
      <c r="B261" s="67"/>
      <c r="C261" s="67"/>
      <c r="D261" s="67"/>
      <c r="E261" s="61" t="s">
        <v>1225</v>
      </c>
      <c r="F261" s="68"/>
      <c r="G261" s="63" t="s">
        <v>1226</v>
      </c>
      <c r="H261" s="61" t="s">
        <v>88</v>
      </c>
      <c r="I261" s="61" t="s">
        <v>60</v>
      </c>
      <c r="J261" s="62" t="s">
        <v>1227</v>
      </c>
      <c r="K261" s="65"/>
      <c r="L261" s="67"/>
      <c r="M261" s="61"/>
      <c r="N261" s="61"/>
      <c r="O261" s="61"/>
      <c r="P261" s="61"/>
      <c r="Q261" s="61" t="s">
        <v>93</v>
      </c>
      <c r="R261" s="61" t="s">
        <v>94</v>
      </c>
      <c r="S261" s="61" t="s">
        <v>94</v>
      </c>
      <c r="T261" s="66">
        <v>46232.0</v>
      </c>
      <c r="U261" s="28"/>
      <c r="V261" s="30"/>
      <c r="W261" s="28"/>
      <c r="X261" s="28"/>
      <c r="Y261" s="28"/>
      <c r="Z261" s="28"/>
    </row>
    <row r="262" ht="13.5" customHeight="1">
      <c r="A262" s="67"/>
      <c r="B262" s="67"/>
      <c r="C262" s="67"/>
      <c r="D262" s="67"/>
      <c r="E262" s="61" t="s">
        <v>1228</v>
      </c>
      <c r="F262" s="68"/>
      <c r="G262" s="63" t="s">
        <v>1229</v>
      </c>
      <c r="H262" s="61" t="s">
        <v>88</v>
      </c>
      <c r="I262" s="61" t="s">
        <v>60</v>
      </c>
      <c r="J262" s="62" t="s">
        <v>1230</v>
      </c>
      <c r="K262" s="65"/>
      <c r="L262" s="67"/>
      <c r="M262" s="61"/>
      <c r="N262" s="61"/>
      <c r="O262" s="61"/>
      <c r="P262" s="61"/>
      <c r="Q262" s="61" t="s">
        <v>93</v>
      </c>
      <c r="R262" s="61" t="s">
        <v>94</v>
      </c>
      <c r="S262" s="61" t="s">
        <v>94</v>
      </c>
      <c r="T262" s="66">
        <v>46232.0</v>
      </c>
      <c r="U262" s="28"/>
      <c r="V262" s="30"/>
      <c r="W262" s="28"/>
      <c r="X262" s="28"/>
      <c r="Y262" s="28"/>
      <c r="Z262" s="28"/>
    </row>
    <row r="263" ht="13.5" customHeight="1">
      <c r="A263" s="67"/>
      <c r="B263" s="67"/>
      <c r="C263" s="67"/>
      <c r="D263" s="67"/>
      <c r="E263" s="61" t="s">
        <v>1231</v>
      </c>
      <c r="F263" s="62" t="s">
        <v>1232</v>
      </c>
      <c r="G263" s="63" t="s">
        <v>1233</v>
      </c>
      <c r="H263" s="61" t="s">
        <v>88</v>
      </c>
      <c r="I263" s="61" t="s">
        <v>60</v>
      </c>
      <c r="J263" s="62" t="s">
        <v>1234</v>
      </c>
      <c r="K263" s="65"/>
      <c r="L263" s="67"/>
      <c r="M263" s="61"/>
      <c r="N263" s="61"/>
      <c r="O263" s="61"/>
      <c r="P263" s="61"/>
      <c r="Q263" s="61" t="s">
        <v>93</v>
      </c>
      <c r="R263" s="61" t="s">
        <v>94</v>
      </c>
      <c r="S263" s="61" t="s">
        <v>94</v>
      </c>
      <c r="T263" s="66">
        <v>46232.0</v>
      </c>
      <c r="U263" s="28"/>
      <c r="V263" s="30"/>
      <c r="W263" s="28"/>
      <c r="X263" s="28"/>
      <c r="Y263" s="28"/>
      <c r="Z263" s="28"/>
    </row>
    <row r="264" ht="13.5" customHeight="1">
      <c r="A264" s="67"/>
      <c r="B264" s="67"/>
      <c r="C264" s="67"/>
      <c r="D264" s="67"/>
      <c r="E264" s="61" t="s">
        <v>1235</v>
      </c>
      <c r="F264" s="68"/>
      <c r="G264" s="63" t="s">
        <v>1236</v>
      </c>
      <c r="H264" s="61" t="s">
        <v>88</v>
      </c>
      <c r="I264" s="61" t="s">
        <v>60</v>
      </c>
      <c r="J264" s="62" t="s">
        <v>1237</v>
      </c>
      <c r="K264" s="65"/>
      <c r="L264" s="67"/>
      <c r="M264" s="61"/>
      <c r="N264" s="61"/>
      <c r="O264" s="61"/>
      <c r="P264" s="61"/>
      <c r="Q264" s="61" t="s">
        <v>93</v>
      </c>
      <c r="R264" s="61" t="s">
        <v>94</v>
      </c>
      <c r="S264" s="61" t="s">
        <v>94</v>
      </c>
      <c r="T264" s="66">
        <v>46232.0</v>
      </c>
      <c r="U264" s="28"/>
      <c r="V264" s="30"/>
      <c r="W264" s="28"/>
      <c r="X264" s="28"/>
      <c r="Y264" s="28"/>
      <c r="Z264" s="28"/>
    </row>
    <row r="265" ht="13.5" customHeight="1">
      <c r="A265" s="67"/>
      <c r="B265" s="67"/>
      <c r="C265" s="67"/>
      <c r="D265" s="67"/>
      <c r="E265" s="61" t="s">
        <v>1238</v>
      </c>
      <c r="F265" s="68"/>
      <c r="G265" s="63" t="s">
        <v>1239</v>
      </c>
      <c r="H265" s="61" t="s">
        <v>88</v>
      </c>
      <c r="I265" s="61" t="s">
        <v>60</v>
      </c>
      <c r="J265" s="62" t="s">
        <v>1240</v>
      </c>
      <c r="K265" s="70"/>
      <c r="L265" s="67"/>
      <c r="M265" s="61"/>
      <c r="N265" s="61"/>
      <c r="O265" s="61"/>
      <c r="P265" s="61"/>
      <c r="Q265" s="61" t="s">
        <v>93</v>
      </c>
      <c r="R265" s="61" t="s">
        <v>94</v>
      </c>
      <c r="S265" s="61" t="s">
        <v>94</v>
      </c>
      <c r="T265" s="66">
        <v>46232.0</v>
      </c>
      <c r="U265" s="28"/>
      <c r="V265" s="30"/>
      <c r="W265" s="28"/>
      <c r="X265" s="28"/>
      <c r="Y265" s="28"/>
      <c r="Z265" s="28"/>
    </row>
    <row r="266" ht="13.5" customHeight="1">
      <c r="A266" s="77"/>
      <c r="B266" s="77"/>
      <c r="C266" s="77"/>
      <c r="D266" s="77"/>
      <c r="E266" s="61" t="s">
        <v>1241</v>
      </c>
      <c r="F266" s="62" t="s">
        <v>1242</v>
      </c>
      <c r="G266" s="63" t="s">
        <v>1243</v>
      </c>
      <c r="H266" s="61" t="s">
        <v>88</v>
      </c>
      <c r="I266" s="61" t="s">
        <v>60</v>
      </c>
      <c r="J266" s="62" t="s">
        <v>1244</v>
      </c>
      <c r="K266" s="65"/>
      <c r="L266" s="77"/>
      <c r="M266" s="61"/>
      <c r="N266" s="61"/>
      <c r="O266" s="61"/>
      <c r="P266" s="61"/>
      <c r="Q266" s="61" t="s">
        <v>93</v>
      </c>
      <c r="R266" s="61" t="s">
        <v>94</v>
      </c>
      <c r="S266" s="61" t="s">
        <v>94</v>
      </c>
      <c r="T266" s="66">
        <v>46232.0</v>
      </c>
      <c r="U266" s="28"/>
      <c r="V266" s="30"/>
      <c r="W266" s="28"/>
      <c r="X266" s="28"/>
      <c r="Y266" s="28"/>
      <c r="Z266" s="28"/>
    </row>
    <row r="267" ht="13.5" customHeight="1">
      <c r="A267" s="78" t="s">
        <v>51</v>
      </c>
      <c r="B267" s="78" t="s">
        <v>165</v>
      </c>
      <c r="C267" s="79" t="s">
        <v>166</v>
      </c>
      <c r="D267" s="79" t="s">
        <v>1245</v>
      </c>
      <c r="E267" s="81" t="s">
        <v>1246</v>
      </c>
      <c r="F267" s="82" t="s">
        <v>1247</v>
      </c>
      <c r="G267" s="83" t="s">
        <v>1248</v>
      </c>
      <c r="H267" s="81" t="s">
        <v>88</v>
      </c>
      <c r="I267" s="81" t="s">
        <v>167</v>
      </c>
      <c r="J267" s="82" t="s">
        <v>1249</v>
      </c>
      <c r="K267" s="65"/>
      <c r="L267" s="78" t="s">
        <v>1250</v>
      </c>
      <c r="M267" s="81"/>
      <c r="N267" s="81"/>
      <c r="O267" s="81"/>
      <c r="P267" s="81"/>
      <c r="Q267" s="81" t="s">
        <v>93</v>
      </c>
      <c r="R267" s="81" t="s">
        <v>94</v>
      </c>
      <c r="S267" s="81" t="s">
        <v>94</v>
      </c>
      <c r="T267" s="84">
        <v>46232.0</v>
      </c>
      <c r="U267" s="28"/>
      <c r="V267" s="30"/>
      <c r="W267" s="28"/>
      <c r="X267" s="28"/>
      <c r="Y267" s="28"/>
      <c r="Z267" s="28"/>
    </row>
    <row r="268" ht="13.5" customHeight="1">
      <c r="A268" s="67"/>
      <c r="B268" s="67"/>
      <c r="C268" s="67"/>
      <c r="D268" s="67"/>
      <c r="E268" s="81" t="s">
        <v>1251</v>
      </c>
      <c r="F268" s="82" t="s">
        <v>1252</v>
      </c>
      <c r="G268" s="83" t="s">
        <v>1253</v>
      </c>
      <c r="H268" s="81" t="s">
        <v>88</v>
      </c>
      <c r="I268" s="81" t="s">
        <v>167</v>
      </c>
      <c r="J268" s="82" t="s">
        <v>1254</v>
      </c>
      <c r="K268" s="65"/>
      <c r="L268" s="67"/>
      <c r="M268" s="81"/>
      <c r="N268" s="81"/>
      <c r="O268" s="81"/>
      <c r="P268" s="81"/>
      <c r="Q268" s="81" t="s">
        <v>93</v>
      </c>
      <c r="R268" s="81" t="s">
        <v>94</v>
      </c>
      <c r="S268" s="81" t="s">
        <v>94</v>
      </c>
      <c r="T268" s="86">
        <v>46232.0</v>
      </c>
      <c r="U268" s="28"/>
      <c r="V268" s="30"/>
      <c r="W268" s="28"/>
      <c r="X268" s="28"/>
      <c r="Y268" s="28"/>
      <c r="Z268" s="28"/>
    </row>
    <row r="269" ht="60.0" customHeight="1">
      <c r="A269" s="67"/>
      <c r="B269" s="67"/>
      <c r="C269" s="67"/>
      <c r="D269" s="67"/>
      <c r="E269" s="81" t="s">
        <v>1255</v>
      </c>
      <c r="F269" s="85"/>
      <c r="G269" s="83" t="s">
        <v>1256</v>
      </c>
      <c r="H269" s="81" t="s">
        <v>88</v>
      </c>
      <c r="I269" s="81" t="s">
        <v>167</v>
      </c>
      <c r="J269" s="82" t="s">
        <v>1257</v>
      </c>
      <c r="K269" s="65"/>
      <c r="L269" s="67"/>
      <c r="M269" s="81"/>
      <c r="N269" s="81"/>
      <c r="O269" s="81"/>
      <c r="P269" s="81"/>
      <c r="Q269" s="81" t="s">
        <v>93</v>
      </c>
      <c r="R269" s="81" t="s">
        <v>94</v>
      </c>
      <c r="S269" s="81" t="s">
        <v>94</v>
      </c>
      <c r="T269" s="86">
        <v>46232.0</v>
      </c>
      <c r="U269" s="28"/>
      <c r="V269" s="30"/>
      <c r="W269" s="28"/>
      <c r="X269" s="28"/>
      <c r="Y269" s="28"/>
      <c r="Z269" s="28"/>
    </row>
    <row r="270" ht="13.5" customHeight="1">
      <c r="A270" s="67"/>
      <c r="B270" s="67"/>
      <c r="C270" s="67"/>
      <c r="D270" s="67"/>
      <c r="E270" s="81" t="s">
        <v>1258</v>
      </c>
      <c r="F270" s="85"/>
      <c r="G270" s="83" t="s">
        <v>1259</v>
      </c>
      <c r="H270" s="81" t="s">
        <v>88</v>
      </c>
      <c r="I270" s="81" t="s">
        <v>167</v>
      </c>
      <c r="J270" s="82" t="s">
        <v>1260</v>
      </c>
      <c r="K270" s="65"/>
      <c r="L270" s="67"/>
      <c r="M270" s="81"/>
      <c r="N270" s="81"/>
      <c r="O270" s="81"/>
      <c r="P270" s="81"/>
      <c r="Q270" s="81" t="s">
        <v>93</v>
      </c>
      <c r="R270" s="81" t="s">
        <v>94</v>
      </c>
      <c r="S270" s="81" t="s">
        <v>94</v>
      </c>
      <c r="T270" s="86">
        <v>46232.0</v>
      </c>
      <c r="U270" s="28"/>
      <c r="V270" s="30"/>
      <c r="W270" s="28"/>
      <c r="X270" s="28"/>
      <c r="Y270" s="28"/>
      <c r="Z270" s="28"/>
    </row>
    <row r="271" ht="13.5" customHeight="1">
      <c r="A271" s="67"/>
      <c r="B271" s="67"/>
      <c r="C271" s="67"/>
      <c r="D271" s="67"/>
      <c r="E271" s="81" t="s">
        <v>1261</v>
      </c>
      <c r="F271" s="82" t="s">
        <v>1262</v>
      </c>
      <c r="G271" s="83" t="s">
        <v>1263</v>
      </c>
      <c r="H271" s="81" t="s">
        <v>88</v>
      </c>
      <c r="I271" s="81" t="s">
        <v>167</v>
      </c>
      <c r="J271" s="82" t="s">
        <v>1264</v>
      </c>
      <c r="K271" s="74" t="s">
        <v>1265</v>
      </c>
      <c r="L271" s="67"/>
      <c r="M271" s="81"/>
      <c r="N271" s="81"/>
      <c r="O271" s="81"/>
      <c r="P271" s="81"/>
      <c r="Q271" s="81" t="s">
        <v>93</v>
      </c>
      <c r="R271" s="81" t="s">
        <v>94</v>
      </c>
      <c r="S271" s="81" t="s">
        <v>94</v>
      </c>
      <c r="T271" s="86">
        <v>46255.0</v>
      </c>
      <c r="U271" s="28"/>
      <c r="V271" s="30"/>
      <c r="W271" s="28"/>
      <c r="X271" s="28"/>
      <c r="Y271" s="28"/>
      <c r="Z271" s="28"/>
    </row>
    <row r="272" ht="13.5" customHeight="1">
      <c r="A272" s="67"/>
      <c r="B272" s="67"/>
      <c r="C272" s="67"/>
      <c r="D272" s="67"/>
      <c r="E272" s="81" t="s">
        <v>1266</v>
      </c>
      <c r="F272" s="85"/>
      <c r="G272" s="83" t="s">
        <v>1267</v>
      </c>
      <c r="H272" s="81" t="s">
        <v>88</v>
      </c>
      <c r="I272" s="81" t="s">
        <v>167</v>
      </c>
      <c r="J272" s="82" t="s">
        <v>1268</v>
      </c>
      <c r="K272" s="65"/>
      <c r="L272" s="67"/>
      <c r="M272" s="81"/>
      <c r="N272" s="81"/>
      <c r="O272" s="81"/>
      <c r="P272" s="81"/>
      <c r="Q272" s="81" t="s">
        <v>93</v>
      </c>
      <c r="R272" s="81" t="s">
        <v>94</v>
      </c>
      <c r="S272" s="81" t="s">
        <v>94</v>
      </c>
      <c r="T272" s="86">
        <v>46232.0</v>
      </c>
      <c r="U272" s="28"/>
      <c r="V272" s="30"/>
      <c r="W272" s="28"/>
      <c r="X272" s="28"/>
      <c r="Y272" s="28"/>
      <c r="Z272" s="28"/>
    </row>
    <row r="273" ht="13.5" customHeight="1">
      <c r="A273" s="67"/>
      <c r="B273" s="67"/>
      <c r="C273" s="67"/>
      <c r="D273" s="67"/>
      <c r="E273" s="81" t="s">
        <v>1269</v>
      </c>
      <c r="F273" s="85"/>
      <c r="G273" s="83" t="s">
        <v>1270</v>
      </c>
      <c r="H273" s="81" t="s">
        <v>88</v>
      </c>
      <c r="I273" s="81" t="s">
        <v>167</v>
      </c>
      <c r="J273" s="82" t="s">
        <v>1271</v>
      </c>
      <c r="K273" s="65"/>
      <c r="L273" s="67"/>
      <c r="M273" s="81"/>
      <c r="N273" s="81"/>
      <c r="O273" s="81"/>
      <c r="P273" s="81"/>
      <c r="Q273" s="81" t="s">
        <v>93</v>
      </c>
      <c r="R273" s="81" t="s">
        <v>94</v>
      </c>
      <c r="S273" s="81" t="s">
        <v>94</v>
      </c>
      <c r="T273" s="86">
        <v>46232.0</v>
      </c>
      <c r="U273" s="28"/>
      <c r="V273" s="30"/>
      <c r="W273" s="28"/>
      <c r="X273" s="28"/>
      <c r="Y273" s="28"/>
      <c r="Z273" s="28"/>
    </row>
    <row r="274" ht="13.5" customHeight="1">
      <c r="A274" s="67"/>
      <c r="B274" s="67"/>
      <c r="C274" s="67"/>
      <c r="D274" s="67"/>
      <c r="E274" s="81" t="s">
        <v>1272</v>
      </c>
      <c r="F274" s="82" t="s">
        <v>1273</v>
      </c>
      <c r="G274" s="83" t="s">
        <v>1274</v>
      </c>
      <c r="H274" s="81" t="s">
        <v>88</v>
      </c>
      <c r="I274" s="81" t="s">
        <v>167</v>
      </c>
      <c r="J274" s="82" t="s">
        <v>1275</v>
      </c>
      <c r="K274" s="65"/>
      <c r="L274" s="67"/>
      <c r="M274" s="81"/>
      <c r="N274" s="81"/>
      <c r="O274" s="81"/>
      <c r="P274" s="81"/>
      <c r="Q274" s="81" t="s">
        <v>93</v>
      </c>
      <c r="R274" s="81" t="s">
        <v>94</v>
      </c>
      <c r="S274" s="81" t="s">
        <v>94</v>
      </c>
      <c r="T274" s="86">
        <v>46232.0</v>
      </c>
      <c r="U274" s="28"/>
      <c r="V274" s="30"/>
      <c r="W274" s="28"/>
      <c r="X274" s="28"/>
      <c r="Y274" s="28"/>
      <c r="Z274" s="28"/>
    </row>
    <row r="275" ht="129.75" customHeight="1">
      <c r="A275" s="67"/>
      <c r="B275" s="67"/>
      <c r="C275" s="67"/>
      <c r="D275" s="67"/>
      <c r="E275" s="89" t="s">
        <v>1276</v>
      </c>
      <c r="F275" s="85"/>
      <c r="G275" s="90" t="s">
        <v>1277</v>
      </c>
      <c r="H275" s="89" t="s">
        <v>88</v>
      </c>
      <c r="I275" s="89" t="s">
        <v>167</v>
      </c>
      <c r="J275" s="70" t="s">
        <v>1278</v>
      </c>
      <c r="K275" s="74" t="s">
        <v>1279</v>
      </c>
      <c r="L275" s="67"/>
      <c r="M275" s="81"/>
      <c r="N275" s="81"/>
      <c r="O275" s="81"/>
      <c r="P275" s="81"/>
      <c r="Q275" s="81" t="s">
        <v>93</v>
      </c>
      <c r="R275" s="81" t="s">
        <v>94</v>
      </c>
      <c r="S275" s="81" t="s">
        <v>94</v>
      </c>
      <c r="T275" s="86">
        <v>46259.0</v>
      </c>
      <c r="U275" s="28"/>
      <c r="V275" s="30"/>
      <c r="W275" s="28"/>
      <c r="X275" s="28"/>
      <c r="Y275" s="28"/>
      <c r="Z275" s="28"/>
    </row>
    <row r="276" ht="13.5" customHeight="1">
      <c r="A276" s="67"/>
      <c r="B276" s="67"/>
      <c r="C276" s="67"/>
      <c r="D276" s="67"/>
      <c r="E276" s="81" t="s">
        <v>1280</v>
      </c>
      <c r="F276" s="85"/>
      <c r="G276" s="83" t="s">
        <v>1281</v>
      </c>
      <c r="H276" s="81" t="s">
        <v>88</v>
      </c>
      <c r="I276" s="81" t="s">
        <v>167</v>
      </c>
      <c r="J276" s="70" t="s">
        <v>1282</v>
      </c>
      <c r="K276" s="74" t="s">
        <v>1283</v>
      </c>
      <c r="L276" s="67"/>
      <c r="M276" s="81"/>
      <c r="N276" s="81"/>
      <c r="O276" s="81"/>
      <c r="P276" s="81"/>
      <c r="Q276" s="81" t="s">
        <v>93</v>
      </c>
      <c r="R276" s="81" t="s">
        <v>94</v>
      </c>
      <c r="S276" s="81" t="s">
        <v>94</v>
      </c>
      <c r="T276" s="86">
        <v>46255.0</v>
      </c>
      <c r="U276" s="28"/>
      <c r="V276" s="30"/>
      <c r="W276" s="28"/>
      <c r="X276" s="28"/>
      <c r="Y276" s="28"/>
      <c r="Z276" s="28"/>
    </row>
    <row r="277" ht="13.5" customHeight="1">
      <c r="A277" s="67"/>
      <c r="B277" s="67"/>
      <c r="C277" s="67"/>
      <c r="D277" s="67"/>
      <c r="E277" s="81" t="s">
        <v>1284</v>
      </c>
      <c r="F277" s="82" t="s">
        <v>1285</v>
      </c>
      <c r="G277" s="83" t="s">
        <v>1286</v>
      </c>
      <c r="H277" s="81" t="s">
        <v>88</v>
      </c>
      <c r="I277" s="81" t="s">
        <v>167</v>
      </c>
      <c r="J277" s="82" t="s">
        <v>1287</v>
      </c>
      <c r="K277" s="65"/>
      <c r="L277" s="67"/>
      <c r="M277" s="81"/>
      <c r="N277" s="81"/>
      <c r="O277" s="81"/>
      <c r="P277" s="81"/>
      <c r="Q277" s="81" t="s">
        <v>93</v>
      </c>
      <c r="R277" s="81" t="s">
        <v>94</v>
      </c>
      <c r="S277" s="81" t="s">
        <v>94</v>
      </c>
      <c r="T277" s="86">
        <v>46232.0</v>
      </c>
      <c r="U277" s="28"/>
      <c r="V277" s="30"/>
      <c r="W277" s="28"/>
      <c r="X277" s="28"/>
      <c r="Y277" s="28"/>
      <c r="Z277" s="28"/>
    </row>
    <row r="278" ht="149.25" customHeight="1">
      <c r="A278" s="67"/>
      <c r="B278" s="67"/>
      <c r="C278" s="67"/>
      <c r="D278" s="67"/>
      <c r="E278" s="81" t="s">
        <v>1288</v>
      </c>
      <c r="F278" s="85"/>
      <c r="G278" s="83" t="s">
        <v>1289</v>
      </c>
      <c r="H278" s="81" t="s">
        <v>88</v>
      </c>
      <c r="I278" s="81" t="s">
        <v>167</v>
      </c>
      <c r="J278" s="70" t="s">
        <v>1290</v>
      </c>
      <c r="K278" s="74" t="s">
        <v>1291</v>
      </c>
      <c r="L278" s="67"/>
      <c r="M278" s="81"/>
      <c r="N278" s="81"/>
      <c r="O278" s="81"/>
      <c r="P278" s="81"/>
      <c r="Q278" s="81" t="s">
        <v>93</v>
      </c>
      <c r="R278" s="81" t="s">
        <v>94</v>
      </c>
      <c r="S278" s="81" t="s">
        <v>94</v>
      </c>
      <c r="T278" s="86">
        <v>46259.0</v>
      </c>
      <c r="U278" s="28"/>
      <c r="V278" s="30"/>
      <c r="W278" s="28"/>
      <c r="X278" s="28"/>
      <c r="Y278" s="28"/>
      <c r="Z278" s="28"/>
    </row>
    <row r="279" ht="13.5" customHeight="1">
      <c r="A279" s="67"/>
      <c r="B279" s="67"/>
      <c r="C279" s="67"/>
      <c r="D279" s="67"/>
      <c r="E279" s="81" t="s">
        <v>1292</v>
      </c>
      <c r="F279" s="82" t="s">
        <v>1293</v>
      </c>
      <c r="G279" s="83" t="s">
        <v>1294</v>
      </c>
      <c r="H279" s="81" t="s">
        <v>88</v>
      </c>
      <c r="I279" s="81" t="s">
        <v>167</v>
      </c>
      <c r="J279" s="82" t="s">
        <v>1295</v>
      </c>
      <c r="K279" s="65"/>
      <c r="L279" s="67"/>
      <c r="M279" s="81"/>
      <c r="N279" s="81"/>
      <c r="O279" s="81"/>
      <c r="P279" s="81"/>
      <c r="Q279" s="81" t="s">
        <v>93</v>
      </c>
      <c r="R279" s="81" t="s">
        <v>94</v>
      </c>
      <c r="S279" s="81" t="s">
        <v>94</v>
      </c>
      <c r="T279" s="86">
        <v>46232.0</v>
      </c>
      <c r="U279" s="28"/>
      <c r="V279" s="30"/>
      <c r="W279" s="28"/>
      <c r="X279" s="28"/>
      <c r="Y279" s="28"/>
      <c r="Z279" s="28"/>
    </row>
    <row r="280" ht="13.5" customHeight="1">
      <c r="A280" s="67"/>
      <c r="B280" s="67"/>
      <c r="C280" s="67"/>
      <c r="D280" s="67"/>
      <c r="E280" s="81" t="s">
        <v>1296</v>
      </c>
      <c r="F280" s="82" t="s">
        <v>1297</v>
      </c>
      <c r="G280" s="83" t="s">
        <v>1298</v>
      </c>
      <c r="H280" s="81" t="s">
        <v>88</v>
      </c>
      <c r="I280" s="81" t="s">
        <v>167</v>
      </c>
      <c r="J280" s="82" t="s">
        <v>1299</v>
      </c>
      <c r="K280" s="65"/>
      <c r="L280" s="67"/>
      <c r="M280" s="81"/>
      <c r="N280" s="81"/>
      <c r="O280" s="81"/>
      <c r="P280" s="81"/>
      <c r="Q280" s="81" t="s">
        <v>93</v>
      </c>
      <c r="R280" s="81" t="s">
        <v>94</v>
      </c>
      <c r="S280" s="81" t="s">
        <v>94</v>
      </c>
      <c r="T280" s="86">
        <v>46232.0</v>
      </c>
      <c r="U280" s="28"/>
      <c r="V280" s="30"/>
      <c r="W280" s="28"/>
      <c r="X280" s="28"/>
      <c r="Y280" s="28"/>
      <c r="Z280" s="28"/>
    </row>
    <row r="281" ht="13.5" customHeight="1">
      <c r="A281" s="77"/>
      <c r="B281" s="77"/>
      <c r="C281" s="77"/>
      <c r="D281" s="77"/>
      <c r="E281" s="115" t="s">
        <v>1300</v>
      </c>
      <c r="F281" s="116"/>
      <c r="G281" s="117" t="s">
        <v>1301</v>
      </c>
      <c r="H281" s="115" t="s">
        <v>88</v>
      </c>
      <c r="I281" s="115" t="s">
        <v>167</v>
      </c>
      <c r="J281" s="118" t="s">
        <v>1302</v>
      </c>
      <c r="K281" s="119"/>
      <c r="L281" s="77"/>
      <c r="M281" s="81"/>
      <c r="N281" s="81"/>
      <c r="O281" s="81"/>
      <c r="P281" s="81"/>
      <c r="Q281" s="81" t="s">
        <v>93</v>
      </c>
      <c r="R281" s="81" t="s">
        <v>94</v>
      </c>
      <c r="S281" s="81" t="s">
        <v>94</v>
      </c>
      <c r="T281" s="86">
        <v>46232.0</v>
      </c>
      <c r="U281" s="28"/>
      <c r="V281" s="30"/>
      <c r="W281" s="28"/>
      <c r="X281" s="28"/>
      <c r="Y281" s="28"/>
      <c r="Z281" s="28"/>
    </row>
    <row r="282" ht="71.25" customHeight="1">
      <c r="A282" s="120"/>
      <c r="B282" s="120"/>
      <c r="C282" s="120"/>
      <c r="D282" s="120"/>
      <c r="E282" s="89" t="s">
        <v>1303</v>
      </c>
      <c r="F282" s="70" t="s">
        <v>1304</v>
      </c>
      <c r="G282" s="90" t="s">
        <v>1305</v>
      </c>
      <c r="H282" s="89" t="s">
        <v>1306</v>
      </c>
      <c r="I282" s="89" t="s">
        <v>167</v>
      </c>
      <c r="J282" s="70" t="s">
        <v>1307</v>
      </c>
      <c r="K282" s="85" t="s">
        <v>1308</v>
      </c>
      <c r="L282" s="120"/>
      <c r="M282" s="81"/>
      <c r="N282" s="81"/>
      <c r="O282" s="81"/>
      <c r="P282" s="81"/>
      <c r="Q282" s="81" t="s">
        <v>93</v>
      </c>
      <c r="R282" s="81" t="s">
        <v>94</v>
      </c>
      <c r="S282" s="81" t="s">
        <v>94</v>
      </c>
      <c r="T282" s="86">
        <v>46259.0</v>
      </c>
      <c r="U282" s="28"/>
      <c r="V282" s="30"/>
      <c r="W282" s="28"/>
      <c r="X282" s="28"/>
      <c r="Y282" s="28"/>
      <c r="Z282" s="28"/>
    </row>
    <row r="283" ht="68.25" customHeight="1">
      <c r="A283" s="120"/>
      <c r="B283" s="120"/>
      <c r="C283" s="120"/>
      <c r="D283" s="120"/>
      <c r="E283" s="121" t="s">
        <v>1309</v>
      </c>
      <c r="F283" s="116"/>
      <c r="G283" s="122" t="s">
        <v>1310</v>
      </c>
      <c r="H283" s="121" t="s">
        <v>1306</v>
      </c>
      <c r="I283" s="121" t="s">
        <v>167</v>
      </c>
      <c r="J283" s="123" t="s">
        <v>1311</v>
      </c>
      <c r="K283" s="85" t="s">
        <v>1308</v>
      </c>
      <c r="L283" s="120"/>
      <c r="M283" s="81"/>
      <c r="N283" s="81"/>
      <c r="O283" s="81"/>
      <c r="P283" s="81"/>
      <c r="Q283" s="81" t="s">
        <v>93</v>
      </c>
      <c r="R283" s="81" t="s">
        <v>94</v>
      </c>
      <c r="S283" s="81" t="s">
        <v>94</v>
      </c>
      <c r="T283" s="86">
        <v>46259.0</v>
      </c>
      <c r="U283" s="28"/>
      <c r="V283" s="30"/>
      <c r="W283" s="28"/>
      <c r="X283" s="28"/>
      <c r="Y283" s="28"/>
      <c r="Z283" s="28"/>
    </row>
    <row r="284" ht="61.5" customHeight="1">
      <c r="A284" s="120"/>
      <c r="B284" s="120"/>
      <c r="C284" s="120"/>
      <c r="D284" s="120"/>
      <c r="E284" s="121" t="s">
        <v>1312</v>
      </c>
      <c r="F284" s="116"/>
      <c r="G284" s="122" t="s">
        <v>1313</v>
      </c>
      <c r="H284" s="121" t="s">
        <v>1306</v>
      </c>
      <c r="I284" s="121" t="s">
        <v>167</v>
      </c>
      <c r="J284" s="123" t="s">
        <v>1314</v>
      </c>
      <c r="K284" s="85" t="s">
        <v>1308</v>
      </c>
      <c r="L284" s="120"/>
      <c r="M284" s="81"/>
      <c r="N284" s="81"/>
      <c r="O284" s="81"/>
      <c r="P284" s="81"/>
      <c r="Q284" s="81" t="s">
        <v>93</v>
      </c>
      <c r="R284" s="81" t="s">
        <v>94</v>
      </c>
      <c r="S284" s="81" t="s">
        <v>94</v>
      </c>
      <c r="T284" s="86">
        <v>46259.0</v>
      </c>
      <c r="U284" s="28"/>
      <c r="V284" s="30"/>
      <c r="W284" s="28"/>
      <c r="X284" s="28"/>
      <c r="Y284" s="28"/>
      <c r="Z284" s="28"/>
    </row>
    <row r="285" ht="74.25" customHeight="1">
      <c r="A285" s="120"/>
      <c r="B285" s="120"/>
      <c r="C285" s="120"/>
      <c r="D285" s="120"/>
      <c r="E285" s="121" t="s">
        <v>1315</v>
      </c>
      <c r="F285" s="116"/>
      <c r="G285" s="122" t="s">
        <v>1316</v>
      </c>
      <c r="H285" s="121" t="s">
        <v>1306</v>
      </c>
      <c r="I285" s="121" t="s">
        <v>167</v>
      </c>
      <c r="J285" s="123" t="s">
        <v>1317</v>
      </c>
      <c r="K285" s="85" t="s">
        <v>1308</v>
      </c>
      <c r="L285" s="120"/>
      <c r="M285" s="81"/>
      <c r="N285" s="81"/>
      <c r="O285" s="81"/>
      <c r="P285" s="81"/>
      <c r="Q285" s="81" t="s">
        <v>93</v>
      </c>
      <c r="R285" s="81" t="s">
        <v>94</v>
      </c>
      <c r="S285" s="81" t="s">
        <v>94</v>
      </c>
      <c r="T285" s="86">
        <v>46259.0</v>
      </c>
      <c r="U285" s="28"/>
      <c r="V285" s="30"/>
      <c r="W285" s="28"/>
      <c r="X285" s="28"/>
      <c r="Y285" s="28"/>
      <c r="Z285" s="28"/>
    </row>
    <row r="286" ht="58.5" customHeight="1">
      <c r="A286" s="120"/>
      <c r="B286" s="120"/>
      <c r="C286" s="120"/>
      <c r="D286" s="120"/>
      <c r="E286" s="121" t="s">
        <v>1318</v>
      </c>
      <c r="F286" s="116"/>
      <c r="G286" s="122" t="s">
        <v>1319</v>
      </c>
      <c r="H286" s="121" t="s">
        <v>1306</v>
      </c>
      <c r="I286" s="121" t="s">
        <v>167</v>
      </c>
      <c r="J286" s="123" t="s">
        <v>1320</v>
      </c>
      <c r="K286" s="85" t="s">
        <v>1308</v>
      </c>
      <c r="L286" s="120"/>
      <c r="M286" s="81"/>
      <c r="N286" s="81"/>
      <c r="O286" s="81"/>
      <c r="P286" s="81"/>
      <c r="Q286" s="81" t="s">
        <v>93</v>
      </c>
      <c r="R286" s="81" t="s">
        <v>94</v>
      </c>
      <c r="S286" s="81" t="s">
        <v>94</v>
      </c>
      <c r="T286" s="86">
        <v>46259.0</v>
      </c>
      <c r="U286" s="28"/>
      <c r="V286" s="30"/>
      <c r="W286" s="28"/>
      <c r="X286" s="28"/>
      <c r="Y286" s="28"/>
      <c r="Z286" s="28"/>
    </row>
    <row r="287" ht="13.5" customHeight="1">
      <c r="A287" s="120"/>
      <c r="B287" s="120"/>
      <c r="C287" s="120"/>
      <c r="D287" s="120"/>
      <c r="E287" s="121" t="s">
        <v>1321</v>
      </c>
      <c r="F287" s="116"/>
      <c r="G287" s="122" t="s">
        <v>1322</v>
      </c>
      <c r="H287" s="121" t="s">
        <v>1306</v>
      </c>
      <c r="I287" s="121" t="s">
        <v>167</v>
      </c>
      <c r="J287" s="123" t="s">
        <v>1323</v>
      </c>
      <c r="K287" s="85" t="s">
        <v>1308</v>
      </c>
      <c r="L287" s="120"/>
      <c r="M287" s="81"/>
      <c r="N287" s="81"/>
      <c r="O287" s="81"/>
      <c r="P287" s="81"/>
      <c r="Q287" s="81" t="s">
        <v>93</v>
      </c>
      <c r="R287" s="81" t="s">
        <v>94</v>
      </c>
      <c r="S287" s="81" t="s">
        <v>94</v>
      </c>
      <c r="T287" s="86">
        <v>46259.0</v>
      </c>
      <c r="U287" s="28"/>
      <c r="V287" s="30"/>
      <c r="W287" s="28"/>
      <c r="X287" s="28"/>
      <c r="Y287" s="28"/>
      <c r="Z287" s="28"/>
    </row>
    <row r="288" ht="13.5" customHeight="1">
      <c r="A288" s="59" t="s">
        <v>51</v>
      </c>
      <c r="B288" s="59" t="s">
        <v>172</v>
      </c>
      <c r="C288" s="60" t="s">
        <v>173</v>
      </c>
      <c r="D288" s="60" t="s">
        <v>1324</v>
      </c>
      <c r="E288" s="124" t="s">
        <v>1325</v>
      </c>
      <c r="F288" s="125" t="s">
        <v>1326</v>
      </c>
      <c r="G288" s="126" t="s">
        <v>1327</v>
      </c>
      <c r="H288" s="124" t="s">
        <v>88</v>
      </c>
      <c r="I288" s="124" t="s">
        <v>60</v>
      </c>
      <c r="J288" s="125" t="s">
        <v>1328</v>
      </c>
      <c r="K288" s="127" t="s">
        <v>1329</v>
      </c>
      <c r="L288" s="59" t="s">
        <v>613</v>
      </c>
      <c r="M288" s="61"/>
      <c r="N288" s="61"/>
      <c r="O288" s="61"/>
      <c r="P288" s="61"/>
      <c r="Q288" s="61" t="s">
        <v>93</v>
      </c>
      <c r="R288" s="61" t="s">
        <v>94</v>
      </c>
      <c r="S288" s="61" t="s">
        <v>94</v>
      </c>
      <c r="T288" s="66">
        <v>46259.0</v>
      </c>
      <c r="U288" s="28"/>
      <c r="V288" s="30"/>
      <c r="W288" s="28"/>
      <c r="X288" s="28"/>
      <c r="Y288" s="28"/>
      <c r="Z288" s="28"/>
    </row>
    <row r="289" ht="13.5" customHeight="1">
      <c r="A289" s="67"/>
      <c r="B289" s="67"/>
      <c r="C289" s="67"/>
      <c r="D289" s="67"/>
      <c r="E289" s="61" t="s">
        <v>1330</v>
      </c>
      <c r="F289" s="68"/>
      <c r="G289" s="63" t="s">
        <v>1331</v>
      </c>
      <c r="H289" s="61" t="s">
        <v>88</v>
      </c>
      <c r="I289" s="61" t="s">
        <v>60</v>
      </c>
      <c r="J289" s="73" t="s">
        <v>1332</v>
      </c>
      <c r="K289" s="88" t="s">
        <v>1333</v>
      </c>
      <c r="L289" s="67"/>
      <c r="M289" s="61"/>
      <c r="N289" s="61"/>
      <c r="O289" s="61"/>
      <c r="P289" s="61"/>
      <c r="Q289" s="61" t="s">
        <v>93</v>
      </c>
      <c r="R289" s="61" t="s">
        <v>94</v>
      </c>
      <c r="S289" s="61" t="s">
        <v>94</v>
      </c>
      <c r="T289" s="66">
        <v>46255.0</v>
      </c>
      <c r="U289" s="28"/>
      <c r="V289" s="30"/>
      <c r="W289" s="28"/>
      <c r="X289" s="28"/>
      <c r="Y289" s="28"/>
      <c r="Z289" s="28"/>
    </row>
    <row r="290" ht="13.5" customHeight="1">
      <c r="A290" s="67"/>
      <c r="B290" s="67"/>
      <c r="C290" s="67"/>
      <c r="D290" s="67"/>
      <c r="E290" s="61" t="s">
        <v>1334</v>
      </c>
      <c r="F290" s="68"/>
      <c r="G290" s="63" t="s">
        <v>1335</v>
      </c>
      <c r="H290" s="61" t="s">
        <v>88</v>
      </c>
      <c r="I290" s="61" t="s">
        <v>60</v>
      </c>
      <c r="J290" s="62" t="s">
        <v>1336</v>
      </c>
      <c r="K290" s="70"/>
      <c r="L290" s="67"/>
      <c r="M290" s="61"/>
      <c r="N290" s="61"/>
      <c r="O290" s="61"/>
      <c r="P290" s="61"/>
      <c r="Q290" s="61" t="s">
        <v>93</v>
      </c>
      <c r="R290" s="61" t="s">
        <v>94</v>
      </c>
      <c r="S290" s="61" t="s">
        <v>94</v>
      </c>
      <c r="T290" s="66">
        <v>46232.0</v>
      </c>
      <c r="U290" s="28"/>
      <c r="V290" s="30"/>
      <c r="W290" s="28"/>
      <c r="X290" s="28"/>
      <c r="Y290" s="28"/>
      <c r="Z290" s="28"/>
    </row>
    <row r="291" ht="13.5" customHeight="1">
      <c r="A291" s="67"/>
      <c r="B291" s="67"/>
      <c r="C291" s="67"/>
      <c r="D291" s="67"/>
      <c r="E291" s="61" t="s">
        <v>1337</v>
      </c>
      <c r="F291" s="62" t="s">
        <v>1338</v>
      </c>
      <c r="G291" s="63" t="s">
        <v>1339</v>
      </c>
      <c r="H291" s="61" t="s">
        <v>88</v>
      </c>
      <c r="I291" s="61" t="s">
        <v>60</v>
      </c>
      <c r="J291" s="73" t="s">
        <v>1340</v>
      </c>
      <c r="K291" s="106" t="s">
        <v>1341</v>
      </c>
      <c r="L291" s="67"/>
      <c r="M291" s="61"/>
      <c r="N291" s="61"/>
      <c r="O291" s="61"/>
      <c r="P291" s="61"/>
      <c r="Q291" s="61" t="s">
        <v>93</v>
      </c>
      <c r="R291" s="61" t="s">
        <v>94</v>
      </c>
      <c r="S291" s="61" t="s">
        <v>94</v>
      </c>
      <c r="T291" s="66">
        <v>46259.0</v>
      </c>
      <c r="U291" s="28"/>
      <c r="V291" s="30"/>
      <c r="W291" s="28"/>
      <c r="X291" s="28"/>
      <c r="Y291" s="28"/>
      <c r="Z291" s="28"/>
    </row>
    <row r="292" ht="13.5" customHeight="1">
      <c r="A292" s="67"/>
      <c r="B292" s="67"/>
      <c r="C292" s="67"/>
      <c r="D292" s="67"/>
      <c r="E292" s="61" t="s">
        <v>1342</v>
      </c>
      <c r="F292" s="68"/>
      <c r="G292" s="63" t="s">
        <v>1343</v>
      </c>
      <c r="H292" s="61" t="s">
        <v>88</v>
      </c>
      <c r="I292" s="61" t="s">
        <v>60</v>
      </c>
      <c r="J292" s="62" t="s">
        <v>1344</v>
      </c>
      <c r="K292" s="88" t="s">
        <v>1345</v>
      </c>
      <c r="L292" s="67"/>
      <c r="M292" s="61"/>
      <c r="N292" s="61"/>
      <c r="O292" s="61"/>
      <c r="P292" s="61"/>
      <c r="Q292" s="61" t="s">
        <v>93</v>
      </c>
      <c r="R292" s="61" t="s">
        <v>94</v>
      </c>
      <c r="S292" s="61" t="s">
        <v>94</v>
      </c>
      <c r="T292" s="66">
        <v>46255.0</v>
      </c>
      <c r="U292" s="28"/>
      <c r="V292" s="30"/>
      <c r="W292" s="28"/>
      <c r="X292" s="28"/>
      <c r="Y292" s="28"/>
      <c r="Z292" s="28"/>
    </row>
    <row r="293" ht="13.5" customHeight="1">
      <c r="A293" s="67"/>
      <c r="B293" s="67"/>
      <c r="C293" s="67"/>
      <c r="D293" s="67"/>
      <c r="E293" s="61" t="s">
        <v>1346</v>
      </c>
      <c r="F293" s="62" t="s">
        <v>1347</v>
      </c>
      <c r="G293" s="63" t="s">
        <v>1348</v>
      </c>
      <c r="H293" s="61" t="s">
        <v>88</v>
      </c>
      <c r="I293" s="61" t="s">
        <v>60</v>
      </c>
      <c r="J293" s="62" t="s">
        <v>1349</v>
      </c>
      <c r="K293" s="69" t="s">
        <v>1350</v>
      </c>
      <c r="L293" s="67"/>
      <c r="M293" s="61"/>
      <c r="N293" s="61"/>
      <c r="O293" s="61"/>
      <c r="P293" s="61"/>
      <c r="Q293" s="61" t="s">
        <v>93</v>
      </c>
      <c r="R293" s="61" t="s">
        <v>94</v>
      </c>
      <c r="S293" s="61" t="s">
        <v>94</v>
      </c>
      <c r="T293" s="66">
        <v>46258.0</v>
      </c>
      <c r="U293" s="28"/>
      <c r="V293" s="30"/>
      <c r="W293" s="28"/>
      <c r="X293" s="28"/>
      <c r="Y293" s="28"/>
      <c r="Z293" s="28"/>
    </row>
    <row r="294" ht="13.5" customHeight="1">
      <c r="A294" s="67"/>
      <c r="B294" s="67"/>
      <c r="C294" s="67"/>
      <c r="D294" s="67"/>
      <c r="E294" s="61" t="s">
        <v>1351</v>
      </c>
      <c r="F294" s="62" t="s">
        <v>1352</v>
      </c>
      <c r="G294" s="63" t="s">
        <v>1353</v>
      </c>
      <c r="H294" s="61" t="s">
        <v>88</v>
      </c>
      <c r="I294" s="61" t="s">
        <v>60</v>
      </c>
      <c r="J294" s="73" t="s">
        <v>1354</v>
      </c>
      <c r="K294" s="128" t="s">
        <v>1355</v>
      </c>
      <c r="L294" s="67"/>
      <c r="M294" s="61"/>
      <c r="N294" s="61"/>
      <c r="O294" s="61"/>
      <c r="P294" s="61"/>
      <c r="Q294" s="61" t="s">
        <v>93</v>
      </c>
      <c r="R294" s="61" t="s">
        <v>94</v>
      </c>
      <c r="S294" s="61" t="s">
        <v>94</v>
      </c>
      <c r="T294" s="66">
        <v>46258.0</v>
      </c>
      <c r="U294" s="28"/>
      <c r="V294" s="30"/>
      <c r="W294" s="28"/>
      <c r="X294" s="28"/>
      <c r="Y294" s="28"/>
      <c r="Z294" s="28"/>
    </row>
    <row r="295" ht="13.5" customHeight="1">
      <c r="A295" s="67"/>
      <c r="B295" s="67"/>
      <c r="C295" s="67"/>
      <c r="D295" s="67"/>
      <c r="E295" s="61" t="s">
        <v>1356</v>
      </c>
      <c r="F295" s="62" t="s">
        <v>1357</v>
      </c>
      <c r="G295" s="63" t="s">
        <v>1358</v>
      </c>
      <c r="H295" s="61" t="s">
        <v>88</v>
      </c>
      <c r="I295" s="61" t="s">
        <v>60</v>
      </c>
      <c r="J295" s="62" t="s">
        <v>1359</v>
      </c>
      <c r="K295" s="74" t="s">
        <v>1360</v>
      </c>
      <c r="L295" s="67"/>
      <c r="M295" s="61"/>
      <c r="N295" s="61"/>
      <c r="O295" s="61"/>
      <c r="P295" s="61"/>
      <c r="Q295" s="61" t="s">
        <v>93</v>
      </c>
      <c r="R295" s="61" t="s">
        <v>94</v>
      </c>
      <c r="S295" s="61" t="s">
        <v>94</v>
      </c>
      <c r="T295" s="66">
        <v>46258.0</v>
      </c>
      <c r="U295" s="28"/>
      <c r="V295" s="30"/>
      <c r="W295" s="28"/>
      <c r="X295" s="28"/>
      <c r="Y295" s="28"/>
      <c r="Z295" s="28"/>
    </row>
    <row r="296" ht="13.5" customHeight="1">
      <c r="A296" s="77"/>
      <c r="B296" s="77"/>
      <c r="C296" s="77"/>
      <c r="D296" s="77"/>
      <c r="E296" s="61" t="s">
        <v>1361</v>
      </c>
      <c r="F296" s="68"/>
      <c r="G296" s="63" t="s">
        <v>1362</v>
      </c>
      <c r="H296" s="61" t="s">
        <v>88</v>
      </c>
      <c r="I296" s="61" t="s">
        <v>60</v>
      </c>
      <c r="J296" s="62" t="s">
        <v>1363</v>
      </c>
      <c r="K296" s="70"/>
      <c r="L296" s="77"/>
      <c r="M296" s="61"/>
      <c r="N296" s="61"/>
      <c r="O296" s="61"/>
      <c r="P296" s="61"/>
      <c r="Q296" s="61" t="s">
        <v>93</v>
      </c>
      <c r="R296" s="61" t="s">
        <v>94</v>
      </c>
      <c r="S296" s="61" t="s">
        <v>94</v>
      </c>
      <c r="T296" s="66">
        <v>46232.0</v>
      </c>
      <c r="U296" s="28"/>
      <c r="V296" s="30"/>
      <c r="W296" s="28"/>
      <c r="X296" s="28"/>
      <c r="Y296" s="28"/>
      <c r="Z296" s="28"/>
    </row>
    <row r="297" ht="13.5" customHeight="1">
      <c r="A297" s="78" t="s">
        <v>51</v>
      </c>
      <c r="B297" s="78" t="s">
        <v>178</v>
      </c>
      <c r="C297" s="79" t="s">
        <v>179</v>
      </c>
      <c r="D297" s="79" t="s">
        <v>1364</v>
      </c>
      <c r="E297" s="81" t="s">
        <v>1365</v>
      </c>
      <c r="F297" s="82" t="s">
        <v>1366</v>
      </c>
      <c r="G297" s="83" t="s">
        <v>1367</v>
      </c>
      <c r="H297" s="81" t="s">
        <v>88</v>
      </c>
      <c r="I297" s="81" t="s">
        <v>60</v>
      </c>
      <c r="J297" s="82" t="s">
        <v>1368</v>
      </c>
      <c r="K297" s="70"/>
      <c r="L297" s="78" t="s">
        <v>719</v>
      </c>
      <c r="M297" s="81"/>
      <c r="N297" s="81"/>
      <c r="O297" s="81"/>
      <c r="P297" s="81"/>
      <c r="Q297" s="81" t="s">
        <v>93</v>
      </c>
      <c r="R297" s="81" t="s">
        <v>94</v>
      </c>
      <c r="S297" s="81" t="s">
        <v>94</v>
      </c>
      <c r="T297" s="84">
        <v>46232.0</v>
      </c>
      <c r="U297" s="28"/>
      <c r="V297" s="30"/>
      <c r="W297" s="28"/>
      <c r="X297" s="28"/>
      <c r="Y297" s="28"/>
      <c r="Z297" s="28"/>
    </row>
    <row r="298" ht="13.5" customHeight="1">
      <c r="A298" s="67"/>
      <c r="B298" s="67"/>
      <c r="C298" s="67"/>
      <c r="D298" s="67"/>
      <c r="E298" s="81" t="s">
        <v>1369</v>
      </c>
      <c r="F298" s="85"/>
      <c r="G298" s="83" t="s">
        <v>1370</v>
      </c>
      <c r="H298" s="81" t="s">
        <v>88</v>
      </c>
      <c r="I298" s="81" t="s">
        <v>60</v>
      </c>
      <c r="J298" s="70" t="s">
        <v>1371</v>
      </c>
      <c r="K298" s="69" t="s">
        <v>1372</v>
      </c>
      <c r="L298" s="67"/>
      <c r="M298" s="81"/>
      <c r="N298" s="81"/>
      <c r="O298" s="81"/>
      <c r="P298" s="81"/>
      <c r="Q298" s="81" t="s">
        <v>93</v>
      </c>
      <c r="R298" s="93" t="s">
        <v>94</v>
      </c>
      <c r="S298" s="93" t="s">
        <v>94</v>
      </c>
      <c r="T298" s="86">
        <v>46258.0</v>
      </c>
      <c r="U298" s="28"/>
      <c r="V298" s="30"/>
      <c r="W298" s="28"/>
      <c r="X298" s="28"/>
      <c r="Y298" s="28"/>
      <c r="Z298" s="28"/>
    </row>
    <row r="299" ht="13.5" customHeight="1">
      <c r="A299" s="67"/>
      <c r="B299" s="67"/>
      <c r="C299" s="67"/>
      <c r="D299" s="67"/>
      <c r="E299" s="81" t="s">
        <v>1373</v>
      </c>
      <c r="F299" s="85"/>
      <c r="G299" s="83" t="s">
        <v>1374</v>
      </c>
      <c r="H299" s="81" t="s">
        <v>88</v>
      </c>
      <c r="I299" s="81" t="s">
        <v>60</v>
      </c>
      <c r="J299" s="82" t="s">
        <v>1375</v>
      </c>
      <c r="K299" s="70"/>
      <c r="L299" s="67"/>
      <c r="M299" s="81"/>
      <c r="N299" s="81"/>
      <c r="O299" s="81"/>
      <c r="P299" s="81"/>
      <c r="Q299" s="81" t="s">
        <v>93</v>
      </c>
      <c r="R299" s="81" t="s">
        <v>94</v>
      </c>
      <c r="S299" s="81" t="s">
        <v>94</v>
      </c>
      <c r="T299" s="86">
        <v>46232.0</v>
      </c>
      <c r="U299" s="28"/>
      <c r="V299" s="30"/>
      <c r="W299" s="28"/>
      <c r="X299" s="28"/>
      <c r="Y299" s="28"/>
      <c r="Z299" s="28"/>
    </row>
    <row r="300" ht="13.5" customHeight="1">
      <c r="A300" s="67"/>
      <c r="B300" s="67"/>
      <c r="C300" s="67"/>
      <c r="D300" s="67"/>
      <c r="E300" s="81" t="s">
        <v>1376</v>
      </c>
      <c r="F300" s="85"/>
      <c r="G300" s="83" t="s">
        <v>1377</v>
      </c>
      <c r="H300" s="81" t="s">
        <v>88</v>
      </c>
      <c r="I300" s="81" t="s">
        <v>60</v>
      </c>
      <c r="J300" s="70" t="s">
        <v>1378</v>
      </c>
      <c r="K300" s="74" t="s">
        <v>1379</v>
      </c>
      <c r="L300" s="67"/>
      <c r="M300" s="81"/>
      <c r="N300" s="81"/>
      <c r="O300" s="81"/>
      <c r="P300" s="81"/>
      <c r="Q300" s="81" t="s">
        <v>93</v>
      </c>
      <c r="R300" s="93" t="s">
        <v>94</v>
      </c>
      <c r="S300" s="93" t="s">
        <v>94</v>
      </c>
      <c r="T300" s="86">
        <v>46258.0</v>
      </c>
      <c r="U300" s="28"/>
      <c r="V300" s="30"/>
      <c r="W300" s="28"/>
      <c r="X300" s="28"/>
      <c r="Y300" s="28"/>
      <c r="Z300" s="28"/>
    </row>
    <row r="301" ht="13.5" customHeight="1">
      <c r="A301" s="67"/>
      <c r="B301" s="67"/>
      <c r="C301" s="67"/>
      <c r="D301" s="67"/>
      <c r="E301" s="81" t="s">
        <v>1380</v>
      </c>
      <c r="F301" s="85"/>
      <c r="G301" s="83" t="s">
        <v>1381</v>
      </c>
      <c r="H301" s="81" t="s">
        <v>88</v>
      </c>
      <c r="I301" s="81" t="s">
        <v>60</v>
      </c>
      <c r="J301" s="70" t="s">
        <v>1216</v>
      </c>
      <c r="K301" s="88" t="s">
        <v>1345</v>
      </c>
      <c r="L301" s="67"/>
      <c r="M301" s="81"/>
      <c r="N301" s="81"/>
      <c r="O301" s="81"/>
      <c r="P301" s="81"/>
      <c r="Q301" s="81" t="s">
        <v>93</v>
      </c>
      <c r="R301" s="93" t="s">
        <v>94</v>
      </c>
      <c r="S301" s="93" t="s">
        <v>94</v>
      </c>
      <c r="T301" s="86">
        <v>46258.0</v>
      </c>
      <c r="U301" s="28"/>
      <c r="V301" s="30"/>
      <c r="W301" s="28"/>
      <c r="X301" s="28"/>
      <c r="Y301" s="28"/>
      <c r="Z301" s="28"/>
    </row>
    <row r="302" ht="13.5" customHeight="1">
      <c r="A302" s="67"/>
      <c r="B302" s="67"/>
      <c r="C302" s="67"/>
      <c r="D302" s="67"/>
      <c r="E302" s="81" t="s">
        <v>1382</v>
      </c>
      <c r="F302" s="85"/>
      <c r="G302" s="83" t="s">
        <v>1383</v>
      </c>
      <c r="H302" s="81" t="s">
        <v>88</v>
      </c>
      <c r="I302" s="81" t="s">
        <v>60</v>
      </c>
      <c r="J302" s="114" t="s">
        <v>1384</v>
      </c>
      <c r="K302" s="74" t="s">
        <v>1385</v>
      </c>
      <c r="L302" s="67"/>
      <c r="M302" s="81"/>
      <c r="N302" s="81"/>
      <c r="O302" s="81"/>
      <c r="P302" s="81"/>
      <c r="Q302" s="81" t="s">
        <v>93</v>
      </c>
      <c r="R302" s="81" t="s">
        <v>94</v>
      </c>
      <c r="S302" s="81" t="s">
        <v>94</v>
      </c>
      <c r="T302" s="86">
        <v>46232.0</v>
      </c>
      <c r="U302" s="28"/>
      <c r="V302" s="30"/>
      <c r="W302" s="28"/>
      <c r="X302" s="28"/>
      <c r="Y302" s="28"/>
      <c r="Z302" s="28"/>
    </row>
    <row r="303" ht="13.5" customHeight="1">
      <c r="A303" s="67"/>
      <c r="B303" s="67"/>
      <c r="C303" s="67"/>
      <c r="D303" s="67"/>
      <c r="E303" s="81" t="s">
        <v>1386</v>
      </c>
      <c r="F303" s="82" t="s">
        <v>1387</v>
      </c>
      <c r="G303" s="83" t="s">
        <v>1388</v>
      </c>
      <c r="H303" s="81" t="s">
        <v>88</v>
      </c>
      <c r="I303" s="81" t="s">
        <v>60</v>
      </c>
      <c r="J303" s="82" t="s">
        <v>1389</v>
      </c>
      <c r="K303" s="70"/>
      <c r="L303" s="67"/>
      <c r="M303" s="81"/>
      <c r="N303" s="81"/>
      <c r="O303" s="81"/>
      <c r="P303" s="81"/>
      <c r="Q303" s="81" t="s">
        <v>93</v>
      </c>
      <c r="R303" s="81" t="s">
        <v>94</v>
      </c>
      <c r="S303" s="81" t="s">
        <v>94</v>
      </c>
      <c r="T303" s="86">
        <v>46232.0</v>
      </c>
      <c r="U303" s="28"/>
      <c r="V303" s="30"/>
      <c r="W303" s="28"/>
      <c r="X303" s="28"/>
      <c r="Y303" s="28"/>
      <c r="Z303" s="28"/>
    </row>
    <row r="304" ht="13.5" customHeight="1">
      <c r="A304" s="67"/>
      <c r="B304" s="67"/>
      <c r="C304" s="67"/>
      <c r="D304" s="67"/>
      <c r="E304" s="81" t="s">
        <v>1390</v>
      </c>
      <c r="F304" s="85"/>
      <c r="G304" s="83" t="s">
        <v>1391</v>
      </c>
      <c r="H304" s="81" t="s">
        <v>88</v>
      </c>
      <c r="I304" s="81" t="s">
        <v>60</v>
      </c>
      <c r="J304" s="82" t="s">
        <v>1391</v>
      </c>
      <c r="K304" s="70"/>
      <c r="L304" s="67"/>
      <c r="M304" s="81"/>
      <c r="N304" s="81"/>
      <c r="O304" s="81"/>
      <c r="P304" s="81"/>
      <c r="Q304" s="81" t="s">
        <v>93</v>
      </c>
      <c r="R304" s="81" t="s">
        <v>94</v>
      </c>
      <c r="S304" s="81" t="s">
        <v>94</v>
      </c>
      <c r="T304" s="86">
        <v>46232.0</v>
      </c>
      <c r="U304" s="28"/>
      <c r="V304" s="30"/>
      <c r="W304" s="28"/>
      <c r="X304" s="28"/>
      <c r="Y304" s="28"/>
      <c r="Z304" s="28"/>
    </row>
    <row r="305" ht="13.5" customHeight="1">
      <c r="A305" s="67"/>
      <c r="B305" s="67"/>
      <c r="C305" s="67"/>
      <c r="D305" s="67"/>
      <c r="E305" s="81" t="s">
        <v>1392</v>
      </c>
      <c r="F305" s="85"/>
      <c r="G305" s="83" t="s">
        <v>1393</v>
      </c>
      <c r="H305" s="81" t="s">
        <v>88</v>
      </c>
      <c r="I305" s="81" t="s">
        <v>60</v>
      </c>
      <c r="J305" s="82" t="s">
        <v>1393</v>
      </c>
      <c r="K305" s="70"/>
      <c r="L305" s="67"/>
      <c r="M305" s="81"/>
      <c r="N305" s="81"/>
      <c r="O305" s="81"/>
      <c r="P305" s="81"/>
      <c r="Q305" s="81" t="s">
        <v>93</v>
      </c>
      <c r="R305" s="81" t="s">
        <v>94</v>
      </c>
      <c r="S305" s="81" t="s">
        <v>94</v>
      </c>
      <c r="T305" s="86">
        <v>46232.0</v>
      </c>
      <c r="U305" s="28"/>
      <c r="V305" s="30"/>
      <c r="W305" s="28"/>
      <c r="X305" s="28"/>
      <c r="Y305" s="28"/>
      <c r="Z305" s="28"/>
    </row>
    <row r="306" ht="13.5" customHeight="1">
      <c r="A306" s="67"/>
      <c r="B306" s="67"/>
      <c r="C306" s="67"/>
      <c r="D306" s="67"/>
      <c r="E306" s="81" t="s">
        <v>1394</v>
      </c>
      <c r="F306" s="82" t="s">
        <v>1395</v>
      </c>
      <c r="G306" s="83" t="s">
        <v>1396</v>
      </c>
      <c r="H306" s="81" t="s">
        <v>88</v>
      </c>
      <c r="I306" s="81" t="s">
        <v>60</v>
      </c>
      <c r="J306" s="90" t="s">
        <v>1396</v>
      </c>
      <c r="K306" s="70"/>
      <c r="L306" s="67"/>
      <c r="M306" s="81"/>
      <c r="N306" s="81"/>
      <c r="O306" s="81"/>
      <c r="P306" s="81"/>
      <c r="Q306" s="81" t="s">
        <v>93</v>
      </c>
      <c r="R306" s="81" t="s">
        <v>94</v>
      </c>
      <c r="S306" s="81" t="s">
        <v>94</v>
      </c>
      <c r="T306" s="86">
        <v>46232.0</v>
      </c>
      <c r="U306" s="28"/>
      <c r="V306" s="30"/>
      <c r="W306" s="28"/>
      <c r="X306" s="28"/>
      <c r="Y306" s="28"/>
      <c r="Z306" s="28"/>
    </row>
    <row r="307" ht="13.5" customHeight="1">
      <c r="A307" s="67"/>
      <c r="B307" s="67"/>
      <c r="C307" s="67"/>
      <c r="D307" s="67"/>
      <c r="E307" s="81" t="s">
        <v>1397</v>
      </c>
      <c r="F307" s="85"/>
      <c r="G307" s="83" t="s">
        <v>1398</v>
      </c>
      <c r="H307" s="81" t="s">
        <v>88</v>
      </c>
      <c r="I307" s="81" t="s">
        <v>60</v>
      </c>
      <c r="J307" s="90" t="s">
        <v>1399</v>
      </c>
      <c r="K307" s="70"/>
      <c r="L307" s="67"/>
      <c r="M307" s="81"/>
      <c r="N307" s="81"/>
      <c r="O307" s="81"/>
      <c r="P307" s="81"/>
      <c r="Q307" s="81" t="s">
        <v>93</v>
      </c>
      <c r="R307" s="81" t="s">
        <v>94</v>
      </c>
      <c r="S307" s="81" t="s">
        <v>94</v>
      </c>
      <c r="T307" s="86">
        <v>46232.0</v>
      </c>
      <c r="U307" s="28"/>
      <c r="V307" s="30"/>
      <c r="W307" s="28"/>
      <c r="X307" s="28"/>
      <c r="Y307" s="28"/>
      <c r="Z307" s="28"/>
    </row>
    <row r="308" ht="13.5" customHeight="1">
      <c r="A308" s="67"/>
      <c r="B308" s="67"/>
      <c r="C308" s="67"/>
      <c r="D308" s="67"/>
      <c r="E308" s="81" t="s">
        <v>1400</v>
      </c>
      <c r="F308" s="82" t="s">
        <v>1401</v>
      </c>
      <c r="G308" s="83" t="s">
        <v>1402</v>
      </c>
      <c r="H308" s="81" t="s">
        <v>88</v>
      </c>
      <c r="I308" s="81" t="s">
        <v>60</v>
      </c>
      <c r="J308" s="82" t="s">
        <v>1402</v>
      </c>
      <c r="K308" s="70"/>
      <c r="L308" s="67"/>
      <c r="M308" s="81"/>
      <c r="N308" s="81"/>
      <c r="O308" s="81"/>
      <c r="P308" s="81"/>
      <c r="Q308" s="81" t="s">
        <v>93</v>
      </c>
      <c r="R308" s="81" t="s">
        <v>94</v>
      </c>
      <c r="S308" s="81" t="s">
        <v>94</v>
      </c>
      <c r="T308" s="86">
        <v>46232.0</v>
      </c>
      <c r="U308" s="28"/>
      <c r="V308" s="30"/>
      <c r="W308" s="28"/>
      <c r="X308" s="28"/>
      <c r="Y308" s="28"/>
      <c r="Z308" s="28"/>
    </row>
    <row r="309" ht="13.5" customHeight="1">
      <c r="A309" s="67"/>
      <c r="B309" s="67"/>
      <c r="C309" s="67"/>
      <c r="D309" s="67"/>
      <c r="E309" s="81" t="s">
        <v>1403</v>
      </c>
      <c r="F309" s="85"/>
      <c r="G309" s="83" t="s">
        <v>1404</v>
      </c>
      <c r="H309" s="81" t="s">
        <v>88</v>
      </c>
      <c r="I309" s="81" t="s">
        <v>60</v>
      </c>
      <c r="J309" s="82" t="s">
        <v>1404</v>
      </c>
      <c r="K309" s="70"/>
      <c r="L309" s="67"/>
      <c r="M309" s="81"/>
      <c r="N309" s="81"/>
      <c r="O309" s="81"/>
      <c r="P309" s="81"/>
      <c r="Q309" s="81" t="s">
        <v>93</v>
      </c>
      <c r="R309" s="81" t="s">
        <v>94</v>
      </c>
      <c r="S309" s="81" t="s">
        <v>94</v>
      </c>
      <c r="T309" s="86">
        <v>46232.0</v>
      </c>
      <c r="U309" s="28"/>
      <c r="V309" s="30"/>
      <c r="W309" s="28"/>
      <c r="X309" s="28"/>
      <c r="Y309" s="28"/>
      <c r="Z309" s="28"/>
    </row>
    <row r="310" ht="13.5" customHeight="1">
      <c r="A310" s="67"/>
      <c r="B310" s="67"/>
      <c r="C310" s="67"/>
      <c r="D310" s="67"/>
      <c r="E310" s="81" t="s">
        <v>1405</v>
      </c>
      <c r="F310" s="82" t="s">
        <v>1406</v>
      </c>
      <c r="G310" s="83" t="s">
        <v>1407</v>
      </c>
      <c r="H310" s="81" t="s">
        <v>88</v>
      </c>
      <c r="I310" s="81" t="s">
        <v>60</v>
      </c>
      <c r="J310" s="82" t="s">
        <v>1407</v>
      </c>
      <c r="K310" s="70"/>
      <c r="L310" s="67"/>
      <c r="M310" s="81"/>
      <c r="N310" s="81"/>
      <c r="O310" s="81"/>
      <c r="P310" s="81"/>
      <c r="Q310" s="81" t="s">
        <v>93</v>
      </c>
      <c r="R310" s="81" t="s">
        <v>94</v>
      </c>
      <c r="S310" s="81" t="s">
        <v>94</v>
      </c>
      <c r="T310" s="86">
        <v>46232.0</v>
      </c>
      <c r="U310" s="28"/>
      <c r="V310" s="30"/>
      <c r="W310" s="28"/>
      <c r="X310" s="28"/>
      <c r="Y310" s="28"/>
      <c r="Z310" s="28"/>
    </row>
    <row r="311" ht="13.5" customHeight="1">
      <c r="A311" s="77"/>
      <c r="B311" s="77"/>
      <c r="C311" s="77"/>
      <c r="D311" s="77"/>
      <c r="E311" s="81" t="s">
        <v>1408</v>
      </c>
      <c r="F311" s="85"/>
      <c r="G311" s="83" t="s">
        <v>1409</v>
      </c>
      <c r="H311" s="81" t="s">
        <v>88</v>
      </c>
      <c r="I311" s="81" t="s">
        <v>60</v>
      </c>
      <c r="J311" s="82" t="s">
        <v>1409</v>
      </c>
      <c r="K311" s="70"/>
      <c r="L311" s="77"/>
      <c r="M311" s="81"/>
      <c r="N311" s="81"/>
      <c r="O311" s="81"/>
      <c r="P311" s="81"/>
      <c r="Q311" s="81" t="s">
        <v>93</v>
      </c>
      <c r="R311" s="81" t="s">
        <v>94</v>
      </c>
      <c r="S311" s="81" t="s">
        <v>94</v>
      </c>
      <c r="T311" s="86">
        <v>46232.0</v>
      </c>
      <c r="U311" s="28"/>
      <c r="V311" s="30"/>
      <c r="W311" s="28"/>
      <c r="X311" s="28"/>
      <c r="Y311" s="28"/>
      <c r="Z311" s="28"/>
    </row>
    <row r="312" ht="48.0" customHeight="1">
      <c r="A312" s="59" t="s">
        <v>51</v>
      </c>
      <c r="B312" s="59" t="s">
        <v>184</v>
      </c>
      <c r="C312" s="59" t="s">
        <v>185</v>
      </c>
      <c r="D312" s="59" t="s">
        <v>1410</v>
      </c>
      <c r="E312" s="61" t="s">
        <v>1411</v>
      </c>
      <c r="F312" s="62" t="s">
        <v>1412</v>
      </c>
      <c r="G312" s="63" t="s">
        <v>1413</v>
      </c>
      <c r="H312" s="61" t="s">
        <v>88</v>
      </c>
      <c r="I312" s="61" t="s">
        <v>167</v>
      </c>
      <c r="J312" s="62" t="s">
        <v>1414</v>
      </c>
      <c r="K312" s="70"/>
      <c r="L312" s="59" t="s">
        <v>1415</v>
      </c>
      <c r="M312" s="61"/>
      <c r="N312" s="61"/>
      <c r="O312" s="61"/>
      <c r="P312" s="61"/>
      <c r="Q312" s="61" t="s">
        <v>93</v>
      </c>
      <c r="R312" s="61" t="s">
        <v>94</v>
      </c>
      <c r="S312" s="61" t="s">
        <v>94</v>
      </c>
      <c r="T312" s="66">
        <v>46232.0</v>
      </c>
      <c r="U312" s="28"/>
      <c r="V312" s="30"/>
      <c r="W312" s="28"/>
      <c r="X312" s="28"/>
      <c r="Y312" s="28"/>
      <c r="Z312" s="28"/>
    </row>
    <row r="313" ht="13.5" customHeight="1">
      <c r="A313" s="67"/>
      <c r="B313" s="67"/>
      <c r="C313" s="67"/>
      <c r="D313" s="67"/>
      <c r="E313" s="61" t="s">
        <v>1416</v>
      </c>
      <c r="F313" s="62"/>
      <c r="G313" s="63" t="s">
        <v>1417</v>
      </c>
      <c r="H313" s="61" t="s">
        <v>88</v>
      </c>
      <c r="I313" s="61" t="s">
        <v>167</v>
      </c>
      <c r="J313" s="62" t="s">
        <v>1418</v>
      </c>
      <c r="K313" s="65"/>
      <c r="L313" s="67"/>
      <c r="M313" s="61"/>
      <c r="N313" s="61"/>
      <c r="O313" s="61"/>
      <c r="P313" s="61"/>
      <c r="Q313" s="61" t="s">
        <v>93</v>
      </c>
      <c r="R313" s="61" t="s">
        <v>94</v>
      </c>
      <c r="S313" s="61" t="s">
        <v>94</v>
      </c>
      <c r="T313" s="66">
        <v>46259.0</v>
      </c>
      <c r="U313" s="28"/>
      <c r="V313" s="30"/>
      <c r="W313" s="28"/>
      <c r="X313" s="28"/>
      <c r="Y313" s="28"/>
      <c r="Z313" s="28"/>
    </row>
    <row r="314" ht="13.5" customHeight="1">
      <c r="A314" s="67"/>
      <c r="B314" s="67"/>
      <c r="C314" s="67"/>
      <c r="D314" s="67"/>
      <c r="E314" s="61" t="s">
        <v>1419</v>
      </c>
      <c r="F314" s="62"/>
      <c r="G314" s="63" t="s">
        <v>1420</v>
      </c>
      <c r="H314" s="61" t="s">
        <v>88</v>
      </c>
      <c r="I314" s="61" t="s">
        <v>167</v>
      </c>
      <c r="J314" s="73" t="s">
        <v>1421</v>
      </c>
      <c r="K314" s="69" t="s">
        <v>1422</v>
      </c>
      <c r="L314" s="67"/>
      <c r="M314" s="61"/>
      <c r="N314" s="61"/>
      <c r="O314" s="61"/>
      <c r="P314" s="61"/>
      <c r="Q314" s="61" t="s">
        <v>93</v>
      </c>
      <c r="R314" s="61" t="s">
        <v>94</v>
      </c>
      <c r="S314" s="61" t="s">
        <v>94</v>
      </c>
      <c r="T314" s="66">
        <v>46259.0</v>
      </c>
      <c r="U314" s="28"/>
      <c r="V314" s="30"/>
      <c r="W314" s="28"/>
      <c r="X314" s="28"/>
      <c r="Y314" s="28"/>
      <c r="Z314" s="28"/>
    </row>
    <row r="315" ht="13.5" customHeight="1">
      <c r="A315" s="67"/>
      <c r="B315" s="67"/>
      <c r="C315" s="67"/>
      <c r="D315" s="67"/>
      <c r="E315" s="61" t="s">
        <v>1423</v>
      </c>
      <c r="F315" s="62" t="s">
        <v>1424</v>
      </c>
      <c r="G315" s="63" t="s">
        <v>1425</v>
      </c>
      <c r="H315" s="61" t="s">
        <v>88</v>
      </c>
      <c r="I315" s="61" t="s">
        <v>167</v>
      </c>
      <c r="J315" s="62" t="s">
        <v>1426</v>
      </c>
      <c r="K315" s="129" t="s">
        <v>1427</v>
      </c>
      <c r="L315" s="67"/>
      <c r="M315" s="61"/>
      <c r="N315" s="61"/>
      <c r="O315" s="61"/>
      <c r="P315" s="61"/>
      <c r="Q315" s="61" t="s">
        <v>93</v>
      </c>
      <c r="R315" s="61" t="s">
        <v>94</v>
      </c>
      <c r="S315" s="61" t="s">
        <v>94</v>
      </c>
      <c r="T315" s="66">
        <v>46259.0</v>
      </c>
      <c r="U315" s="28"/>
      <c r="V315" s="30"/>
      <c r="W315" s="28"/>
      <c r="X315" s="28"/>
      <c r="Y315" s="28"/>
      <c r="Z315" s="28"/>
    </row>
    <row r="316" ht="13.5" customHeight="1">
      <c r="A316" s="67"/>
      <c r="B316" s="67"/>
      <c r="C316" s="67"/>
      <c r="D316" s="67"/>
      <c r="E316" s="61" t="s">
        <v>1428</v>
      </c>
      <c r="F316" s="68"/>
      <c r="G316" s="63" t="s">
        <v>1429</v>
      </c>
      <c r="H316" s="61" t="s">
        <v>88</v>
      </c>
      <c r="I316" s="61" t="s">
        <v>167</v>
      </c>
      <c r="J316" s="62" t="s">
        <v>1430</v>
      </c>
      <c r="K316" s="129" t="s">
        <v>1427</v>
      </c>
      <c r="L316" s="67"/>
      <c r="M316" s="61"/>
      <c r="N316" s="61"/>
      <c r="O316" s="61"/>
      <c r="P316" s="61"/>
      <c r="Q316" s="61" t="s">
        <v>93</v>
      </c>
      <c r="R316" s="61" t="s">
        <v>94</v>
      </c>
      <c r="S316" s="61" t="s">
        <v>94</v>
      </c>
      <c r="T316" s="66">
        <v>46259.0</v>
      </c>
      <c r="U316" s="28"/>
      <c r="V316" s="30"/>
      <c r="W316" s="28"/>
      <c r="X316" s="28"/>
      <c r="Y316" s="28"/>
      <c r="Z316" s="28"/>
    </row>
    <row r="317" ht="13.5" customHeight="1">
      <c r="A317" s="67"/>
      <c r="B317" s="67"/>
      <c r="C317" s="67"/>
      <c r="D317" s="67"/>
      <c r="E317" s="61" t="s">
        <v>1431</v>
      </c>
      <c r="F317" s="62" t="s">
        <v>1432</v>
      </c>
      <c r="G317" s="63" t="s">
        <v>1433</v>
      </c>
      <c r="H317" s="61" t="s">
        <v>88</v>
      </c>
      <c r="I317" s="61" t="s">
        <v>167</v>
      </c>
      <c r="J317" s="62" t="s">
        <v>1434</v>
      </c>
      <c r="K317" s="129" t="s">
        <v>1427</v>
      </c>
      <c r="L317" s="67"/>
      <c r="M317" s="61"/>
      <c r="N317" s="61"/>
      <c r="O317" s="61"/>
      <c r="P317" s="61"/>
      <c r="Q317" s="61" t="s">
        <v>93</v>
      </c>
      <c r="R317" s="61" t="s">
        <v>94</v>
      </c>
      <c r="S317" s="61" t="s">
        <v>94</v>
      </c>
      <c r="T317" s="66">
        <v>46259.0</v>
      </c>
      <c r="U317" s="28"/>
      <c r="V317" s="30"/>
      <c r="W317" s="28"/>
      <c r="X317" s="28"/>
      <c r="Y317" s="28"/>
      <c r="Z317" s="28"/>
    </row>
    <row r="318" ht="13.5" customHeight="1">
      <c r="A318" s="67"/>
      <c r="B318" s="67"/>
      <c r="C318" s="67"/>
      <c r="D318" s="67"/>
      <c r="E318" s="61" t="s">
        <v>1435</v>
      </c>
      <c r="F318" s="68"/>
      <c r="G318" s="63" t="s">
        <v>1436</v>
      </c>
      <c r="H318" s="61" t="s">
        <v>88</v>
      </c>
      <c r="I318" s="61" t="s">
        <v>167</v>
      </c>
      <c r="J318" s="62" t="s">
        <v>1437</v>
      </c>
      <c r="K318" s="129" t="s">
        <v>1427</v>
      </c>
      <c r="L318" s="67"/>
      <c r="M318" s="61"/>
      <c r="N318" s="61"/>
      <c r="O318" s="61"/>
      <c r="P318" s="61"/>
      <c r="Q318" s="61" t="s">
        <v>93</v>
      </c>
      <c r="R318" s="61" t="s">
        <v>94</v>
      </c>
      <c r="S318" s="61" t="s">
        <v>94</v>
      </c>
      <c r="T318" s="66">
        <v>46259.0</v>
      </c>
      <c r="U318" s="28"/>
      <c r="V318" s="30"/>
      <c r="W318" s="28"/>
      <c r="X318" s="28"/>
      <c r="Y318" s="28"/>
      <c r="Z318" s="28"/>
    </row>
    <row r="319" ht="13.5" customHeight="1">
      <c r="A319" s="67"/>
      <c r="B319" s="67"/>
      <c r="C319" s="67"/>
      <c r="D319" s="67"/>
      <c r="E319" s="61" t="s">
        <v>1438</v>
      </c>
      <c r="F319" s="68"/>
      <c r="G319" s="63" t="s">
        <v>1439</v>
      </c>
      <c r="H319" s="61" t="s">
        <v>88</v>
      </c>
      <c r="I319" s="61" t="s">
        <v>1440</v>
      </c>
      <c r="J319" s="62" t="s">
        <v>1441</v>
      </c>
      <c r="K319" s="129" t="s">
        <v>1427</v>
      </c>
      <c r="L319" s="77"/>
      <c r="M319" s="61"/>
      <c r="N319" s="61"/>
      <c r="O319" s="61"/>
      <c r="P319" s="61"/>
      <c r="Q319" s="61" t="s">
        <v>93</v>
      </c>
      <c r="R319" s="61" t="s">
        <v>94</v>
      </c>
      <c r="S319" s="61" t="s">
        <v>94</v>
      </c>
      <c r="T319" s="66">
        <v>46259.0</v>
      </c>
      <c r="U319" s="28"/>
      <c r="V319" s="30"/>
      <c r="W319" s="28"/>
      <c r="X319" s="28"/>
      <c r="Y319" s="28"/>
      <c r="Z319" s="28"/>
    </row>
    <row r="320" ht="13.5" customHeight="1">
      <c r="A320" s="67"/>
      <c r="B320" s="67"/>
      <c r="C320" s="67"/>
      <c r="D320" s="67"/>
      <c r="E320" s="61" t="s">
        <v>1442</v>
      </c>
      <c r="F320" s="63" t="s">
        <v>1443</v>
      </c>
      <c r="G320" s="63" t="s">
        <v>1444</v>
      </c>
      <c r="H320" s="61" t="s">
        <v>1306</v>
      </c>
      <c r="I320" s="61" t="s">
        <v>60</v>
      </c>
      <c r="J320" s="62" t="s">
        <v>1445</v>
      </c>
      <c r="K320" s="62"/>
      <c r="L320" s="120"/>
      <c r="M320" s="61"/>
      <c r="N320" s="61"/>
      <c r="O320" s="61"/>
      <c r="P320" s="61"/>
      <c r="Q320" s="61" t="s">
        <v>93</v>
      </c>
      <c r="R320" s="61" t="s">
        <v>94</v>
      </c>
      <c r="S320" s="61" t="s">
        <v>94</v>
      </c>
      <c r="T320" s="66">
        <v>46259.0</v>
      </c>
      <c r="U320" s="28"/>
      <c r="V320" s="30"/>
      <c r="W320" s="28"/>
      <c r="X320" s="28"/>
      <c r="Y320" s="28"/>
      <c r="Z320" s="28"/>
    </row>
    <row r="321" ht="13.5" customHeight="1">
      <c r="A321" s="77"/>
      <c r="B321" s="77"/>
      <c r="C321" s="77"/>
      <c r="D321" s="77"/>
      <c r="E321" s="61" t="s">
        <v>1446</v>
      </c>
      <c r="F321" s="63" t="s">
        <v>1447</v>
      </c>
      <c r="G321" s="63" t="s">
        <v>1448</v>
      </c>
      <c r="H321" s="61" t="s">
        <v>1306</v>
      </c>
      <c r="I321" s="61" t="s">
        <v>60</v>
      </c>
      <c r="J321" s="62" t="s">
        <v>1449</v>
      </c>
      <c r="K321" s="62"/>
      <c r="L321" s="120"/>
      <c r="M321" s="61"/>
      <c r="N321" s="61"/>
      <c r="O321" s="61"/>
      <c r="P321" s="61"/>
      <c r="Q321" s="61" t="s">
        <v>93</v>
      </c>
      <c r="R321" s="61" t="s">
        <v>94</v>
      </c>
      <c r="S321" s="61" t="s">
        <v>94</v>
      </c>
      <c r="T321" s="66">
        <v>46259.0</v>
      </c>
      <c r="U321" s="28"/>
      <c r="V321" s="30"/>
      <c r="W321" s="28"/>
      <c r="X321" s="28"/>
      <c r="Y321" s="28"/>
      <c r="Z321" s="28"/>
    </row>
    <row r="322" ht="13.5" customHeight="1">
      <c r="A322" s="78" t="s">
        <v>51</v>
      </c>
      <c r="B322" s="78" t="s">
        <v>192</v>
      </c>
      <c r="C322" s="79" t="s">
        <v>193</v>
      </c>
      <c r="D322" s="79" t="s">
        <v>1450</v>
      </c>
      <c r="E322" s="81" t="s">
        <v>1451</v>
      </c>
      <c r="F322" s="82" t="s">
        <v>1452</v>
      </c>
      <c r="G322" s="83" t="s">
        <v>1453</v>
      </c>
      <c r="H322" s="81" t="s">
        <v>88</v>
      </c>
      <c r="I322" s="81" t="s">
        <v>60</v>
      </c>
      <c r="J322" s="109" t="s">
        <v>1454</v>
      </c>
      <c r="K322" s="128" t="s">
        <v>1455</v>
      </c>
      <c r="L322" s="78" t="s">
        <v>719</v>
      </c>
      <c r="M322" s="81"/>
      <c r="N322" s="81"/>
      <c r="O322" s="81"/>
      <c r="P322" s="81"/>
      <c r="Q322" s="81" t="s">
        <v>93</v>
      </c>
      <c r="R322" s="81" t="s">
        <v>94</v>
      </c>
      <c r="S322" s="81" t="s">
        <v>94</v>
      </c>
      <c r="T322" s="86">
        <v>46258.0</v>
      </c>
      <c r="U322" s="28"/>
      <c r="V322" s="30"/>
      <c r="W322" s="28"/>
      <c r="X322" s="28"/>
      <c r="Y322" s="28"/>
      <c r="Z322" s="28"/>
    </row>
    <row r="323" ht="169.5" customHeight="1">
      <c r="A323" s="67"/>
      <c r="B323" s="67"/>
      <c r="C323" s="67"/>
      <c r="D323" s="67"/>
      <c r="E323" s="81" t="s">
        <v>1456</v>
      </c>
      <c r="F323" s="85"/>
      <c r="G323" s="83" t="s">
        <v>1457</v>
      </c>
      <c r="H323" s="81" t="s">
        <v>88</v>
      </c>
      <c r="I323" s="81" t="s">
        <v>60</v>
      </c>
      <c r="J323" s="130" t="s">
        <v>1458</v>
      </c>
      <c r="K323" s="70"/>
      <c r="L323" s="67"/>
      <c r="M323" s="81"/>
      <c r="N323" s="81"/>
      <c r="O323" s="81"/>
      <c r="P323" s="81"/>
      <c r="Q323" s="81" t="s">
        <v>93</v>
      </c>
      <c r="R323" s="81" t="s">
        <v>94</v>
      </c>
      <c r="S323" s="81" t="s">
        <v>94</v>
      </c>
      <c r="T323" s="86">
        <v>46232.0</v>
      </c>
      <c r="U323" s="28"/>
      <c r="V323" s="30"/>
      <c r="W323" s="28"/>
      <c r="X323" s="28"/>
      <c r="Y323" s="28"/>
      <c r="Z323" s="28"/>
    </row>
    <row r="324" ht="13.5" customHeight="1">
      <c r="A324" s="67"/>
      <c r="B324" s="67"/>
      <c r="C324" s="67"/>
      <c r="D324" s="67"/>
      <c r="E324" s="81" t="s">
        <v>1459</v>
      </c>
      <c r="F324" s="85"/>
      <c r="G324" s="83" t="s">
        <v>1460</v>
      </c>
      <c r="H324" s="81" t="s">
        <v>88</v>
      </c>
      <c r="I324" s="81" t="s">
        <v>60</v>
      </c>
      <c r="J324" s="90" t="s">
        <v>1461</v>
      </c>
      <c r="K324" s="70"/>
      <c r="L324" s="67"/>
      <c r="M324" s="81"/>
      <c r="N324" s="81"/>
      <c r="O324" s="81"/>
      <c r="P324" s="81"/>
      <c r="Q324" s="81" t="s">
        <v>93</v>
      </c>
      <c r="R324" s="81" t="s">
        <v>94</v>
      </c>
      <c r="S324" s="81" t="s">
        <v>94</v>
      </c>
      <c r="T324" s="86">
        <v>46232.0</v>
      </c>
      <c r="U324" s="28"/>
      <c r="V324" s="30"/>
      <c r="W324" s="28"/>
      <c r="X324" s="28"/>
      <c r="Y324" s="28"/>
      <c r="Z324" s="28"/>
    </row>
    <row r="325" ht="13.5" customHeight="1">
      <c r="A325" s="67"/>
      <c r="B325" s="67"/>
      <c r="C325" s="67"/>
      <c r="D325" s="67"/>
      <c r="E325" s="81" t="s">
        <v>1462</v>
      </c>
      <c r="F325" s="85"/>
      <c r="G325" s="83" t="s">
        <v>1463</v>
      </c>
      <c r="H325" s="81" t="s">
        <v>88</v>
      </c>
      <c r="I325" s="81" t="s">
        <v>60</v>
      </c>
      <c r="J325" s="90" t="s">
        <v>1463</v>
      </c>
      <c r="K325" s="70"/>
      <c r="L325" s="67"/>
      <c r="M325" s="81"/>
      <c r="N325" s="81"/>
      <c r="O325" s="81"/>
      <c r="P325" s="81"/>
      <c r="Q325" s="81" t="s">
        <v>93</v>
      </c>
      <c r="R325" s="81" t="s">
        <v>94</v>
      </c>
      <c r="S325" s="81" t="s">
        <v>94</v>
      </c>
      <c r="T325" s="86">
        <v>46232.0</v>
      </c>
      <c r="U325" s="28"/>
      <c r="V325" s="30"/>
      <c r="W325" s="28"/>
      <c r="X325" s="28"/>
      <c r="Y325" s="28"/>
      <c r="Z325" s="28"/>
    </row>
    <row r="326" ht="13.5" customHeight="1">
      <c r="A326" s="67"/>
      <c r="B326" s="67"/>
      <c r="C326" s="67"/>
      <c r="D326" s="67"/>
      <c r="E326" s="81" t="s">
        <v>1464</v>
      </c>
      <c r="F326" s="85"/>
      <c r="G326" s="83" t="s">
        <v>1465</v>
      </c>
      <c r="H326" s="81" t="s">
        <v>88</v>
      </c>
      <c r="I326" s="81" t="s">
        <v>60</v>
      </c>
      <c r="J326" s="90" t="s">
        <v>1466</v>
      </c>
      <c r="K326" s="88" t="s">
        <v>1345</v>
      </c>
      <c r="L326" s="67"/>
      <c r="M326" s="81"/>
      <c r="N326" s="81"/>
      <c r="O326" s="81"/>
      <c r="P326" s="81"/>
      <c r="Q326" s="81" t="s">
        <v>93</v>
      </c>
      <c r="R326" s="93" t="s">
        <v>94</v>
      </c>
      <c r="S326" s="93" t="s">
        <v>94</v>
      </c>
      <c r="T326" s="86">
        <v>46258.0</v>
      </c>
      <c r="U326" s="28"/>
      <c r="V326" s="30"/>
      <c r="W326" s="28"/>
      <c r="X326" s="28"/>
      <c r="Y326" s="28"/>
      <c r="Z326" s="28"/>
    </row>
    <row r="327" ht="13.5" customHeight="1">
      <c r="A327" s="67"/>
      <c r="B327" s="67"/>
      <c r="C327" s="67"/>
      <c r="D327" s="67"/>
      <c r="E327" s="81" t="s">
        <v>1467</v>
      </c>
      <c r="F327" s="85"/>
      <c r="G327" s="83" t="s">
        <v>1468</v>
      </c>
      <c r="H327" s="81" t="s">
        <v>88</v>
      </c>
      <c r="I327" s="81" t="s">
        <v>60</v>
      </c>
      <c r="J327" s="90" t="s">
        <v>1469</v>
      </c>
      <c r="K327" s="70"/>
      <c r="L327" s="67"/>
      <c r="M327" s="81"/>
      <c r="N327" s="81"/>
      <c r="O327" s="81"/>
      <c r="P327" s="81"/>
      <c r="Q327" s="81" t="s">
        <v>93</v>
      </c>
      <c r="R327" s="81" t="s">
        <v>94</v>
      </c>
      <c r="S327" s="81" t="s">
        <v>94</v>
      </c>
      <c r="T327" s="86">
        <v>46232.0</v>
      </c>
      <c r="U327" s="28"/>
      <c r="V327" s="30"/>
      <c r="W327" s="28"/>
      <c r="X327" s="28"/>
      <c r="Y327" s="28"/>
      <c r="Z327" s="28"/>
    </row>
    <row r="328" ht="13.5" customHeight="1">
      <c r="A328" s="67"/>
      <c r="B328" s="67"/>
      <c r="C328" s="67"/>
      <c r="D328" s="67"/>
      <c r="E328" s="81" t="s">
        <v>1470</v>
      </c>
      <c r="F328" s="82" t="s">
        <v>1471</v>
      </c>
      <c r="G328" s="83" t="s">
        <v>1472</v>
      </c>
      <c r="H328" s="81" t="s">
        <v>88</v>
      </c>
      <c r="I328" s="81" t="s">
        <v>60</v>
      </c>
      <c r="J328" s="131" t="s">
        <v>1473</v>
      </c>
      <c r="K328" s="70"/>
      <c r="L328" s="67"/>
      <c r="M328" s="81"/>
      <c r="N328" s="81"/>
      <c r="O328" s="81"/>
      <c r="P328" s="81"/>
      <c r="Q328" s="81" t="s">
        <v>93</v>
      </c>
      <c r="R328" s="81" t="s">
        <v>94</v>
      </c>
      <c r="S328" s="81" t="s">
        <v>94</v>
      </c>
      <c r="T328" s="86">
        <v>46232.0</v>
      </c>
      <c r="U328" s="28"/>
      <c r="V328" s="30"/>
      <c r="W328" s="28"/>
      <c r="X328" s="28"/>
      <c r="Y328" s="28"/>
      <c r="Z328" s="28"/>
    </row>
    <row r="329" ht="13.5" customHeight="1">
      <c r="A329" s="67"/>
      <c r="B329" s="67"/>
      <c r="C329" s="67"/>
      <c r="D329" s="67"/>
      <c r="E329" s="81" t="s">
        <v>1474</v>
      </c>
      <c r="F329" s="85"/>
      <c r="G329" s="83" t="s">
        <v>1475</v>
      </c>
      <c r="H329" s="81" t="s">
        <v>88</v>
      </c>
      <c r="I329" s="81" t="s">
        <v>60</v>
      </c>
      <c r="J329" s="82" t="s">
        <v>1476</v>
      </c>
      <c r="K329" s="70"/>
      <c r="L329" s="67"/>
      <c r="M329" s="81"/>
      <c r="N329" s="81"/>
      <c r="O329" s="81"/>
      <c r="P329" s="81"/>
      <c r="Q329" s="81" t="s">
        <v>93</v>
      </c>
      <c r="R329" s="81" t="s">
        <v>94</v>
      </c>
      <c r="S329" s="81" t="s">
        <v>94</v>
      </c>
      <c r="T329" s="86">
        <v>46232.0</v>
      </c>
      <c r="U329" s="28"/>
      <c r="V329" s="30"/>
      <c r="W329" s="28"/>
      <c r="X329" s="28"/>
      <c r="Y329" s="28"/>
      <c r="Z329" s="28"/>
    </row>
    <row r="330" ht="13.5" customHeight="1">
      <c r="A330" s="67"/>
      <c r="B330" s="67"/>
      <c r="C330" s="67"/>
      <c r="D330" s="67"/>
      <c r="E330" s="81" t="s">
        <v>1477</v>
      </c>
      <c r="F330" s="85"/>
      <c r="G330" s="83" t="s">
        <v>1478</v>
      </c>
      <c r="H330" s="81" t="s">
        <v>88</v>
      </c>
      <c r="I330" s="81" t="s">
        <v>60</v>
      </c>
      <c r="J330" s="70" t="s">
        <v>1479</v>
      </c>
      <c r="K330" s="92" t="s">
        <v>1480</v>
      </c>
      <c r="L330" s="67"/>
      <c r="M330" s="81"/>
      <c r="N330" s="81"/>
      <c r="O330" s="81"/>
      <c r="P330" s="81"/>
      <c r="Q330" s="89" t="s">
        <v>93</v>
      </c>
      <c r="R330" s="89" t="s">
        <v>94</v>
      </c>
      <c r="S330" s="89" t="s">
        <v>94</v>
      </c>
      <c r="T330" s="86">
        <v>46259.0</v>
      </c>
      <c r="U330" s="28"/>
      <c r="V330" s="30"/>
      <c r="W330" s="28"/>
      <c r="X330" s="28"/>
      <c r="Y330" s="28"/>
      <c r="Z330" s="28"/>
    </row>
    <row r="331" ht="13.5" customHeight="1">
      <c r="A331" s="67"/>
      <c r="B331" s="67"/>
      <c r="C331" s="67"/>
      <c r="D331" s="67"/>
      <c r="E331" s="81" t="s">
        <v>1481</v>
      </c>
      <c r="F331" s="82" t="s">
        <v>1482</v>
      </c>
      <c r="G331" s="83" t="s">
        <v>1483</v>
      </c>
      <c r="H331" s="81" t="s">
        <v>88</v>
      </c>
      <c r="I331" s="81" t="s">
        <v>60</v>
      </c>
      <c r="J331" s="130" t="s">
        <v>1484</v>
      </c>
      <c r="K331" s="70"/>
      <c r="L331" s="67"/>
      <c r="M331" s="81"/>
      <c r="N331" s="81"/>
      <c r="O331" s="81"/>
      <c r="P331" s="81"/>
      <c r="Q331" s="81" t="s">
        <v>93</v>
      </c>
      <c r="R331" s="81" t="s">
        <v>94</v>
      </c>
      <c r="S331" s="81" t="s">
        <v>94</v>
      </c>
      <c r="T331" s="86">
        <v>46232.0</v>
      </c>
      <c r="U331" s="28"/>
      <c r="V331" s="30"/>
      <c r="W331" s="28"/>
      <c r="X331" s="28"/>
      <c r="Y331" s="28"/>
      <c r="Z331" s="28"/>
    </row>
    <row r="332" ht="13.5" customHeight="1">
      <c r="A332" s="67"/>
      <c r="B332" s="67"/>
      <c r="C332" s="67"/>
      <c r="D332" s="67"/>
      <c r="E332" s="81" t="s">
        <v>1485</v>
      </c>
      <c r="F332" s="85"/>
      <c r="G332" s="83" t="s">
        <v>1486</v>
      </c>
      <c r="H332" s="81" t="s">
        <v>88</v>
      </c>
      <c r="I332" s="81" t="s">
        <v>60</v>
      </c>
      <c r="J332" s="82" t="s">
        <v>1486</v>
      </c>
      <c r="K332" s="70"/>
      <c r="L332" s="67"/>
      <c r="M332" s="81"/>
      <c r="N332" s="81"/>
      <c r="O332" s="81"/>
      <c r="P332" s="81"/>
      <c r="Q332" s="81" t="s">
        <v>93</v>
      </c>
      <c r="R332" s="81" t="s">
        <v>94</v>
      </c>
      <c r="S332" s="81" t="s">
        <v>94</v>
      </c>
      <c r="T332" s="86">
        <v>46232.0</v>
      </c>
      <c r="U332" s="28"/>
      <c r="V332" s="30"/>
      <c r="W332" s="28"/>
      <c r="X332" s="28"/>
      <c r="Y332" s="28"/>
      <c r="Z332" s="28"/>
    </row>
    <row r="333" ht="13.5" customHeight="1">
      <c r="A333" s="67"/>
      <c r="B333" s="67"/>
      <c r="C333" s="67"/>
      <c r="D333" s="67"/>
      <c r="E333" s="81" t="s">
        <v>1487</v>
      </c>
      <c r="F333" s="85"/>
      <c r="G333" s="83" t="s">
        <v>1488</v>
      </c>
      <c r="H333" s="81" t="s">
        <v>88</v>
      </c>
      <c r="I333" s="81" t="s">
        <v>60</v>
      </c>
      <c r="J333" s="70" t="s">
        <v>1489</v>
      </c>
      <c r="K333" s="88" t="s">
        <v>1345</v>
      </c>
      <c r="L333" s="67"/>
      <c r="M333" s="81"/>
      <c r="N333" s="81"/>
      <c r="O333" s="81"/>
      <c r="P333" s="81"/>
      <c r="Q333" s="81" t="s">
        <v>93</v>
      </c>
      <c r="R333" s="93" t="s">
        <v>94</v>
      </c>
      <c r="S333" s="93" t="s">
        <v>94</v>
      </c>
      <c r="T333" s="86">
        <v>46258.0</v>
      </c>
      <c r="U333" s="28"/>
      <c r="V333" s="30"/>
      <c r="W333" s="28"/>
      <c r="X333" s="28"/>
      <c r="Y333" s="28"/>
      <c r="Z333" s="28"/>
    </row>
    <row r="334" ht="13.5" customHeight="1">
      <c r="A334" s="77"/>
      <c r="B334" s="77"/>
      <c r="C334" s="77"/>
      <c r="D334" s="77"/>
      <c r="E334" s="81" t="s">
        <v>1490</v>
      </c>
      <c r="F334" s="85"/>
      <c r="G334" s="83" t="s">
        <v>1491</v>
      </c>
      <c r="H334" s="81" t="s">
        <v>88</v>
      </c>
      <c r="I334" s="81" t="s">
        <v>60</v>
      </c>
      <c r="J334" s="90" t="s">
        <v>1492</v>
      </c>
      <c r="K334" s="70"/>
      <c r="L334" s="77"/>
      <c r="M334" s="81"/>
      <c r="N334" s="81"/>
      <c r="O334" s="81"/>
      <c r="P334" s="81"/>
      <c r="Q334" s="81" t="s">
        <v>93</v>
      </c>
      <c r="R334" s="81" t="s">
        <v>94</v>
      </c>
      <c r="S334" s="81" t="s">
        <v>94</v>
      </c>
      <c r="T334" s="86">
        <v>46232.0</v>
      </c>
      <c r="U334" s="28"/>
      <c r="V334" s="30"/>
      <c r="W334" s="28"/>
      <c r="X334" s="28"/>
      <c r="Y334" s="28"/>
      <c r="Z334" s="28"/>
    </row>
    <row r="335" ht="13.5" customHeight="1">
      <c r="A335" s="59" t="s">
        <v>51</v>
      </c>
      <c r="B335" s="59" t="s">
        <v>197</v>
      </c>
      <c r="C335" s="60" t="s">
        <v>199</v>
      </c>
      <c r="D335" s="60" t="s">
        <v>1493</v>
      </c>
      <c r="E335" s="61" t="s">
        <v>1494</v>
      </c>
      <c r="F335" s="62" t="s">
        <v>1495</v>
      </c>
      <c r="G335" s="63" t="s">
        <v>1496</v>
      </c>
      <c r="H335" s="61" t="s">
        <v>88</v>
      </c>
      <c r="I335" s="61" t="s">
        <v>60</v>
      </c>
      <c r="J335" s="62" t="s">
        <v>1497</v>
      </c>
      <c r="K335" s="92" t="s">
        <v>1498</v>
      </c>
      <c r="L335" s="59" t="s">
        <v>719</v>
      </c>
      <c r="M335" s="61"/>
      <c r="N335" s="61"/>
      <c r="O335" s="61"/>
      <c r="P335" s="61"/>
      <c r="Q335" s="61" t="s">
        <v>93</v>
      </c>
      <c r="R335" s="61" t="s">
        <v>94</v>
      </c>
      <c r="S335" s="61" t="s">
        <v>94</v>
      </c>
      <c r="T335" s="66">
        <v>46258.0</v>
      </c>
      <c r="U335" s="28"/>
      <c r="V335" s="30"/>
      <c r="W335" s="28"/>
      <c r="X335" s="28"/>
      <c r="Y335" s="28"/>
      <c r="Z335" s="28"/>
    </row>
    <row r="336" ht="13.5" customHeight="1">
      <c r="A336" s="67"/>
      <c r="B336" s="67"/>
      <c r="C336" s="67"/>
      <c r="D336" s="67"/>
      <c r="E336" s="61" t="s">
        <v>1499</v>
      </c>
      <c r="F336" s="68"/>
      <c r="G336" s="63" t="s">
        <v>1500</v>
      </c>
      <c r="H336" s="61" t="s">
        <v>88</v>
      </c>
      <c r="I336" s="61" t="s">
        <v>60</v>
      </c>
      <c r="J336" s="62" t="s">
        <v>1501</v>
      </c>
      <c r="K336" s="88" t="s">
        <v>1345</v>
      </c>
      <c r="L336" s="67"/>
      <c r="M336" s="61"/>
      <c r="N336" s="61"/>
      <c r="O336" s="61"/>
      <c r="P336" s="61"/>
      <c r="Q336" s="61" t="s">
        <v>93</v>
      </c>
      <c r="R336" s="61" t="s">
        <v>94</v>
      </c>
      <c r="S336" s="61" t="s">
        <v>94</v>
      </c>
      <c r="T336" s="66">
        <v>46258.0</v>
      </c>
      <c r="U336" s="28"/>
      <c r="V336" s="30"/>
      <c r="W336" s="28"/>
      <c r="X336" s="28"/>
      <c r="Y336" s="28"/>
      <c r="Z336" s="28"/>
    </row>
    <row r="337" ht="13.5" customHeight="1">
      <c r="A337" s="67"/>
      <c r="B337" s="67"/>
      <c r="C337" s="67"/>
      <c r="D337" s="67"/>
      <c r="E337" s="61" t="s">
        <v>1502</v>
      </c>
      <c r="F337" s="62" t="s">
        <v>1503</v>
      </c>
      <c r="G337" s="63" t="s">
        <v>1504</v>
      </c>
      <c r="H337" s="61" t="s">
        <v>88</v>
      </c>
      <c r="I337" s="61" t="s">
        <v>60</v>
      </c>
      <c r="J337" s="62" t="s">
        <v>1505</v>
      </c>
      <c r="K337" s="74" t="s">
        <v>1506</v>
      </c>
      <c r="L337" s="67"/>
      <c r="M337" s="61"/>
      <c r="N337" s="61"/>
      <c r="O337" s="61"/>
      <c r="P337" s="61"/>
      <c r="Q337" s="61" t="s">
        <v>93</v>
      </c>
      <c r="R337" s="61" t="s">
        <v>94</v>
      </c>
      <c r="S337" s="61" t="s">
        <v>94</v>
      </c>
      <c r="T337" s="66">
        <v>46258.0</v>
      </c>
      <c r="U337" s="28"/>
      <c r="V337" s="30"/>
      <c r="W337" s="28"/>
      <c r="X337" s="28"/>
      <c r="Y337" s="28"/>
      <c r="Z337" s="28"/>
    </row>
    <row r="338" ht="13.5" customHeight="1">
      <c r="A338" s="67"/>
      <c r="B338" s="67"/>
      <c r="C338" s="67"/>
      <c r="D338" s="67"/>
      <c r="E338" s="61" t="s">
        <v>1507</v>
      </c>
      <c r="F338" s="68"/>
      <c r="G338" s="63" t="s">
        <v>1508</v>
      </c>
      <c r="H338" s="61" t="s">
        <v>88</v>
      </c>
      <c r="I338" s="61" t="s">
        <v>60</v>
      </c>
      <c r="J338" s="62" t="s">
        <v>1509</v>
      </c>
      <c r="K338" s="74" t="s">
        <v>1510</v>
      </c>
      <c r="L338" s="67"/>
      <c r="M338" s="61"/>
      <c r="N338" s="61"/>
      <c r="O338" s="61"/>
      <c r="P338" s="61"/>
      <c r="Q338" s="61" t="s">
        <v>93</v>
      </c>
      <c r="R338" s="61" t="s">
        <v>94</v>
      </c>
      <c r="S338" s="61" t="s">
        <v>94</v>
      </c>
      <c r="T338" s="66">
        <v>46258.0</v>
      </c>
      <c r="U338" s="28"/>
      <c r="V338" s="30"/>
      <c r="W338" s="28"/>
      <c r="X338" s="28"/>
      <c r="Y338" s="28"/>
      <c r="Z338" s="28"/>
    </row>
    <row r="339" ht="13.5" customHeight="1">
      <c r="A339" s="67"/>
      <c r="B339" s="67"/>
      <c r="C339" s="67"/>
      <c r="D339" s="67"/>
      <c r="E339" s="61" t="s">
        <v>1511</v>
      </c>
      <c r="F339" s="62" t="s">
        <v>1512</v>
      </c>
      <c r="G339" s="63" t="s">
        <v>1513</v>
      </c>
      <c r="H339" s="61" t="s">
        <v>88</v>
      </c>
      <c r="I339" s="61" t="s">
        <v>60</v>
      </c>
      <c r="J339" s="62" t="s">
        <v>1514</v>
      </c>
      <c r="K339" s="74" t="s">
        <v>1515</v>
      </c>
      <c r="L339" s="67"/>
      <c r="M339" s="61"/>
      <c r="N339" s="61"/>
      <c r="O339" s="61"/>
      <c r="P339" s="61"/>
      <c r="Q339" s="61" t="s">
        <v>93</v>
      </c>
      <c r="R339" s="61" t="s">
        <v>94</v>
      </c>
      <c r="S339" s="61" t="s">
        <v>94</v>
      </c>
      <c r="T339" s="66">
        <v>46258.0</v>
      </c>
      <c r="U339" s="28"/>
      <c r="V339" s="30"/>
      <c r="W339" s="28"/>
      <c r="X339" s="28"/>
      <c r="Y339" s="28"/>
      <c r="Z339" s="28"/>
    </row>
    <row r="340" ht="13.5" customHeight="1">
      <c r="A340" s="67"/>
      <c r="B340" s="67"/>
      <c r="C340" s="67"/>
      <c r="D340" s="67"/>
      <c r="E340" s="61" t="s">
        <v>1516</v>
      </c>
      <c r="F340" s="68"/>
      <c r="G340" s="63" t="s">
        <v>1517</v>
      </c>
      <c r="H340" s="61" t="s">
        <v>88</v>
      </c>
      <c r="I340" s="61" t="s">
        <v>60</v>
      </c>
      <c r="J340" s="62" t="s">
        <v>1518</v>
      </c>
      <c r="K340" s="70"/>
      <c r="L340" s="67"/>
      <c r="M340" s="61"/>
      <c r="N340" s="61"/>
      <c r="O340" s="61"/>
      <c r="P340" s="61"/>
      <c r="Q340" s="61" t="s">
        <v>93</v>
      </c>
      <c r="R340" s="61" t="s">
        <v>94</v>
      </c>
      <c r="S340" s="61" t="s">
        <v>94</v>
      </c>
      <c r="T340" s="66">
        <v>46232.0</v>
      </c>
      <c r="U340" s="28"/>
      <c r="V340" s="30"/>
      <c r="W340" s="28"/>
      <c r="X340" s="28"/>
      <c r="Y340" s="28"/>
      <c r="Z340" s="28"/>
    </row>
    <row r="341" ht="13.5" customHeight="1">
      <c r="A341" s="67"/>
      <c r="B341" s="67"/>
      <c r="C341" s="67"/>
      <c r="D341" s="67"/>
      <c r="E341" s="61" t="s">
        <v>1519</v>
      </c>
      <c r="F341" s="62" t="s">
        <v>1520</v>
      </c>
      <c r="G341" s="63" t="s">
        <v>1521</v>
      </c>
      <c r="H341" s="61" t="s">
        <v>88</v>
      </c>
      <c r="I341" s="61" t="s">
        <v>60</v>
      </c>
      <c r="J341" s="62" t="s">
        <v>1522</v>
      </c>
      <c r="K341" s="70"/>
      <c r="L341" s="67"/>
      <c r="M341" s="61"/>
      <c r="N341" s="61"/>
      <c r="O341" s="61"/>
      <c r="P341" s="61"/>
      <c r="Q341" s="61" t="s">
        <v>93</v>
      </c>
      <c r="R341" s="61" t="s">
        <v>94</v>
      </c>
      <c r="S341" s="61" t="s">
        <v>94</v>
      </c>
      <c r="T341" s="66">
        <v>46232.0</v>
      </c>
      <c r="U341" s="28"/>
      <c r="V341" s="30"/>
      <c r="W341" s="28"/>
      <c r="X341" s="28"/>
      <c r="Y341" s="28"/>
      <c r="Z341" s="28"/>
    </row>
    <row r="342" ht="13.5" customHeight="1">
      <c r="A342" s="67"/>
      <c r="B342" s="67"/>
      <c r="C342" s="67"/>
      <c r="D342" s="67"/>
      <c r="E342" s="61" t="s">
        <v>1523</v>
      </c>
      <c r="F342" s="62" t="s">
        <v>1524</v>
      </c>
      <c r="G342" s="63" t="s">
        <v>1525</v>
      </c>
      <c r="H342" s="61" t="s">
        <v>88</v>
      </c>
      <c r="I342" s="61" t="s">
        <v>60</v>
      </c>
      <c r="J342" s="62" t="s">
        <v>1526</v>
      </c>
      <c r="K342" s="69" t="s">
        <v>1527</v>
      </c>
      <c r="L342" s="67"/>
      <c r="M342" s="61"/>
      <c r="N342" s="61"/>
      <c r="O342" s="61"/>
      <c r="P342" s="61"/>
      <c r="Q342" s="61" t="s">
        <v>93</v>
      </c>
      <c r="R342" s="61" t="s">
        <v>94</v>
      </c>
      <c r="S342" s="61" t="s">
        <v>94</v>
      </c>
      <c r="T342" s="66">
        <v>46258.0</v>
      </c>
      <c r="U342" s="28"/>
      <c r="V342" s="30"/>
      <c r="W342" s="28"/>
      <c r="X342" s="28"/>
      <c r="Y342" s="28"/>
      <c r="Z342" s="28"/>
    </row>
    <row r="343" ht="13.5" customHeight="1">
      <c r="A343" s="77"/>
      <c r="B343" s="77"/>
      <c r="C343" s="77"/>
      <c r="D343" s="77"/>
      <c r="E343" s="61" t="s">
        <v>1528</v>
      </c>
      <c r="F343" s="68"/>
      <c r="G343" s="63" t="s">
        <v>1529</v>
      </c>
      <c r="H343" s="61" t="s">
        <v>88</v>
      </c>
      <c r="I343" s="61" t="s">
        <v>60</v>
      </c>
      <c r="J343" s="62" t="s">
        <v>1530</v>
      </c>
      <c r="K343" s="70"/>
      <c r="L343" s="77"/>
      <c r="M343" s="61"/>
      <c r="N343" s="61"/>
      <c r="O343" s="61"/>
      <c r="P343" s="61"/>
      <c r="Q343" s="61" t="s">
        <v>93</v>
      </c>
      <c r="R343" s="61" t="s">
        <v>94</v>
      </c>
      <c r="S343" s="61" t="s">
        <v>94</v>
      </c>
      <c r="T343" s="66">
        <v>46232.0</v>
      </c>
      <c r="U343" s="28"/>
      <c r="V343" s="30"/>
      <c r="W343" s="28"/>
      <c r="X343" s="28"/>
      <c r="Y343" s="28"/>
      <c r="Z343" s="28"/>
    </row>
    <row r="344" ht="13.5" customHeight="1">
      <c r="A344" s="78" t="s">
        <v>51</v>
      </c>
      <c r="B344" s="78" t="s">
        <v>204</v>
      </c>
      <c r="C344" s="79" t="s">
        <v>205</v>
      </c>
      <c r="D344" s="79" t="s">
        <v>1531</v>
      </c>
      <c r="E344" s="81" t="s">
        <v>1532</v>
      </c>
      <c r="F344" s="82" t="s">
        <v>1533</v>
      </c>
      <c r="G344" s="83" t="s">
        <v>1534</v>
      </c>
      <c r="H344" s="81" t="s">
        <v>88</v>
      </c>
      <c r="I344" s="81" t="s">
        <v>60</v>
      </c>
      <c r="J344" s="70" t="s">
        <v>1535</v>
      </c>
      <c r="K344" s="92" t="s">
        <v>1536</v>
      </c>
      <c r="L344" s="78" t="s">
        <v>1537</v>
      </c>
      <c r="M344" s="81"/>
      <c r="N344" s="81"/>
      <c r="O344" s="81"/>
      <c r="P344" s="81"/>
      <c r="Q344" s="81" t="s">
        <v>93</v>
      </c>
      <c r="R344" s="81" t="s">
        <v>94</v>
      </c>
      <c r="S344" s="81" t="s">
        <v>94</v>
      </c>
      <c r="T344" s="84">
        <v>46259.0</v>
      </c>
      <c r="U344" s="28"/>
      <c r="V344" s="30"/>
      <c r="W344" s="28"/>
      <c r="X344" s="28"/>
      <c r="Y344" s="28"/>
      <c r="Z344" s="28"/>
    </row>
    <row r="345" ht="13.5" customHeight="1">
      <c r="A345" s="67"/>
      <c r="B345" s="67"/>
      <c r="C345" s="67"/>
      <c r="D345" s="67"/>
      <c r="E345" s="81" t="s">
        <v>1538</v>
      </c>
      <c r="F345" s="85"/>
      <c r="G345" s="83" t="s">
        <v>1539</v>
      </c>
      <c r="H345" s="81" t="s">
        <v>88</v>
      </c>
      <c r="I345" s="81" t="s">
        <v>60</v>
      </c>
      <c r="J345" s="90" t="s">
        <v>1540</v>
      </c>
      <c r="K345" s="92" t="s">
        <v>1541</v>
      </c>
      <c r="L345" s="67"/>
      <c r="M345" s="81"/>
      <c r="N345" s="81"/>
      <c r="O345" s="81"/>
      <c r="P345" s="81"/>
      <c r="Q345" s="81" t="s">
        <v>93</v>
      </c>
      <c r="R345" s="81" t="s">
        <v>94</v>
      </c>
      <c r="S345" s="81" t="s">
        <v>94</v>
      </c>
      <c r="T345" s="84">
        <v>46259.0</v>
      </c>
      <c r="U345" s="28"/>
      <c r="V345" s="30"/>
      <c r="W345" s="28"/>
      <c r="X345" s="28"/>
      <c r="Y345" s="28"/>
      <c r="Z345" s="28"/>
    </row>
    <row r="346" ht="13.5" customHeight="1">
      <c r="A346" s="67"/>
      <c r="B346" s="67"/>
      <c r="C346" s="67"/>
      <c r="D346" s="67"/>
      <c r="E346" s="81" t="s">
        <v>1542</v>
      </c>
      <c r="F346" s="85"/>
      <c r="G346" s="83" t="s">
        <v>1543</v>
      </c>
      <c r="H346" s="81" t="s">
        <v>88</v>
      </c>
      <c r="I346" s="81" t="s">
        <v>60</v>
      </c>
      <c r="J346" s="82" t="s">
        <v>1544</v>
      </c>
      <c r="K346" s="70"/>
      <c r="L346" s="67"/>
      <c r="M346" s="81"/>
      <c r="N346" s="81"/>
      <c r="O346" s="81"/>
      <c r="P346" s="81"/>
      <c r="Q346" s="81" t="s">
        <v>93</v>
      </c>
      <c r="R346" s="93" t="s">
        <v>94</v>
      </c>
      <c r="S346" s="93" t="s">
        <v>94</v>
      </c>
      <c r="T346" s="86">
        <v>46232.0</v>
      </c>
      <c r="U346" s="28"/>
      <c r="V346" s="30"/>
      <c r="W346" s="28"/>
      <c r="X346" s="28"/>
      <c r="Y346" s="28"/>
      <c r="Z346" s="28"/>
    </row>
    <row r="347" ht="13.5" customHeight="1">
      <c r="A347" s="67"/>
      <c r="B347" s="67"/>
      <c r="C347" s="67"/>
      <c r="D347" s="67"/>
      <c r="E347" s="81" t="s">
        <v>1545</v>
      </c>
      <c r="F347" s="82" t="s">
        <v>1546</v>
      </c>
      <c r="G347" s="83" t="s">
        <v>1547</v>
      </c>
      <c r="H347" s="81" t="s">
        <v>88</v>
      </c>
      <c r="I347" s="81" t="s">
        <v>60</v>
      </c>
      <c r="J347" s="90" t="s">
        <v>1548</v>
      </c>
      <c r="K347" s="74" t="s">
        <v>1549</v>
      </c>
      <c r="L347" s="67"/>
      <c r="M347" s="81"/>
      <c r="N347" s="81"/>
      <c r="O347" s="81"/>
      <c r="P347" s="81"/>
      <c r="Q347" s="81" t="s">
        <v>93</v>
      </c>
      <c r="R347" s="93" t="s">
        <v>94</v>
      </c>
      <c r="S347" s="93" t="s">
        <v>94</v>
      </c>
      <c r="T347" s="86">
        <v>46258.0</v>
      </c>
      <c r="U347" s="28"/>
      <c r="V347" s="30"/>
      <c r="W347" s="28"/>
      <c r="X347" s="28"/>
      <c r="Y347" s="28"/>
      <c r="Z347" s="28"/>
    </row>
    <row r="348" ht="13.5" customHeight="1">
      <c r="A348" s="67"/>
      <c r="B348" s="67"/>
      <c r="C348" s="67"/>
      <c r="D348" s="67"/>
      <c r="E348" s="81" t="s">
        <v>1550</v>
      </c>
      <c r="F348" s="85"/>
      <c r="G348" s="83" t="s">
        <v>1551</v>
      </c>
      <c r="H348" s="81" t="s">
        <v>88</v>
      </c>
      <c r="I348" s="81" t="s">
        <v>60</v>
      </c>
      <c r="J348" s="82" t="s">
        <v>1552</v>
      </c>
      <c r="K348" s="70"/>
      <c r="L348" s="67"/>
      <c r="M348" s="81"/>
      <c r="N348" s="81"/>
      <c r="O348" s="81"/>
      <c r="P348" s="81"/>
      <c r="Q348" s="81" t="s">
        <v>93</v>
      </c>
      <c r="R348" s="93" t="s">
        <v>94</v>
      </c>
      <c r="S348" s="93" t="s">
        <v>94</v>
      </c>
      <c r="T348" s="86">
        <v>46232.0</v>
      </c>
      <c r="U348" s="28"/>
      <c r="V348" s="30"/>
      <c r="W348" s="28"/>
      <c r="X348" s="28"/>
      <c r="Y348" s="28"/>
      <c r="Z348" s="28"/>
    </row>
    <row r="349" ht="13.5" customHeight="1">
      <c r="A349" s="67"/>
      <c r="B349" s="67"/>
      <c r="C349" s="67"/>
      <c r="D349" s="67"/>
      <c r="E349" s="81" t="s">
        <v>1553</v>
      </c>
      <c r="F349" s="82" t="s">
        <v>1554</v>
      </c>
      <c r="G349" s="83" t="s">
        <v>1555</v>
      </c>
      <c r="H349" s="81" t="s">
        <v>88</v>
      </c>
      <c r="I349" s="81" t="s">
        <v>60</v>
      </c>
      <c r="J349" s="70" t="s">
        <v>1556</v>
      </c>
      <c r="K349" s="74" t="s">
        <v>1557</v>
      </c>
      <c r="L349" s="67"/>
      <c r="M349" s="81"/>
      <c r="N349" s="81"/>
      <c r="O349" s="81"/>
      <c r="P349" s="81"/>
      <c r="Q349" s="81" t="s">
        <v>93</v>
      </c>
      <c r="R349" s="93" t="s">
        <v>94</v>
      </c>
      <c r="S349" s="93" t="s">
        <v>94</v>
      </c>
      <c r="T349" s="86">
        <v>46258.0</v>
      </c>
      <c r="U349" s="28"/>
      <c r="V349" s="30"/>
      <c r="W349" s="28"/>
      <c r="X349" s="28"/>
      <c r="Y349" s="28"/>
      <c r="Z349" s="28"/>
    </row>
    <row r="350" ht="13.5" customHeight="1">
      <c r="A350" s="67"/>
      <c r="B350" s="67"/>
      <c r="C350" s="67"/>
      <c r="D350" s="67"/>
      <c r="E350" s="81" t="s">
        <v>1558</v>
      </c>
      <c r="F350" s="85"/>
      <c r="G350" s="83" t="s">
        <v>1559</v>
      </c>
      <c r="H350" s="81" t="s">
        <v>88</v>
      </c>
      <c r="I350" s="81" t="s">
        <v>60</v>
      </c>
      <c r="J350" s="109" t="s">
        <v>1560</v>
      </c>
      <c r="K350" s="74" t="s">
        <v>1561</v>
      </c>
      <c r="L350" s="67"/>
      <c r="M350" s="81"/>
      <c r="N350" s="81"/>
      <c r="O350" s="81"/>
      <c r="P350" s="81"/>
      <c r="Q350" s="81" t="s">
        <v>93</v>
      </c>
      <c r="R350" s="93" t="s">
        <v>94</v>
      </c>
      <c r="S350" s="93" t="s">
        <v>94</v>
      </c>
      <c r="T350" s="86">
        <v>46258.0</v>
      </c>
      <c r="U350" s="28"/>
      <c r="V350" s="30"/>
      <c r="W350" s="28"/>
      <c r="X350" s="28"/>
      <c r="Y350" s="28"/>
      <c r="Z350" s="28"/>
    </row>
    <row r="351" ht="13.5" customHeight="1">
      <c r="A351" s="77"/>
      <c r="B351" s="77"/>
      <c r="C351" s="77"/>
      <c r="D351" s="77"/>
      <c r="E351" s="81" t="s">
        <v>1562</v>
      </c>
      <c r="F351" s="85"/>
      <c r="G351" s="83" t="s">
        <v>1563</v>
      </c>
      <c r="H351" s="81" t="s">
        <v>88</v>
      </c>
      <c r="I351" s="81" t="s">
        <v>60</v>
      </c>
      <c r="J351" s="70" t="s">
        <v>1564</v>
      </c>
      <c r="K351" s="74" t="s">
        <v>1565</v>
      </c>
      <c r="L351" s="77"/>
      <c r="M351" s="81"/>
      <c r="N351" s="81"/>
      <c r="O351" s="81"/>
      <c r="P351" s="81"/>
      <c r="Q351" s="81" t="s">
        <v>93</v>
      </c>
      <c r="R351" s="93" t="s">
        <v>94</v>
      </c>
      <c r="S351" s="93" t="s">
        <v>94</v>
      </c>
      <c r="T351" s="86">
        <v>46258.0</v>
      </c>
      <c r="U351" s="28"/>
      <c r="V351" s="30"/>
      <c r="W351" s="28"/>
      <c r="X351" s="28"/>
      <c r="Y351" s="28"/>
      <c r="Z351" s="28"/>
    </row>
    <row r="352" ht="13.5" customHeight="1">
      <c r="A352" s="59" t="s">
        <v>51</v>
      </c>
      <c r="B352" s="59" t="s">
        <v>210</v>
      </c>
      <c r="C352" s="60" t="s">
        <v>211</v>
      </c>
      <c r="D352" s="60" t="s">
        <v>1566</v>
      </c>
      <c r="E352" s="61" t="s">
        <v>1567</v>
      </c>
      <c r="F352" s="62" t="s">
        <v>1568</v>
      </c>
      <c r="G352" s="63" t="s">
        <v>1569</v>
      </c>
      <c r="H352" s="61" t="s">
        <v>88</v>
      </c>
      <c r="I352" s="61" t="s">
        <v>60</v>
      </c>
      <c r="J352" s="62" t="s">
        <v>1570</v>
      </c>
      <c r="K352" s="70"/>
      <c r="L352" s="59" t="s">
        <v>1571</v>
      </c>
      <c r="M352" s="61"/>
      <c r="N352" s="61"/>
      <c r="O352" s="61"/>
      <c r="P352" s="61"/>
      <c r="Q352" s="61" t="s">
        <v>93</v>
      </c>
      <c r="R352" s="61" t="s">
        <v>94</v>
      </c>
      <c r="S352" s="61" t="s">
        <v>94</v>
      </c>
      <c r="T352" s="66">
        <v>46232.0</v>
      </c>
      <c r="U352" s="28"/>
      <c r="V352" s="30"/>
      <c r="W352" s="28"/>
      <c r="X352" s="28"/>
      <c r="Y352" s="28"/>
      <c r="Z352" s="28"/>
    </row>
    <row r="353" ht="13.5" customHeight="1">
      <c r="A353" s="67"/>
      <c r="B353" s="67"/>
      <c r="C353" s="67"/>
      <c r="D353" s="67"/>
      <c r="E353" s="61" t="s">
        <v>1572</v>
      </c>
      <c r="F353" s="62" t="s">
        <v>1573</v>
      </c>
      <c r="G353" s="63" t="s">
        <v>1574</v>
      </c>
      <c r="H353" s="61" t="s">
        <v>88</v>
      </c>
      <c r="I353" s="61" t="s">
        <v>60</v>
      </c>
      <c r="J353" s="62" t="s">
        <v>1575</v>
      </c>
      <c r="K353" s="74" t="s">
        <v>1576</v>
      </c>
      <c r="L353" s="67"/>
      <c r="M353" s="61"/>
      <c r="N353" s="61"/>
      <c r="O353" s="61"/>
      <c r="P353" s="61"/>
      <c r="Q353" s="61" t="s">
        <v>93</v>
      </c>
      <c r="R353" s="61" t="s">
        <v>94</v>
      </c>
      <c r="S353" s="61" t="s">
        <v>94</v>
      </c>
      <c r="T353" s="66">
        <v>46258.0</v>
      </c>
      <c r="U353" s="28"/>
      <c r="V353" s="30"/>
      <c r="W353" s="28"/>
      <c r="X353" s="28"/>
      <c r="Y353" s="28"/>
      <c r="Z353" s="28"/>
    </row>
    <row r="354" ht="13.5" customHeight="1">
      <c r="A354" s="67"/>
      <c r="B354" s="67"/>
      <c r="C354" s="67"/>
      <c r="D354" s="67"/>
      <c r="E354" s="61" t="s">
        <v>1577</v>
      </c>
      <c r="F354" s="68"/>
      <c r="G354" s="63" t="s">
        <v>1578</v>
      </c>
      <c r="H354" s="61" t="s">
        <v>88</v>
      </c>
      <c r="I354" s="61" t="s">
        <v>60</v>
      </c>
      <c r="J354" s="63" t="s">
        <v>1579</v>
      </c>
      <c r="K354" s="70"/>
      <c r="L354" s="67"/>
      <c r="M354" s="61"/>
      <c r="N354" s="61"/>
      <c r="O354" s="61"/>
      <c r="P354" s="61"/>
      <c r="Q354" s="61" t="s">
        <v>93</v>
      </c>
      <c r="R354" s="61" t="s">
        <v>94</v>
      </c>
      <c r="S354" s="61" t="s">
        <v>94</v>
      </c>
      <c r="T354" s="66">
        <v>46232.0</v>
      </c>
      <c r="U354" s="28"/>
      <c r="V354" s="30"/>
      <c r="W354" s="28"/>
      <c r="X354" s="28"/>
      <c r="Y354" s="28"/>
      <c r="Z354" s="28"/>
    </row>
    <row r="355" ht="13.5" customHeight="1">
      <c r="A355" s="67"/>
      <c r="B355" s="67"/>
      <c r="C355" s="67"/>
      <c r="D355" s="67"/>
      <c r="E355" s="61" t="s">
        <v>1580</v>
      </c>
      <c r="F355" s="68"/>
      <c r="G355" s="63" t="s">
        <v>1581</v>
      </c>
      <c r="H355" s="61" t="s">
        <v>88</v>
      </c>
      <c r="I355" s="61" t="s">
        <v>60</v>
      </c>
      <c r="J355" s="63" t="s">
        <v>1582</v>
      </c>
      <c r="K355" s="70"/>
      <c r="L355" s="67"/>
      <c r="M355" s="61"/>
      <c r="N355" s="61"/>
      <c r="O355" s="61"/>
      <c r="P355" s="61"/>
      <c r="Q355" s="61" t="s">
        <v>93</v>
      </c>
      <c r="R355" s="61" t="s">
        <v>94</v>
      </c>
      <c r="S355" s="61" t="s">
        <v>94</v>
      </c>
      <c r="T355" s="66">
        <v>46232.0</v>
      </c>
      <c r="U355" s="28"/>
      <c r="V355" s="30"/>
      <c r="W355" s="28"/>
      <c r="X355" s="28"/>
      <c r="Y355" s="28"/>
      <c r="Z355" s="28"/>
    </row>
    <row r="356" ht="13.5" customHeight="1">
      <c r="A356" s="67"/>
      <c r="B356" s="67"/>
      <c r="C356" s="67"/>
      <c r="D356" s="67"/>
      <c r="E356" s="61" t="s">
        <v>1583</v>
      </c>
      <c r="F356" s="62" t="s">
        <v>1584</v>
      </c>
      <c r="G356" s="63" t="s">
        <v>1585</v>
      </c>
      <c r="H356" s="61" t="s">
        <v>88</v>
      </c>
      <c r="I356" s="61" t="s">
        <v>60</v>
      </c>
      <c r="J356" s="62" t="s">
        <v>1586</v>
      </c>
      <c r="K356" s="70"/>
      <c r="L356" s="67"/>
      <c r="M356" s="61"/>
      <c r="N356" s="61"/>
      <c r="O356" s="61"/>
      <c r="P356" s="61"/>
      <c r="Q356" s="61" t="s">
        <v>93</v>
      </c>
      <c r="R356" s="61" t="s">
        <v>94</v>
      </c>
      <c r="S356" s="61" t="s">
        <v>94</v>
      </c>
      <c r="T356" s="66">
        <v>46232.0</v>
      </c>
      <c r="U356" s="28"/>
      <c r="V356" s="30"/>
      <c r="W356" s="28"/>
      <c r="X356" s="28"/>
      <c r="Y356" s="28"/>
      <c r="Z356" s="28"/>
    </row>
    <row r="357" ht="13.5" customHeight="1">
      <c r="A357" s="67"/>
      <c r="B357" s="67"/>
      <c r="C357" s="67"/>
      <c r="D357" s="67"/>
      <c r="E357" s="61" t="s">
        <v>1587</v>
      </c>
      <c r="F357" s="68"/>
      <c r="G357" s="63" t="s">
        <v>1588</v>
      </c>
      <c r="H357" s="61" t="s">
        <v>88</v>
      </c>
      <c r="I357" s="61" t="s">
        <v>60</v>
      </c>
      <c r="J357" s="62" t="s">
        <v>1589</v>
      </c>
      <c r="K357" s="74" t="s">
        <v>1590</v>
      </c>
      <c r="L357" s="67"/>
      <c r="M357" s="61"/>
      <c r="N357" s="61"/>
      <c r="O357" s="61"/>
      <c r="P357" s="61"/>
      <c r="Q357" s="61" t="s">
        <v>93</v>
      </c>
      <c r="R357" s="61" t="s">
        <v>94</v>
      </c>
      <c r="S357" s="61" t="s">
        <v>94</v>
      </c>
      <c r="T357" s="66">
        <v>46258.0</v>
      </c>
      <c r="U357" s="28"/>
      <c r="V357" s="30"/>
      <c r="W357" s="28"/>
      <c r="X357" s="28"/>
      <c r="Y357" s="28"/>
      <c r="Z357" s="28"/>
    </row>
    <row r="358" ht="13.5" customHeight="1">
      <c r="A358" s="77"/>
      <c r="B358" s="77"/>
      <c r="C358" s="77"/>
      <c r="D358" s="77"/>
      <c r="E358" s="61" t="s">
        <v>1591</v>
      </c>
      <c r="F358" s="62" t="s">
        <v>1592</v>
      </c>
      <c r="G358" s="63" t="s">
        <v>1593</v>
      </c>
      <c r="H358" s="61" t="s">
        <v>88</v>
      </c>
      <c r="I358" s="61" t="s">
        <v>60</v>
      </c>
      <c r="J358" s="62" t="s">
        <v>1594</v>
      </c>
      <c r="K358" s="74" t="s">
        <v>1595</v>
      </c>
      <c r="L358" s="77"/>
      <c r="M358" s="61"/>
      <c r="N358" s="61"/>
      <c r="O358" s="61"/>
      <c r="P358" s="61"/>
      <c r="Q358" s="61" t="s">
        <v>93</v>
      </c>
      <c r="R358" s="61" t="s">
        <v>94</v>
      </c>
      <c r="S358" s="61" t="s">
        <v>94</v>
      </c>
      <c r="T358" s="66">
        <v>46258.0</v>
      </c>
      <c r="U358" s="28"/>
      <c r="V358" s="30"/>
      <c r="W358" s="28"/>
      <c r="X358" s="28"/>
      <c r="Y358" s="28"/>
      <c r="Z358" s="28"/>
    </row>
    <row r="359" ht="13.5" customHeight="1">
      <c r="A359" s="78" t="s">
        <v>51</v>
      </c>
      <c r="B359" s="78" t="s">
        <v>217</v>
      </c>
      <c r="C359" s="79" t="s">
        <v>219</v>
      </c>
      <c r="D359" s="79" t="s">
        <v>1596</v>
      </c>
      <c r="E359" s="81" t="s">
        <v>1597</v>
      </c>
      <c r="F359" s="82" t="s">
        <v>1598</v>
      </c>
      <c r="G359" s="83" t="s">
        <v>1599</v>
      </c>
      <c r="H359" s="81" t="s">
        <v>88</v>
      </c>
      <c r="I359" s="81" t="s">
        <v>60</v>
      </c>
      <c r="J359" s="90" t="s">
        <v>1600</v>
      </c>
      <c r="K359" s="74" t="s">
        <v>1601</v>
      </c>
      <c r="L359" s="78" t="s">
        <v>1602</v>
      </c>
      <c r="M359" s="81"/>
      <c r="N359" s="81"/>
      <c r="O359" s="81"/>
      <c r="P359" s="81"/>
      <c r="Q359" s="81" t="s">
        <v>93</v>
      </c>
      <c r="R359" s="81" t="s">
        <v>94</v>
      </c>
      <c r="S359" s="81" t="s">
        <v>94</v>
      </c>
      <c r="T359" s="84">
        <v>46258.0</v>
      </c>
      <c r="U359" s="28"/>
      <c r="V359" s="30"/>
      <c r="W359" s="28"/>
      <c r="X359" s="28"/>
      <c r="Y359" s="28"/>
      <c r="Z359" s="28"/>
    </row>
    <row r="360" ht="13.5" customHeight="1">
      <c r="A360" s="67"/>
      <c r="B360" s="67"/>
      <c r="C360" s="67"/>
      <c r="D360" s="67"/>
      <c r="E360" s="81" t="s">
        <v>1603</v>
      </c>
      <c r="F360" s="85"/>
      <c r="G360" s="83" t="s">
        <v>1604</v>
      </c>
      <c r="H360" s="81" t="s">
        <v>88</v>
      </c>
      <c r="I360" s="81" t="s">
        <v>60</v>
      </c>
      <c r="J360" s="90" t="s">
        <v>1605</v>
      </c>
      <c r="K360" s="74" t="s">
        <v>1606</v>
      </c>
      <c r="L360" s="67"/>
      <c r="M360" s="81"/>
      <c r="N360" s="81"/>
      <c r="O360" s="81"/>
      <c r="P360" s="81"/>
      <c r="Q360" s="81" t="s">
        <v>93</v>
      </c>
      <c r="R360" s="93" t="s">
        <v>94</v>
      </c>
      <c r="S360" s="93" t="s">
        <v>94</v>
      </c>
      <c r="T360" s="86">
        <v>46258.0</v>
      </c>
      <c r="U360" s="28"/>
      <c r="V360" s="30"/>
      <c r="W360" s="28"/>
      <c r="X360" s="28"/>
      <c r="Y360" s="28"/>
      <c r="Z360" s="28"/>
    </row>
    <row r="361" ht="13.5" customHeight="1">
      <c r="A361" s="67"/>
      <c r="B361" s="67"/>
      <c r="C361" s="67"/>
      <c r="D361" s="67"/>
      <c r="E361" s="81" t="s">
        <v>1607</v>
      </c>
      <c r="F361" s="85"/>
      <c r="G361" s="83" t="s">
        <v>1608</v>
      </c>
      <c r="H361" s="81" t="s">
        <v>88</v>
      </c>
      <c r="I361" s="81" t="s">
        <v>60</v>
      </c>
      <c r="J361" s="90" t="s">
        <v>1609</v>
      </c>
      <c r="K361" s="74" t="s">
        <v>1610</v>
      </c>
      <c r="L361" s="67"/>
      <c r="M361" s="81"/>
      <c r="N361" s="81"/>
      <c r="O361" s="81"/>
      <c r="P361" s="81"/>
      <c r="Q361" s="81" t="s">
        <v>93</v>
      </c>
      <c r="R361" s="93" t="s">
        <v>94</v>
      </c>
      <c r="S361" s="93" t="s">
        <v>94</v>
      </c>
      <c r="T361" s="86">
        <v>46258.0</v>
      </c>
      <c r="U361" s="28"/>
      <c r="V361" s="30"/>
      <c r="W361" s="28"/>
      <c r="X361" s="28"/>
      <c r="Y361" s="28"/>
      <c r="Z361" s="28"/>
    </row>
    <row r="362" ht="13.5" customHeight="1">
      <c r="A362" s="67"/>
      <c r="B362" s="67"/>
      <c r="C362" s="67"/>
      <c r="D362" s="67"/>
      <c r="E362" s="81" t="s">
        <v>1611</v>
      </c>
      <c r="F362" s="82" t="s">
        <v>1612</v>
      </c>
      <c r="G362" s="83" t="s">
        <v>1613</v>
      </c>
      <c r="H362" s="81" t="s">
        <v>88</v>
      </c>
      <c r="I362" s="81" t="s">
        <v>60</v>
      </c>
      <c r="J362" s="70" t="s">
        <v>1614</v>
      </c>
      <c r="K362" s="74" t="s">
        <v>1615</v>
      </c>
      <c r="L362" s="67"/>
      <c r="M362" s="81"/>
      <c r="N362" s="81"/>
      <c r="O362" s="81"/>
      <c r="P362" s="81"/>
      <c r="Q362" s="81" t="s">
        <v>93</v>
      </c>
      <c r="R362" s="93" t="s">
        <v>94</v>
      </c>
      <c r="S362" s="93" t="s">
        <v>94</v>
      </c>
      <c r="T362" s="86">
        <v>46258.0</v>
      </c>
      <c r="U362" s="28"/>
      <c r="V362" s="30"/>
      <c r="W362" s="28"/>
      <c r="X362" s="28"/>
      <c r="Y362" s="28"/>
      <c r="Z362" s="28"/>
    </row>
    <row r="363" ht="13.5" customHeight="1">
      <c r="A363" s="67"/>
      <c r="B363" s="67"/>
      <c r="C363" s="67"/>
      <c r="D363" s="67"/>
      <c r="E363" s="81" t="s">
        <v>1616</v>
      </c>
      <c r="F363" s="85"/>
      <c r="G363" s="83" t="s">
        <v>1617</v>
      </c>
      <c r="H363" s="81" t="s">
        <v>88</v>
      </c>
      <c r="I363" s="81" t="s">
        <v>60</v>
      </c>
      <c r="J363" s="82" t="s">
        <v>1618</v>
      </c>
      <c r="K363" s="70"/>
      <c r="L363" s="67"/>
      <c r="M363" s="81"/>
      <c r="N363" s="81"/>
      <c r="O363" s="81"/>
      <c r="P363" s="81"/>
      <c r="Q363" s="81" t="s">
        <v>93</v>
      </c>
      <c r="R363" s="93" t="s">
        <v>94</v>
      </c>
      <c r="S363" s="93" t="s">
        <v>94</v>
      </c>
      <c r="T363" s="86">
        <v>46232.0</v>
      </c>
      <c r="U363" s="28"/>
      <c r="V363" s="30"/>
      <c r="W363" s="28"/>
      <c r="X363" s="28"/>
      <c r="Y363" s="28"/>
      <c r="Z363" s="28"/>
    </row>
    <row r="364" ht="13.5" customHeight="1">
      <c r="A364" s="77"/>
      <c r="B364" s="77"/>
      <c r="C364" s="77"/>
      <c r="D364" s="77"/>
      <c r="E364" s="81" t="s">
        <v>1619</v>
      </c>
      <c r="F364" s="85"/>
      <c r="G364" s="132" t="s">
        <v>1620</v>
      </c>
      <c r="H364" s="81" t="s">
        <v>88</v>
      </c>
      <c r="I364" s="81" t="s">
        <v>60</v>
      </c>
      <c r="J364" s="70" t="s">
        <v>1621</v>
      </c>
      <c r="K364" s="74" t="s">
        <v>1622</v>
      </c>
      <c r="L364" s="77"/>
      <c r="M364" s="81"/>
      <c r="N364" s="81"/>
      <c r="O364" s="81"/>
      <c r="P364" s="81"/>
      <c r="Q364" s="81" t="s">
        <v>93</v>
      </c>
      <c r="R364" s="93" t="s">
        <v>94</v>
      </c>
      <c r="S364" s="93" t="s">
        <v>94</v>
      </c>
      <c r="T364" s="86">
        <v>46258.0</v>
      </c>
      <c r="U364" s="28"/>
      <c r="V364" s="30"/>
      <c r="W364" s="28"/>
      <c r="X364" s="28"/>
      <c r="Y364" s="28"/>
      <c r="Z364" s="28"/>
    </row>
    <row r="365" ht="13.5" customHeight="1">
      <c r="A365" s="59" t="s">
        <v>51</v>
      </c>
      <c r="B365" s="59" t="s">
        <v>227</v>
      </c>
      <c r="C365" s="60" t="s">
        <v>229</v>
      </c>
      <c r="D365" s="60" t="s">
        <v>1623</v>
      </c>
      <c r="E365" s="61" t="s">
        <v>1624</v>
      </c>
      <c r="F365" s="62" t="s">
        <v>1625</v>
      </c>
      <c r="G365" s="63" t="s">
        <v>1626</v>
      </c>
      <c r="H365" s="61" t="s">
        <v>88</v>
      </c>
      <c r="I365" s="61" t="s">
        <v>60</v>
      </c>
      <c r="J365" s="62" t="s">
        <v>1627</v>
      </c>
      <c r="K365" s="70"/>
      <c r="L365" s="59" t="s">
        <v>719</v>
      </c>
      <c r="M365" s="61"/>
      <c r="N365" s="61"/>
      <c r="O365" s="61"/>
      <c r="P365" s="61"/>
      <c r="Q365" s="61" t="s">
        <v>93</v>
      </c>
      <c r="R365" s="61" t="s">
        <v>94</v>
      </c>
      <c r="S365" s="61" t="s">
        <v>94</v>
      </c>
      <c r="T365" s="66">
        <v>46232.0</v>
      </c>
      <c r="U365" s="28"/>
      <c r="V365" s="30"/>
      <c r="W365" s="28"/>
      <c r="X365" s="28"/>
      <c r="Y365" s="28"/>
      <c r="Z365" s="28"/>
    </row>
    <row r="366" ht="13.5" customHeight="1">
      <c r="A366" s="67"/>
      <c r="B366" s="67"/>
      <c r="C366" s="67"/>
      <c r="D366" s="67"/>
      <c r="E366" s="61" t="s">
        <v>1628</v>
      </c>
      <c r="F366" s="62" t="s">
        <v>1629</v>
      </c>
      <c r="G366" s="63" t="s">
        <v>1630</v>
      </c>
      <c r="H366" s="61" t="s">
        <v>88</v>
      </c>
      <c r="I366" s="61" t="s">
        <v>60</v>
      </c>
      <c r="J366" s="62" t="s">
        <v>1631</v>
      </c>
      <c r="K366" s="70"/>
      <c r="L366" s="67"/>
      <c r="M366" s="61"/>
      <c r="N366" s="61"/>
      <c r="O366" s="61"/>
      <c r="P366" s="61"/>
      <c r="Q366" s="61" t="s">
        <v>93</v>
      </c>
      <c r="R366" s="61" t="s">
        <v>94</v>
      </c>
      <c r="S366" s="61" t="s">
        <v>94</v>
      </c>
      <c r="T366" s="66">
        <v>46232.0</v>
      </c>
      <c r="U366" s="28"/>
      <c r="V366" s="30"/>
      <c r="W366" s="28"/>
      <c r="X366" s="28"/>
      <c r="Y366" s="28"/>
      <c r="Z366" s="28"/>
    </row>
    <row r="367" ht="13.5" customHeight="1">
      <c r="A367" s="67"/>
      <c r="B367" s="67"/>
      <c r="C367" s="67"/>
      <c r="D367" s="67"/>
      <c r="E367" s="61" t="s">
        <v>1632</v>
      </c>
      <c r="F367" s="68"/>
      <c r="G367" s="63" t="s">
        <v>1633</v>
      </c>
      <c r="H367" s="61" t="s">
        <v>88</v>
      </c>
      <c r="I367" s="61" t="s">
        <v>60</v>
      </c>
      <c r="J367" s="62" t="s">
        <v>1634</v>
      </c>
      <c r="K367" s="92" t="s">
        <v>1635</v>
      </c>
      <c r="L367" s="67"/>
      <c r="M367" s="61"/>
      <c r="N367" s="61"/>
      <c r="O367" s="61"/>
      <c r="P367" s="61"/>
      <c r="Q367" s="81" t="s">
        <v>93</v>
      </c>
      <c r="R367" s="81" t="s">
        <v>94</v>
      </c>
      <c r="S367" s="81" t="s">
        <v>94</v>
      </c>
      <c r="T367" s="84">
        <v>46259.0</v>
      </c>
      <c r="U367" s="28"/>
      <c r="V367" s="30"/>
      <c r="W367" s="28"/>
      <c r="X367" s="28"/>
      <c r="Y367" s="28"/>
      <c r="Z367" s="28"/>
    </row>
    <row r="368" ht="13.5" customHeight="1">
      <c r="A368" s="67"/>
      <c r="B368" s="67"/>
      <c r="C368" s="67"/>
      <c r="D368" s="67"/>
      <c r="E368" s="61" t="s">
        <v>1636</v>
      </c>
      <c r="F368" s="68"/>
      <c r="G368" s="63" t="s">
        <v>1637</v>
      </c>
      <c r="H368" s="61" t="s">
        <v>88</v>
      </c>
      <c r="I368" s="61" t="s">
        <v>60</v>
      </c>
      <c r="J368" s="62" t="s">
        <v>1638</v>
      </c>
      <c r="K368" s="70"/>
      <c r="L368" s="67"/>
      <c r="M368" s="61"/>
      <c r="N368" s="61"/>
      <c r="O368" s="61"/>
      <c r="P368" s="61"/>
      <c r="Q368" s="61" t="s">
        <v>93</v>
      </c>
      <c r="R368" s="61" t="s">
        <v>94</v>
      </c>
      <c r="S368" s="61" t="s">
        <v>94</v>
      </c>
      <c r="T368" s="66">
        <v>46232.0</v>
      </c>
      <c r="U368" s="28"/>
      <c r="V368" s="30"/>
      <c r="W368" s="28"/>
      <c r="X368" s="28"/>
      <c r="Y368" s="28"/>
      <c r="Z368" s="28"/>
    </row>
    <row r="369" ht="13.5" customHeight="1">
      <c r="A369" s="67"/>
      <c r="B369" s="67"/>
      <c r="C369" s="67"/>
      <c r="D369" s="67"/>
      <c r="E369" s="61" t="s">
        <v>1639</v>
      </c>
      <c r="F369" s="62" t="s">
        <v>1640</v>
      </c>
      <c r="G369" s="63" t="s">
        <v>1641</v>
      </c>
      <c r="H369" s="61" t="s">
        <v>88</v>
      </c>
      <c r="I369" s="61" t="s">
        <v>60</v>
      </c>
      <c r="J369" s="62" t="s">
        <v>1642</v>
      </c>
      <c r="K369" s="70"/>
      <c r="L369" s="67"/>
      <c r="M369" s="61"/>
      <c r="N369" s="61"/>
      <c r="O369" s="61"/>
      <c r="P369" s="61"/>
      <c r="Q369" s="61" t="s">
        <v>93</v>
      </c>
      <c r="R369" s="61" t="s">
        <v>94</v>
      </c>
      <c r="S369" s="61" t="s">
        <v>94</v>
      </c>
      <c r="T369" s="66">
        <v>46232.0</v>
      </c>
      <c r="U369" s="28"/>
      <c r="V369" s="30"/>
      <c r="W369" s="28"/>
      <c r="X369" s="28"/>
      <c r="Y369" s="28"/>
      <c r="Z369" s="28"/>
    </row>
    <row r="370" ht="13.5" customHeight="1">
      <c r="A370" s="67"/>
      <c r="B370" s="67"/>
      <c r="C370" s="67"/>
      <c r="D370" s="67"/>
      <c r="E370" s="61" t="s">
        <v>1643</v>
      </c>
      <c r="F370" s="68"/>
      <c r="G370" s="63" t="s">
        <v>1644</v>
      </c>
      <c r="H370" s="61" t="s">
        <v>88</v>
      </c>
      <c r="I370" s="61" t="s">
        <v>60</v>
      </c>
      <c r="J370" s="62" t="s">
        <v>1645</v>
      </c>
      <c r="K370" s="70"/>
      <c r="L370" s="67"/>
      <c r="M370" s="61"/>
      <c r="N370" s="61"/>
      <c r="O370" s="61"/>
      <c r="P370" s="61"/>
      <c r="Q370" s="61" t="s">
        <v>93</v>
      </c>
      <c r="R370" s="61" t="s">
        <v>94</v>
      </c>
      <c r="S370" s="61" t="s">
        <v>94</v>
      </c>
      <c r="T370" s="66">
        <v>46232.0</v>
      </c>
      <c r="U370" s="28"/>
      <c r="V370" s="30"/>
      <c r="W370" s="28"/>
      <c r="X370" s="28"/>
      <c r="Y370" s="28"/>
      <c r="Z370" s="28"/>
    </row>
    <row r="371" ht="13.5" customHeight="1">
      <c r="A371" s="67"/>
      <c r="B371" s="67"/>
      <c r="C371" s="67"/>
      <c r="D371" s="67"/>
      <c r="E371" s="61" t="s">
        <v>1646</v>
      </c>
      <c r="F371" s="68"/>
      <c r="G371" s="63" t="s">
        <v>1647</v>
      </c>
      <c r="H371" s="61" t="s">
        <v>88</v>
      </c>
      <c r="I371" s="61" t="s">
        <v>60</v>
      </c>
      <c r="J371" s="62" t="s">
        <v>1648</v>
      </c>
      <c r="K371" s="70"/>
      <c r="L371" s="67"/>
      <c r="M371" s="61"/>
      <c r="N371" s="61"/>
      <c r="O371" s="61"/>
      <c r="P371" s="61"/>
      <c r="Q371" s="61" t="s">
        <v>93</v>
      </c>
      <c r="R371" s="61" t="s">
        <v>94</v>
      </c>
      <c r="S371" s="61" t="s">
        <v>94</v>
      </c>
      <c r="T371" s="66">
        <v>46232.0</v>
      </c>
      <c r="U371" s="28"/>
      <c r="V371" s="30"/>
      <c r="W371" s="28"/>
      <c r="X371" s="28"/>
      <c r="Y371" s="28"/>
      <c r="Z371" s="28"/>
    </row>
    <row r="372" ht="13.5" customHeight="1">
      <c r="A372" s="67"/>
      <c r="B372" s="67"/>
      <c r="C372" s="67"/>
      <c r="D372" s="67"/>
      <c r="E372" s="61" t="s">
        <v>1649</v>
      </c>
      <c r="F372" s="68"/>
      <c r="G372" s="63" t="s">
        <v>1650</v>
      </c>
      <c r="H372" s="61" t="s">
        <v>88</v>
      </c>
      <c r="I372" s="61" t="s">
        <v>60</v>
      </c>
      <c r="J372" s="62" t="s">
        <v>1651</v>
      </c>
      <c r="K372" s="88" t="s">
        <v>1345</v>
      </c>
      <c r="L372" s="67"/>
      <c r="M372" s="61"/>
      <c r="N372" s="61"/>
      <c r="O372" s="61"/>
      <c r="P372" s="61"/>
      <c r="Q372" s="61" t="s">
        <v>93</v>
      </c>
      <c r="R372" s="61" t="s">
        <v>94</v>
      </c>
      <c r="S372" s="61" t="s">
        <v>94</v>
      </c>
      <c r="T372" s="66">
        <v>46258.0</v>
      </c>
      <c r="U372" s="28"/>
      <c r="V372" s="30"/>
      <c r="W372" s="28"/>
      <c r="X372" s="28"/>
      <c r="Y372" s="28"/>
      <c r="Z372" s="28"/>
    </row>
    <row r="373" ht="13.5" customHeight="1">
      <c r="A373" s="67"/>
      <c r="B373" s="67"/>
      <c r="C373" s="67"/>
      <c r="D373" s="67"/>
      <c r="E373" s="61" t="s">
        <v>1652</v>
      </c>
      <c r="F373" s="62" t="s">
        <v>1653</v>
      </c>
      <c r="G373" s="63" t="s">
        <v>1654</v>
      </c>
      <c r="H373" s="61" t="s">
        <v>88</v>
      </c>
      <c r="I373" s="61" t="s">
        <v>60</v>
      </c>
      <c r="J373" s="62" t="s">
        <v>1655</v>
      </c>
      <c r="K373" s="70"/>
      <c r="L373" s="67"/>
      <c r="M373" s="61"/>
      <c r="N373" s="61"/>
      <c r="O373" s="61"/>
      <c r="P373" s="61"/>
      <c r="Q373" s="61" t="s">
        <v>93</v>
      </c>
      <c r="R373" s="61" t="s">
        <v>94</v>
      </c>
      <c r="S373" s="61" t="s">
        <v>94</v>
      </c>
      <c r="T373" s="66">
        <v>46232.0</v>
      </c>
      <c r="U373" s="28"/>
      <c r="V373" s="30"/>
      <c r="W373" s="28"/>
      <c r="X373" s="28"/>
      <c r="Y373" s="28"/>
      <c r="Z373" s="28"/>
    </row>
    <row r="374" ht="13.5" customHeight="1">
      <c r="A374" s="77"/>
      <c r="B374" s="77"/>
      <c r="C374" s="77"/>
      <c r="D374" s="77"/>
      <c r="E374" s="61" t="s">
        <v>1656</v>
      </c>
      <c r="F374" s="68"/>
      <c r="G374" s="63" t="s">
        <v>1657</v>
      </c>
      <c r="H374" s="61" t="s">
        <v>88</v>
      </c>
      <c r="I374" s="61" t="s">
        <v>60</v>
      </c>
      <c r="J374" s="62" t="s">
        <v>1658</v>
      </c>
      <c r="K374" s="74" t="s">
        <v>1659</v>
      </c>
      <c r="L374" s="77"/>
      <c r="M374" s="61"/>
      <c r="N374" s="61"/>
      <c r="O374" s="61"/>
      <c r="P374" s="61"/>
      <c r="Q374" s="61" t="s">
        <v>93</v>
      </c>
      <c r="R374" s="61" t="s">
        <v>94</v>
      </c>
      <c r="S374" s="61" t="s">
        <v>94</v>
      </c>
      <c r="T374" s="66">
        <v>46258.0</v>
      </c>
      <c r="U374" s="28"/>
      <c r="V374" s="30"/>
      <c r="W374" s="28"/>
      <c r="X374" s="28"/>
      <c r="Y374" s="28"/>
      <c r="Z374" s="28"/>
    </row>
    <row r="375" ht="13.5" customHeight="1">
      <c r="A375" s="78" t="s">
        <v>51</v>
      </c>
      <c r="B375" s="78" t="s">
        <v>234</v>
      </c>
      <c r="C375" s="79" t="s">
        <v>235</v>
      </c>
      <c r="D375" s="79" t="s">
        <v>1660</v>
      </c>
      <c r="E375" s="81" t="s">
        <v>1661</v>
      </c>
      <c r="F375" s="82" t="s">
        <v>1662</v>
      </c>
      <c r="G375" s="83" t="s">
        <v>1663</v>
      </c>
      <c r="H375" s="81" t="s">
        <v>88</v>
      </c>
      <c r="I375" s="81" t="s">
        <v>931</v>
      </c>
      <c r="J375" s="82" t="s">
        <v>1664</v>
      </c>
      <c r="K375" s="70"/>
      <c r="L375" s="78" t="s">
        <v>1665</v>
      </c>
      <c r="M375" s="81"/>
      <c r="N375" s="81"/>
      <c r="O375" s="81"/>
      <c r="P375" s="81"/>
      <c r="Q375" s="81" t="s">
        <v>93</v>
      </c>
      <c r="R375" s="81" t="s">
        <v>94</v>
      </c>
      <c r="S375" s="81" t="s">
        <v>94</v>
      </c>
      <c r="T375" s="86">
        <v>46232.0</v>
      </c>
      <c r="U375" s="28"/>
      <c r="V375" s="30"/>
      <c r="W375" s="28"/>
      <c r="X375" s="28"/>
      <c r="Y375" s="28"/>
      <c r="Z375" s="28"/>
    </row>
    <row r="376" ht="13.5" customHeight="1">
      <c r="A376" s="67"/>
      <c r="B376" s="67"/>
      <c r="C376" s="67"/>
      <c r="D376" s="67"/>
      <c r="E376" s="81" t="s">
        <v>1666</v>
      </c>
      <c r="F376" s="82" t="s">
        <v>1667</v>
      </c>
      <c r="G376" s="83" t="s">
        <v>1668</v>
      </c>
      <c r="H376" s="81" t="s">
        <v>88</v>
      </c>
      <c r="I376" s="81" t="s">
        <v>931</v>
      </c>
      <c r="J376" s="133" t="s">
        <v>1669</v>
      </c>
      <c r="K376" s="70"/>
      <c r="L376" s="67"/>
      <c r="M376" s="81"/>
      <c r="N376" s="81"/>
      <c r="O376" s="81"/>
      <c r="P376" s="81"/>
      <c r="Q376" s="81" t="s">
        <v>93</v>
      </c>
      <c r="R376" s="81" t="s">
        <v>94</v>
      </c>
      <c r="S376" s="81" t="s">
        <v>94</v>
      </c>
      <c r="T376" s="86">
        <v>46232.0</v>
      </c>
      <c r="U376" s="28"/>
      <c r="V376" s="30"/>
      <c r="W376" s="28"/>
      <c r="X376" s="28"/>
      <c r="Y376" s="28"/>
      <c r="Z376" s="28"/>
    </row>
    <row r="377" ht="13.5" customHeight="1">
      <c r="A377" s="67"/>
      <c r="B377" s="67"/>
      <c r="C377" s="67"/>
      <c r="D377" s="67"/>
      <c r="E377" s="81" t="s">
        <v>1670</v>
      </c>
      <c r="F377" s="85"/>
      <c r="G377" s="83" t="s">
        <v>1671</v>
      </c>
      <c r="H377" s="81" t="s">
        <v>88</v>
      </c>
      <c r="I377" s="81" t="s">
        <v>931</v>
      </c>
      <c r="J377" s="82" t="s">
        <v>1672</v>
      </c>
      <c r="K377" s="70"/>
      <c r="L377" s="67"/>
      <c r="M377" s="81"/>
      <c r="N377" s="81"/>
      <c r="O377" s="81"/>
      <c r="P377" s="81"/>
      <c r="Q377" s="81" t="s">
        <v>93</v>
      </c>
      <c r="R377" s="81" t="s">
        <v>94</v>
      </c>
      <c r="S377" s="81" t="s">
        <v>94</v>
      </c>
      <c r="T377" s="86">
        <v>46232.0</v>
      </c>
      <c r="U377" s="28"/>
      <c r="V377" s="30"/>
      <c r="W377" s="28"/>
      <c r="X377" s="28"/>
      <c r="Y377" s="28"/>
      <c r="Z377" s="28"/>
    </row>
    <row r="378" ht="13.5" customHeight="1">
      <c r="A378" s="67"/>
      <c r="B378" s="67"/>
      <c r="C378" s="67"/>
      <c r="D378" s="67"/>
      <c r="E378" s="81" t="s">
        <v>1673</v>
      </c>
      <c r="F378" s="85"/>
      <c r="G378" s="83" t="s">
        <v>1674</v>
      </c>
      <c r="H378" s="81" t="s">
        <v>88</v>
      </c>
      <c r="I378" s="81" t="s">
        <v>931</v>
      </c>
      <c r="J378" s="82" t="s">
        <v>1675</v>
      </c>
      <c r="K378" s="70"/>
      <c r="L378" s="67"/>
      <c r="M378" s="81"/>
      <c r="N378" s="81"/>
      <c r="O378" s="81"/>
      <c r="P378" s="81"/>
      <c r="Q378" s="81" t="s">
        <v>93</v>
      </c>
      <c r="R378" s="81" t="s">
        <v>94</v>
      </c>
      <c r="S378" s="81" t="s">
        <v>94</v>
      </c>
      <c r="T378" s="86">
        <v>46232.0</v>
      </c>
      <c r="U378" s="28"/>
      <c r="V378" s="30"/>
      <c r="W378" s="28"/>
      <c r="X378" s="28"/>
      <c r="Y378" s="28"/>
      <c r="Z378" s="28"/>
    </row>
    <row r="379" ht="13.5" customHeight="1">
      <c r="A379" s="67"/>
      <c r="B379" s="67"/>
      <c r="C379" s="67"/>
      <c r="D379" s="67"/>
      <c r="E379" s="81" t="s">
        <v>1676</v>
      </c>
      <c r="F379" s="82" t="s">
        <v>1677</v>
      </c>
      <c r="G379" s="83" t="s">
        <v>1678</v>
      </c>
      <c r="H379" s="81" t="s">
        <v>88</v>
      </c>
      <c r="I379" s="81" t="s">
        <v>1679</v>
      </c>
      <c r="J379" s="82" t="s">
        <v>1680</v>
      </c>
      <c r="K379" s="70"/>
      <c r="L379" s="67"/>
      <c r="M379" s="81"/>
      <c r="N379" s="81"/>
      <c r="O379" s="81"/>
      <c r="P379" s="81"/>
      <c r="Q379" s="81" t="s">
        <v>93</v>
      </c>
      <c r="R379" s="81" t="s">
        <v>94</v>
      </c>
      <c r="S379" s="81" t="s">
        <v>94</v>
      </c>
      <c r="T379" s="86">
        <v>46232.0</v>
      </c>
      <c r="U379" s="28"/>
      <c r="V379" s="30"/>
      <c r="W379" s="28"/>
      <c r="X379" s="28"/>
      <c r="Y379" s="28"/>
      <c r="Z379" s="28"/>
    </row>
    <row r="380" ht="13.5" customHeight="1">
      <c r="A380" s="67"/>
      <c r="B380" s="67"/>
      <c r="C380" s="67"/>
      <c r="D380" s="67"/>
      <c r="E380" s="81" t="s">
        <v>1681</v>
      </c>
      <c r="F380" s="85"/>
      <c r="G380" s="83" t="s">
        <v>1682</v>
      </c>
      <c r="H380" s="81" t="s">
        <v>88</v>
      </c>
      <c r="I380" s="81" t="s">
        <v>1679</v>
      </c>
      <c r="J380" s="82" t="s">
        <v>1683</v>
      </c>
      <c r="K380" s="70"/>
      <c r="L380" s="67"/>
      <c r="M380" s="81"/>
      <c r="N380" s="81"/>
      <c r="O380" s="81"/>
      <c r="P380" s="81"/>
      <c r="Q380" s="81" t="s">
        <v>93</v>
      </c>
      <c r="R380" s="81" t="s">
        <v>94</v>
      </c>
      <c r="S380" s="81" t="s">
        <v>94</v>
      </c>
      <c r="T380" s="86">
        <v>46232.0</v>
      </c>
      <c r="U380" s="28"/>
      <c r="V380" s="30"/>
      <c r="W380" s="28"/>
      <c r="X380" s="28"/>
      <c r="Y380" s="28"/>
      <c r="Z380" s="28"/>
    </row>
    <row r="381" ht="13.5" customHeight="1">
      <c r="A381" s="67"/>
      <c r="B381" s="67"/>
      <c r="C381" s="67"/>
      <c r="D381" s="67"/>
      <c r="E381" s="81" t="s">
        <v>1684</v>
      </c>
      <c r="F381" s="85"/>
      <c r="G381" s="83" t="s">
        <v>1685</v>
      </c>
      <c r="H381" s="81" t="s">
        <v>88</v>
      </c>
      <c r="I381" s="81" t="s">
        <v>931</v>
      </c>
      <c r="J381" s="82" t="s">
        <v>1686</v>
      </c>
      <c r="K381" s="70"/>
      <c r="L381" s="67"/>
      <c r="M381" s="81"/>
      <c r="N381" s="81"/>
      <c r="O381" s="81"/>
      <c r="P381" s="81"/>
      <c r="Q381" s="81" t="s">
        <v>93</v>
      </c>
      <c r="R381" s="81" t="s">
        <v>94</v>
      </c>
      <c r="S381" s="81" t="s">
        <v>94</v>
      </c>
      <c r="T381" s="86">
        <v>46232.0</v>
      </c>
      <c r="U381" s="28"/>
      <c r="V381" s="30"/>
      <c r="W381" s="28"/>
      <c r="X381" s="28"/>
      <c r="Y381" s="28"/>
      <c r="Z381" s="28"/>
    </row>
    <row r="382" ht="13.5" customHeight="1">
      <c r="A382" s="77"/>
      <c r="B382" s="77"/>
      <c r="C382" s="77"/>
      <c r="D382" s="77"/>
      <c r="E382" s="81" t="s">
        <v>1687</v>
      </c>
      <c r="F382" s="85"/>
      <c r="G382" s="83" t="s">
        <v>1688</v>
      </c>
      <c r="H382" s="81" t="s">
        <v>88</v>
      </c>
      <c r="I382" s="81" t="s">
        <v>931</v>
      </c>
      <c r="J382" s="82" t="s">
        <v>1689</v>
      </c>
      <c r="K382" s="70"/>
      <c r="L382" s="77"/>
      <c r="M382" s="81"/>
      <c r="N382" s="81"/>
      <c r="O382" s="81"/>
      <c r="P382" s="81"/>
      <c r="Q382" s="81" t="s">
        <v>93</v>
      </c>
      <c r="R382" s="81" t="s">
        <v>94</v>
      </c>
      <c r="S382" s="81" t="s">
        <v>94</v>
      </c>
      <c r="T382" s="86">
        <v>46232.0</v>
      </c>
      <c r="U382" s="28"/>
      <c r="V382" s="30"/>
      <c r="W382" s="28"/>
      <c r="X382" s="28"/>
      <c r="Y382" s="28"/>
      <c r="Z382" s="28"/>
    </row>
    <row r="383" ht="13.5" customHeight="1">
      <c r="A383" s="59" t="s">
        <v>51</v>
      </c>
      <c r="B383" s="59" t="s">
        <v>243</v>
      </c>
      <c r="C383" s="60" t="s">
        <v>245</v>
      </c>
      <c r="D383" s="60" t="s">
        <v>1690</v>
      </c>
      <c r="E383" s="61" t="s">
        <v>1691</v>
      </c>
      <c r="F383" s="62" t="s">
        <v>1662</v>
      </c>
      <c r="G383" s="63" t="s">
        <v>1692</v>
      </c>
      <c r="H383" s="61" t="s">
        <v>88</v>
      </c>
      <c r="I383" s="61" t="s">
        <v>931</v>
      </c>
      <c r="J383" s="62" t="s">
        <v>1664</v>
      </c>
      <c r="K383" s="70"/>
      <c r="L383" s="59" t="s">
        <v>1665</v>
      </c>
      <c r="M383" s="61"/>
      <c r="N383" s="61"/>
      <c r="O383" s="61"/>
      <c r="P383" s="61"/>
      <c r="Q383" s="61" t="s">
        <v>93</v>
      </c>
      <c r="R383" s="61" t="s">
        <v>94</v>
      </c>
      <c r="S383" s="61" t="s">
        <v>94</v>
      </c>
      <c r="T383" s="66">
        <v>46232.0</v>
      </c>
      <c r="U383" s="28"/>
      <c r="V383" s="30"/>
      <c r="W383" s="28"/>
      <c r="X383" s="28"/>
      <c r="Y383" s="28"/>
      <c r="Z383" s="28"/>
    </row>
    <row r="384" ht="13.5" customHeight="1">
      <c r="A384" s="67"/>
      <c r="B384" s="67"/>
      <c r="C384" s="67"/>
      <c r="D384" s="67"/>
      <c r="E384" s="61" t="s">
        <v>1693</v>
      </c>
      <c r="F384" s="62" t="s">
        <v>1667</v>
      </c>
      <c r="G384" s="63" t="s">
        <v>1668</v>
      </c>
      <c r="H384" s="61" t="s">
        <v>88</v>
      </c>
      <c r="I384" s="61" t="s">
        <v>931</v>
      </c>
      <c r="J384" s="72" t="s">
        <v>1669</v>
      </c>
      <c r="K384" s="70"/>
      <c r="L384" s="67"/>
      <c r="M384" s="61"/>
      <c r="N384" s="61"/>
      <c r="O384" s="61"/>
      <c r="P384" s="61"/>
      <c r="Q384" s="61" t="s">
        <v>93</v>
      </c>
      <c r="R384" s="61" t="s">
        <v>94</v>
      </c>
      <c r="S384" s="61" t="s">
        <v>94</v>
      </c>
      <c r="T384" s="66">
        <v>46232.0</v>
      </c>
      <c r="U384" s="28"/>
      <c r="V384" s="30"/>
      <c r="W384" s="28"/>
      <c r="X384" s="28"/>
      <c r="Y384" s="28"/>
      <c r="Z384" s="28"/>
    </row>
    <row r="385" ht="13.5" customHeight="1">
      <c r="A385" s="67"/>
      <c r="B385" s="67"/>
      <c r="C385" s="67"/>
      <c r="D385" s="67"/>
      <c r="E385" s="61" t="s">
        <v>1694</v>
      </c>
      <c r="F385" s="68"/>
      <c r="G385" s="63" t="s">
        <v>1671</v>
      </c>
      <c r="H385" s="61" t="s">
        <v>88</v>
      </c>
      <c r="I385" s="61" t="s">
        <v>931</v>
      </c>
      <c r="J385" s="62" t="s">
        <v>1672</v>
      </c>
      <c r="K385" s="70"/>
      <c r="L385" s="67"/>
      <c r="M385" s="61"/>
      <c r="N385" s="61"/>
      <c r="O385" s="61"/>
      <c r="P385" s="61"/>
      <c r="Q385" s="61" t="s">
        <v>93</v>
      </c>
      <c r="R385" s="61" t="s">
        <v>94</v>
      </c>
      <c r="S385" s="61" t="s">
        <v>94</v>
      </c>
      <c r="T385" s="66">
        <v>46232.0</v>
      </c>
      <c r="U385" s="28"/>
      <c r="V385" s="30"/>
      <c r="W385" s="28"/>
      <c r="X385" s="28"/>
      <c r="Y385" s="28"/>
      <c r="Z385" s="28"/>
    </row>
    <row r="386" ht="13.5" customHeight="1">
      <c r="A386" s="67"/>
      <c r="B386" s="67"/>
      <c r="C386" s="67"/>
      <c r="D386" s="67"/>
      <c r="E386" s="61" t="s">
        <v>1695</v>
      </c>
      <c r="F386" s="68"/>
      <c r="G386" s="63" t="s">
        <v>1696</v>
      </c>
      <c r="H386" s="61" t="s">
        <v>88</v>
      </c>
      <c r="I386" s="61" t="s">
        <v>931</v>
      </c>
      <c r="J386" s="62" t="s">
        <v>1675</v>
      </c>
      <c r="K386" s="70"/>
      <c r="L386" s="67"/>
      <c r="M386" s="61"/>
      <c r="N386" s="61"/>
      <c r="O386" s="61"/>
      <c r="P386" s="61"/>
      <c r="Q386" s="61" t="s">
        <v>93</v>
      </c>
      <c r="R386" s="61" t="s">
        <v>94</v>
      </c>
      <c r="S386" s="61" t="s">
        <v>94</v>
      </c>
      <c r="T386" s="66">
        <v>46232.0</v>
      </c>
      <c r="U386" s="28"/>
      <c r="V386" s="30"/>
      <c r="W386" s="28"/>
      <c r="X386" s="28"/>
      <c r="Y386" s="28"/>
      <c r="Z386" s="28"/>
    </row>
    <row r="387" ht="13.5" customHeight="1">
      <c r="A387" s="67"/>
      <c r="B387" s="67"/>
      <c r="C387" s="67"/>
      <c r="D387" s="67"/>
      <c r="E387" s="61" t="s">
        <v>1697</v>
      </c>
      <c r="F387" s="62" t="s">
        <v>1677</v>
      </c>
      <c r="G387" s="63" t="s">
        <v>1698</v>
      </c>
      <c r="H387" s="61" t="s">
        <v>88</v>
      </c>
      <c r="I387" s="61" t="s">
        <v>931</v>
      </c>
      <c r="J387" s="62" t="s">
        <v>1699</v>
      </c>
      <c r="K387" s="70"/>
      <c r="L387" s="67"/>
      <c r="M387" s="61"/>
      <c r="N387" s="61"/>
      <c r="O387" s="61"/>
      <c r="P387" s="61"/>
      <c r="Q387" s="61" t="s">
        <v>93</v>
      </c>
      <c r="R387" s="61" t="s">
        <v>94</v>
      </c>
      <c r="S387" s="61" t="s">
        <v>94</v>
      </c>
      <c r="T387" s="66">
        <v>46232.0</v>
      </c>
      <c r="U387" s="28"/>
      <c r="V387" s="30"/>
      <c r="W387" s="28"/>
      <c r="X387" s="28"/>
      <c r="Y387" s="28"/>
      <c r="Z387" s="28"/>
    </row>
    <row r="388" ht="13.5" customHeight="1">
      <c r="A388" s="67"/>
      <c r="B388" s="67"/>
      <c r="C388" s="67"/>
      <c r="D388" s="67"/>
      <c r="E388" s="61" t="s">
        <v>1700</v>
      </c>
      <c r="F388" s="68"/>
      <c r="G388" s="63" t="s">
        <v>1701</v>
      </c>
      <c r="H388" s="61" t="s">
        <v>88</v>
      </c>
      <c r="I388" s="61" t="s">
        <v>1679</v>
      </c>
      <c r="J388" s="62" t="s">
        <v>1702</v>
      </c>
      <c r="K388" s="70"/>
      <c r="L388" s="67"/>
      <c r="M388" s="61"/>
      <c r="N388" s="61"/>
      <c r="O388" s="61"/>
      <c r="P388" s="61"/>
      <c r="Q388" s="61" t="s">
        <v>93</v>
      </c>
      <c r="R388" s="61" t="s">
        <v>94</v>
      </c>
      <c r="S388" s="61" t="s">
        <v>94</v>
      </c>
      <c r="T388" s="66">
        <v>46232.0</v>
      </c>
      <c r="U388" s="28"/>
      <c r="V388" s="30"/>
      <c r="W388" s="28"/>
      <c r="X388" s="28"/>
      <c r="Y388" s="28"/>
      <c r="Z388" s="28"/>
    </row>
    <row r="389" ht="13.5" customHeight="1">
      <c r="A389" s="67"/>
      <c r="B389" s="67"/>
      <c r="C389" s="67"/>
      <c r="D389" s="67"/>
      <c r="E389" s="61" t="s">
        <v>1703</v>
      </c>
      <c r="F389" s="68"/>
      <c r="G389" s="63" t="s">
        <v>1685</v>
      </c>
      <c r="H389" s="61" t="s">
        <v>88</v>
      </c>
      <c r="I389" s="61" t="s">
        <v>931</v>
      </c>
      <c r="J389" s="62" t="s">
        <v>1686</v>
      </c>
      <c r="K389" s="70"/>
      <c r="L389" s="67"/>
      <c r="M389" s="61"/>
      <c r="N389" s="61"/>
      <c r="O389" s="61"/>
      <c r="P389" s="61"/>
      <c r="Q389" s="61" t="s">
        <v>93</v>
      </c>
      <c r="R389" s="61" t="s">
        <v>94</v>
      </c>
      <c r="S389" s="61" t="s">
        <v>94</v>
      </c>
      <c r="T389" s="66">
        <v>46232.0</v>
      </c>
      <c r="U389" s="28"/>
      <c r="V389" s="30"/>
      <c r="W389" s="28"/>
      <c r="X389" s="28"/>
      <c r="Y389" s="28"/>
      <c r="Z389" s="28"/>
    </row>
    <row r="390" ht="13.5" customHeight="1">
      <c r="A390" s="77"/>
      <c r="B390" s="77"/>
      <c r="C390" s="77"/>
      <c r="D390" s="77"/>
      <c r="E390" s="61" t="s">
        <v>1704</v>
      </c>
      <c r="F390" s="68"/>
      <c r="G390" s="63" t="s">
        <v>1688</v>
      </c>
      <c r="H390" s="61" t="s">
        <v>88</v>
      </c>
      <c r="I390" s="61" t="s">
        <v>931</v>
      </c>
      <c r="J390" s="62" t="s">
        <v>1705</v>
      </c>
      <c r="K390" s="70"/>
      <c r="L390" s="77"/>
      <c r="M390" s="61"/>
      <c r="N390" s="61"/>
      <c r="O390" s="61"/>
      <c r="P390" s="61"/>
      <c r="Q390" s="61" t="s">
        <v>93</v>
      </c>
      <c r="R390" s="61" t="s">
        <v>94</v>
      </c>
      <c r="S390" s="61" t="s">
        <v>94</v>
      </c>
      <c r="T390" s="66">
        <v>46232.0</v>
      </c>
      <c r="U390" s="28"/>
      <c r="V390" s="30"/>
      <c r="W390" s="28"/>
      <c r="X390" s="28"/>
      <c r="Y390" s="28"/>
      <c r="Z390" s="28"/>
    </row>
    <row r="391" ht="13.5" customHeight="1">
      <c r="A391" s="78" t="s">
        <v>51</v>
      </c>
      <c r="B391" s="78" t="s">
        <v>248</v>
      </c>
      <c r="C391" s="79" t="s">
        <v>249</v>
      </c>
      <c r="D391" s="79" t="s">
        <v>1706</v>
      </c>
      <c r="E391" s="81" t="s">
        <v>1707</v>
      </c>
      <c r="F391" s="82" t="s">
        <v>1662</v>
      </c>
      <c r="G391" s="83" t="s">
        <v>1708</v>
      </c>
      <c r="H391" s="81" t="s">
        <v>88</v>
      </c>
      <c r="I391" s="81" t="s">
        <v>931</v>
      </c>
      <c r="J391" s="82" t="s">
        <v>1664</v>
      </c>
      <c r="K391" s="70"/>
      <c r="L391" s="78" t="s">
        <v>1665</v>
      </c>
      <c r="M391" s="81"/>
      <c r="N391" s="81"/>
      <c r="O391" s="81"/>
      <c r="P391" s="81"/>
      <c r="Q391" s="81" t="s">
        <v>93</v>
      </c>
      <c r="R391" s="81" t="s">
        <v>94</v>
      </c>
      <c r="S391" s="81" t="s">
        <v>94</v>
      </c>
      <c r="T391" s="86">
        <v>46232.0</v>
      </c>
      <c r="U391" s="28"/>
      <c r="V391" s="30"/>
      <c r="W391" s="28"/>
      <c r="X391" s="28"/>
      <c r="Y391" s="28"/>
      <c r="Z391" s="28"/>
    </row>
    <row r="392" ht="13.5" customHeight="1">
      <c r="A392" s="67"/>
      <c r="B392" s="67"/>
      <c r="C392" s="67"/>
      <c r="D392" s="67"/>
      <c r="E392" s="81" t="s">
        <v>1709</v>
      </c>
      <c r="F392" s="82" t="s">
        <v>1667</v>
      </c>
      <c r="G392" s="83" t="s">
        <v>1668</v>
      </c>
      <c r="H392" s="81" t="s">
        <v>88</v>
      </c>
      <c r="I392" s="81" t="s">
        <v>931</v>
      </c>
      <c r="J392" s="82" t="s">
        <v>1710</v>
      </c>
      <c r="K392" s="70"/>
      <c r="L392" s="67"/>
      <c r="M392" s="81"/>
      <c r="N392" s="81"/>
      <c r="O392" s="81"/>
      <c r="P392" s="81"/>
      <c r="Q392" s="81" t="s">
        <v>93</v>
      </c>
      <c r="R392" s="81" t="s">
        <v>94</v>
      </c>
      <c r="S392" s="81" t="s">
        <v>94</v>
      </c>
      <c r="T392" s="86">
        <v>46232.0</v>
      </c>
      <c r="U392" s="28"/>
      <c r="V392" s="30"/>
      <c r="W392" s="28"/>
      <c r="X392" s="28"/>
      <c r="Y392" s="28"/>
      <c r="Z392" s="28"/>
    </row>
    <row r="393" ht="13.5" customHeight="1">
      <c r="A393" s="67"/>
      <c r="B393" s="67"/>
      <c r="C393" s="67"/>
      <c r="D393" s="67"/>
      <c r="E393" s="81" t="s">
        <v>1711</v>
      </c>
      <c r="F393" s="85"/>
      <c r="G393" s="83" t="s">
        <v>1712</v>
      </c>
      <c r="H393" s="81" t="s">
        <v>88</v>
      </c>
      <c r="I393" s="81" t="s">
        <v>931</v>
      </c>
      <c r="J393" s="82" t="s">
        <v>1672</v>
      </c>
      <c r="K393" s="70"/>
      <c r="L393" s="67"/>
      <c r="M393" s="81"/>
      <c r="N393" s="81"/>
      <c r="O393" s="81"/>
      <c r="P393" s="81"/>
      <c r="Q393" s="81" t="s">
        <v>93</v>
      </c>
      <c r="R393" s="81" t="s">
        <v>94</v>
      </c>
      <c r="S393" s="81" t="s">
        <v>94</v>
      </c>
      <c r="T393" s="86">
        <v>46232.0</v>
      </c>
      <c r="U393" s="28"/>
      <c r="V393" s="30"/>
      <c r="W393" s="28"/>
      <c r="X393" s="28"/>
      <c r="Y393" s="28"/>
      <c r="Z393" s="28"/>
    </row>
    <row r="394" ht="13.5" customHeight="1">
      <c r="A394" s="67"/>
      <c r="B394" s="67"/>
      <c r="C394" s="67"/>
      <c r="D394" s="67"/>
      <c r="E394" s="81" t="s">
        <v>1713</v>
      </c>
      <c r="F394" s="85"/>
      <c r="G394" s="83" t="s">
        <v>1696</v>
      </c>
      <c r="H394" s="81" t="s">
        <v>88</v>
      </c>
      <c r="I394" s="81" t="s">
        <v>931</v>
      </c>
      <c r="J394" s="82" t="s">
        <v>1675</v>
      </c>
      <c r="K394" s="70"/>
      <c r="L394" s="67"/>
      <c r="M394" s="81"/>
      <c r="N394" s="81"/>
      <c r="O394" s="81"/>
      <c r="P394" s="81"/>
      <c r="Q394" s="81" t="s">
        <v>93</v>
      </c>
      <c r="R394" s="81" t="s">
        <v>94</v>
      </c>
      <c r="S394" s="81" t="s">
        <v>94</v>
      </c>
      <c r="T394" s="86">
        <v>46232.0</v>
      </c>
      <c r="U394" s="28"/>
      <c r="V394" s="30"/>
      <c r="W394" s="28"/>
      <c r="X394" s="28"/>
      <c r="Y394" s="28"/>
      <c r="Z394" s="28"/>
    </row>
    <row r="395" ht="13.5" customHeight="1">
      <c r="A395" s="67"/>
      <c r="B395" s="67"/>
      <c r="C395" s="67"/>
      <c r="D395" s="67"/>
      <c r="E395" s="81" t="s">
        <v>1714</v>
      </c>
      <c r="F395" s="82" t="s">
        <v>1677</v>
      </c>
      <c r="G395" s="83" t="s">
        <v>1715</v>
      </c>
      <c r="H395" s="81" t="s">
        <v>88</v>
      </c>
      <c r="I395" s="134" t="s">
        <v>1679</v>
      </c>
      <c r="J395" s="82" t="s">
        <v>1716</v>
      </c>
      <c r="K395" s="70"/>
      <c r="L395" s="67"/>
      <c r="M395" s="81"/>
      <c r="N395" s="81"/>
      <c r="O395" s="81"/>
      <c r="P395" s="81"/>
      <c r="Q395" s="81" t="s">
        <v>93</v>
      </c>
      <c r="R395" s="81" t="s">
        <v>94</v>
      </c>
      <c r="S395" s="81" t="s">
        <v>94</v>
      </c>
      <c r="T395" s="86">
        <v>46232.0</v>
      </c>
      <c r="U395" s="28"/>
      <c r="V395" s="30"/>
      <c r="W395" s="28"/>
      <c r="X395" s="28"/>
      <c r="Y395" s="28"/>
      <c r="Z395" s="28"/>
    </row>
    <row r="396" ht="13.5" customHeight="1">
      <c r="A396" s="67"/>
      <c r="B396" s="67"/>
      <c r="C396" s="67"/>
      <c r="D396" s="67"/>
      <c r="E396" s="81" t="s">
        <v>1717</v>
      </c>
      <c r="F396" s="85"/>
      <c r="G396" s="83" t="s">
        <v>1718</v>
      </c>
      <c r="H396" s="81" t="s">
        <v>88</v>
      </c>
      <c r="I396" s="134" t="s">
        <v>1679</v>
      </c>
      <c r="J396" s="82" t="s">
        <v>1719</v>
      </c>
      <c r="K396" s="70"/>
      <c r="L396" s="67"/>
      <c r="M396" s="81"/>
      <c r="N396" s="81"/>
      <c r="O396" s="81"/>
      <c r="P396" s="81"/>
      <c r="Q396" s="81" t="s">
        <v>93</v>
      </c>
      <c r="R396" s="81" t="s">
        <v>94</v>
      </c>
      <c r="S396" s="81" t="s">
        <v>94</v>
      </c>
      <c r="T396" s="86">
        <v>46232.0</v>
      </c>
      <c r="U396" s="28"/>
      <c r="V396" s="30"/>
      <c r="W396" s="28"/>
      <c r="X396" s="28"/>
      <c r="Y396" s="28"/>
      <c r="Z396" s="28"/>
    </row>
    <row r="397" ht="13.5" customHeight="1">
      <c r="A397" s="67"/>
      <c r="B397" s="67"/>
      <c r="C397" s="67"/>
      <c r="D397" s="67"/>
      <c r="E397" s="81" t="s">
        <v>1720</v>
      </c>
      <c r="F397" s="85"/>
      <c r="G397" s="83" t="s">
        <v>1685</v>
      </c>
      <c r="H397" s="81" t="s">
        <v>88</v>
      </c>
      <c r="I397" s="134" t="s">
        <v>931</v>
      </c>
      <c r="J397" s="82" t="s">
        <v>1686</v>
      </c>
      <c r="K397" s="70"/>
      <c r="L397" s="67"/>
      <c r="M397" s="81"/>
      <c r="N397" s="81"/>
      <c r="O397" s="81"/>
      <c r="P397" s="81"/>
      <c r="Q397" s="81" t="s">
        <v>93</v>
      </c>
      <c r="R397" s="81" t="s">
        <v>94</v>
      </c>
      <c r="S397" s="81" t="s">
        <v>94</v>
      </c>
      <c r="T397" s="86">
        <v>46232.0</v>
      </c>
      <c r="U397" s="28"/>
      <c r="V397" s="30"/>
      <c r="W397" s="28"/>
      <c r="X397" s="28"/>
      <c r="Y397" s="28"/>
      <c r="Z397" s="28"/>
    </row>
    <row r="398" ht="13.5" customHeight="1">
      <c r="A398" s="77"/>
      <c r="B398" s="77"/>
      <c r="C398" s="77"/>
      <c r="D398" s="77"/>
      <c r="E398" s="81" t="s">
        <v>1721</v>
      </c>
      <c r="F398" s="85"/>
      <c r="G398" s="83" t="s">
        <v>1688</v>
      </c>
      <c r="H398" s="81" t="s">
        <v>88</v>
      </c>
      <c r="I398" s="134" t="s">
        <v>931</v>
      </c>
      <c r="J398" s="82" t="s">
        <v>1705</v>
      </c>
      <c r="K398" s="70"/>
      <c r="L398" s="77"/>
      <c r="M398" s="81"/>
      <c r="N398" s="81"/>
      <c r="O398" s="81"/>
      <c r="P398" s="81"/>
      <c r="Q398" s="81" t="s">
        <v>93</v>
      </c>
      <c r="R398" s="81" t="s">
        <v>94</v>
      </c>
      <c r="S398" s="81" t="s">
        <v>94</v>
      </c>
      <c r="T398" s="86">
        <v>46232.0</v>
      </c>
      <c r="U398" s="28"/>
      <c r="V398" s="30"/>
      <c r="W398" s="28"/>
      <c r="X398" s="28"/>
      <c r="Y398" s="28"/>
      <c r="Z398" s="28"/>
    </row>
    <row r="399" ht="13.5" customHeight="1">
      <c r="A399" s="59" t="s">
        <v>51</v>
      </c>
      <c r="B399" s="59" t="s">
        <v>257</v>
      </c>
      <c r="C399" s="60" t="s">
        <v>258</v>
      </c>
      <c r="D399" s="60" t="s">
        <v>1722</v>
      </c>
      <c r="E399" s="61" t="s">
        <v>1723</v>
      </c>
      <c r="F399" s="62" t="s">
        <v>1724</v>
      </c>
      <c r="G399" s="63" t="s">
        <v>1725</v>
      </c>
      <c r="H399" s="61" t="s">
        <v>88</v>
      </c>
      <c r="I399" s="61" t="s">
        <v>60</v>
      </c>
      <c r="J399" s="63" t="s">
        <v>1726</v>
      </c>
      <c r="K399" s="70"/>
      <c r="L399" s="59" t="s">
        <v>1727</v>
      </c>
      <c r="M399" s="61"/>
      <c r="N399" s="61"/>
      <c r="O399" s="61"/>
      <c r="P399" s="61"/>
      <c r="Q399" s="61" t="s">
        <v>93</v>
      </c>
      <c r="R399" s="61" t="s">
        <v>94</v>
      </c>
      <c r="S399" s="61" t="s">
        <v>94</v>
      </c>
      <c r="T399" s="66">
        <v>46232.0</v>
      </c>
      <c r="U399" s="28"/>
      <c r="V399" s="30"/>
      <c r="W399" s="28"/>
      <c r="X399" s="28"/>
      <c r="Y399" s="28"/>
      <c r="Z399" s="28"/>
    </row>
    <row r="400" ht="13.5" customHeight="1">
      <c r="A400" s="67"/>
      <c r="B400" s="67"/>
      <c r="C400" s="67"/>
      <c r="D400" s="67"/>
      <c r="E400" s="61" t="s">
        <v>1728</v>
      </c>
      <c r="F400" s="68"/>
      <c r="G400" s="63" t="s">
        <v>1729</v>
      </c>
      <c r="H400" s="61" t="s">
        <v>88</v>
      </c>
      <c r="I400" s="61" t="s">
        <v>60</v>
      </c>
      <c r="J400" s="63" t="s">
        <v>1730</v>
      </c>
      <c r="K400" s="70"/>
      <c r="L400" s="67"/>
      <c r="M400" s="61"/>
      <c r="N400" s="61"/>
      <c r="O400" s="61"/>
      <c r="P400" s="61"/>
      <c r="Q400" s="61" t="s">
        <v>93</v>
      </c>
      <c r="R400" s="61" t="s">
        <v>94</v>
      </c>
      <c r="S400" s="61" t="s">
        <v>94</v>
      </c>
      <c r="T400" s="66">
        <v>46232.0</v>
      </c>
      <c r="U400" s="28"/>
      <c r="V400" s="30"/>
      <c r="W400" s="28"/>
      <c r="X400" s="28"/>
      <c r="Y400" s="28"/>
      <c r="Z400" s="28"/>
    </row>
    <row r="401" ht="13.5" customHeight="1">
      <c r="A401" s="67"/>
      <c r="B401" s="67"/>
      <c r="C401" s="67"/>
      <c r="D401" s="67"/>
      <c r="E401" s="61" t="s">
        <v>1731</v>
      </c>
      <c r="F401" s="62" t="s">
        <v>1732</v>
      </c>
      <c r="G401" s="63" t="s">
        <v>1733</v>
      </c>
      <c r="H401" s="61" t="s">
        <v>88</v>
      </c>
      <c r="I401" s="61" t="s">
        <v>60</v>
      </c>
      <c r="J401" s="63" t="s">
        <v>1734</v>
      </c>
      <c r="K401" s="70"/>
      <c r="L401" s="67"/>
      <c r="M401" s="61"/>
      <c r="N401" s="61"/>
      <c r="O401" s="61"/>
      <c r="P401" s="61"/>
      <c r="Q401" s="61" t="s">
        <v>93</v>
      </c>
      <c r="R401" s="61" t="s">
        <v>94</v>
      </c>
      <c r="S401" s="61" t="s">
        <v>94</v>
      </c>
      <c r="T401" s="66">
        <v>46232.0</v>
      </c>
      <c r="U401" s="28"/>
      <c r="V401" s="30"/>
      <c r="W401" s="28"/>
      <c r="X401" s="28"/>
      <c r="Y401" s="28"/>
      <c r="Z401" s="28"/>
    </row>
    <row r="402" ht="13.5" customHeight="1">
      <c r="A402" s="67"/>
      <c r="B402" s="67"/>
      <c r="C402" s="67"/>
      <c r="D402" s="67"/>
      <c r="E402" s="61" t="s">
        <v>1735</v>
      </c>
      <c r="F402" s="68"/>
      <c r="G402" s="63" t="s">
        <v>1736</v>
      </c>
      <c r="H402" s="61" t="s">
        <v>88</v>
      </c>
      <c r="I402" s="61" t="s">
        <v>60</v>
      </c>
      <c r="J402" s="63" t="s">
        <v>1737</v>
      </c>
      <c r="K402" s="70"/>
      <c r="L402" s="67"/>
      <c r="M402" s="61"/>
      <c r="N402" s="61"/>
      <c r="O402" s="61"/>
      <c r="P402" s="61"/>
      <c r="Q402" s="61" t="s">
        <v>93</v>
      </c>
      <c r="R402" s="61" t="s">
        <v>94</v>
      </c>
      <c r="S402" s="61" t="s">
        <v>94</v>
      </c>
      <c r="T402" s="66">
        <v>46232.0</v>
      </c>
      <c r="U402" s="28"/>
      <c r="V402" s="30"/>
      <c r="W402" s="28"/>
      <c r="X402" s="28"/>
      <c r="Y402" s="28"/>
      <c r="Z402" s="28"/>
    </row>
    <row r="403" ht="13.5" customHeight="1">
      <c r="A403" s="67"/>
      <c r="B403" s="67"/>
      <c r="C403" s="67"/>
      <c r="D403" s="67"/>
      <c r="E403" s="61" t="s">
        <v>1738</v>
      </c>
      <c r="F403" s="68"/>
      <c r="G403" s="63" t="s">
        <v>1739</v>
      </c>
      <c r="H403" s="61" t="s">
        <v>88</v>
      </c>
      <c r="I403" s="61" t="s">
        <v>60</v>
      </c>
      <c r="J403" s="63" t="s">
        <v>1740</v>
      </c>
      <c r="K403" s="70"/>
      <c r="L403" s="67"/>
      <c r="M403" s="61"/>
      <c r="N403" s="61"/>
      <c r="O403" s="61"/>
      <c r="P403" s="61"/>
      <c r="Q403" s="61" t="s">
        <v>93</v>
      </c>
      <c r="R403" s="61" t="s">
        <v>94</v>
      </c>
      <c r="S403" s="61" t="s">
        <v>94</v>
      </c>
      <c r="T403" s="66">
        <v>46232.0</v>
      </c>
      <c r="U403" s="28"/>
      <c r="V403" s="30"/>
      <c r="W403" s="28"/>
      <c r="X403" s="28"/>
      <c r="Y403" s="28"/>
      <c r="Z403" s="28"/>
    </row>
    <row r="404" ht="13.5" customHeight="1">
      <c r="A404" s="67"/>
      <c r="B404" s="67"/>
      <c r="C404" s="67"/>
      <c r="D404" s="67"/>
      <c r="E404" s="61" t="s">
        <v>1741</v>
      </c>
      <c r="F404" s="68"/>
      <c r="G404" s="63" t="s">
        <v>1742</v>
      </c>
      <c r="H404" s="61" t="s">
        <v>88</v>
      </c>
      <c r="I404" s="61" t="s">
        <v>60</v>
      </c>
      <c r="J404" s="63" t="s">
        <v>1743</v>
      </c>
      <c r="K404" s="70"/>
      <c r="L404" s="67"/>
      <c r="M404" s="61"/>
      <c r="N404" s="61"/>
      <c r="O404" s="61"/>
      <c r="P404" s="61"/>
      <c r="Q404" s="61" t="s">
        <v>93</v>
      </c>
      <c r="R404" s="61" t="s">
        <v>94</v>
      </c>
      <c r="S404" s="61" t="s">
        <v>94</v>
      </c>
      <c r="T404" s="66">
        <v>46232.0</v>
      </c>
      <c r="U404" s="28"/>
      <c r="V404" s="30"/>
      <c r="W404" s="28"/>
      <c r="X404" s="28"/>
      <c r="Y404" s="28"/>
      <c r="Z404" s="28"/>
    </row>
    <row r="405" ht="13.5" customHeight="1">
      <c r="A405" s="67"/>
      <c r="B405" s="67"/>
      <c r="C405" s="67"/>
      <c r="D405" s="67"/>
      <c r="E405" s="61" t="s">
        <v>1744</v>
      </c>
      <c r="F405" s="62" t="s">
        <v>1745</v>
      </c>
      <c r="G405" s="63" t="s">
        <v>1746</v>
      </c>
      <c r="H405" s="61" t="s">
        <v>88</v>
      </c>
      <c r="I405" s="61" t="s">
        <v>60</v>
      </c>
      <c r="J405" s="63" t="s">
        <v>1747</v>
      </c>
      <c r="K405" s="70"/>
      <c r="L405" s="67"/>
      <c r="M405" s="61"/>
      <c r="N405" s="61"/>
      <c r="O405" s="61"/>
      <c r="P405" s="61"/>
      <c r="Q405" s="61" t="s">
        <v>93</v>
      </c>
      <c r="R405" s="61" t="s">
        <v>94</v>
      </c>
      <c r="S405" s="61" t="s">
        <v>94</v>
      </c>
      <c r="T405" s="66">
        <v>46232.0</v>
      </c>
      <c r="U405" s="28"/>
      <c r="V405" s="30"/>
      <c r="W405" s="28"/>
      <c r="X405" s="28"/>
      <c r="Y405" s="28"/>
      <c r="Z405" s="28"/>
    </row>
    <row r="406" ht="13.5" customHeight="1">
      <c r="A406" s="67"/>
      <c r="B406" s="67"/>
      <c r="C406" s="67"/>
      <c r="D406" s="67"/>
      <c r="E406" s="61" t="s">
        <v>1748</v>
      </c>
      <c r="F406" s="68"/>
      <c r="G406" s="63" t="s">
        <v>1749</v>
      </c>
      <c r="H406" s="61" t="s">
        <v>88</v>
      </c>
      <c r="I406" s="61" t="s">
        <v>60</v>
      </c>
      <c r="J406" s="63" t="s">
        <v>1750</v>
      </c>
      <c r="K406" s="70"/>
      <c r="L406" s="67"/>
      <c r="M406" s="61"/>
      <c r="N406" s="61"/>
      <c r="O406" s="61"/>
      <c r="P406" s="61"/>
      <c r="Q406" s="61" t="s">
        <v>93</v>
      </c>
      <c r="R406" s="61" t="s">
        <v>94</v>
      </c>
      <c r="S406" s="61" t="s">
        <v>94</v>
      </c>
      <c r="T406" s="66">
        <v>46232.0</v>
      </c>
      <c r="U406" s="28"/>
      <c r="V406" s="30"/>
      <c r="W406" s="28"/>
      <c r="X406" s="28"/>
      <c r="Y406" s="28"/>
      <c r="Z406" s="28"/>
    </row>
    <row r="407" ht="13.5" customHeight="1">
      <c r="A407" s="67"/>
      <c r="B407" s="67"/>
      <c r="C407" s="67"/>
      <c r="D407" s="67"/>
      <c r="E407" s="61" t="s">
        <v>1751</v>
      </c>
      <c r="F407" s="68"/>
      <c r="G407" s="63" t="s">
        <v>1752</v>
      </c>
      <c r="H407" s="61" t="s">
        <v>88</v>
      </c>
      <c r="I407" s="61" t="s">
        <v>60</v>
      </c>
      <c r="J407" s="63" t="s">
        <v>1753</v>
      </c>
      <c r="K407" s="70"/>
      <c r="L407" s="67"/>
      <c r="M407" s="61"/>
      <c r="N407" s="61"/>
      <c r="O407" s="61"/>
      <c r="P407" s="61"/>
      <c r="Q407" s="61" t="s">
        <v>93</v>
      </c>
      <c r="R407" s="61" t="s">
        <v>94</v>
      </c>
      <c r="S407" s="61" t="s">
        <v>94</v>
      </c>
      <c r="T407" s="66">
        <v>46232.0</v>
      </c>
      <c r="U407" s="28"/>
      <c r="V407" s="30"/>
      <c r="W407" s="28"/>
      <c r="X407" s="28"/>
      <c r="Y407" s="28"/>
      <c r="Z407" s="28"/>
    </row>
    <row r="408" ht="13.5" customHeight="1">
      <c r="A408" s="67"/>
      <c r="B408" s="67"/>
      <c r="C408" s="67"/>
      <c r="D408" s="67"/>
      <c r="E408" s="61" t="s">
        <v>1754</v>
      </c>
      <c r="F408" s="68"/>
      <c r="G408" s="63" t="s">
        <v>1755</v>
      </c>
      <c r="H408" s="61" t="s">
        <v>88</v>
      </c>
      <c r="I408" s="61" t="s">
        <v>60</v>
      </c>
      <c r="J408" s="63" t="s">
        <v>1756</v>
      </c>
      <c r="K408" s="70"/>
      <c r="L408" s="67"/>
      <c r="M408" s="61"/>
      <c r="N408" s="61"/>
      <c r="O408" s="61"/>
      <c r="P408" s="61"/>
      <c r="Q408" s="61" t="s">
        <v>93</v>
      </c>
      <c r="R408" s="61" t="s">
        <v>94</v>
      </c>
      <c r="S408" s="61" t="s">
        <v>94</v>
      </c>
      <c r="T408" s="66">
        <v>46232.0</v>
      </c>
      <c r="U408" s="28"/>
      <c r="V408" s="30"/>
      <c r="W408" s="28"/>
      <c r="X408" s="28"/>
      <c r="Y408" s="28"/>
      <c r="Z408" s="28"/>
    </row>
    <row r="409" ht="13.5" customHeight="1">
      <c r="A409" s="67"/>
      <c r="B409" s="67"/>
      <c r="C409" s="67"/>
      <c r="D409" s="67"/>
      <c r="E409" s="61" t="s">
        <v>1757</v>
      </c>
      <c r="F409" s="62" t="s">
        <v>1758</v>
      </c>
      <c r="G409" s="63" t="s">
        <v>1759</v>
      </c>
      <c r="H409" s="61" t="s">
        <v>88</v>
      </c>
      <c r="I409" s="61" t="s">
        <v>60</v>
      </c>
      <c r="J409" s="63" t="s">
        <v>1760</v>
      </c>
      <c r="K409" s="70"/>
      <c r="L409" s="67"/>
      <c r="M409" s="61"/>
      <c r="N409" s="61"/>
      <c r="O409" s="61"/>
      <c r="P409" s="61"/>
      <c r="Q409" s="61" t="s">
        <v>93</v>
      </c>
      <c r="R409" s="61" t="s">
        <v>94</v>
      </c>
      <c r="S409" s="61" t="s">
        <v>94</v>
      </c>
      <c r="T409" s="66">
        <v>46232.0</v>
      </c>
      <c r="U409" s="28"/>
      <c r="V409" s="30"/>
      <c r="W409" s="28"/>
      <c r="X409" s="28"/>
      <c r="Y409" s="28"/>
      <c r="Z409" s="28"/>
    </row>
    <row r="410" ht="13.5" customHeight="1">
      <c r="A410" s="67"/>
      <c r="B410" s="67"/>
      <c r="C410" s="67"/>
      <c r="D410" s="67"/>
      <c r="E410" s="61" t="s">
        <v>1761</v>
      </c>
      <c r="F410" s="68"/>
      <c r="G410" s="63" t="s">
        <v>1762</v>
      </c>
      <c r="H410" s="61" t="s">
        <v>88</v>
      </c>
      <c r="I410" s="61" t="s">
        <v>60</v>
      </c>
      <c r="J410" s="63" t="s">
        <v>1763</v>
      </c>
      <c r="K410" s="70"/>
      <c r="L410" s="67"/>
      <c r="M410" s="61"/>
      <c r="N410" s="61"/>
      <c r="O410" s="61"/>
      <c r="P410" s="61"/>
      <c r="Q410" s="61" t="s">
        <v>93</v>
      </c>
      <c r="R410" s="61" t="s">
        <v>94</v>
      </c>
      <c r="S410" s="61" t="s">
        <v>94</v>
      </c>
      <c r="T410" s="66">
        <v>46232.0</v>
      </c>
      <c r="U410" s="28"/>
      <c r="V410" s="30"/>
      <c r="W410" s="28"/>
      <c r="X410" s="28"/>
      <c r="Y410" s="28"/>
      <c r="Z410" s="28"/>
    </row>
    <row r="411" ht="13.5" customHeight="1">
      <c r="A411" s="67"/>
      <c r="B411" s="67"/>
      <c r="C411" s="67"/>
      <c r="D411" s="67"/>
      <c r="E411" s="61" t="s">
        <v>1764</v>
      </c>
      <c r="F411" s="62" t="s">
        <v>1765</v>
      </c>
      <c r="G411" s="63" t="s">
        <v>1766</v>
      </c>
      <c r="H411" s="61" t="s">
        <v>88</v>
      </c>
      <c r="I411" s="61" t="s">
        <v>60</v>
      </c>
      <c r="J411" s="63" t="s">
        <v>1767</v>
      </c>
      <c r="K411" s="70"/>
      <c r="L411" s="67"/>
      <c r="M411" s="61"/>
      <c r="N411" s="61"/>
      <c r="O411" s="61"/>
      <c r="P411" s="61"/>
      <c r="Q411" s="61" t="s">
        <v>93</v>
      </c>
      <c r="R411" s="61" t="s">
        <v>94</v>
      </c>
      <c r="S411" s="61" t="s">
        <v>94</v>
      </c>
      <c r="T411" s="66">
        <v>46232.0</v>
      </c>
      <c r="U411" s="28"/>
      <c r="V411" s="30"/>
      <c r="W411" s="28"/>
      <c r="X411" s="28"/>
      <c r="Y411" s="28"/>
      <c r="Z411" s="28"/>
    </row>
    <row r="412" ht="13.5" customHeight="1">
      <c r="A412" s="67"/>
      <c r="B412" s="67"/>
      <c r="C412" s="67"/>
      <c r="D412" s="67"/>
      <c r="E412" s="61" t="s">
        <v>1768</v>
      </c>
      <c r="F412" s="68"/>
      <c r="G412" s="63" t="s">
        <v>1769</v>
      </c>
      <c r="H412" s="61" t="s">
        <v>88</v>
      </c>
      <c r="I412" s="61" t="s">
        <v>60</v>
      </c>
      <c r="J412" s="63" t="s">
        <v>1770</v>
      </c>
      <c r="K412" s="70"/>
      <c r="L412" s="67"/>
      <c r="M412" s="61"/>
      <c r="N412" s="61"/>
      <c r="O412" s="61"/>
      <c r="P412" s="61"/>
      <c r="Q412" s="61" t="s">
        <v>93</v>
      </c>
      <c r="R412" s="61" t="s">
        <v>94</v>
      </c>
      <c r="S412" s="61" t="s">
        <v>94</v>
      </c>
      <c r="T412" s="66">
        <v>46232.0</v>
      </c>
      <c r="U412" s="28"/>
      <c r="V412" s="30"/>
      <c r="W412" s="28"/>
      <c r="X412" s="28"/>
      <c r="Y412" s="28"/>
      <c r="Z412" s="28"/>
    </row>
    <row r="413" ht="13.5" customHeight="1">
      <c r="A413" s="77"/>
      <c r="B413" s="77"/>
      <c r="C413" s="77"/>
      <c r="D413" s="77"/>
      <c r="E413" s="61" t="s">
        <v>1771</v>
      </c>
      <c r="F413" s="68"/>
      <c r="G413" s="63" t="s">
        <v>1772</v>
      </c>
      <c r="H413" s="61" t="s">
        <v>88</v>
      </c>
      <c r="I413" s="61" t="s">
        <v>60</v>
      </c>
      <c r="J413" s="63" t="s">
        <v>1773</v>
      </c>
      <c r="K413" s="70"/>
      <c r="L413" s="77"/>
      <c r="M413" s="61"/>
      <c r="N413" s="61"/>
      <c r="O413" s="61"/>
      <c r="P413" s="61"/>
      <c r="Q413" s="61" t="s">
        <v>93</v>
      </c>
      <c r="R413" s="61" t="s">
        <v>94</v>
      </c>
      <c r="S413" s="61" t="s">
        <v>94</v>
      </c>
      <c r="T413" s="66">
        <v>46232.0</v>
      </c>
      <c r="U413" s="28"/>
      <c r="V413" s="30"/>
      <c r="W413" s="28"/>
      <c r="X413" s="28"/>
      <c r="Y413" s="28"/>
      <c r="Z413" s="28"/>
    </row>
    <row r="414" ht="13.5" customHeight="1">
      <c r="A414" s="78" t="s">
        <v>51</v>
      </c>
      <c r="B414" s="78" t="s">
        <v>262</v>
      </c>
      <c r="C414" s="79" t="s">
        <v>263</v>
      </c>
      <c r="D414" s="79" t="s">
        <v>1774</v>
      </c>
      <c r="E414" s="81" t="s">
        <v>1775</v>
      </c>
      <c r="F414" s="82" t="s">
        <v>1776</v>
      </c>
      <c r="G414" s="83" t="s">
        <v>1777</v>
      </c>
      <c r="H414" s="81" t="s">
        <v>88</v>
      </c>
      <c r="I414" s="81" t="s">
        <v>60</v>
      </c>
      <c r="J414" s="90" t="s">
        <v>1778</v>
      </c>
      <c r="K414" s="70"/>
      <c r="L414" s="78" t="s">
        <v>1727</v>
      </c>
      <c r="M414" s="81"/>
      <c r="N414" s="81"/>
      <c r="O414" s="81"/>
      <c r="P414" s="81"/>
      <c r="Q414" s="81" t="s">
        <v>93</v>
      </c>
      <c r="R414" s="81" t="s">
        <v>94</v>
      </c>
      <c r="S414" s="81" t="s">
        <v>94</v>
      </c>
      <c r="T414" s="86">
        <v>46232.0</v>
      </c>
      <c r="U414" s="28"/>
      <c r="V414" s="30"/>
      <c r="W414" s="28"/>
      <c r="X414" s="28"/>
      <c r="Y414" s="28"/>
      <c r="Z414" s="28"/>
    </row>
    <row r="415" ht="13.5" customHeight="1">
      <c r="A415" s="67"/>
      <c r="B415" s="67"/>
      <c r="C415" s="67"/>
      <c r="D415" s="67"/>
      <c r="E415" s="81" t="s">
        <v>1779</v>
      </c>
      <c r="F415" s="85"/>
      <c r="G415" s="83" t="s">
        <v>1780</v>
      </c>
      <c r="H415" s="81" t="s">
        <v>88</v>
      </c>
      <c r="I415" s="81" t="s">
        <v>60</v>
      </c>
      <c r="J415" s="90" t="s">
        <v>1781</v>
      </c>
      <c r="K415" s="70"/>
      <c r="L415" s="67"/>
      <c r="M415" s="81"/>
      <c r="N415" s="81"/>
      <c r="O415" s="81"/>
      <c r="P415" s="81"/>
      <c r="Q415" s="81" t="s">
        <v>93</v>
      </c>
      <c r="R415" s="81" t="s">
        <v>94</v>
      </c>
      <c r="S415" s="81" t="s">
        <v>94</v>
      </c>
      <c r="T415" s="86">
        <v>46232.0</v>
      </c>
      <c r="U415" s="28"/>
      <c r="V415" s="30"/>
      <c r="W415" s="28"/>
      <c r="X415" s="28"/>
      <c r="Y415" s="28"/>
      <c r="Z415" s="28"/>
    </row>
    <row r="416" ht="13.5" customHeight="1">
      <c r="A416" s="67"/>
      <c r="B416" s="67"/>
      <c r="C416" s="67"/>
      <c r="D416" s="67"/>
      <c r="E416" s="81" t="s">
        <v>1782</v>
      </c>
      <c r="F416" s="85"/>
      <c r="G416" s="83" t="s">
        <v>1783</v>
      </c>
      <c r="H416" s="81" t="s">
        <v>88</v>
      </c>
      <c r="I416" s="81" t="s">
        <v>60</v>
      </c>
      <c r="J416" s="90" t="s">
        <v>1784</v>
      </c>
      <c r="K416" s="70"/>
      <c r="L416" s="67"/>
      <c r="M416" s="81"/>
      <c r="N416" s="81"/>
      <c r="O416" s="81"/>
      <c r="P416" s="81"/>
      <c r="Q416" s="81" t="s">
        <v>93</v>
      </c>
      <c r="R416" s="81" t="s">
        <v>94</v>
      </c>
      <c r="S416" s="81" t="s">
        <v>94</v>
      </c>
      <c r="T416" s="86">
        <v>46232.0</v>
      </c>
      <c r="U416" s="28"/>
      <c r="V416" s="30"/>
      <c r="W416" s="28"/>
      <c r="X416" s="28"/>
      <c r="Y416" s="28"/>
      <c r="Z416" s="28"/>
    </row>
    <row r="417" ht="13.5" customHeight="1">
      <c r="A417" s="67"/>
      <c r="B417" s="67"/>
      <c r="C417" s="67"/>
      <c r="D417" s="67"/>
      <c r="E417" s="81" t="s">
        <v>1785</v>
      </c>
      <c r="F417" s="85"/>
      <c r="G417" s="83" t="s">
        <v>1786</v>
      </c>
      <c r="H417" s="81" t="s">
        <v>88</v>
      </c>
      <c r="I417" s="81" t="s">
        <v>60</v>
      </c>
      <c r="J417" s="90" t="s">
        <v>1787</v>
      </c>
      <c r="K417" s="70"/>
      <c r="L417" s="67"/>
      <c r="M417" s="81"/>
      <c r="N417" s="81"/>
      <c r="O417" s="81"/>
      <c r="P417" s="81"/>
      <c r="Q417" s="81" t="s">
        <v>93</v>
      </c>
      <c r="R417" s="81" t="s">
        <v>94</v>
      </c>
      <c r="S417" s="81" t="s">
        <v>94</v>
      </c>
      <c r="T417" s="86">
        <v>46232.0</v>
      </c>
      <c r="U417" s="28"/>
      <c r="V417" s="30"/>
      <c r="W417" s="28"/>
      <c r="X417" s="28"/>
      <c r="Y417" s="28"/>
      <c r="Z417" s="28"/>
    </row>
    <row r="418" ht="13.5" customHeight="1">
      <c r="A418" s="67"/>
      <c r="B418" s="67"/>
      <c r="C418" s="67"/>
      <c r="D418" s="67"/>
      <c r="E418" s="81" t="s">
        <v>1788</v>
      </c>
      <c r="F418" s="82" t="s">
        <v>1789</v>
      </c>
      <c r="G418" s="83" t="s">
        <v>1790</v>
      </c>
      <c r="H418" s="81" t="s">
        <v>88</v>
      </c>
      <c r="I418" s="81" t="s">
        <v>60</v>
      </c>
      <c r="J418" s="90" t="s">
        <v>1791</v>
      </c>
      <c r="K418" s="70"/>
      <c r="L418" s="67"/>
      <c r="M418" s="81"/>
      <c r="N418" s="81"/>
      <c r="O418" s="81"/>
      <c r="P418" s="81"/>
      <c r="Q418" s="81" t="s">
        <v>93</v>
      </c>
      <c r="R418" s="81" t="s">
        <v>94</v>
      </c>
      <c r="S418" s="81" t="s">
        <v>94</v>
      </c>
      <c r="T418" s="86">
        <v>46232.0</v>
      </c>
      <c r="U418" s="28"/>
      <c r="V418" s="30"/>
      <c r="W418" s="28"/>
      <c r="X418" s="28"/>
      <c r="Y418" s="28"/>
      <c r="Z418" s="28"/>
    </row>
    <row r="419" ht="13.5" customHeight="1">
      <c r="A419" s="67"/>
      <c r="B419" s="67"/>
      <c r="C419" s="67"/>
      <c r="D419" s="67"/>
      <c r="E419" s="81" t="s">
        <v>1792</v>
      </c>
      <c r="F419" s="85"/>
      <c r="G419" s="83" t="s">
        <v>1793</v>
      </c>
      <c r="H419" s="81" t="s">
        <v>88</v>
      </c>
      <c r="I419" s="81" t="s">
        <v>60</v>
      </c>
      <c r="J419" s="90" t="s">
        <v>1794</v>
      </c>
      <c r="K419" s="70"/>
      <c r="L419" s="67"/>
      <c r="M419" s="81"/>
      <c r="N419" s="81"/>
      <c r="O419" s="81"/>
      <c r="P419" s="81"/>
      <c r="Q419" s="81" t="s">
        <v>93</v>
      </c>
      <c r="R419" s="81" t="s">
        <v>94</v>
      </c>
      <c r="S419" s="81" t="s">
        <v>94</v>
      </c>
      <c r="T419" s="86">
        <v>46232.0</v>
      </c>
      <c r="U419" s="28"/>
      <c r="V419" s="30"/>
      <c r="W419" s="28"/>
      <c r="X419" s="28"/>
      <c r="Y419" s="28"/>
      <c r="Z419" s="28"/>
    </row>
    <row r="420" ht="13.5" customHeight="1">
      <c r="A420" s="67"/>
      <c r="B420" s="67"/>
      <c r="C420" s="67"/>
      <c r="D420" s="67"/>
      <c r="E420" s="81" t="s">
        <v>1795</v>
      </c>
      <c r="F420" s="85"/>
      <c r="G420" s="83" t="s">
        <v>1796</v>
      </c>
      <c r="H420" s="81" t="s">
        <v>88</v>
      </c>
      <c r="I420" s="81" t="s">
        <v>60</v>
      </c>
      <c r="J420" s="90" t="s">
        <v>1797</v>
      </c>
      <c r="K420" s="92" t="s">
        <v>1798</v>
      </c>
      <c r="L420" s="67"/>
      <c r="M420" s="81"/>
      <c r="N420" s="81"/>
      <c r="O420" s="81"/>
      <c r="P420" s="81"/>
      <c r="Q420" s="81" t="s">
        <v>93</v>
      </c>
      <c r="R420" s="81" t="s">
        <v>94</v>
      </c>
      <c r="S420" s="81" t="s">
        <v>94</v>
      </c>
      <c r="T420" s="84">
        <v>46259.0</v>
      </c>
      <c r="U420" s="28"/>
      <c r="V420" s="30"/>
      <c r="W420" s="28"/>
      <c r="X420" s="28"/>
      <c r="Y420" s="28"/>
      <c r="Z420" s="28"/>
    </row>
    <row r="421" ht="13.5" customHeight="1">
      <c r="A421" s="67"/>
      <c r="B421" s="67"/>
      <c r="C421" s="67"/>
      <c r="D421" s="67"/>
      <c r="E421" s="81" t="s">
        <v>1799</v>
      </c>
      <c r="F421" s="85"/>
      <c r="G421" s="83" t="s">
        <v>1800</v>
      </c>
      <c r="H421" s="81" t="s">
        <v>88</v>
      </c>
      <c r="I421" s="81" t="s">
        <v>60</v>
      </c>
      <c r="J421" s="90" t="s">
        <v>1801</v>
      </c>
      <c r="K421" s="70"/>
      <c r="L421" s="67"/>
      <c r="M421" s="81"/>
      <c r="N421" s="81"/>
      <c r="O421" s="81"/>
      <c r="P421" s="81"/>
      <c r="Q421" s="81" t="s">
        <v>93</v>
      </c>
      <c r="R421" s="81" t="s">
        <v>94</v>
      </c>
      <c r="S421" s="81" t="s">
        <v>94</v>
      </c>
      <c r="T421" s="86">
        <v>46232.0</v>
      </c>
      <c r="U421" s="28"/>
      <c r="V421" s="30"/>
      <c r="W421" s="28"/>
      <c r="X421" s="28"/>
      <c r="Y421" s="28"/>
      <c r="Z421" s="28"/>
    </row>
    <row r="422" ht="13.5" customHeight="1">
      <c r="A422" s="77"/>
      <c r="B422" s="77"/>
      <c r="C422" s="77"/>
      <c r="D422" s="77"/>
      <c r="E422" s="81" t="s">
        <v>1802</v>
      </c>
      <c r="F422" s="85"/>
      <c r="G422" s="83" t="s">
        <v>1803</v>
      </c>
      <c r="H422" s="81" t="s">
        <v>88</v>
      </c>
      <c r="I422" s="81" t="s">
        <v>60</v>
      </c>
      <c r="J422" s="90" t="s">
        <v>1804</v>
      </c>
      <c r="K422" s="70"/>
      <c r="L422" s="77"/>
      <c r="M422" s="81"/>
      <c r="N422" s="81"/>
      <c r="O422" s="81"/>
      <c r="P422" s="81"/>
      <c r="Q422" s="81" t="s">
        <v>93</v>
      </c>
      <c r="R422" s="81" t="s">
        <v>94</v>
      </c>
      <c r="S422" s="81" t="s">
        <v>94</v>
      </c>
      <c r="T422" s="86">
        <v>46232.0</v>
      </c>
      <c r="U422" s="28"/>
      <c r="V422" s="30"/>
      <c r="W422" s="28"/>
      <c r="X422" s="28"/>
      <c r="Y422" s="28"/>
      <c r="Z422" s="28"/>
    </row>
    <row r="423" ht="13.5" customHeight="1">
      <c r="A423" s="59" t="s">
        <v>51</v>
      </c>
      <c r="B423" s="59" t="s">
        <v>267</v>
      </c>
      <c r="C423" s="60" t="s">
        <v>268</v>
      </c>
      <c r="D423" s="60" t="s">
        <v>1805</v>
      </c>
      <c r="E423" s="61" t="s">
        <v>1806</v>
      </c>
      <c r="F423" s="62" t="s">
        <v>1807</v>
      </c>
      <c r="G423" s="63" t="s">
        <v>1808</v>
      </c>
      <c r="H423" s="61" t="s">
        <v>88</v>
      </c>
      <c r="I423" s="61" t="s">
        <v>60</v>
      </c>
      <c r="J423" s="63" t="s">
        <v>1809</v>
      </c>
      <c r="K423" s="70"/>
      <c r="L423" s="59" t="s">
        <v>1727</v>
      </c>
      <c r="M423" s="61"/>
      <c r="N423" s="61"/>
      <c r="O423" s="61"/>
      <c r="P423" s="61"/>
      <c r="Q423" s="61" t="s">
        <v>93</v>
      </c>
      <c r="R423" s="61" t="s">
        <v>94</v>
      </c>
      <c r="S423" s="61" t="s">
        <v>94</v>
      </c>
      <c r="T423" s="66">
        <v>46232.0</v>
      </c>
      <c r="U423" s="28"/>
      <c r="V423" s="30"/>
      <c r="W423" s="28"/>
      <c r="X423" s="28"/>
      <c r="Y423" s="28"/>
      <c r="Z423" s="28"/>
    </row>
    <row r="424" ht="13.5" customHeight="1">
      <c r="A424" s="67"/>
      <c r="B424" s="67"/>
      <c r="C424" s="67"/>
      <c r="D424" s="67"/>
      <c r="E424" s="61" t="s">
        <v>1810</v>
      </c>
      <c r="F424" s="68"/>
      <c r="G424" s="63" t="s">
        <v>1811</v>
      </c>
      <c r="H424" s="61" t="s">
        <v>88</v>
      </c>
      <c r="I424" s="61" t="s">
        <v>60</v>
      </c>
      <c r="J424" s="63" t="s">
        <v>1812</v>
      </c>
      <c r="K424" s="70"/>
      <c r="L424" s="67"/>
      <c r="M424" s="61"/>
      <c r="N424" s="61"/>
      <c r="O424" s="61"/>
      <c r="P424" s="61"/>
      <c r="Q424" s="61" t="s">
        <v>93</v>
      </c>
      <c r="R424" s="61" t="s">
        <v>94</v>
      </c>
      <c r="S424" s="61" t="s">
        <v>94</v>
      </c>
      <c r="T424" s="66">
        <v>46232.0</v>
      </c>
      <c r="U424" s="28"/>
      <c r="V424" s="30"/>
      <c r="W424" s="28"/>
      <c r="X424" s="28"/>
      <c r="Y424" s="28"/>
      <c r="Z424" s="28"/>
    </row>
    <row r="425" ht="13.5" customHeight="1">
      <c r="A425" s="67"/>
      <c r="B425" s="67"/>
      <c r="C425" s="67"/>
      <c r="D425" s="67"/>
      <c r="E425" s="61" t="s">
        <v>1813</v>
      </c>
      <c r="F425" s="68"/>
      <c r="G425" s="63" t="s">
        <v>1814</v>
      </c>
      <c r="H425" s="61" t="s">
        <v>88</v>
      </c>
      <c r="I425" s="61" t="s">
        <v>60</v>
      </c>
      <c r="J425" s="63" t="s">
        <v>1815</v>
      </c>
      <c r="K425" s="70"/>
      <c r="L425" s="67"/>
      <c r="M425" s="61"/>
      <c r="N425" s="61"/>
      <c r="O425" s="61"/>
      <c r="P425" s="61"/>
      <c r="Q425" s="61" t="s">
        <v>93</v>
      </c>
      <c r="R425" s="61" t="s">
        <v>94</v>
      </c>
      <c r="S425" s="61" t="s">
        <v>94</v>
      </c>
      <c r="T425" s="66">
        <v>46232.0</v>
      </c>
      <c r="U425" s="28"/>
      <c r="V425" s="30"/>
      <c r="W425" s="28"/>
      <c r="X425" s="28"/>
      <c r="Y425" s="28"/>
      <c r="Z425" s="28"/>
    </row>
    <row r="426" ht="13.5" customHeight="1">
      <c r="A426" s="67"/>
      <c r="B426" s="67"/>
      <c r="C426" s="67"/>
      <c r="D426" s="67"/>
      <c r="E426" s="61" t="s">
        <v>1816</v>
      </c>
      <c r="F426" s="68"/>
      <c r="G426" s="63" t="s">
        <v>1817</v>
      </c>
      <c r="H426" s="61" t="s">
        <v>88</v>
      </c>
      <c r="I426" s="61" t="s">
        <v>60</v>
      </c>
      <c r="J426" s="63" t="s">
        <v>1818</v>
      </c>
      <c r="K426" s="70"/>
      <c r="L426" s="67"/>
      <c r="M426" s="61"/>
      <c r="N426" s="61"/>
      <c r="O426" s="61"/>
      <c r="P426" s="61"/>
      <c r="Q426" s="61" t="s">
        <v>93</v>
      </c>
      <c r="R426" s="61" t="s">
        <v>94</v>
      </c>
      <c r="S426" s="61" t="s">
        <v>94</v>
      </c>
      <c r="T426" s="66">
        <v>46232.0</v>
      </c>
      <c r="U426" s="28"/>
      <c r="V426" s="30"/>
      <c r="W426" s="28"/>
      <c r="X426" s="28"/>
      <c r="Y426" s="28"/>
      <c r="Z426" s="28"/>
    </row>
    <row r="427" ht="13.5" customHeight="1">
      <c r="A427" s="67"/>
      <c r="B427" s="67"/>
      <c r="C427" s="67"/>
      <c r="D427" s="67"/>
      <c r="E427" s="61" t="s">
        <v>1819</v>
      </c>
      <c r="F427" s="62" t="s">
        <v>1820</v>
      </c>
      <c r="G427" s="63" t="s">
        <v>1821</v>
      </c>
      <c r="H427" s="61" t="s">
        <v>88</v>
      </c>
      <c r="I427" s="61" t="s">
        <v>60</v>
      </c>
      <c r="J427" s="63" t="s">
        <v>1822</v>
      </c>
      <c r="K427" s="70"/>
      <c r="L427" s="67"/>
      <c r="M427" s="61"/>
      <c r="N427" s="61"/>
      <c r="O427" s="61"/>
      <c r="P427" s="61"/>
      <c r="Q427" s="61" t="s">
        <v>93</v>
      </c>
      <c r="R427" s="61" t="s">
        <v>94</v>
      </c>
      <c r="S427" s="61" t="s">
        <v>94</v>
      </c>
      <c r="T427" s="66">
        <v>46232.0</v>
      </c>
      <c r="U427" s="28"/>
      <c r="V427" s="30"/>
      <c r="W427" s="28"/>
      <c r="X427" s="28"/>
      <c r="Y427" s="28"/>
      <c r="Z427" s="28"/>
    </row>
    <row r="428" ht="13.5" customHeight="1">
      <c r="A428" s="67"/>
      <c r="B428" s="67"/>
      <c r="C428" s="67"/>
      <c r="D428" s="67"/>
      <c r="E428" s="61" t="s">
        <v>1823</v>
      </c>
      <c r="F428" s="68"/>
      <c r="G428" s="63" t="s">
        <v>1824</v>
      </c>
      <c r="H428" s="61" t="s">
        <v>88</v>
      </c>
      <c r="I428" s="61" t="s">
        <v>60</v>
      </c>
      <c r="J428" s="63" t="s">
        <v>1825</v>
      </c>
      <c r="K428" s="70"/>
      <c r="L428" s="67"/>
      <c r="M428" s="61"/>
      <c r="N428" s="61"/>
      <c r="O428" s="61"/>
      <c r="P428" s="61"/>
      <c r="Q428" s="61" t="s">
        <v>93</v>
      </c>
      <c r="R428" s="61" t="s">
        <v>94</v>
      </c>
      <c r="S428" s="61" t="s">
        <v>94</v>
      </c>
      <c r="T428" s="66">
        <v>46232.0</v>
      </c>
      <c r="U428" s="28"/>
      <c r="V428" s="30"/>
      <c r="W428" s="28"/>
      <c r="X428" s="28"/>
      <c r="Y428" s="28"/>
      <c r="Z428" s="28"/>
    </row>
    <row r="429" ht="13.5" customHeight="1">
      <c r="A429" s="67"/>
      <c r="B429" s="67"/>
      <c r="C429" s="67"/>
      <c r="D429" s="67"/>
      <c r="E429" s="61" t="s">
        <v>1826</v>
      </c>
      <c r="F429" s="68"/>
      <c r="G429" s="63" t="s">
        <v>1827</v>
      </c>
      <c r="H429" s="61" t="s">
        <v>88</v>
      </c>
      <c r="I429" s="61" t="s">
        <v>60</v>
      </c>
      <c r="J429" s="63" t="s">
        <v>1828</v>
      </c>
      <c r="K429" s="70"/>
      <c r="L429" s="67"/>
      <c r="M429" s="61"/>
      <c r="N429" s="61"/>
      <c r="O429" s="61"/>
      <c r="P429" s="61"/>
      <c r="Q429" s="61" t="s">
        <v>93</v>
      </c>
      <c r="R429" s="61" t="s">
        <v>94</v>
      </c>
      <c r="S429" s="61" t="s">
        <v>94</v>
      </c>
      <c r="T429" s="66">
        <v>46232.0</v>
      </c>
      <c r="U429" s="28"/>
      <c r="V429" s="30"/>
      <c r="W429" s="28"/>
      <c r="X429" s="28"/>
      <c r="Y429" s="28"/>
      <c r="Z429" s="28"/>
    </row>
    <row r="430" ht="13.5" customHeight="1">
      <c r="A430" s="67"/>
      <c r="B430" s="67"/>
      <c r="C430" s="67"/>
      <c r="D430" s="67"/>
      <c r="E430" s="61" t="s">
        <v>1829</v>
      </c>
      <c r="F430" s="62" t="s">
        <v>1830</v>
      </c>
      <c r="G430" s="63" t="s">
        <v>1831</v>
      </c>
      <c r="H430" s="61" t="s">
        <v>88</v>
      </c>
      <c r="I430" s="61" t="s">
        <v>60</v>
      </c>
      <c r="J430" s="63" t="s">
        <v>1832</v>
      </c>
      <c r="K430" s="70"/>
      <c r="L430" s="67"/>
      <c r="M430" s="61"/>
      <c r="N430" s="61"/>
      <c r="O430" s="61"/>
      <c r="P430" s="61"/>
      <c r="Q430" s="61" t="s">
        <v>93</v>
      </c>
      <c r="R430" s="61" t="s">
        <v>94</v>
      </c>
      <c r="S430" s="61" t="s">
        <v>94</v>
      </c>
      <c r="T430" s="66">
        <v>46232.0</v>
      </c>
      <c r="U430" s="28"/>
      <c r="V430" s="30"/>
      <c r="W430" s="28"/>
      <c r="X430" s="28"/>
      <c r="Y430" s="28"/>
      <c r="Z430" s="28"/>
    </row>
    <row r="431" ht="13.5" customHeight="1">
      <c r="A431" s="67"/>
      <c r="B431" s="67"/>
      <c r="C431" s="67"/>
      <c r="D431" s="67"/>
      <c r="E431" s="61" t="s">
        <v>1833</v>
      </c>
      <c r="F431" s="68"/>
      <c r="G431" s="63" t="s">
        <v>1834</v>
      </c>
      <c r="H431" s="61" t="s">
        <v>88</v>
      </c>
      <c r="I431" s="61" t="s">
        <v>60</v>
      </c>
      <c r="J431" s="63" t="s">
        <v>1835</v>
      </c>
      <c r="K431" s="70"/>
      <c r="L431" s="67"/>
      <c r="M431" s="61"/>
      <c r="N431" s="61"/>
      <c r="O431" s="61"/>
      <c r="P431" s="61"/>
      <c r="Q431" s="61" t="s">
        <v>93</v>
      </c>
      <c r="R431" s="61" t="s">
        <v>94</v>
      </c>
      <c r="S431" s="61" t="s">
        <v>94</v>
      </c>
      <c r="T431" s="66">
        <v>46232.0</v>
      </c>
      <c r="U431" s="28"/>
      <c r="V431" s="30"/>
      <c r="W431" s="28"/>
      <c r="X431" s="28"/>
      <c r="Y431" s="28"/>
      <c r="Z431" s="28"/>
    </row>
    <row r="432" ht="13.5" customHeight="1">
      <c r="A432" s="67"/>
      <c r="B432" s="67"/>
      <c r="C432" s="67"/>
      <c r="D432" s="67"/>
      <c r="E432" s="61" t="s">
        <v>1836</v>
      </c>
      <c r="F432" s="68"/>
      <c r="G432" s="63" t="s">
        <v>1837</v>
      </c>
      <c r="H432" s="61" t="s">
        <v>88</v>
      </c>
      <c r="I432" s="61" t="s">
        <v>60</v>
      </c>
      <c r="J432" s="63" t="s">
        <v>1838</v>
      </c>
      <c r="K432" s="70"/>
      <c r="L432" s="67"/>
      <c r="M432" s="61"/>
      <c r="N432" s="61"/>
      <c r="O432" s="61"/>
      <c r="P432" s="61"/>
      <c r="Q432" s="61" t="s">
        <v>93</v>
      </c>
      <c r="R432" s="61" t="s">
        <v>94</v>
      </c>
      <c r="S432" s="61" t="s">
        <v>94</v>
      </c>
      <c r="T432" s="66">
        <v>46232.0</v>
      </c>
      <c r="U432" s="28"/>
      <c r="V432" s="30"/>
      <c r="W432" s="28"/>
      <c r="X432" s="28"/>
      <c r="Y432" s="28"/>
      <c r="Z432" s="28"/>
    </row>
    <row r="433" ht="13.5" customHeight="1">
      <c r="A433" s="67"/>
      <c r="B433" s="67"/>
      <c r="C433" s="67"/>
      <c r="D433" s="67"/>
      <c r="E433" s="61" t="s">
        <v>1839</v>
      </c>
      <c r="F433" s="68"/>
      <c r="G433" s="63" t="s">
        <v>1840</v>
      </c>
      <c r="H433" s="61" t="s">
        <v>88</v>
      </c>
      <c r="I433" s="61" t="s">
        <v>60</v>
      </c>
      <c r="J433" s="63" t="s">
        <v>1841</v>
      </c>
      <c r="K433" s="70"/>
      <c r="L433" s="67"/>
      <c r="M433" s="61"/>
      <c r="N433" s="61"/>
      <c r="O433" s="61"/>
      <c r="P433" s="61"/>
      <c r="Q433" s="61" t="s">
        <v>93</v>
      </c>
      <c r="R433" s="61" t="s">
        <v>94</v>
      </c>
      <c r="S433" s="61" t="s">
        <v>94</v>
      </c>
      <c r="T433" s="66">
        <v>46232.0</v>
      </c>
      <c r="U433" s="28"/>
      <c r="V433" s="30"/>
      <c r="W433" s="28"/>
      <c r="X433" s="28"/>
      <c r="Y433" s="28"/>
      <c r="Z433" s="28"/>
    </row>
    <row r="434" ht="13.5" customHeight="1">
      <c r="A434" s="67"/>
      <c r="B434" s="67"/>
      <c r="C434" s="67"/>
      <c r="D434" s="67"/>
      <c r="E434" s="61" t="s">
        <v>1842</v>
      </c>
      <c r="F434" s="62" t="s">
        <v>1843</v>
      </c>
      <c r="G434" s="63" t="s">
        <v>1844</v>
      </c>
      <c r="H434" s="61" t="s">
        <v>88</v>
      </c>
      <c r="I434" s="61" t="s">
        <v>60</v>
      </c>
      <c r="J434" s="63" t="s">
        <v>1845</v>
      </c>
      <c r="K434" s="70"/>
      <c r="L434" s="67"/>
      <c r="M434" s="61"/>
      <c r="N434" s="61"/>
      <c r="O434" s="61"/>
      <c r="P434" s="61"/>
      <c r="Q434" s="61" t="s">
        <v>93</v>
      </c>
      <c r="R434" s="61" t="s">
        <v>94</v>
      </c>
      <c r="S434" s="61" t="s">
        <v>94</v>
      </c>
      <c r="T434" s="66">
        <v>46232.0</v>
      </c>
      <c r="U434" s="28"/>
      <c r="V434" s="30"/>
      <c r="W434" s="28"/>
      <c r="X434" s="28"/>
      <c r="Y434" s="28"/>
      <c r="Z434" s="28"/>
    </row>
    <row r="435" ht="13.5" customHeight="1">
      <c r="A435" s="67"/>
      <c r="B435" s="67"/>
      <c r="C435" s="67"/>
      <c r="D435" s="67"/>
      <c r="E435" s="61" t="s">
        <v>1846</v>
      </c>
      <c r="F435" s="68"/>
      <c r="G435" s="63" t="s">
        <v>1847</v>
      </c>
      <c r="H435" s="61" t="s">
        <v>88</v>
      </c>
      <c r="I435" s="61" t="s">
        <v>60</v>
      </c>
      <c r="J435" s="63" t="s">
        <v>1848</v>
      </c>
      <c r="K435" s="70"/>
      <c r="L435" s="67"/>
      <c r="M435" s="61"/>
      <c r="N435" s="61"/>
      <c r="O435" s="61"/>
      <c r="P435" s="61"/>
      <c r="Q435" s="61" t="s">
        <v>93</v>
      </c>
      <c r="R435" s="61" t="s">
        <v>94</v>
      </c>
      <c r="S435" s="61" t="s">
        <v>94</v>
      </c>
      <c r="T435" s="66">
        <v>46232.0</v>
      </c>
      <c r="U435" s="28"/>
      <c r="V435" s="30"/>
      <c r="W435" s="28"/>
      <c r="X435" s="28"/>
      <c r="Y435" s="28"/>
      <c r="Z435" s="28"/>
    </row>
    <row r="436" ht="13.5" customHeight="1">
      <c r="A436" s="67"/>
      <c r="B436" s="67"/>
      <c r="C436" s="67"/>
      <c r="D436" s="67"/>
      <c r="E436" s="61" t="s">
        <v>1849</v>
      </c>
      <c r="F436" s="68"/>
      <c r="G436" s="63" t="s">
        <v>1850</v>
      </c>
      <c r="H436" s="61" t="s">
        <v>88</v>
      </c>
      <c r="I436" s="61" t="s">
        <v>60</v>
      </c>
      <c r="J436" s="63" t="s">
        <v>1851</v>
      </c>
      <c r="K436" s="70"/>
      <c r="L436" s="67"/>
      <c r="M436" s="61"/>
      <c r="N436" s="61"/>
      <c r="O436" s="61"/>
      <c r="P436" s="61"/>
      <c r="Q436" s="61" t="s">
        <v>93</v>
      </c>
      <c r="R436" s="61" t="s">
        <v>94</v>
      </c>
      <c r="S436" s="61" t="s">
        <v>94</v>
      </c>
      <c r="T436" s="66">
        <v>46232.0</v>
      </c>
      <c r="U436" s="28"/>
      <c r="V436" s="30"/>
      <c r="W436" s="28"/>
      <c r="X436" s="28"/>
      <c r="Y436" s="28"/>
      <c r="Z436" s="28"/>
    </row>
    <row r="437" ht="13.5" customHeight="1">
      <c r="A437" s="67"/>
      <c r="B437" s="67"/>
      <c r="C437" s="67"/>
      <c r="D437" s="67"/>
      <c r="E437" s="61" t="s">
        <v>1852</v>
      </c>
      <c r="F437" s="68"/>
      <c r="G437" s="63" t="s">
        <v>1853</v>
      </c>
      <c r="H437" s="61" t="s">
        <v>88</v>
      </c>
      <c r="I437" s="61" t="s">
        <v>60</v>
      </c>
      <c r="J437" s="63" t="s">
        <v>1854</v>
      </c>
      <c r="K437" s="70"/>
      <c r="L437" s="67"/>
      <c r="M437" s="61"/>
      <c r="N437" s="61"/>
      <c r="O437" s="61"/>
      <c r="P437" s="61"/>
      <c r="Q437" s="61" t="s">
        <v>93</v>
      </c>
      <c r="R437" s="61" t="s">
        <v>94</v>
      </c>
      <c r="S437" s="61" t="s">
        <v>94</v>
      </c>
      <c r="T437" s="66">
        <v>46232.0</v>
      </c>
      <c r="U437" s="28"/>
      <c r="V437" s="30"/>
      <c r="W437" s="28"/>
      <c r="X437" s="28"/>
      <c r="Y437" s="28"/>
      <c r="Z437" s="28"/>
    </row>
    <row r="438" ht="13.5" customHeight="1">
      <c r="A438" s="77"/>
      <c r="B438" s="77"/>
      <c r="C438" s="77"/>
      <c r="D438" s="77"/>
      <c r="E438" s="61" t="s">
        <v>1855</v>
      </c>
      <c r="F438" s="68"/>
      <c r="G438" s="63" t="s">
        <v>1856</v>
      </c>
      <c r="H438" s="61" t="s">
        <v>88</v>
      </c>
      <c r="I438" s="61" t="s">
        <v>60</v>
      </c>
      <c r="J438" s="63" t="s">
        <v>1857</v>
      </c>
      <c r="K438" s="70"/>
      <c r="L438" s="77"/>
      <c r="M438" s="61"/>
      <c r="N438" s="61"/>
      <c r="O438" s="61"/>
      <c r="P438" s="61"/>
      <c r="Q438" s="61" t="s">
        <v>93</v>
      </c>
      <c r="R438" s="61" t="s">
        <v>94</v>
      </c>
      <c r="S438" s="61" t="s">
        <v>94</v>
      </c>
      <c r="T438" s="66">
        <v>46232.0</v>
      </c>
      <c r="U438" s="28"/>
      <c r="V438" s="30"/>
      <c r="W438" s="28"/>
      <c r="X438" s="28"/>
      <c r="Y438" s="28"/>
      <c r="Z438" s="28"/>
    </row>
    <row r="439" ht="13.5" customHeight="1">
      <c r="A439" s="78" t="s">
        <v>51</v>
      </c>
      <c r="B439" s="78" t="s">
        <v>274</v>
      </c>
      <c r="C439" s="79" t="s">
        <v>1858</v>
      </c>
      <c r="D439" s="79" t="s">
        <v>1859</v>
      </c>
      <c r="E439" s="81" t="s">
        <v>1860</v>
      </c>
      <c r="F439" s="82" t="s">
        <v>1861</v>
      </c>
      <c r="G439" s="83" t="s">
        <v>1862</v>
      </c>
      <c r="H439" s="81" t="s">
        <v>88</v>
      </c>
      <c r="I439" s="81" t="s">
        <v>60</v>
      </c>
      <c r="J439" s="83" t="s">
        <v>1863</v>
      </c>
      <c r="K439" s="70"/>
      <c r="L439" s="78" t="s">
        <v>1727</v>
      </c>
      <c r="M439" s="81"/>
      <c r="N439" s="81"/>
      <c r="O439" s="81"/>
      <c r="P439" s="81"/>
      <c r="Q439" s="81" t="s">
        <v>93</v>
      </c>
      <c r="R439" s="81" t="s">
        <v>94</v>
      </c>
      <c r="S439" s="81" t="s">
        <v>94</v>
      </c>
      <c r="T439" s="86">
        <v>46232.0</v>
      </c>
      <c r="U439" s="28"/>
      <c r="V439" s="30"/>
      <c r="W439" s="28"/>
      <c r="X439" s="28"/>
      <c r="Y439" s="28"/>
      <c r="Z439" s="28"/>
    </row>
    <row r="440" ht="13.5" customHeight="1">
      <c r="A440" s="67"/>
      <c r="B440" s="67"/>
      <c r="C440" s="67"/>
      <c r="D440" s="67"/>
      <c r="E440" s="81" t="s">
        <v>1864</v>
      </c>
      <c r="F440" s="85"/>
      <c r="G440" s="83" t="s">
        <v>1865</v>
      </c>
      <c r="H440" s="81" t="s">
        <v>88</v>
      </c>
      <c r="I440" s="81" t="s">
        <v>60</v>
      </c>
      <c r="J440" s="83" t="s">
        <v>1866</v>
      </c>
      <c r="K440" s="70"/>
      <c r="L440" s="67"/>
      <c r="M440" s="81"/>
      <c r="N440" s="81"/>
      <c r="O440" s="81"/>
      <c r="P440" s="81"/>
      <c r="Q440" s="81" t="s">
        <v>93</v>
      </c>
      <c r="R440" s="81" t="s">
        <v>94</v>
      </c>
      <c r="S440" s="81" t="s">
        <v>94</v>
      </c>
      <c r="T440" s="86">
        <v>46232.0</v>
      </c>
      <c r="U440" s="28"/>
      <c r="V440" s="30"/>
      <c r="W440" s="28"/>
      <c r="X440" s="28"/>
      <c r="Y440" s="28"/>
      <c r="Z440" s="28"/>
    </row>
    <row r="441" ht="13.5" customHeight="1">
      <c r="A441" s="67"/>
      <c r="B441" s="67"/>
      <c r="C441" s="67"/>
      <c r="D441" s="67"/>
      <c r="E441" s="81" t="s">
        <v>1867</v>
      </c>
      <c r="F441" s="85"/>
      <c r="G441" s="83" t="s">
        <v>1868</v>
      </c>
      <c r="H441" s="81" t="s">
        <v>88</v>
      </c>
      <c r="I441" s="81" t="s">
        <v>60</v>
      </c>
      <c r="J441" s="83" t="s">
        <v>1869</v>
      </c>
      <c r="K441" s="70"/>
      <c r="L441" s="67"/>
      <c r="M441" s="81"/>
      <c r="N441" s="81"/>
      <c r="O441" s="81"/>
      <c r="P441" s="81"/>
      <c r="Q441" s="81" t="s">
        <v>93</v>
      </c>
      <c r="R441" s="81" t="s">
        <v>94</v>
      </c>
      <c r="S441" s="81" t="s">
        <v>94</v>
      </c>
      <c r="T441" s="86">
        <v>46232.0</v>
      </c>
      <c r="U441" s="28"/>
      <c r="V441" s="30"/>
      <c r="W441" s="28"/>
      <c r="X441" s="28"/>
      <c r="Y441" s="28"/>
      <c r="Z441" s="28"/>
    </row>
    <row r="442" ht="13.5" customHeight="1">
      <c r="A442" s="67"/>
      <c r="B442" s="67"/>
      <c r="C442" s="67"/>
      <c r="D442" s="67"/>
      <c r="E442" s="81" t="s">
        <v>1870</v>
      </c>
      <c r="F442" s="85"/>
      <c r="G442" s="83" t="s">
        <v>1871</v>
      </c>
      <c r="H442" s="81" t="s">
        <v>88</v>
      </c>
      <c r="I442" s="81" t="s">
        <v>60</v>
      </c>
      <c r="J442" s="83" t="s">
        <v>1872</v>
      </c>
      <c r="K442" s="70"/>
      <c r="L442" s="67"/>
      <c r="M442" s="81"/>
      <c r="N442" s="81"/>
      <c r="O442" s="81"/>
      <c r="P442" s="81"/>
      <c r="Q442" s="81" t="s">
        <v>93</v>
      </c>
      <c r="R442" s="81" t="s">
        <v>94</v>
      </c>
      <c r="S442" s="81" t="s">
        <v>94</v>
      </c>
      <c r="T442" s="86">
        <v>46232.0</v>
      </c>
      <c r="U442" s="28"/>
      <c r="V442" s="30"/>
      <c r="W442" s="28"/>
      <c r="X442" s="28"/>
      <c r="Y442" s="28"/>
      <c r="Z442" s="28"/>
    </row>
    <row r="443" ht="13.5" customHeight="1">
      <c r="A443" s="67"/>
      <c r="B443" s="67"/>
      <c r="C443" s="67"/>
      <c r="D443" s="67"/>
      <c r="E443" s="81" t="s">
        <v>1873</v>
      </c>
      <c r="F443" s="82" t="s">
        <v>1874</v>
      </c>
      <c r="G443" s="83" t="s">
        <v>1875</v>
      </c>
      <c r="H443" s="81" t="s">
        <v>88</v>
      </c>
      <c r="I443" s="81" t="s">
        <v>60</v>
      </c>
      <c r="J443" s="90" t="s">
        <v>1876</v>
      </c>
      <c r="K443" s="70"/>
      <c r="L443" s="67"/>
      <c r="M443" s="81"/>
      <c r="N443" s="81"/>
      <c r="O443" s="81"/>
      <c r="P443" s="81"/>
      <c r="Q443" s="81" t="s">
        <v>93</v>
      </c>
      <c r="R443" s="81" t="s">
        <v>94</v>
      </c>
      <c r="S443" s="81" t="s">
        <v>94</v>
      </c>
      <c r="T443" s="86">
        <v>46232.0</v>
      </c>
      <c r="U443" s="28"/>
      <c r="V443" s="30"/>
      <c r="W443" s="28"/>
      <c r="X443" s="28"/>
      <c r="Y443" s="28"/>
      <c r="Z443" s="28"/>
    </row>
    <row r="444" ht="13.5" customHeight="1">
      <c r="A444" s="67"/>
      <c r="B444" s="67"/>
      <c r="C444" s="67"/>
      <c r="D444" s="67"/>
      <c r="E444" s="81" t="s">
        <v>1877</v>
      </c>
      <c r="F444" s="85"/>
      <c r="G444" s="83" t="s">
        <v>1878</v>
      </c>
      <c r="H444" s="81" t="s">
        <v>88</v>
      </c>
      <c r="I444" s="81" t="s">
        <v>60</v>
      </c>
      <c r="J444" s="90" t="s">
        <v>1879</v>
      </c>
      <c r="K444" s="70"/>
      <c r="L444" s="67"/>
      <c r="M444" s="81"/>
      <c r="N444" s="81"/>
      <c r="O444" s="81"/>
      <c r="P444" s="81"/>
      <c r="Q444" s="81" t="s">
        <v>93</v>
      </c>
      <c r="R444" s="81" t="s">
        <v>94</v>
      </c>
      <c r="S444" s="81" t="s">
        <v>94</v>
      </c>
      <c r="T444" s="86">
        <v>46232.0</v>
      </c>
      <c r="U444" s="28"/>
      <c r="V444" s="30"/>
      <c r="W444" s="28"/>
      <c r="X444" s="28"/>
      <c r="Y444" s="28"/>
      <c r="Z444" s="28"/>
    </row>
    <row r="445" ht="13.5" customHeight="1">
      <c r="A445" s="67"/>
      <c r="B445" s="67"/>
      <c r="C445" s="67"/>
      <c r="D445" s="67"/>
      <c r="E445" s="81" t="s">
        <v>1880</v>
      </c>
      <c r="F445" s="85"/>
      <c r="G445" s="83" t="s">
        <v>1881</v>
      </c>
      <c r="H445" s="81" t="s">
        <v>88</v>
      </c>
      <c r="I445" s="81" t="s">
        <v>60</v>
      </c>
      <c r="J445" s="90" t="s">
        <v>1882</v>
      </c>
      <c r="K445" s="70"/>
      <c r="L445" s="67"/>
      <c r="M445" s="81"/>
      <c r="N445" s="81"/>
      <c r="O445" s="81"/>
      <c r="P445" s="81"/>
      <c r="Q445" s="81" t="s">
        <v>93</v>
      </c>
      <c r="R445" s="81" t="s">
        <v>94</v>
      </c>
      <c r="S445" s="81" t="s">
        <v>94</v>
      </c>
      <c r="T445" s="86">
        <v>46232.0</v>
      </c>
      <c r="U445" s="28"/>
      <c r="V445" s="30"/>
      <c r="W445" s="28"/>
      <c r="X445" s="28"/>
      <c r="Y445" s="28"/>
      <c r="Z445" s="28"/>
    </row>
    <row r="446" ht="13.5" customHeight="1">
      <c r="A446" s="77"/>
      <c r="B446" s="77"/>
      <c r="C446" s="77"/>
      <c r="D446" s="77"/>
      <c r="E446" s="81" t="s">
        <v>1883</v>
      </c>
      <c r="F446" s="85"/>
      <c r="G446" s="83" t="s">
        <v>1884</v>
      </c>
      <c r="H446" s="81" t="s">
        <v>88</v>
      </c>
      <c r="I446" s="81" t="s">
        <v>60</v>
      </c>
      <c r="J446" s="83" t="s">
        <v>1885</v>
      </c>
      <c r="K446" s="70"/>
      <c r="L446" s="77"/>
      <c r="M446" s="81"/>
      <c r="N446" s="81"/>
      <c r="O446" s="81"/>
      <c r="P446" s="81"/>
      <c r="Q446" s="81" t="s">
        <v>93</v>
      </c>
      <c r="R446" s="81" t="s">
        <v>94</v>
      </c>
      <c r="S446" s="81" t="s">
        <v>94</v>
      </c>
      <c r="T446" s="86">
        <v>46232.0</v>
      </c>
      <c r="U446" s="28"/>
      <c r="V446" s="30"/>
      <c r="W446" s="28"/>
      <c r="X446" s="28"/>
      <c r="Y446" s="28"/>
      <c r="Z446" s="28"/>
    </row>
    <row r="447" ht="13.5" customHeight="1">
      <c r="A447" s="135" t="s">
        <v>1886</v>
      </c>
      <c r="B447" s="135" t="s">
        <v>281</v>
      </c>
      <c r="C447" s="85" t="s">
        <v>1887</v>
      </c>
      <c r="D447" s="85" t="s">
        <v>1887</v>
      </c>
      <c r="E447" s="135" t="s">
        <v>1888</v>
      </c>
      <c r="F447" s="85" t="s">
        <v>1889</v>
      </c>
      <c r="G447" s="85" t="s">
        <v>1889</v>
      </c>
      <c r="H447" s="135" t="s">
        <v>1890</v>
      </c>
      <c r="I447" s="81" t="s">
        <v>60</v>
      </c>
      <c r="J447" s="90" t="s">
        <v>1891</v>
      </c>
      <c r="K447" s="70"/>
      <c r="L447" s="65"/>
      <c r="M447" s="65"/>
      <c r="N447" s="65"/>
      <c r="O447" s="65"/>
      <c r="P447" s="65"/>
      <c r="Q447" s="81" t="s">
        <v>93</v>
      </c>
      <c r="R447" s="81" t="s">
        <v>94</v>
      </c>
      <c r="S447" s="81" t="s">
        <v>94</v>
      </c>
      <c r="T447" s="86">
        <v>46232.0</v>
      </c>
      <c r="U447" s="136"/>
      <c r="V447" s="30"/>
      <c r="W447" s="136"/>
      <c r="X447" s="136"/>
      <c r="Y447" s="136"/>
      <c r="Z447" s="136"/>
    </row>
    <row r="448" ht="13.5" customHeight="1">
      <c r="A448" s="135" t="s">
        <v>1886</v>
      </c>
      <c r="B448" s="135" t="s">
        <v>288</v>
      </c>
      <c r="C448" s="137" t="s">
        <v>1892</v>
      </c>
      <c r="D448" s="137" t="s">
        <v>1892</v>
      </c>
      <c r="E448" s="135" t="s">
        <v>1893</v>
      </c>
      <c r="F448" s="137" t="s">
        <v>1894</v>
      </c>
      <c r="G448" s="137" t="s">
        <v>1894</v>
      </c>
      <c r="H448" s="135" t="s">
        <v>1890</v>
      </c>
      <c r="I448" s="81" t="s">
        <v>60</v>
      </c>
      <c r="J448" s="138" t="s">
        <v>1895</v>
      </c>
      <c r="K448" s="70"/>
      <c r="L448" s="136"/>
      <c r="M448" s="136"/>
      <c r="N448" s="136"/>
      <c r="O448" s="136"/>
      <c r="P448" s="136"/>
      <c r="Q448" s="81" t="s">
        <v>93</v>
      </c>
      <c r="R448" s="81" t="s">
        <v>94</v>
      </c>
      <c r="S448" s="81" t="s">
        <v>94</v>
      </c>
      <c r="T448" s="86">
        <v>46232.0</v>
      </c>
      <c r="U448" s="136"/>
      <c r="V448" s="30"/>
      <c r="W448" s="136"/>
      <c r="X448" s="136"/>
      <c r="Y448" s="136"/>
      <c r="Z448" s="136"/>
    </row>
    <row r="449" ht="13.5" customHeight="1">
      <c r="A449" s="135" t="s">
        <v>1886</v>
      </c>
      <c r="B449" s="135" t="s">
        <v>293</v>
      </c>
      <c r="C449" s="139" t="s">
        <v>1896</v>
      </c>
      <c r="D449" s="139" t="s">
        <v>1896</v>
      </c>
      <c r="E449" s="135" t="s">
        <v>1897</v>
      </c>
      <c r="F449" s="137" t="s">
        <v>1898</v>
      </c>
      <c r="G449" s="137" t="s">
        <v>1898</v>
      </c>
      <c r="H449" s="135" t="s">
        <v>1890</v>
      </c>
      <c r="I449" s="81" t="s">
        <v>60</v>
      </c>
      <c r="J449" s="138" t="s">
        <v>1899</v>
      </c>
      <c r="K449" s="136"/>
      <c r="L449" s="136"/>
      <c r="M449" s="136"/>
      <c r="N449" s="136"/>
      <c r="O449" s="136"/>
      <c r="P449" s="136"/>
      <c r="Q449" s="81" t="s">
        <v>93</v>
      </c>
      <c r="R449" s="81" t="s">
        <v>94</v>
      </c>
      <c r="S449" s="81" t="s">
        <v>94</v>
      </c>
      <c r="T449" s="86">
        <v>46232.0</v>
      </c>
      <c r="U449" s="136"/>
      <c r="V449" s="30"/>
      <c r="W449" s="136"/>
      <c r="X449" s="136"/>
      <c r="Y449" s="136"/>
      <c r="Z449" s="136"/>
    </row>
    <row r="450" ht="13.5" customHeight="1">
      <c r="A450" s="135" t="s">
        <v>1886</v>
      </c>
      <c r="B450" s="135" t="s">
        <v>300</v>
      </c>
      <c r="C450" s="139" t="s">
        <v>1900</v>
      </c>
      <c r="D450" s="139" t="s">
        <v>1900</v>
      </c>
      <c r="E450" s="135" t="s">
        <v>1901</v>
      </c>
      <c r="F450" s="137" t="s">
        <v>1902</v>
      </c>
      <c r="G450" s="137" t="s">
        <v>1902</v>
      </c>
      <c r="H450" s="135" t="s">
        <v>1890</v>
      </c>
      <c r="I450" s="81" t="s">
        <v>60</v>
      </c>
      <c r="J450" s="140" t="s">
        <v>1903</v>
      </c>
      <c r="K450" s="141" t="s">
        <v>1904</v>
      </c>
      <c r="L450" s="136"/>
      <c r="M450" s="136"/>
      <c r="N450" s="136"/>
      <c r="O450" s="136"/>
      <c r="P450" s="136"/>
      <c r="Q450" s="81" t="s">
        <v>93</v>
      </c>
      <c r="R450" s="81" t="s">
        <v>94</v>
      </c>
      <c r="S450" s="81" t="s">
        <v>94</v>
      </c>
      <c r="T450" s="84">
        <v>46259.0</v>
      </c>
      <c r="U450" s="28"/>
      <c r="V450" s="30"/>
      <c r="W450" s="28"/>
      <c r="X450" s="28"/>
      <c r="Y450" s="28"/>
      <c r="Z450" s="28"/>
    </row>
    <row r="451" ht="13.5" customHeight="1">
      <c r="A451" s="135" t="s">
        <v>1886</v>
      </c>
      <c r="B451" s="135" t="s">
        <v>305</v>
      </c>
      <c r="C451" s="137" t="s">
        <v>1905</v>
      </c>
      <c r="D451" s="137" t="s">
        <v>1905</v>
      </c>
      <c r="E451" s="135" t="s">
        <v>1906</v>
      </c>
      <c r="F451" s="137" t="s">
        <v>1907</v>
      </c>
      <c r="G451" s="137" t="s">
        <v>1907</v>
      </c>
      <c r="H451" s="135" t="s">
        <v>1890</v>
      </c>
      <c r="I451" s="81" t="s">
        <v>931</v>
      </c>
      <c r="J451" s="142" t="s">
        <v>1908</v>
      </c>
      <c r="K451" s="136"/>
      <c r="L451" s="136"/>
      <c r="M451" s="136"/>
      <c r="N451" s="136"/>
      <c r="O451" s="136"/>
      <c r="P451" s="136"/>
      <c r="Q451" s="81" t="s">
        <v>93</v>
      </c>
      <c r="R451" s="81" t="s">
        <v>94</v>
      </c>
      <c r="S451" s="81" t="s">
        <v>94</v>
      </c>
      <c r="T451" s="86">
        <v>46232.0</v>
      </c>
      <c r="U451" s="28"/>
      <c r="V451" s="30"/>
      <c r="W451" s="28"/>
      <c r="X451" s="28"/>
      <c r="Y451" s="28"/>
      <c r="Z451" s="28"/>
    </row>
    <row r="452" ht="13.5" customHeight="1">
      <c r="A452" s="28"/>
      <c r="B452" s="28"/>
      <c r="C452" s="28"/>
      <c r="D452" s="28"/>
      <c r="E452" s="28"/>
      <c r="F452" s="28"/>
      <c r="G452" s="28"/>
      <c r="H452" s="28"/>
      <c r="I452" s="28"/>
      <c r="J452" s="143"/>
      <c r="K452" s="28"/>
      <c r="L452" s="28"/>
      <c r="M452" s="28"/>
      <c r="N452" s="28"/>
      <c r="O452" s="28"/>
      <c r="P452" s="28"/>
      <c r="Q452" s="144"/>
      <c r="R452" s="144"/>
      <c r="S452" s="144"/>
      <c r="T452" s="145"/>
      <c r="U452" s="28"/>
      <c r="V452" s="30"/>
      <c r="W452" s="28"/>
      <c r="X452" s="28"/>
      <c r="Y452" s="28"/>
      <c r="Z452" s="28"/>
    </row>
    <row r="453" ht="13.5" customHeight="1">
      <c r="A453" s="28"/>
      <c r="B453" s="28"/>
      <c r="C453" s="28"/>
      <c r="D453" s="28"/>
      <c r="E453" s="28"/>
      <c r="F453" s="28"/>
      <c r="G453" s="28"/>
      <c r="H453" s="28"/>
      <c r="I453" s="28"/>
      <c r="J453" s="143"/>
      <c r="K453" s="28"/>
      <c r="L453" s="28"/>
      <c r="M453" s="28"/>
      <c r="N453" s="28"/>
      <c r="O453" s="28"/>
      <c r="P453" s="28"/>
      <c r="Q453" s="144"/>
      <c r="R453" s="144"/>
      <c r="S453" s="144"/>
      <c r="T453" s="145"/>
      <c r="U453" s="28"/>
      <c r="V453" s="30"/>
      <c r="W453" s="28"/>
      <c r="X453" s="28"/>
      <c r="Y453" s="28"/>
      <c r="Z453" s="28"/>
    </row>
    <row r="454" ht="13.5" customHeight="1">
      <c r="A454" s="28"/>
      <c r="B454" s="28"/>
      <c r="C454" s="28"/>
      <c r="D454" s="28"/>
      <c r="E454" s="28"/>
      <c r="F454" s="28"/>
      <c r="G454" s="28"/>
      <c r="H454" s="28"/>
      <c r="I454" s="28"/>
      <c r="J454" s="143"/>
      <c r="K454" s="28"/>
      <c r="L454" s="28"/>
      <c r="M454" s="28"/>
      <c r="N454" s="28"/>
      <c r="O454" s="28"/>
      <c r="P454" s="28"/>
      <c r="Q454" s="144"/>
      <c r="R454" s="144"/>
      <c r="S454" s="144"/>
      <c r="T454" s="145"/>
      <c r="U454" s="28"/>
      <c r="V454" s="30"/>
      <c r="W454" s="28"/>
      <c r="X454" s="28"/>
      <c r="Y454" s="28"/>
      <c r="Z454" s="28"/>
    </row>
    <row r="455" ht="13.5" customHeight="1">
      <c r="A455" s="28"/>
      <c r="B455" s="28"/>
      <c r="C455" s="28"/>
      <c r="D455" s="28"/>
      <c r="E455" s="28"/>
      <c r="F455" s="28"/>
      <c r="G455" s="28"/>
      <c r="H455" s="28"/>
      <c r="I455" s="28"/>
      <c r="J455" s="143"/>
      <c r="K455" s="28"/>
      <c r="L455" s="28"/>
      <c r="M455" s="28"/>
      <c r="N455" s="28"/>
      <c r="O455" s="28"/>
      <c r="P455" s="28"/>
      <c r="Q455" s="144"/>
      <c r="R455" s="144"/>
      <c r="S455" s="144"/>
      <c r="T455" s="145"/>
      <c r="U455" s="28"/>
      <c r="V455" s="30"/>
      <c r="W455" s="28"/>
      <c r="X455" s="28"/>
      <c r="Y455" s="28"/>
      <c r="Z455" s="28"/>
    </row>
    <row r="456" ht="13.5" customHeight="1">
      <c r="A456" s="28"/>
      <c r="B456" s="28"/>
      <c r="C456" s="28"/>
      <c r="D456" s="28"/>
      <c r="E456" s="28"/>
      <c r="F456" s="28"/>
      <c r="G456" s="28"/>
      <c r="H456" s="28"/>
      <c r="I456" s="28"/>
      <c r="J456" s="143"/>
      <c r="K456" s="28"/>
      <c r="L456" s="28"/>
      <c r="M456" s="28"/>
      <c r="N456" s="28"/>
      <c r="O456" s="28"/>
      <c r="P456" s="28"/>
      <c r="Q456" s="144"/>
      <c r="R456" s="144"/>
      <c r="S456" s="144"/>
      <c r="T456" s="145"/>
      <c r="U456" s="28"/>
      <c r="V456" s="30"/>
      <c r="W456" s="28"/>
      <c r="X456" s="28"/>
      <c r="Y456" s="28"/>
      <c r="Z456" s="28"/>
    </row>
    <row r="457" ht="13.5" customHeight="1">
      <c r="A457" s="28"/>
      <c r="B457" s="28"/>
      <c r="C457" s="28"/>
      <c r="D457" s="28"/>
      <c r="E457" s="28"/>
      <c r="F457" s="28"/>
      <c r="G457" s="28"/>
      <c r="H457" s="28"/>
      <c r="I457" s="28"/>
      <c r="J457" s="143"/>
      <c r="K457" s="28"/>
      <c r="L457" s="28"/>
      <c r="M457" s="28"/>
      <c r="N457" s="28"/>
      <c r="O457" s="28"/>
      <c r="P457" s="28"/>
      <c r="Q457" s="144"/>
      <c r="R457" s="144"/>
      <c r="S457" s="144"/>
      <c r="T457" s="145"/>
      <c r="U457" s="28"/>
      <c r="V457" s="30"/>
      <c r="W457" s="28"/>
      <c r="X457" s="28"/>
      <c r="Y457" s="28"/>
      <c r="Z457" s="28"/>
    </row>
    <row r="458" ht="13.5" customHeight="1">
      <c r="A458" s="28"/>
      <c r="B458" s="28"/>
      <c r="C458" s="28"/>
      <c r="D458" s="28"/>
      <c r="E458" s="28"/>
      <c r="F458" s="28"/>
      <c r="G458" s="28"/>
      <c r="H458" s="28"/>
      <c r="I458" s="28"/>
      <c r="J458" s="143"/>
      <c r="K458" s="28"/>
      <c r="L458" s="28"/>
      <c r="M458" s="28"/>
      <c r="N458" s="28"/>
      <c r="O458" s="28"/>
      <c r="P458" s="28"/>
      <c r="Q458" s="144"/>
      <c r="R458" s="144"/>
      <c r="S458" s="144"/>
      <c r="T458" s="145"/>
      <c r="U458" s="28"/>
      <c r="V458" s="30"/>
      <c r="W458" s="28"/>
      <c r="X458" s="28"/>
      <c r="Y458" s="28"/>
      <c r="Z458" s="28"/>
    </row>
    <row r="459" ht="13.5" customHeight="1">
      <c r="A459" s="28"/>
      <c r="B459" s="28"/>
      <c r="C459" s="28"/>
      <c r="D459" s="28"/>
      <c r="E459" s="28"/>
      <c r="F459" s="28"/>
      <c r="G459" s="28"/>
      <c r="H459" s="28"/>
      <c r="I459" s="28"/>
      <c r="J459" s="143"/>
      <c r="K459" s="28"/>
      <c r="L459" s="28"/>
      <c r="M459" s="28"/>
      <c r="N459" s="28"/>
      <c r="O459" s="28"/>
      <c r="P459" s="28"/>
      <c r="Q459" s="144"/>
      <c r="R459" s="144"/>
      <c r="S459" s="144"/>
      <c r="T459" s="145"/>
      <c r="U459" s="28"/>
      <c r="V459" s="30"/>
      <c r="W459" s="28"/>
      <c r="X459" s="28"/>
      <c r="Y459" s="28"/>
      <c r="Z459" s="28"/>
    </row>
    <row r="460" ht="13.5" customHeight="1">
      <c r="A460" s="28"/>
      <c r="B460" s="28"/>
      <c r="C460" s="28"/>
      <c r="D460" s="28"/>
      <c r="E460" s="28"/>
      <c r="F460" s="28"/>
      <c r="G460" s="28"/>
      <c r="H460" s="28"/>
      <c r="I460" s="28"/>
      <c r="J460" s="143"/>
      <c r="K460" s="28"/>
      <c r="L460" s="28"/>
      <c r="M460" s="28"/>
      <c r="N460" s="28"/>
      <c r="O460" s="28"/>
      <c r="P460" s="28"/>
      <c r="Q460" s="144"/>
      <c r="R460" s="144"/>
      <c r="S460" s="144"/>
      <c r="T460" s="145"/>
      <c r="U460" s="28"/>
      <c r="V460" s="30"/>
      <c r="W460" s="28"/>
      <c r="X460" s="28"/>
      <c r="Y460" s="28"/>
      <c r="Z460" s="28"/>
    </row>
    <row r="461" ht="13.5" customHeight="1">
      <c r="A461" s="28"/>
      <c r="B461" s="28"/>
      <c r="C461" s="28"/>
      <c r="D461" s="28"/>
      <c r="E461" s="28"/>
      <c r="F461" s="28"/>
      <c r="G461" s="28"/>
      <c r="H461" s="28"/>
      <c r="I461" s="28"/>
      <c r="J461" s="143"/>
      <c r="K461" s="28"/>
      <c r="L461" s="28"/>
      <c r="M461" s="28"/>
      <c r="N461" s="28"/>
      <c r="O461" s="28"/>
      <c r="P461" s="28"/>
      <c r="Q461" s="144"/>
      <c r="R461" s="144"/>
      <c r="S461" s="144"/>
      <c r="T461" s="145"/>
      <c r="U461" s="28"/>
      <c r="V461" s="30"/>
      <c r="W461" s="28"/>
      <c r="X461" s="28"/>
      <c r="Y461" s="28"/>
      <c r="Z461" s="28"/>
    </row>
    <row r="462" ht="13.5" customHeight="1">
      <c r="A462" s="28"/>
      <c r="B462" s="28"/>
      <c r="C462" s="28"/>
      <c r="D462" s="28"/>
      <c r="E462" s="28"/>
      <c r="F462" s="28"/>
      <c r="G462" s="28"/>
      <c r="H462" s="28"/>
      <c r="I462" s="28"/>
      <c r="J462" s="143"/>
      <c r="K462" s="28"/>
      <c r="L462" s="28"/>
      <c r="M462" s="28"/>
      <c r="N462" s="28"/>
      <c r="O462" s="28"/>
      <c r="P462" s="28"/>
      <c r="Q462" s="144"/>
      <c r="R462" s="144"/>
      <c r="S462" s="144"/>
      <c r="T462" s="145"/>
      <c r="U462" s="28"/>
      <c r="V462" s="30"/>
      <c r="W462" s="28"/>
      <c r="X462" s="28"/>
      <c r="Y462" s="28"/>
      <c r="Z462" s="28"/>
    </row>
    <row r="463" ht="13.5" customHeight="1">
      <c r="A463" s="28"/>
      <c r="B463" s="28"/>
      <c r="C463" s="28"/>
      <c r="D463" s="28"/>
      <c r="E463" s="28"/>
      <c r="F463" s="28"/>
      <c r="G463" s="28"/>
      <c r="H463" s="28"/>
      <c r="I463" s="28"/>
      <c r="J463" s="143"/>
      <c r="K463" s="28"/>
      <c r="L463" s="28"/>
      <c r="M463" s="28"/>
      <c r="N463" s="28"/>
      <c r="O463" s="28"/>
      <c r="P463" s="28"/>
      <c r="Q463" s="144"/>
      <c r="R463" s="144"/>
      <c r="S463" s="144"/>
      <c r="T463" s="145"/>
      <c r="U463" s="28"/>
      <c r="V463" s="30"/>
      <c r="W463" s="28"/>
      <c r="X463" s="28"/>
      <c r="Y463" s="28"/>
      <c r="Z463" s="28"/>
    </row>
    <row r="464" ht="13.5" customHeight="1">
      <c r="A464" s="28"/>
      <c r="B464" s="28"/>
      <c r="C464" s="28"/>
      <c r="D464" s="28"/>
      <c r="E464" s="28"/>
      <c r="F464" s="28"/>
      <c r="G464" s="28"/>
      <c r="H464" s="28"/>
      <c r="I464" s="28"/>
      <c r="J464" s="143"/>
      <c r="K464" s="28"/>
      <c r="L464" s="28"/>
      <c r="M464" s="28"/>
      <c r="N464" s="28"/>
      <c r="O464" s="28"/>
      <c r="P464" s="28"/>
      <c r="Q464" s="144"/>
      <c r="R464" s="144"/>
      <c r="S464" s="144"/>
      <c r="T464" s="145"/>
      <c r="U464" s="28"/>
      <c r="V464" s="30"/>
      <c r="W464" s="28"/>
      <c r="X464" s="28"/>
      <c r="Y464" s="28"/>
      <c r="Z464" s="28"/>
    </row>
    <row r="465" ht="13.5" customHeight="1">
      <c r="A465" s="28"/>
      <c r="B465" s="28"/>
      <c r="C465" s="28"/>
      <c r="D465" s="28"/>
      <c r="E465" s="28"/>
      <c r="F465" s="28"/>
      <c r="G465" s="28"/>
      <c r="H465" s="28"/>
      <c r="I465" s="28"/>
      <c r="J465" s="143"/>
      <c r="K465" s="28"/>
      <c r="L465" s="28"/>
      <c r="M465" s="28"/>
      <c r="N465" s="28"/>
      <c r="O465" s="28"/>
      <c r="P465" s="28"/>
      <c r="Q465" s="144"/>
      <c r="R465" s="144"/>
      <c r="S465" s="144"/>
      <c r="T465" s="145"/>
      <c r="U465" s="28"/>
      <c r="V465" s="30"/>
      <c r="W465" s="28"/>
      <c r="X465" s="28"/>
      <c r="Y465" s="28"/>
      <c r="Z465" s="28"/>
    </row>
    <row r="466" ht="13.5" customHeight="1">
      <c r="A466" s="28"/>
      <c r="B466" s="28"/>
      <c r="C466" s="28"/>
      <c r="D466" s="28"/>
      <c r="E466" s="28"/>
      <c r="F466" s="28"/>
      <c r="G466" s="28"/>
      <c r="H466" s="28"/>
      <c r="I466" s="28"/>
      <c r="J466" s="143"/>
      <c r="K466" s="28"/>
      <c r="L466" s="28"/>
      <c r="M466" s="28"/>
      <c r="N466" s="28"/>
      <c r="O466" s="28"/>
      <c r="P466" s="28"/>
      <c r="Q466" s="144"/>
      <c r="R466" s="144"/>
      <c r="S466" s="144"/>
      <c r="T466" s="145"/>
      <c r="U466" s="28"/>
      <c r="V466" s="30"/>
      <c r="W466" s="28"/>
      <c r="X466" s="28"/>
      <c r="Y466" s="28"/>
      <c r="Z466" s="28"/>
    </row>
    <row r="467" ht="13.5" customHeight="1">
      <c r="A467" s="28"/>
      <c r="B467" s="28"/>
      <c r="C467" s="28"/>
      <c r="D467" s="28"/>
      <c r="E467" s="28"/>
      <c r="F467" s="28"/>
      <c r="G467" s="28"/>
      <c r="H467" s="28"/>
      <c r="I467" s="28"/>
      <c r="J467" s="143"/>
      <c r="K467" s="28"/>
      <c r="L467" s="28"/>
      <c r="M467" s="28"/>
      <c r="N467" s="28"/>
      <c r="O467" s="28"/>
      <c r="P467" s="28"/>
      <c r="Q467" s="144"/>
      <c r="R467" s="144"/>
      <c r="S467" s="144"/>
      <c r="T467" s="145"/>
      <c r="U467" s="28"/>
      <c r="V467" s="30"/>
      <c r="W467" s="28"/>
      <c r="X467" s="28"/>
      <c r="Y467" s="28"/>
      <c r="Z467" s="28"/>
    </row>
    <row r="468" ht="13.5" customHeight="1">
      <c r="A468" s="28"/>
      <c r="B468" s="28"/>
      <c r="C468" s="28"/>
      <c r="D468" s="28"/>
      <c r="E468" s="28"/>
      <c r="F468" s="28"/>
      <c r="G468" s="28"/>
      <c r="H468" s="28"/>
      <c r="I468" s="28"/>
      <c r="J468" s="143"/>
      <c r="K468" s="28"/>
      <c r="L468" s="28"/>
      <c r="M468" s="28"/>
      <c r="N468" s="28"/>
      <c r="O468" s="28"/>
      <c r="P468" s="28"/>
      <c r="Q468" s="144"/>
      <c r="R468" s="144"/>
      <c r="S468" s="144"/>
      <c r="T468" s="145"/>
      <c r="U468" s="28"/>
      <c r="V468" s="30"/>
      <c r="W468" s="28"/>
      <c r="X468" s="28"/>
      <c r="Y468" s="28"/>
      <c r="Z468" s="28"/>
    </row>
    <row r="469" ht="13.5" customHeight="1">
      <c r="A469" s="28"/>
      <c r="B469" s="28"/>
      <c r="C469" s="28"/>
      <c r="D469" s="28"/>
      <c r="E469" s="28"/>
      <c r="F469" s="28"/>
      <c r="G469" s="28"/>
      <c r="H469" s="28"/>
      <c r="I469" s="28"/>
      <c r="J469" s="143"/>
      <c r="K469" s="28"/>
      <c r="L469" s="28"/>
      <c r="M469" s="28"/>
      <c r="N469" s="28"/>
      <c r="O469" s="28"/>
      <c r="P469" s="28"/>
      <c r="Q469" s="144"/>
      <c r="R469" s="144"/>
      <c r="S469" s="144"/>
      <c r="T469" s="145"/>
      <c r="U469" s="28"/>
      <c r="V469" s="30"/>
      <c r="W469" s="28"/>
      <c r="X469" s="28"/>
      <c r="Y469" s="28"/>
      <c r="Z469" s="28"/>
    </row>
    <row r="470" ht="13.5" customHeight="1">
      <c r="A470" s="28"/>
      <c r="B470" s="28"/>
      <c r="C470" s="28"/>
      <c r="D470" s="28"/>
      <c r="E470" s="28"/>
      <c r="F470" s="28"/>
      <c r="G470" s="28"/>
      <c r="H470" s="28"/>
      <c r="I470" s="28"/>
      <c r="J470" s="143"/>
      <c r="K470" s="28"/>
      <c r="L470" s="28"/>
      <c r="M470" s="28"/>
      <c r="N470" s="28"/>
      <c r="O470" s="28"/>
      <c r="P470" s="28"/>
      <c r="Q470" s="144"/>
      <c r="R470" s="144"/>
      <c r="S470" s="144"/>
      <c r="T470" s="145"/>
      <c r="U470" s="28"/>
      <c r="V470" s="30"/>
      <c r="W470" s="28"/>
      <c r="X470" s="28"/>
      <c r="Y470" s="28"/>
      <c r="Z470" s="28"/>
    </row>
    <row r="471" ht="13.5" customHeight="1">
      <c r="A471" s="28"/>
      <c r="B471" s="28"/>
      <c r="C471" s="28"/>
      <c r="D471" s="28"/>
      <c r="E471" s="28"/>
      <c r="F471" s="28"/>
      <c r="G471" s="28"/>
      <c r="H471" s="28"/>
      <c r="I471" s="28"/>
      <c r="J471" s="143"/>
      <c r="K471" s="28"/>
      <c r="L471" s="28"/>
      <c r="M471" s="28"/>
      <c r="N471" s="28"/>
      <c r="O471" s="28"/>
      <c r="P471" s="28"/>
      <c r="Q471" s="144"/>
      <c r="R471" s="144"/>
      <c r="S471" s="144"/>
      <c r="T471" s="145"/>
      <c r="U471" s="28"/>
      <c r="V471" s="30"/>
      <c r="W471" s="28"/>
      <c r="X471" s="28"/>
      <c r="Y471" s="28"/>
      <c r="Z471" s="28"/>
    </row>
    <row r="472" ht="13.5" customHeight="1">
      <c r="A472" s="28"/>
      <c r="B472" s="28"/>
      <c r="C472" s="28"/>
      <c r="D472" s="28"/>
      <c r="E472" s="28"/>
      <c r="F472" s="28"/>
      <c r="G472" s="28"/>
      <c r="H472" s="28"/>
      <c r="I472" s="28"/>
      <c r="J472" s="143"/>
      <c r="K472" s="28"/>
      <c r="L472" s="28"/>
      <c r="M472" s="28"/>
      <c r="N472" s="28"/>
      <c r="O472" s="28"/>
      <c r="P472" s="28"/>
      <c r="Q472" s="144"/>
      <c r="R472" s="144"/>
      <c r="S472" s="144"/>
      <c r="T472" s="145"/>
      <c r="U472" s="28"/>
      <c r="V472" s="30"/>
      <c r="W472" s="28"/>
      <c r="X472" s="28"/>
      <c r="Y472" s="28"/>
      <c r="Z472" s="28"/>
    </row>
    <row r="473" ht="13.5" customHeight="1">
      <c r="A473" s="28"/>
      <c r="B473" s="28"/>
      <c r="C473" s="28"/>
      <c r="D473" s="28"/>
      <c r="E473" s="28"/>
      <c r="F473" s="28"/>
      <c r="G473" s="28"/>
      <c r="H473" s="28"/>
      <c r="I473" s="28"/>
      <c r="J473" s="143"/>
      <c r="K473" s="28"/>
      <c r="L473" s="28"/>
      <c r="M473" s="28"/>
      <c r="N473" s="28"/>
      <c r="O473" s="28"/>
      <c r="P473" s="28"/>
      <c r="Q473" s="144"/>
      <c r="R473" s="144"/>
      <c r="S473" s="144"/>
      <c r="T473" s="145"/>
      <c r="U473" s="28"/>
      <c r="V473" s="30"/>
      <c r="W473" s="28"/>
      <c r="X473" s="28"/>
      <c r="Y473" s="28"/>
      <c r="Z473" s="28"/>
    </row>
    <row r="474" ht="13.5" customHeight="1">
      <c r="A474" s="28"/>
      <c r="B474" s="28"/>
      <c r="C474" s="28"/>
      <c r="D474" s="28"/>
      <c r="E474" s="28"/>
      <c r="F474" s="28"/>
      <c r="G474" s="28"/>
      <c r="H474" s="28"/>
      <c r="I474" s="28"/>
      <c r="J474" s="143"/>
      <c r="K474" s="28"/>
      <c r="L474" s="28"/>
      <c r="M474" s="28"/>
      <c r="N474" s="28"/>
      <c r="O474" s="28"/>
      <c r="P474" s="28"/>
      <c r="Q474" s="144"/>
      <c r="R474" s="144"/>
      <c r="S474" s="144"/>
      <c r="T474" s="145"/>
      <c r="U474" s="28"/>
      <c r="V474" s="30"/>
      <c r="W474" s="28"/>
      <c r="X474" s="28"/>
      <c r="Y474" s="28"/>
      <c r="Z474" s="28"/>
    </row>
    <row r="475" ht="13.5" customHeight="1">
      <c r="A475" s="28"/>
      <c r="B475" s="28"/>
      <c r="C475" s="28"/>
      <c r="D475" s="28"/>
      <c r="E475" s="28"/>
      <c r="F475" s="28"/>
      <c r="G475" s="28"/>
      <c r="H475" s="28"/>
      <c r="I475" s="28"/>
      <c r="J475" s="143"/>
      <c r="K475" s="28"/>
      <c r="L475" s="28"/>
      <c r="M475" s="28"/>
      <c r="N475" s="28"/>
      <c r="O475" s="28"/>
      <c r="P475" s="28"/>
      <c r="Q475" s="144"/>
      <c r="R475" s="144"/>
      <c r="S475" s="144"/>
      <c r="T475" s="145"/>
      <c r="U475" s="28"/>
      <c r="V475" s="30"/>
      <c r="W475" s="28"/>
      <c r="X475" s="28"/>
      <c r="Y475" s="28"/>
      <c r="Z475" s="28"/>
    </row>
    <row r="476" ht="13.5" customHeight="1">
      <c r="A476" s="28"/>
      <c r="B476" s="28"/>
      <c r="C476" s="28"/>
      <c r="D476" s="28"/>
      <c r="E476" s="28"/>
      <c r="F476" s="28"/>
      <c r="G476" s="28"/>
      <c r="H476" s="28"/>
      <c r="I476" s="28"/>
      <c r="J476" s="143"/>
      <c r="K476" s="28"/>
      <c r="L476" s="28"/>
      <c r="M476" s="28"/>
      <c r="N476" s="28"/>
      <c r="O476" s="28"/>
      <c r="P476" s="28"/>
      <c r="Q476" s="144"/>
      <c r="R476" s="144"/>
      <c r="S476" s="144"/>
      <c r="T476" s="145"/>
      <c r="U476" s="28"/>
      <c r="V476" s="30"/>
      <c r="W476" s="28"/>
      <c r="X476" s="28"/>
      <c r="Y476" s="28"/>
      <c r="Z476" s="28"/>
    </row>
    <row r="477" ht="13.5" customHeight="1">
      <c r="A477" s="28"/>
      <c r="B477" s="28"/>
      <c r="C477" s="28"/>
      <c r="D477" s="28"/>
      <c r="E477" s="28"/>
      <c r="F477" s="28"/>
      <c r="G477" s="28"/>
      <c r="H477" s="28"/>
      <c r="I477" s="28"/>
      <c r="J477" s="143"/>
      <c r="K477" s="28"/>
      <c r="L477" s="28"/>
      <c r="M477" s="28"/>
      <c r="N477" s="28"/>
      <c r="O477" s="28"/>
      <c r="P477" s="28"/>
      <c r="Q477" s="144"/>
      <c r="R477" s="144"/>
      <c r="S477" s="144"/>
      <c r="T477" s="145"/>
      <c r="U477" s="28"/>
      <c r="V477" s="30"/>
      <c r="W477" s="28"/>
      <c r="X477" s="28"/>
      <c r="Y477" s="28"/>
      <c r="Z477" s="28"/>
    </row>
    <row r="478" ht="13.5" customHeight="1">
      <c r="A478" s="28"/>
      <c r="B478" s="28"/>
      <c r="C478" s="28"/>
      <c r="D478" s="28"/>
      <c r="E478" s="28"/>
      <c r="F478" s="28"/>
      <c r="G478" s="28"/>
      <c r="H478" s="28"/>
      <c r="I478" s="28"/>
      <c r="J478" s="143"/>
      <c r="K478" s="28"/>
      <c r="L478" s="28"/>
      <c r="M478" s="28"/>
      <c r="N478" s="28"/>
      <c r="O478" s="28"/>
      <c r="P478" s="28"/>
      <c r="Q478" s="144"/>
      <c r="R478" s="144"/>
      <c r="S478" s="144"/>
      <c r="T478" s="145"/>
      <c r="U478" s="28"/>
      <c r="V478" s="30"/>
      <c r="W478" s="28"/>
      <c r="X478" s="28"/>
      <c r="Y478" s="28"/>
      <c r="Z478" s="28"/>
    </row>
    <row r="479" ht="13.5" customHeight="1">
      <c r="A479" s="28"/>
      <c r="B479" s="28"/>
      <c r="C479" s="28"/>
      <c r="D479" s="28"/>
      <c r="E479" s="28"/>
      <c r="F479" s="28"/>
      <c r="G479" s="28"/>
      <c r="H479" s="28"/>
      <c r="I479" s="28"/>
      <c r="J479" s="143"/>
      <c r="K479" s="28"/>
      <c r="L479" s="28"/>
      <c r="M479" s="28"/>
      <c r="N479" s="28"/>
      <c r="O479" s="28"/>
      <c r="P479" s="28"/>
      <c r="Q479" s="144"/>
      <c r="R479" s="144"/>
      <c r="S479" s="144"/>
      <c r="T479" s="145"/>
      <c r="U479" s="28"/>
      <c r="V479" s="30"/>
      <c r="W479" s="28"/>
      <c r="X479" s="28"/>
      <c r="Y479" s="28"/>
      <c r="Z479" s="28"/>
    </row>
    <row r="480" ht="13.5" customHeight="1">
      <c r="A480" s="28"/>
      <c r="B480" s="28"/>
      <c r="C480" s="28"/>
      <c r="D480" s="28"/>
      <c r="E480" s="28"/>
      <c r="F480" s="28"/>
      <c r="G480" s="28"/>
      <c r="H480" s="28"/>
      <c r="I480" s="28"/>
      <c r="J480" s="143"/>
      <c r="K480" s="28"/>
      <c r="L480" s="28"/>
      <c r="M480" s="28"/>
      <c r="N480" s="28"/>
      <c r="O480" s="28"/>
      <c r="P480" s="28"/>
      <c r="Q480" s="144"/>
      <c r="R480" s="144"/>
      <c r="S480" s="144"/>
      <c r="T480" s="145"/>
      <c r="U480" s="28"/>
      <c r="V480" s="30"/>
      <c r="W480" s="28"/>
      <c r="X480" s="28"/>
      <c r="Y480" s="28"/>
      <c r="Z480" s="28"/>
    </row>
    <row r="481" ht="13.5" customHeight="1">
      <c r="A481" s="28"/>
      <c r="B481" s="28"/>
      <c r="C481" s="28"/>
      <c r="D481" s="28"/>
      <c r="E481" s="28"/>
      <c r="F481" s="28"/>
      <c r="G481" s="28"/>
      <c r="H481" s="28"/>
      <c r="I481" s="28"/>
      <c r="J481" s="143"/>
      <c r="K481" s="28"/>
      <c r="L481" s="28"/>
      <c r="M481" s="28"/>
      <c r="N481" s="28"/>
      <c r="O481" s="28"/>
      <c r="P481" s="28"/>
      <c r="Q481" s="144"/>
      <c r="R481" s="144"/>
      <c r="S481" s="144"/>
      <c r="T481" s="145"/>
      <c r="U481" s="28"/>
      <c r="V481" s="30"/>
      <c r="W481" s="28"/>
      <c r="X481" s="28"/>
      <c r="Y481" s="28"/>
      <c r="Z481" s="28"/>
    </row>
    <row r="482" ht="13.5" customHeight="1">
      <c r="A482" s="28"/>
      <c r="B482" s="28"/>
      <c r="C482" s="28"/>
      <c r="D482" s="28"/>
      <c r="E482" s="28"/>
      <c r="F482" s="28"/>
      <c r="G482" s="28"/>
      <c r="H482" s="28"/>
      <c r="I482" s="28"/>
      <c r="J482" s="143"/>
      <c r="K482" s="28"/>
      <c r="L482" s="28"/>
      <c r="M482" s="28"/>
      <c r="N482" s="28"/>
      <c r="O482" s="28"/>
      <c r="P482" s="28"/>
      <c r="Q482" s="144"/>
      <c r="R482" s="144"/>
      <c r="S482" s="144"/>
      <c r="T482" s="145"/>
      <c r="U482" s="28"/>
      <c r="V482" s="30"/>
      <c r="W482" s="28"/>
      <c r="X482" s="28"/>
      <c r="Y482" s="28"/>
      <c r="Z482" s="28"/>
    </row>
    <row r="483" ht="13.5" customHeight="1">
      <c r="A483" s="28"/>
      <c r="B483" s="28"/>
      <c r="C483" s="28"/>
      <c r="D483" s="28"/>
      <c r="E483" s="28"/>
      <c r="F483" s="28"/>
      <c r="G483" s="28"/>
      <c r="H483" s="28"/>
      <c r="I483" s="28"/>
      <c r="J483" s="143"/>
      <c r="K483" s="28"/>
      <c r="L483" s="28"/>
      <c r="M483" s="28"/>
      <c r="N483" s="28"/>
      <c r="O483" s="28"/>
      <c r="P483" s="28"/>
      <c r="Q483" s="144"/>
      <c r="R483" s="144"/>
      <c r="S483" s="144"/>
      <c r="T483" s="145"/>
      <c r="U483" s="28"/>
      <c r="V483" s="30"/>
      <c r="W483" s="28"/>
      <c r="X483" s="28"/>
      <c r="Y483" s="28"/>
      <c r="Z483" s="28"/>
    </row>
    <row r="484" ht="13.5" customHeight="1">
      <c r="A484" s="28"/>
      <c r="B484" s="28"/>
      <c r="C484" s="28"/>
      <c r="D484" s="28"/>
      <c r="E484" s="28"/>
      <c r="F484" s="28"/>
      <c r="G484" s="28"/>
      <c r="H484" s="28"/>
      <c r="I484" s="28"/>
      <c r="J484" s="143"/>
      <c r="K484" s="28"/>
      <c r="L484" s="28"/>
      <c r="M484" s="28"/>
      <c r="N484" s="28"/>
      <c r="O484" s="28"/>
      <c r="P484" s="28"/>
      <c r="Q484" s="144"/>
      <c r="R484" s="144"/>
      <c r="S484" s="144"/>
      <c r="T484" s="145"/>
      <c r="U484" s="28"/>
      <c r="V484" s="30"/>
      <c r="W484" s="28"/>
      <c r="X484" s="28"/>
      <c r="Y484" s="28"/>
      <c r="Z484" s="28"/>
    </row>
    <row r="485" ht="13.5" customHeight="1">
      <c r="A485" s="28"/>
      <c r="B485" s="28"/>
      <c r="C485" s="28"/>
      <c r="D485" s="28"/>
      <c r="E485" s="28"/>
      <c r="F485" s="28"/>
      <c r="G485" s="28"/>
      <c r="H485" s="28"/>
      <c r="I485" s="28"/>
      <c r="J485" s="143"/>
      <c r="K485" s="28"/>
      <c r="L485" s="28"/>
      <c r="M485" s="28"/>
      <c r="N485" s="28"/>
      <c r="O485" s="28"/>
      <c r="P485" s="28"/>
      <c r="Q485" s="144"/>
      <c r="R485" s="144"/>
      <c r="S485" s="144"/>
      <c r="T485" s="145"/>
      <c r="U485" s="28"/>
      <c r="V485" s="30"/>
      <c r="W485" s="28"/>
      <c r="X485" s="28"/>
      <c r="Y485" s="28"/>
      <c r="Z485" s="28"/>
    </row>
    <row r="486" ht="13.5" customHeight="1">
      <c r="A486" s="28"/>
      <c r="B486" s="28"/>
      <c r="C486" s="28"/>
      <c r="D486" s="28"/>
      <c r="E486" s="28"/>
      <c r="F486" s="28"/>
      <c r="G486" s="28"/>
      <c r="H486" s="28"/>
      <c r="I486" s="28"/>
      <c r="J486" s="143"/>
      <c r="K486" s="28"/>
      <c r="L486" s="28"/>
      <c r="M486" s="28"/>
      <c r="N486" s="28"/>
      <c r="O486" s="28"/>
      <c r="P486" s="28"/>
      <c r="Q486" s="144"/>
      <c r="R486" s="144"/>
      <c r="S486" s="144"/>
      <c r="T486" s="145"/>
      <c r="U486" s="28"/>
      <c r="V486" s="30"/>
      <c r="W486" s="28"/>
      <c r="X486" s="28"/>
      <c r="Y486" s="28"/>
      <c r="Z486" s="28"/>
    </row>
    <row r="487" ht="13.5" customHeight="1">
      <c r="A487" s="28"/>
      <c r="B487" s="28"/>
      <c r="C487" s="28"/>
      <c r="D487" s="28"/>
      <c r="E487" s="28"/>
      <c r="F487" s="28"/>
      <c r="G487" s="28"/>
      <c r="H487" s="28"/>
      <c r="I487" s="28"/>
      <c r="J487" s="143"/>
      <c r="K487" s="28"/>
      <c r="L487" s="28"/>
      <c r="M487" s="28"/>
      <c r="N487" s="28"/>
      <c r="O487" s="28"/>
      <c r="P487" s="28"/>
      <c r="Q487" s="144"/>
      <c r="R487" s="144"/>
      <c r="S487" s="144"/>
      <c r="T487" s="145"/>
      <c r="U487" s="28"/>
      <c r="V487" s="30"/>
      <c r="W487" s="28"/>
      <c r="X487" s="28"/>
      <c r="Y487" s="28"/>
      <c r="Z487" s="28"/>
    </row>
    <row r="488" ht="13.5" customHeight="1">
      <c r="A488" s="28"/>
      <c r="B488" s="28"/>
      <c r="C488" s="28"/>
      <c r="D488" s="28"/>
      <c r="E488" s="28"/>
      <c r="F488" s="28"/>
      <c r="G488" s="28"/>
      <c r="H488" s="28"/>
      <c r="I488" s="28"/>
      <c r="J488" s="143"/>
      <c r="K488" s="28"/>
      <c r="L488" s="28"/>
      <c r="M488" s="28"/>
      <c r="N488" s="28"/>
      <c r="O488" s="28"/>
      <c r="P488" s="28"/>
      <c r="Q488" s="144"/>
      <c r="R488" s="144"/>
      <c r="S488" s="144"/>
      <c r="T488" s="145"/>
      <c r="U488" s="28"/>
      <c r="V488" s="30"/>
      <c r="W488" s="28"/>
      <c r="X488" s="28"/>
      <c r="Y488" s="28"/>
      <c r="Z488" s="28"/>
    </row>
    <row r="489" ht="13.5" customHeight="1">
      <c r="A489" s="28"/>
      <c r="B489" s="28"/>
      <c r="C489" s="28"/>
      <c r="D489" s="28"/>
      <c r="E489" s="28"/>
      <c r="F489" s="28"/>
      <c r="G489" s="28"/>
      <c r="H489" s="28"/>
      <c r="I489" s="28"/>
      <c r="J489" s="143"/>
      <c r="K489" s="28"/>
      <c r="L489" s="28"/>
      <c r="M489" s="28"/>
      <c r="N489" s="28"/>
      <c r="O489" s="28"/>
      <c r="P489" s="28"/>
      <c r="Q489" s="144"/>
      <c r="R489" s="144"/>
      <c r="S489" s="144"/>
      <c r="T489" s="145"/>
      <c r="U489" s="28"/>
      <c r="V489" s="30"/>
      <c r="W489" s="28"/>
      <c r="X489" s="28"/>
      <c r="Y489" s="28"/>
      <c r="Z489" s="28"/>
    </row>
    <row r="490" ht="13.5" customHeight="1">
      <c r="A490" s="28"/>
      <c r="B490" s="28"/>
      <c r="C490" s="28"/>
      <c r="D490" s="28"/>
      <c r="E490" s="28"/>
      <c r="F490" s="28"/>
      <c r="G490" s="28"/>
      <c r="H490" s="28"/>
      <c r="I490" s="28"/>
      <c r="J490" s="143"/>
      <c r="K490" s="28"/>
      <c r="L490" s="28"/>
      <c r="M490" s="28"/>
      <c r="N490" s="28"/>
      <c r="O490" s="28"/>
      <c r="P490" s="28"/>
      <c r="Q490" s="144"/>
      <c r="R490" s="144"/>
      <c r="S490" s="144"/>
      <c r="T490" s="145"/>
      <c r="U490" s="28"/>
      <c r="V490" s="30"/>
      <c r="W490" s="28"/>
      <c r="X490" s="28"/>
      <c r="Y490" s="28"/>
      <c r="Z490" s="28"/>
    </row>
    <row r="491" ht="13.5" customHeight="1">
      <c r="A491" s="28"/>
      <c r="B491" s="28"/>
      <c r="C491" s="28"/>
      <c r="D491" s="28"/>
      <c r="E491" s="28"/>
      <c r="F491" s="28"/>
      <c r="G491" s="28"/>
      <c r="H491" s="28"/>
      <c r="I491" s="28"/>
      <c r="J491" s="143"/>
      <c r="K491" s="28"/>
      <c r="L491" s="28"/>
      <c r="M491" s="28"/>
      <c r="N491" s="28"/>
      <c r="O491" s="28"/>
      <c r="P491" s="28"/>
      <c r="Q491" s="144"/>
      <c r="R491" s="144"/>
      <c r="S491" s="144"/>
      <c r="T491" s="145"/>
      <c r="U491" s="28"/>
      <c r="V491" s="30"/>
      <c r="W491" s="28"/>
      <c r="X491" s="28"/>
      <c r="Y491" s="28"/>
      <c r="Z491" s="28"/>
    </row>
    <row r="492" ht="13.5" customHeight="1">
      <c r="A492" s="28"/>
      <c r="B492" s="28"/>
      <c r="C492" s="28"/>
      <c r="D492" s="28"/>
      <c r="E492" s="28"/>
      <c r="F492" s="28"/>
      <c r="G492" s="28"/>
      <c r="H492" s="28"/>
      <c r="I492" s="28"/>
      <c r="J492" s="143"/>
      <c r="K492" s="28"/>
      <c r="L492" s="28"/>
      <c r="M492" s="28"/>
      <c r="N492" s="28"/>
      <c r="O492" s="28"/>
      <c r="P492" s="28"/>
      <c r="Q492" s="144"/>
      <c r="R492" s="144"/>
      <c r="S492" s="144"/>
      <c r="T492" s="145"/>
      <c r="U492" s="28"/>
      <c r="V492" s="30"/>
      <c r="W492" s="28"/>
      <c r="X492" s="28"/>
      <c r="Y492" s="28"/>
      <c r="Z492" s="28"/>
    </row>
    <row r="493" ht="13.5" customHeight="1">
      <c r="A493" s="28"/>
      <c r="B493" s="28"/>
      <c r="C493" s="28"/>
      <c r="D493" s="28"/>
      <c r="E493" s="28"/>
      <c r="F493" s="28"/>
      <c r="G493" s="28"/>
      <c r="H493" s="28"/>
      <c r="I493" s="28"/>
      <c r="J493" s="143"/>
      <c r="K493" s="28"/>
      <c r="L493" s="28"/>
      <c r="M493" s="28"/>
      <c r="N493" s="28"/>
      <c r="O493" s="28"/>
      <c r="P493" s="28"/>
      <c r="Q493" s="144"/>
      <c r="R493" s="144"/>
      <c r="S493" s="144"/>
      <c r="T493" s="145"/>
      <c r="U493" s="28"/>
      <c r="V493" s="30"/>
      <c r="W493" s="28"/>
      <c r="X493" s="28"/>
      <c r="Y493" s="28"/>
      <c r="Z493" s="28"/>
    </row>
    <row r="494" ht="13.5" customHeight="1">
      <c r="A494" s="28"/>
      <c r="B494" s="28"/>
      <c r="C494" s="28"/>
      <c r="D494" s="28"/>
      <c r="E494" s="28"/>
      <c r="F494" s="28"/>
      <c r="G494" s="28"/>
      <c r="H494" s="28"/>
      <c r="I494" s="28"/>
      <c r="J494" s="143"/>
      <c r="K494" s="28"/>
      <c r="L494" s="28"/>
      <c r="M494" s="28"/>
      <c r="N494" s="28"/>
      <c r="O494" s="28"/>
      <c r="P494" s="28"/>
      <c r="Q494" s="144"/>
      <c r="R494" s="144"/>
      <c r="S494" s="144"/>
      <c r="T494" s="145"/>
      <c r="U494" s="28"/>
      <c r="V494" s="30"/>
      <c r="W494" s="28"/>
      <c r="X494" s="28"/>
      <c r="Y494" s="28"/>
      <c r="Z494" s="28"/>
    </row>
    <row r="495" ht="13.5" customHeight="1">
      <c r="A495" s="28"/>
      <c r="B495" s="28"/>
      <c r="C495" s="28"/>
      <c r="D495" s="28"/>
      <c r="E495" s="28"/>
      <c r="F495" s="28"/>
      <c r="G495" s="28"/>
      <c r="H495" s="28"/>
      <c r="I495" s="28"/>
      <c r="J495" s="143"/>
      <c r="K495" s="28"/>
      <c r="L495" s="28"/>
      <c r="M495" s="28"/>
      <c r="N495" s="28"/>
      <c r="O495" s="28"/>
      <c r="P495" s="28"/>
      <c r="Q495" s="144"/>
      <c r="R495" s="144"/>
      <c r="S495" s="144"/>
      <c r="T495" s="145"/>
      <c r="U495" s="28"/>
      <c r="V495" s="30"/>
      <c r="W495" s="28"/>
      <c r="X495" s="28"/>
      <c r="Y495" s="28"/>
      <c r="Z495" s="28"/>
    </row>
    <row r="496" ht="13.5" customHeight="1">
      <c r="A496" s="28"/>
      <c r="B496" s="28"/>
      <c r="C496" s="28"/>
      <c r="D496" s="28"/>
      <c r="E496" s="28"/>
      <c r="F496" s="28"/>
      <c r="G496" s="28"/>
      <c r="H496" s="28"/>
      <c r="I496" s="28"/>
      <c r="J496" s="143"/>
      <c r="K496" s="28"/>
      <c r="L496" s="28"/>
      <c r="M496" s="28"/>
      <c r="N496" s="28"/>
      <c r="O496" s="28"/>
      <c r="P496" s="28"/>
      <c r="Q496" s="144"/>
      <c r="R496" s="144"/>
      <c r="S496" s="144"/>
      <c r="T496" s="145"/>
      <c r="U496" s="28"/>
      <c r="V496" s="30"/>
      <c r="W496" s="28"/>
      <c r="X496" s="28"/>
      <c r="Y496" s="28"/>
      <c r="Z496" s="28"/>
    </row>
    <row r="497" ht="13.5" customHeight="1">
      <c r="A497" s="28"/>
      <c r="B497" s="28"/>
      <c r="C497" s="28"/>
      <c r="D497" s="28"/>
      <c r="E497" s="28"/>
      <c r="F497" s="28"/>
      <c r="G497" s="28"/>
      <c r="H497" s="28"/>
      <c r="I497" s="28"/>
      <c r="J497" s="143"/>
      <c r="K497" s="28"/>
      <c r="L497" s="28"/>
      <c r="M497" s="28"/>
      <c r="N497" s="28"/>
      <c r="O497" s="28"/>
      <c r="P497" s="28"/>
      <c r="Q497" s="144"/>
      <c r="R497" s="144"/>
      <c r="S497" s="144"/>
      <c r="T497" s="145"/>
      <c r="U497" s="28"/>
      <c r="V497" s="30"/>
      <c r="W497" s="28"/>
      <c r="X497" s="28"/>
      <c r="Y497" s="28"/>
      <c r="Z497" s="28"/>
    </row>
    <row r="498" ht="13.5" customHeight="1">
      <c r="A498" s="28"/>
      <c r="B498" s="28"/>
      <c r="C498" s="28"/>
      <c r="D498" s="28"/>
      <c r="E498" s="28"/>
      <c r="F498" s="28"/>
      <c r="G498" s="28"/>
      <c r="H498" s="28"/>
      <c r="I498" s="28"/>
      <c r="J498" s="143"/>
      <c r="K498" s="28"/>
      <c r="L498" s="28"/>
      <c r="M498" s="28"/>
      <c r="N498" s="28"/>
      <c r="O498" s="28"/>
      <c r="P498" s="28"/>
      <c r="Q498" s="144"/>
      <c r="R498" s="144"/>
      <c r="S498" s="144"/>
      <c r="T498" s="145"/>
      <c r="U498" s="28"/>
      <c r="V498" s="30"/>
      <c r="W498" s="28"/>
      <c r="X498" s="28"/>
      <c r="Y498" s="28"/>
      <c r="Z498" s="28"/>
    </row>
    <row r="499" ht="13.5" customHeight="1">
      <c r="A499" s="28"/>
      <c r="B499" s="28"/>
      <c r="C499" s="28"/>
      <c r="D499" s="28"/>
      <c r="E499" s="28"/>
      <c r="F499" s="28"/>
      <c r="G499" s="28"/>
      <c r="H499" s="28"/>
      <c r="I499" s="28"/>
      <c r="J499" s="143"/>
      <c r="K499" s="28"/>
      <c r="L499" s="28"/>
      <c r="M499" s="28"/>
      <c r="N499" s="28"/>
      <c r="O499" s="28"/>
      <c r="P499" s="28"/>
      <c r="Q499" s="144"/>
      <c r="R499" s="144"/>
      <c r="S499" s="144"/>
      <c r="T499" s="145"/>
      <c r="U499" s="28"/>
      <c r="V499" s="30"/>
      <c r="W499" s="28"/>
      <c r="X499" s="28"/>
      <c r="Y499" s="28"/>
      <c r="Z499" s="28"/>
    </row>
    <row r="500" ht="13.5" customHeight="1">
      <c r="A500" s="28"/>
      <c r="B500" s="28"/>
      <c r="C500" s="28"/>
      <c r="D500" s="28"/>
      <c r="E500" s="28"/>
      <c r="F500" s="28"/>
      <c r="G500" s="28"/>
      <c r="H500" s="28"/>
      <c r="I500" s="28"/>
      <c r="J500" s="143"/>
      <c r="K500" s="28"/>
      <c r="L500" s="28"/>
      <c r="M500" s="28"/>
      <c r="N500" s="28"/>
      <c r="O500" s="28"/>
      <c r="P500" s="28"/>
      <c r="Q500" s="144"/>
      <c r="R500" s="144"/>
      <c r="S500" s="144"/>
      <c r="T500" s="145"/>
      <c r="U500" s="28"/>
      <c r="V500" s="30"/>
      <c r="W500" s="28"/>
      <c r="X500" s="28"/>
      <c r="Y500" s="28"/>
      <c r="Z500" s="28"/>
    </row>
    <row r="501" ht="13.5" customHeight="1">
      <c r="A501" s="28"/>
      <c r="B501" s="28"/>
      <c r="C501" s="28"/>
      <c r="D501" s="28"/>
      <c r="E501" s="28"/>
      <c r="F501" s="28"/>
      <c r="G501" s="28"/>
      <c r="H501" s="28"/>
      <c r="I501" s="28"/>
      <c r="J501" s="143"/>
      <c r="K501" s="28"/>
      <c r="L501" s="28"/>
      <c r="M501" s="28"/>
      <c r="N501" s="28"/>
      <c r="O501" s="28"/>
      <c r="P501" s="28"/>
      <c r="Q501" s="144"/>
      <c r="R501" s="144"/>
      <c r="S501" s="144"/>
      <c r="T501" s="145"/>
      <c r="U501" s="28"/>
      <c r="V501" s="30"/>
      <c r="W501" s="28"/>
      <c r="X501" s="28"/>
      <c r="Y501" s="28"/>
      <c r="Z501" s="28"/>
    </row>
    <row r="502" ht="13.5" customHeight="1">
      <c r="A502" s="28"/>
      <c r="B502" s="28"/>
      <c r="C502" s="28"/>
      <c r="D502" s="28"/>
      <c r="E502" s="28"/>
      <c r="F502" s="28"/>
      <c r="G502" s="28"/>
      <c r="H502" s="28"/>
      <c r="I502" s="28"/>
      <c r="J502" s="143"/>
      <c r="K502" s="28"/>
      <c r="L502" s="28"/>
      <c r="M502" s="28"/>
      <c r="N502" s="28"/>
      <c r="O502" s="28"/>
      <c r="P502" s="28"/>
      <c r="Q502" s="144"/>
      <c r="R502" s="144"/>
      <c r="S502" s="144"/>
      <c r="T502" s="145"/>
      <c r="U502" s="28"/>
      <c r="V502" s="30"/>
      <c r="W502" s="28"/>
      <c r="X502" s="28"/>
      <c r="Y502" s="28"/>
      <c r="Z502" s="28"/>
    </row>
    <row r="503" ht="13.5" customHeight="1">
      <c r="A503" s="28"/>
      <c r="B503" s="28"/>
      <c r="C503" s="28"/>
      <c r="D503" s="28"/>
      <c r="E503" s="28"/>
      <c r="F503" s="28"/>
      <c r="G503" s="28"/>
      <c r="H503" s="28"/>
      <c r="I503" s="28"/>
      <c r="J503" s="143"/>
      <c r="K503" s="28"/>
      <c r="L503" s="28"/>
      <c r="M503" s="28"/>
      <c r="N503" s="28"/>
      <c r="O503" s="28"/>
      <c r="P503" s="28"/>
      <c r="Q503" s="144"/>
      <c r="R503" s="144"/>
      <c r="S503" s="144"/>
      <c r="T503" s="145"/>
      <c r="U503" s="28"/>
      <c r="V503" s="30"/>
      <c r="W503" s="28"/>
      <c r="X503" s="28"/>
      <c r="Y503" s="28"/>
      <c r="Z503" s="28"/>
    </row>
    <row r="504" ht="13.5" customHeight="1">
      <c r="A504" s="28"/>
      <c r="B504" s="28"/>
      <c r="C504" s="28"/>
      <c r="D504" s="28"/>
      <c r="E504" s="28"/>
      <c r="F504" s="28"/>
      <c r="G504" s="28"/>
      <c r="H504" s="28"/>
      <c r="I504" s="28"/>
      <c r="J504" s="143"/>
      <c r="K504" s="28"/>
      <c r="L504" s="28"/>
      <c r="M504" s="28"/>
      <c r="N504" s="28"/>
      <c r="O504" s="28"/>
      <c r="P504" s="28"/>
      <c r="Q504" s="144"/>
      <c r="R504" s="144"/>
      <c r="S504" s="144"/>
      <c r="T504" s="145"/>
      <c r="U504" s="28"/>
      <c r="V504" s="30"/>
      <c r="W504" s="28"/>
      <c r="X504" s="28"/>
      <c r="Y504" s="28"/>
      <c r="Z504" s="28"/>
    </row>
    <row r="505" ht="13.5" customHeight="1">
      <c r="A505" s="28"/>
      <c r="B505" s="28"/>
      <c r="C505" s="28"/>
      <c r="D505" s="28"/>
      <c r="E505" s="28"/>
      <c r="F505" s="28"/>
      <c r="G505" s="28"/>
      <c r="H505" s="28"/>
      <c r="I505" s="28"/>
      <c r="J505" s="143"/>
      <c r="K505" s="28"/>
      <c r="L505" s="28"/>
      <c r="M505" s="28"/>
      <c r="N505" s="28"/>
      <c r="O505" s="28"/>
      <c r="P505" s="28"/>
      <c r="Q505" s="144"/>
      <c r="R505" s="144"/>
      <c r="S505" s="144"/>
      <c r="T505" s="145"/>
      <c r="U505" s="28"/>
      <c r="V505" s="30"/>
      <c r="W505" s="28"/>
      <c r="X505" s="28"/>
      <c r="Y505" s="28"/>
      <c r="Z505" s="28"/>
    </row>
    <row r="506" ht="13.5" customHeight="1">
      <c r="A506" s="28"/>
      <c r="B506" s="28"/>
      <c r="C506" s="28"/>
      <c r="D506" s="28"/>
      <c r="E506" s="28"/>
      <c r="F506" s="28"/>
      <c r="G506" s="28"/>
      <c r="H506" s="28"/>
      <c r="I506" s="28"/>
      <c r="J506" s="143"/>
      <c r="K506" s="28"/>
      <c r="L506" s="28"/>
      <c r="M506" s="28"/>
      <c r="N506" s="28"/>
      <c r="O506" s="28"/>
      <c r="P506" s="28"/>
      <c r="Q506" s="144"/>
      <c r="R506" s="144"/>
      <c r="S506" s="144"/>
      <c r="T506" s="145"/>
      <c r="U506" s="28"/>
      <c r="V506" s="30"/>
      <c r="W506" s="28"/>
      <c r="X506" s="28"/>
      <c r="Y506" s="28"/>
      <c r="Z506" s="28"/>
    </row>
    <row r="507" ht="13.5" customHeight="1">
      <c r="A507" s="28"/>
      <c r="B507" s="28"/>
      <c r="C507" s="28"/>
      <c r="D507" s="28"/>
      <c r="E507" s="28"/>
      <c r="F507" s="28"/>
      <c r="G507" s="28"/>
      <c r="H507" s="28"/>
      <c r="I507" s="28"/>
      <c r="J507" s="143"/>
      <c r="K507" s="28"/>
      <c r="L507" s="28"/>
      <c r="M507" s="28"/>
      <c r="N507" s="28"/>
      <c r="O507" s="28"/>
      <c r="P507" s="28"/>
      <c r="Q507" s="144"/>
      <c r="R507" s="144"/>
      <c r="S507" s="144"/>
      <c r="T507" s="145"/>
      <c r="U507" s="28"/>
      <c r="V507" s="30"/>
      <c r="W507" s="28"/>
      <c r="X507" s="28"/>
      <c r="Y507" s="28"/>
      <c r="Z507" s="28"/>
    </row>
    <row r="508" ht="13.5" customHeight="1">
      <c r="A508" s="28"/>
      <c r="B508" s="28"/>
      <c r="C508" s="28"/>
      <c r="D508" s="28"/>
      <c r="E508" s="28"/>
      <c r="F508" s="28"/>
      <c r="G508" s="28"/>
      <c r="H508" s="28"/>
      <c r="I508" s="28"/>
      <c r="J508" s="143"/>
      <c r="K508" s="28"/>
      <c r="L508" s="28"/>
      <c r="M508" s="28"/>
      <c r="N508" s="28"/>
      <c r="O508" s="28"/>
      <c r="P508" s="28"/>
      <c r="Q508" s="144"/>
      <c r="R508" s="144"/>
      <c r="S508" s="144"/>
      <c r="T508" s="145"/>
      <c r="U508" s="28"/>
      <c r="V508" s="30"/>
      <c r="W508" s="28"/>
      <c r="X508" s="28"/>
      <c r="Y508" s="28"/>
      <c r="Z508" s="28"/>
    </row>
    <row r="509" ht="13.5" customHeight="1">
      <c r="A509" s="28"/>
      <c r="B509" s="28"/>
      <c r="C509" s="28"/>
      <c r="D509" s="28"/>
      <c r="E509" s="28"/>
      <c r="F509" s="28"/>
      <c r="G509" s="28"/>
      <c r="H509" s="28"/>
      <c r="I509" s="28"/>
      <c r="J509" s="143"/>
      <c r="K509" s="28"/>
      <c r="L509" s="28"/>
      <c r="M509" s="28"/>
      <c r="N509" s="28"/>
      <c r="O509" s="28"/>
      <c r="P509" s="28"/>
      <c r="Q509" s="144"/>
      <c r="R509" s="144"/>
      <c r="S509" s="144"/>
      <c r="T509" s="145"/>
      <c r="U509" s="28"/>
      <c r="V509" s="30"/>
      <c r="W509" s="28"/>
      <c r="X509" s="28"/>
      <c r="Y509" s="28"/>
      <c r="Z509" s="28"/>
    </row>
    <row r="510" ht="13.5" customHeight="1">
      <c r="A510" s="28"/>
      <c r="B510" s="28"/>
      <c r="C510" s="28"/>
      <c r="D510" s="28"/>
      <c r="E510" s="28"/>
      <c r="F510" s="28"/>
      <c r="G510" s="28"/>
      <c r="H510" s="28"/>
      <c r="I510" s="28"/>
      <c r="J510" s="143"/>
      <c r="K510" s="28"/>
      <c r="L510" s="28"/>
      <c r="M510" s="28"/>
      <c r="N510" s="28"/>
      <c r="O510" s="28"/>
      <c r="P510" s="28"/>
      <c r="Q510" s="144"/>
      <c r="R510" s="144"/>
      <c r="S510" s="144"/>
      <c r="T510" s="145"/>
      <c r="U510" s="28"/>
      <c r="V510" s="30"/>
      <c r="W510" s="28"/>
      <c r="X510" s="28"/>
      <c r="Y510" s="28"/>
      <c r="Z510" s="28"/>
    </row>
    <row r="511" ht="13.5" customHeight="1">
      <c r="A511" s="28"/>
      <c r="B511" s="28"/>
      <c r="C511" s="28"/>
      <c r="D511" s="28"/>
      <c r="E511" s="28"/>
      <c r="F511" s="28"/>
      <c r="G511" s="28"/>
      <c r="H511" s="28"/>
      <c r="I511" s="28"/>
      <c r="J511" s="143"/>
      <c r="K511" s="28"/>
      <c r="L511" s="28"/>
      <c r="M511" s="28"/>
      <c r="N511" s="28"/>
      <c r="O511" s="28"/>
      <c r="P511" s="28"/>
      <c r="Q511" s="144"/>
      <c r="R511" s="144"/>
      <c r="S511" s="144"/>
      <c r="T511" s="145"/>
      <c r="U511" s="28"/>
      <c r="V511" s="30"/>
      <c r="W511" s="28"/>
      <c r="X511" s="28"/>
      <c r="Y511" s="28"/>
      <c r="Z511" s="28"/>
    </row>
    <row r="512" ht="13.5" customHeight="1">
      <c r="A512" s="28"/>
      <c r="B512" s="28"/>
      <c r="C512" s="28"/>
      <c r="D512" s="28"/>
      <c r="E512" s="28"/>
      <c r="F512" s="28"/>
      <c r="G512" s="28"/>
      <c r="H512" s="28"/>
      <c r="I512" s="28"/>
      <c r="J512" s="143"/>
      <c r="K512" s="28"/>
      <c r="L512" s="28"/>
      <c r="M512" s="28"/>
      <c r="N512" s="28"/>
      <c r="O512" s="28"/>
      <c r="P512" s="28"/>
      <c r="Q512" s="144"/>
      <c r="R512" s="144"/>
      <c r="S512" s="144"/>
      <c r="T512" s="145"/>
      <c r="U512" s="28"/>
      <c r="V512" s="30"/>
      <c r="W512" s="28"/>
      <c r="X512" s="28"/>
      <c r="Y512" s="28"/>
      <c r="Z512" s="28"/>
    </row>
    <row r="513" ht="13.5" customHeight="1">
      <c r="A513" s="28"/>
      <c r="B513" s="28"/>
      <c r="C513" s="28"/>
      <c r="D513" s="28"/>
      <c r="E513" s="28"/>
      <c r="F513" s="28"/>
      <c r="G513" s="28"/>
      <c r="H513" s="28"/>
      <c r="I513" s="28"/>
      <c r="J513" s="143"/>
      <c r="K513" s="28"/>
      <c r="L513" s="28"/>
      <c r="M513" s="28"/>
      <c r="N513" s="28"/>
      <c r="O513" s="28"/>
      <c r="P513" s="28"/>
      <c r="Q513" s="144"/>
      <c r="R513" s="144"/>
      <c r="S513" s="144"/>
      <c r="T513" s="145"/>
      <c r="U513" s="28"/>
      <c r="V513" s="30"/>
      <c r="W513" s="28"/>
      <c r="X513" s="28"/>
      <c r="Y513" s="28"/>
      <c r="Z513" s="28"/>
    </row>
    <row r="514" ht="13.5" customHeight="1">
      <c r="A514" s="28"/>
      <c r="B514" s="28"/>
      <c r="C514" s="28"/>
      <c r="D514" s="28"/>
      <c r="E514" s="28"/>
      <c r="F514" s="28"/>
      <c r="G514" s="28"/>
      <c r="H514" s="28"/>
      <c r="I514" s="28"/>
      <c r="J514" s="143"/>
      <c r="K514" s="28"/>
      <c r="L514" s="28"/>
      <c r="M514" s="28"/>
      <c r="N514" s="28"/>
      <c r="O514" s="28"/>
      <c r="P514" s="28"/>
      <c r="Q514" s="144"/>
      <c r="R514" s="144"/>
      <c r="S514" s="144"/>
      <c r="T514" s="145"/>
      <c r="U514" s="28"/>
      <c r="V514" s="30"/>
      <c r="W514" s="28"/>
      <c r="X514" s="28"/>
      <c r="Y514" s="28"/>
      <c r="Z514" s="28"/>
    </row>
    <row r="515" ht="13.5" customHeight="1">
      <c r="A515" s="28"/>
      <c r="B515" s="28"/>
      <c r="C515" s="28"/>
      <c r="D515" s="28"/>
      <c r="E515" s="28"/>
      <c r="F515" s="28"/>
      <c r="G515" s="28"/>
      <c r="H515" s="28"/>
      <c r="I515" s="28"/>
      <c r="J515" s="143"/>
      <c r="K515" s="28"/>
      <c r="L515" s="28"/>
      <c r="M515" s="28"/>
      <c r="N515" s="28"/>
      <c r="O515" s="28"/>
      <c r="P515" s="28"/>
      <c r="Q515" s="144"/>
      <c r="R515" s="144"/>
      <c r="S515" s="144"/>
      <c r="T515" s="145"/>
      <c r="U515" s="28"/>
      <c r="V515" s="30"/>
      <c r="W515" s="28"/>
      <c r="X515" s="28"/>
      <c r="Y515" s="28"/>
      <c r="Z515" s="28"/>
    </row>
    <row r="516" ht="13.5" customHeight="1">
      <c r="A516" s="28"/>
      <c r="B516" s="28"/>
      <c r="C516" s="28"/>
      <c r="D516" s="28"/>
      <c r="E516" s="28"/>
      <c r="F516" s="28"/>
      <c r="G516" s="28"/>
      <c r="H516" s="28"/>
      <c r="I516" s="28"/>
      <c r="J516" s="143"/>
      <c r="K516" s="28"/>
      <c r="L516" s="28"/>
      <c r="M516" s="28"/>
      <c r="N516" s="28"/>
      <c r="O516" s="28"/>
      <c r="P516" s="28"/>
      <c r="Q516" s="144"/>
      <c r="R516" s="144"/>
      <c r="S516" s="144"/>
      <c r="T516" s="145"/>
      <c r="U516" s="28"/>
      <c r="V516" s="30"/>
      <c r="W516" s="28"/>
      <c r="X516" s="28"/>
      <c r="Y516" s="28"/>
      <c r="Z516" s="28"/>
    </row>
    <row r="517" ht="13.5" customHeight="1">
      <c r="A517" s="28"/>
      <c r="B517" s="28"/>
      <c r="C517" s="28"/>
      <c r="D517" s="28"/>
      <c r="E517" s="28"/>
      <c r="F517" s="28"/>
      <c r="G517" s="28"/>
      <c r="H517" s="28"/>
      <c r="I517" s="28"/>
      <c r="J517" s="143"/>
      <c r="K517" s="28"/>
      <c r="L517" s="28"/>
      <c r="M517" s="28"/>
      <c r="N517" s="28"/>
      <c r="O517" s="28"/>
      <c r="P517" s="28"/>
      <c r="Q517" s="144"/>
      <c r="R517" s="144"/>
      <c r="S517" s="144"/>
      <c r="T517" s="145"/>
      <c r="U517" s="28"/>
      <c r="V517" s="30"/>
      <c r="W517" s="28"/>
      <c r="X517" s="28"/>
      <c r="Y517" s="28"/>
      <c r="Z517" s="28"/>
    </row>
    <row r="518" ht="13.5" customHeight="1">
      <c r="A518" s="28"/>
      <c r="B518" s="28"/>
      <c r="C518" s="28"/>
      <c r="D518" s="28"/>
      <c r="E518" s="28"/>
      <c r="F518" s="28"/>
      <c r="G518" s="28"/>
      <c r="H518" s="28"/>
      <c r="I518" s="28"/>
      <c r="J518" s="143"/>
      <c r="K518" s="28"/>
      <c r="L518" s="28"/>
      <c r="M518" s="28"/>
      <c r="N518" s="28"/>
      <c r="O518" s="28"/>
      <c r="P518" s="28"/>
      <c r="Q518" s="144"/>
      <c r="R518" s="144"/>
      <c r="S518" s="144"/>
      <c r="T518" s="145"/>
      <c r="U518" s="28"/>
      <c r="V518" s="30"/>
      <c r="W518" s="28"/>
      <c r="X518" s="28"/>
      <c r="Y518" s="28"/>
      <c r="Z518" s="28"/>
    </row>
    <row r="519" ht="13.5" customHeight="1">
      <c r="A519" s="28"/>
      <c r="B519" s="28"/>
      <c r="C519" s="28"/>
      <c r="D519" s="28"/>
      <c r="E519" s="28"/>
      <c r="F519" s="28"/>
      <c r="G519" s="28"/>
      <c r="H519" s="28"/>
      <c r="I519" s="28"/>
      <c r="J519" s="143"/>
      <c r="K519" s="28"/>
      <c r="L519" s="28"/>
      <c r="M519" s="28"/>
      <c r="N519" s="28"/>
      <c r="O519" s="28"/>
      <c r="P519" s="28"/>
      <c r="Q519" s="144"/>
      <c r="R519" s="144"/>
      <c r="S519" s="144"/>
      <c r="T519" s="145"/>
      <c r="U519" s="28"/>
      <c r="V519" s="30"/>
      <c r="W519" s="28"/>
      <c r="X519" s="28"/>
      <c r="Y519" s="28"/>
      <c r="Z519" s="28"/>
    </row>
    <row r="520" ht="13.5" customHeight="1">
      <c r="A520" s="28"/>
      <c r="B520" s="28"/>
      <c r="C520" s="28"/>
      <c r="D520" s="28"/>
      <c r="E520" s="28"/>
      <c r="F520" s="28"/>
      <c r="G520" s="28"/>
      <c r="H520" s="28"/>
      <c r="I520" s="28"/>
      <c r="J520" s="143"/>
      <c r="K520" s="28"/>
      <c r="L520" s="28"/>
      <c r="M520" s="28"/>
      <c r="N520" s="28"/>
      <c r="O520" s="28"/>
      <c r="P520" s="28"/>
      <c r="Q520" s="144"/>
      <c r="R520" s="144"/>
      <c r="S520" s="144"/>
      <c r="T520" s="145"/>
      <c r="U520" s="28"/>
      <c r="V520" s="30"/>
      <c r="W520" s="28"/>
      <c r="X520" s="28"/>
      <c r="Y520" s="28"/>
      <c r="Z520" s="28"/>
    </row>
    <row r="521" ht="13.5" customHeight="1">
      <c r="A521" s="28"/>
      <c r="B521" s="28"/>
      <c r="C521" s="28"/>
      <c r="D521" s="28"/>
      <c r="E521" s="28"/>
      <c r="F521" s="28"/>
      <c r="G521" s="28"/>
      <c r="H521" s="28"/>
      <c r="I521" s="28"/>
      <c r="J521" s="143"/>
      <c r="K521" s="28"/>
      <c r="L521" s="28"/>
      <c r="M521" s="28"/>
      <c r="N521" s="28"/>
      <c r="O521" s="28"/>
      <c r="P521" s="28"/>
      <c r="Q521" s="144"/>
      <c r="R521" s="144"/>
      <c r="S521" s="144"/>
      <c r="T521" s="145"/>
      <c r="U521" s="28"/>
      <c r="V521" s="30"/>
      <c r="W521" s="28"/>
      <c r="X521" s="28"/>
      <c r="Y521" s="28"/>
      <c r="Z521" s="28"/>
    </row>
    <row r="522" ht="13.5" customHeight="1">
      <c r="A522" s="28"/>
      <c r="B522" s="28"/>
      <c r="C522" s="28"/>
      <c r="D522" s="28"/>
      <c r="E522" s="28"/>
      <c r="F522" s="28"/>
      <c r="G522" s="28"/>
      <c r="H522" s="28"/>
      <c r="I522" s="28"/>
      <c r="J522" s="143"/>
      <c r="K522" s="28"/>
      <c r="L522" s="28"/>
      <c r="M522" s="28"/>
      <c r="N522" s="28"/>
      <c r="O522" s="28"/>
      <c r="P522" s="28"/>
      <c r="Q522" s="144"/>
      <c r="R522" s="144"/>
      <c r="S522" s="144"/>
      <c r="T522" s="145"/>
      <c r="U522" s="28"/>
      <c r="V522" s="30"/>
      <c r="W522" s="28"/>
      <c r="X522" s="28"/>
      <c r="Y522" s="28"/>
      <c r="Z522" s="28"/>
    </row>
    <row r="523" ht="13.5" customHeight="1">
      <c r="A523" s="28"/>
      <c r="B523" s="28"/>
      <c r="C523" s="28"/>
      <c r="D523" s="28"/>
      <c r="E523" s="28"/>
      <c r="F523" s="28"/>
      <c r="G523" s="28"/>
      <c r="H523" s="28"/>
      <c r="I523" s="28"/>
      <c r="J523" s="143"/>
      <c r="K523" s="28"/>
      <c r="L523" s="28"/>
      <c r="M523" s="28"/>
      <c r="N523" s="28"/>
      <c r="O523" s="28"/>
      <c r="P523" s="28"/>
      <c r="Q523" s="144"/>
      <c r="R523" s="144"/>
      <c r="S523" s="144"/>
      <c r="T523" s="145"/>
      <c r="U523" s="28"/>
      <c r="V523" s="30"/>
      <c r="W523" s="28"/>
      <c r="X523" s="28"/>
      <c r="Y523" s="28"/>
      <c r="Z523" s="28"/>
    </row>
    <row r="524" ht="13.5" customHeight="1">
      <c r="A524" s="28"/>
      <c r="B524" s="28"/>
      <c r="C524" s="28"/>
      <c r="D524" s="28"/>
      <c r="E524" s="28"/>
      <c r="F524" s="28"/>
      <c r="G524" s="28"/>
      <c r="H524" s="28"/>
      <c r="I524" s="28"/>
      <c r="J524" s="143"/>
      <c r="K524" s="28"/>
      <c r="L524" s="28"/>
      <c r="M524" s="28"/>
      <c r="N524" s="28"/>
      <c r="O524" s="28"/>
      <c r="P524" s="28"/>
      <c r="Q524" s="144"/>
      <c r="R524" s="144"/>
      <c r="S524" s="144"/>
      <c r="T524" s="145"/>
      <c r="U524" s="28"/>
      <c r="V524" s="30"/>
      <c r="W524" s="28"/>
      <c r="X524" s="28"/>
      <c r="Y524" s="28"/>
      <c r="Z524" s="28"/>
    </row>
    <row r="525" ht="13.5" customHeight="1">
      <c r="A525" s="28"/>
      <c r="B525" s="28"/>
      <c r="C525" s="28"/>
      <c r="D525" s="28"/>
      <c r="E525" s="28"/>
      <c r="F525" s="28"/>
      <c r="G525" s="28"/>
      <c r="H525" s="28"/>
      <c r="I525" s="28"/>
      <c r="J525" s="143"/>
      <c r="K525" s="28"/>
      <c r="L525" s="28"/>
      <c r="M525" s="28"/>
      <c r="N525" s="28"/>
      <c r="O525" s="28"/>
      <c r="P525" s="28"/>
      <c r="Q525" s="144"/>
      <c r="R525" s="144"/>
      <c r="S525" s="144"/>
      <c r="T525" s="145"/>
      <c r="U525" s="28"/>
      <c r="V525" s="30"/>
      <c r="W525" s="28"/>
      <c r="X525" s="28"/>
      <c r="Y525" s="28"/>
      <c r="Z525" s="28"/>
    </row>
    <row r="526" ht="13.5" customHeight="1">
      <c r="A526" s="28"/>
      <c r="B526" s="28"/>
      <c r="C526" s="28"/>
      <c r="D526" s="28"/>
      <c r="E526" s="28"/>
      <c r="F526" s="28"/>
      <c r="G526" s="28"/>
      <c r="H526" s="28"/>
      <c r="I526" s="28"/>
      <c r="J526" s="143"/>
      <c r="K526" s="28"/>
      <c r="L526" s="28"/>
      <c r="M526" s="28"/>
      <c r="N526" s="28"/>
      <c r="O526" s="28"/>
      <c r="P526" s="28"/>
      <c r="Q526" s="144"/>
      <c r="R526" s="144"/>
      <c r="S526" s="144"/>
      <c r="T526" s="145"/>
      <c r="U526" s="28"/>
      <c r="V526" s="30"/>
      <c r="W526" s="28"/>
      <c r="X526" s="28"/>
      <c r="Y526" s="28"/>
      <c r="Z526" s="28"/>
    </row>
    <row r="527" ht="13.5" customHeight="1">
      <c r="A527" s="28"/>
      <c r="B527" s="28"/>
      <c r="C527" s="28"/>
      <c r="D527" s="28"/>
      <c r="E527" s="28"/>
      <c r="F527" s="28"/>
      <c r="G527" s="28"/>
      <c r="H527" s="28"/>
      <c r="I527" s="28"/>
      <c r="J527" s="143"/>
      <c r="K527" s="28"/>
      <c r="L527" s="28"/>
      <c r="M527" s="28"/>
      <c r="N527" s="28"/>
      <c r="O527" s="28"/>
      <c r="P527" s="28"/>
      <c r="Q527" s="144"/>
      <c r="R527" s="144"/>
      <c r="S527" s="144"/>
      <c r="T527" s="145"/>
      <c r="U527" s="28"/>
      <c r="V527" s="30"/>
      <c r="W527" s="28"/>
      <c r="X527" s="28"/>
      <c r="Y527" s="28"/>
      <c r="Z527" s="28"/>
    </row>
    <row r="528" ht="13.5" customHeight="1">
      <c r="A528" s="28"/>
      <c r="B528" s="28"/>
      <c r="C528" s="28"/>
      <c r="D528" s="28"/>
      <c r="E528" s="28"/>
      <c r="F528" s="28"/>
      <c r="G528" s="28"/>
      <c r="H528" s="28"/>
      <c r="I528" s="28"/>
      <c r="J528" s="143"/>
      <c r="K528" s="28"/>
      <c r="L528" s="28"/>
      <c r="M528" s="28"/>
      <c r="N528" s="28"/>
      <c r="O528" s="28"/>
      <c r="P528" s="28"/>
      <c r="Q528" s="144"/>
      <c r="R528" s="144"/>
      <c r="S528" s="144"/>
      <c r="T528" s="145"/>
      <c r="U528" s="28"/>
      <c r="V528" s="30"/>
      <c r="W528" s="28"/>
      <c r="X528" s="28"/>
      <c r="Y528" s="28"/>
      <c r="Z528" s="28"/>
    </row>
    <row r="529" ht="13.5" customHeight="1">
      <c r="A529" s="28"/>
      <c r="B529" s="28"/>
      <c r="C529" s="28"/>
      <c r="D529" s="28"/>
      <c r="E529" s="28"/>
      <c r="F529" s="28"/>
      <c r="G529" s="28"/>
      <c r="H529" s="28"/>
      <c r="I529" s="28"/>
      <c r="J529" s="143"/>
      <c r="K529" s="28"/>
      <c r="L529" s="28"/>
      <c r="M529" s="28"/>
      <c r="N529" s="28"/>
      <c r="O529" s="28"/>
      <c r="P529" s="28"/>
      <c r="Q529" s="144"/>
      <c r="R529" s="144"/>
      <c r="S529" s="144"/>
      <c r="T529" s="145"/>
      <c r="U529" s="28"/>
      <c r="V529" s="30"/>
      <c r="W529" s="28"/>
      <c r="X529" s="28"/>
      <c r="Y529" s="28"/>
      <c r="Z529" s="28"/>
    </row>
    <row r="530" ht="13.5" customHeight="1">
      <c r="A530" s="28"/>
      <c r="B530" s="28"/>
      <c r="C530" s="28"/>
      <c r="D530" s="28"/>
      <c r="E530" s="28"/>
      <c r="F530" s="28"/>
      <c r="G530" s="28"/>
      <c r="H530" s="28"/>
      <c r="I530" s="28"/>
      <c r="J530" s="143"/>
      <c r="K530" s="28"/>
      <c r="L530" s="28"/>
      <c r="M530" s="28"/>
      <c r="N530" s="28"/>
      <c r="O530" s="28"/>
      <c r="P530" s="28"/>
      <c r="Q530" s="144"/>
      <c r="R530" s="144"/>
      <c r="S530" s="144"/>
      <c r="T530" s="145"/>
      <c r="U530" s="28"/>
      <c r="V530" s="30"/>
      <c r="W530" s="28"/>
      <c r="X530" s="28"/>
      <c r="Y530" s="28"/>
      <c r="Z530" s="28"/>
    </row>
    <row r="531" ht="13.5" customHeight="1">
      <c r="A531" s="28"/>
      <c r="B531" s="28"/>
      <c r="C531" s="28"/>
      <c r="D531" s="28"/>
      <c r="E531" s="28"/>
      <c r="F531" s="28"/>
      <c r="G531" s="28"/>
      <c r="H531" s="28"/>
      <c r="I531" s="28"/>
      <c r="J531" s="143"/>
      <c r="K531" s="28"/>
      <c r="L531" s="28"/>
      <c r="M531" s="28"/>
      <c r="N531" s="28"/>
      <c r="O531" s="28"/>
      <c r="P531" s="28"/>
      <c r="Q531" s="144"/>
      <c r="R531" s="144"/>
      <c r="S531" s="144"/>
      <c r="T531" s="145"/>
      <c r="U531" s="28"/>
      <c r="V531" s="30"/>
      <c r="W531" s="28"/>
      <c r="X531" s="28"/>
      <c r="Y531" s="28"/>
      <c r="Z531" s="28"/>
    </row>
    <row r="532" ht="13.5" customHeight="1">
      <c r="A532" s="28"/>
      <c r="B532" s="28"/>
      <c r="C532" s="28"/>
      <c r="D532" s="28"/>
      <c r="E532" s="28"/>
      <c r="F532" s="28"/>
      <c r="G532" s="28"/>
      <c r="H532" s="28"/>
      <c r="I532" s="28"/>
      <c r="J532" s="143"/>
      <c r="K532" s="28"/>
      <c r="L532" s="28"/>
      <c r="M532" s="28"/>
      <c r="N532" s="28"/>
      <c r="O532" s="28"/>
      <c r="P532" s="28"/>
      <c r="Q532" s="144"/>
      <c r="R532" s="144"/>
      <c r="S532" s="144"/>
      <c r="T532" s="145"/>
      <c r="U532" s="28"/>
      <c r="V532" s="30"/>
      <c r="W532" s="28"/>
      <c r="X532" s="28"/>
      <c r="Y532" s="28"/>
      <c r="Z532" s="28"/>
    </row>
    <row r="533" ht="13.5" customHeight="1">
      <c r="A533" s="28"/>
      <c r="B533" s="28"/>
      <c r="C533" s="28"/>
      <c r="D533" s="28"/>
      <c r="E533" s="28"/>
      <c r="F533" s="28"/>
      <c r="G533" s="28"/>
      <c r="H533" s="28"/>
      <c r="I533" s="28"/>
      <c r="J533" s="143"/>
      <c r="K533" s="28"/>
      <c r="L533" s="28"/>
      <c r="M533" s="28"/>
      <c r="N533" s="28"/>
      <c r="O533" s="28"/>
      <c r="P533" s="28"/>
      <c r="Q533" s="144"/>
      <c r="R533" s="144"/>
      <c r="S533" s="144"/>
      <c r="T533" s="145"/>
      <c r="U533" s="28"/>
      <c r="V533" s="30"/>
      <c r="W533" s="28"/>
      <c r="X533" s="28"/>
      <c r="Y533" s="28"/>
      <c r="Z533" s="28"/>
    </row>
    <row r="534" ht="13.5" customHeight="1">
      <c r="A534" s="28"/>
      <c r="B534" s="28"/>
      <c r="C534" s="28"/>
      <c r="D534" s="28"/>
      <c r="E534" s="28"/>
      <c r="F534" s="28"/>
      <c r="G534" s="28"/>
      <c r="H534" s="28"/>
      <c r="I534" s="28"/>
      <c r="J534" s="143"/>
      <c r="K534" s="28"/>
      <c r="L534" s="28"/>
      <c r="M534" s="28"/>
      <c r="N534" s="28"/>
      <c r="O534" s="28"/>
      <c r="P534" s="28"/>
      <c r="Q534" s="144"/>
      <c r="R534" s="144"/>
      <c r="S534" s="144"/>
      <c r="T534" s="145"/>
      <c r="U534" s="28"/>
      <c r="V534" s="30"/>
      <c r="W534" s="28"/>
      <c r="X534" s="28"/>
      <c r="Y534" s="28"/>
      <c r="Z534" s="28"/>
    </row>
    <row r="535" ht="13.5" customHeight="1">
      <c r="A535" s="28"/>
      <c r="B535" s="28"/>
      <c r="C535" s="28"/>
      <c r="D535" s="28"/>
      <c r="E535" s="28"/>
      <c r="F535" s="28"/>
      <c r="G535" s="28"/>
      <c r="H535" s="28"/>
      <c r="I535" s="28"/>
      <c r="J535" s="143"/>
      <c r="K535" s="28"/>
      <c r="L535" s="28"/>
      <c r="M535" s="28"/>
      <c r="N535" s="28"/>
      <c r="O535" s="28"/>
      <c r="P535" s="28"/>
      <c r="Q535" s="144"/>
      <c r="R535" s="144"/>
      <c r="S535" s="144"/>
      <c r="T535" s="145"/>
      <c r="U535" s="28"/>
      <c r="V535" s="30"/>
      <c r="W535" s="28"/>
      <c r="X535" s="28"/>
      <c r="Y535" s="28"/>
      <c r="Z535" s="28"/>
    </row>
    <row r="536" ht="13.5" customHeight="1">
      <c r="A536" s="28"/>
      <c r="B536" s="28"/>
      <c r="C536" s="28"/>
      <c r="D536" s="28"/>
      <c r="E536" s="28"/>
      <c r="F536" s="28"/>
      <c r="G536" s="28"/>
      <c r="H536" s="28"/>
      <c r="I536" s="28"/>
      <c r="J536" s="143"/>
      <c r="K536" s="28"/>
      <c r="L536" s="28"/>
      <c r="M536" s="28"/>
      <c r="N536" s="28"/>
      <c r="O536" s="28"/>
      <c r="P536" s="28"/>
      <c r="Q536" s="144"/>
      <c r="R536" s="144"/>
      <c r="S536" s="144"/>
      <c r="T536" s="145"/>
      <c r="U536" s="28"/>
      <c r="V536" s="30"/>
      <c r="W536" s="28"/>
      <c r="X536" s="28"/>
      <c r="Y536" s="28"/>
      <c r="Z536" s="28"/>
    </row>
    <row r="537" ht="13.5" customHeight="1">
      <c r="A537" s="28"/>
      <c r="B537" s="28"/>
      <c r="C537" s="28"/>
      <c r="D537" s="28"/>
      <c r="E537" s="28"/>
      <c r="F537" s="28"/>
      <c r="G537" s="28"/>
      <c r="H537" s="28"/>
      <c r="I537" s="28"/>
      <c r="J537" s="143"/>
      <c r="K537" s="28"/>
      <c r="L537" s="28"/>
      <c r="M537" s="28"/>
      <c r="N537" s="28"/>
      <c r="O537" s="28"/>
      <c r="P537" s="28"/>
      <c r="Q537" s="144"/>
      <c r="R537" s="144"/>
      <c r="S537" s="144"/>
      <c r="T537" s="145"/>
      <c r="U537" s="28"/>
      <c r="V537" s="30"/>
      <c r="W537" s="28"/>
      <c r="X537" s="28"/>
      <c r="Y537" s="28"/>
      <c r="Z537" s="28"/>
    </row>
    <row r="538" ht="13.5" customHeight="1">
      <c r="A538" s="28"/>
      <c r="B538" s="28"/>
      <c r="C538" s="28"/>
      <c r="D538" s="28"/>
      <c r="E538" s="28"/>
      <c r="F538" s="28"/>
      <c r="G538" s="28"/>
      <c r="H538" s="28"/>
      <c r="I538" s="28"/>
      <c r="J538" s="143"/>
      <c r="K538" s="28"/>
      <c r="L538" s="28"/>
      <c r="M538" s="28"/>
      <c r="N538" s="28"/>
      <c r="O538" s="28"/>
      <c r="P538" s="28"/>
      <c r="Q538" s="144"/>
      <c r="R538" s="144"/>
      <c r="S538" s="144"/>
      <c r="T538" s="145"/>
      <c r="U538" s="28"/>
      <c r="V538" s="30"/>
      <c r="W538" s="28"/>
      <c r="X538" s="28"/>
      <c r="Y538" s="28"/>
      <c r="Z538" s="28"/>
    </row>
    <row r="539" ht="13.5" customHeight="1">
      <c r="A539" s="28"/>
      <c r="B539" s="28"/>
      <c r="C539" s="28"/>
      <c r="D539" s="28"/>
      <c r="E539" s="28"/>
      <c r="F539" s="28"/>
      <c r="G539" s="28"/>
      <c r="H539" s="28"/>
      <c r="I539" s="28"/>
      <c r="J539" s="143"/>
      <c r="K539" s="28"/>
      <c r="L539" s="28"/>
      <c r="M539" s="28"/>
      <c r="N539" s="28"/>
      <c r="O539" s="28"/>
      <c r="P539" s="28"/>
      <c r="Q539" s="144"/>
      <c r="R539" s="144"/>
      <c r="S539" s="144"/>
      <c r="T539" s="145"/>
      <c r="U539" s="28"/>
      <c r="V539" s="30"/>
      <c r="W539" s="28"/>
      <c r="X539" s="28"/>
      <c r="Y539" s="28"/>
      <c r="Z539" s="28"/>
    </row>
    <row r="540" ht="13.5" customHeight="1">
      <c r="A540" s="28"/>
      <c r="B540" s="28"/>
      <c r="C540" s="28"/>
      <c r="D540" s="28"/>
      <c r="E540" s="28"/>
      <c r="F540" s="28"/>
      <c r="G540" s="28"/>
      <c r="H540" s="28"/>
      <c r="I540" s="28"/>
      <c r="J540" s="143"/>
      <c r="K540" s="28"/>
      <c r="L540" s="28"/>
      <c r="M540" s="28"/>
      <c r="N540" s="28"/>
      <c r="O540" s="28"/>
      <c r="P540" s="28"/>
      <c r="Q540" s="144"/>
      <c r="R540" s="144"/>
      <c r="S540" s="144"/>
      <c r="T540" s="145"/>
      <c r="U540" s="28"/>
      <c r="V540" s="30"/>
      <c r="W540" s="28"/>
      <c r="X540" s="28"/>
      <c r="Y540" s="28"/>
      <c r="Z540" s="28"/>
    </row>
    <row r="541" ht="13.5" customHeight="1">
      <c r="A541" s="28"/>
      <c r="B541" s="28"/>
      <c r="C541" s="28"/>
      <c r="D541" s="28"/>
      <c r="E541" s="28"/>
      <c r="F541" s="28"/>
      <c r="G541" s="28"/>
      <c r="H541" s="28"/>
      <c r="I541" s="28"/>
      <c r="J541" s="143"/>
      <c r="K541" s="28"/>
      <c r="L541" s="28"/>
      <c r="M541" s="28"/>
      <c r="N541" s="28"/>
      <c r="O541" s="28"/>
      <c r="P541" s="28"/>
      <c r="Q541" s="144"/>
      <c r="R541" s="144"/>
      <c r="S541" s="144"/>
      <c r="T541" s="145"/>
      <c r="U541" s="28"/>
      <c r="V541" s="30"/>
      <c r="W541" s="28"/>
      <c r="X541" s="28"/>
      <c r="Y541" s="28"/>
      <c r="Z541" s="28"/>
    </row>
    <row r="542" ht="13.5" customHeight="1">
      <c r="A542" s="28"/>
      <c r="B542" s="28"/>
      <c r="C542" s="28"/>
      <c r="D542" s="28"/>
      <c r="E542" s="28"/>
      <c r="F542" s="28"/>
      <c r="G542" s="28"/>
      <c r="H542" s="28"/>
      <c r="I542" s="28"/>
      <c r="J542" s="143"/>
      <c r="K542" s="28"/>
      <c r="L542" s="28"/>
      <c r="M542" s="28"/>
      <c r="N542" s="28"/>
      <c r="O542" s="28"/>
      <c r="P542" s="28"/>
      <c r="Q542" s="144"/>
      <c r="R542" s="144"/>
      <c r="S542" s="144"/>
      <c r="T542" s="145"/>
      <c r="U542" s="28"/>
      <c r="V542" s="30"/>
      <c r="W542" s="28"/>
      <c r="X542" s="28"/>
      <c r="Y542" s="28"/>
      <c r="Z542" s="28"/>
    </row>
    <row r="543" ht="13.5" customHeight="1">
      <c r="A543" s="28"/>
      <c r="B543" s="28"/>
      <c r="C543" s="28"/>
      <c r="D543" s="28"/>
      <c r="E543" s="28"/>
      <c r="F543" s="28"/>
      <c r="G543" s="28"/>
      <c r="H543" s="28"/>
      <c r="I543" s="28"/>
      <c r="J543" s="143"/>
      <c r="K543" s="28"/>
      <c r="L543" s="28"/>
      <c r="M543" s="28"/>
      <c r="N543" s="28"/>
      <c r="O543" s="28"/>
      <c r="P543" s="28"/>
      <c r="Q543" s="144"/>
      <c r="R543" s="144"/>
      <c r="S543" s="144"/>
      <c r="T543" s="145"/>
      <c r="U543" s="28"/>
      <c r="V543" s="30"/>
      <c r="W543" s="28"/>
      <c r="X543" s="28"/>
      <c r="Y543" s="28"/>
      <c r="Z543" s="28"/>
    </row>
    <row r="544" ht="13.5" customHeight="1">
      <c r="A544" s="28"/>
      <c r="B544" s="28"/>
      <c r="C544" s="28"/>
      <c r="D544" s="28"/>
      <c r="E544" s="28"/>
      <c r="F544" s="28"/>
      <c r="G544" s="28"/>
      <c r="H544" s="28"/>
      <c r="I544" s="28"/>
      <c r="J544" s="143"/>
      <c r="K544" s="28"/>
      <c r="L544" s="28"/>
      <c r="M544" s="28"/>
      <c r="N544" s="28"/>
      <c r="O544" s="28"/>
      <c r="P544" s="28"/>
      <c r="Q544" s="144"/>
      <c r="R544" s="144"/>
      <c r="S544" s="144"/>
      <c r="T544" s="145"/>
      <c r="U544" s="28"/>
      <c r="V544" s="30"/>
      <c r="W544" s="28"/>
      <c r="X544" s="28"/>
      <c r="Y544" s="28"/>
      <c r="Z544" s="28"/>
    </row>
    <row r="545" ht="13.5" customHeight="1">
      <c r="A545" s="28"/>
      <c r="B545" s="28"/>
      <c r="C545" s="28"/>
      <c r="D545" s="28"/>
      <c r="E545" s="28"/>
      <c r="F545" s="28"/>
      <c r="G545" s="28"/>
      <c r="H545" s="28"/>
      <c r="I545" s="28"/>
      <c r="J545" s="143"/>
      <c r="K545" s="28"/>
      <c r="L545" s="28"/>
      <c r="M545" s="28"/>
      <c r="N545" s="28"/>
      <c r="O545" s="28"/>
      <c r="P545" s="28"/>
      <c r="Q545" s="144"/>
      <c r="R545" s="144"/>
      <c r="S545" s="144"/>
      <c r="T545" s="145"/>
      <c r="U545" s="28"/>
      <c r="V545" s="30"/>
      <c r="W545" s="28"/>
      <c r="X545" s="28"/>
      <c r="Y545" s="28"/>
      <c r="Z545" s="28"/>
    </row>
    <row r="546" ht="13.5" customHeight="1">
      <c r="A546" s="28"/>
      <c r="B546" s="28"/>
      <c r="C546" s="28"/>
      <c r="D546" s="28"/>
      <c r="E546" s="28"/>
      <c r="F546" s="28"/>
      <c r="G546" s="28"/>
      <c r="H546" s="28"/>
      <c r="I546" s="28"/>
      <c r="J546" s="143"/>
      <c r="K546" s="28"/>
      <c r="L546" s="28"/>
      <c r="M546" s="28"/>
      <c r="N546" s="28"/>
      <c r="O546" s="28"/>
      <c r="P546" s="28"/>
      <c r="Q546" s="144"/>
      <c r="R546" s="144"/>
      <c r="S546" s="144"/>
      <c r="T546" s="145"/>
      <c r="U546" s="28"/>
      <c r="V546" s="30"/>
      <c r="W546" s="28"/>
      <c r="X546" s="28"/>
      <c r="Y546" s="28"/>
      <c r="Z546" s="28"/>
    </row>
    <row r="547" ht="13.5" customHeight="1">
      <c r="A547" s="28"/>
      <c r="B547" s="28"/>
      <c r="C547" s="28"/>
      <c r="D547" s="28"/>
      <c r="E547" s="28"/>
      <c r="F547" s="28"/>
      <c r="G547" s="28"/>
      <c r="H547" s="28"/>
      <c r="I547" s="28"/>
      <c r="J547" s="143"/>
      <c r="K547" s="28"/>
      <c r="L547" s="28"/>
      <c r="M547" s="28"/>
      <c r="N547" s="28"/>
      <c r="O547" s="28"/>
      <c r="P547" s="28"/>
      <c r="Q547" s="144"/>
      <c r="R547" s="144"/>
      <c r="S547" s="144"/>
      <c r="T547" s="145"/>
      <c r="U547" s="28"/>
      <c r="V547" s="30"/>
      <c r="W547" s="28"/>
      <c r="X547" s="28"/>
      <c r="Y547" s="28"/>
      <c r="Z547" s="28"/>
    </row>
    <row r="548" ht="13.5" customHeight="1">
      <c r="A548" s="28"/>
      <c r="B548" s="28"/>
      <c r="C548" s="28"/>
      <c r="D548" s="28"/>
      <c r="E548" s="28"/>
      <c r="F548" s="28"/>
      <c r="G548" s="28"/>
      <c r="H548" s="28"/>
      <c r="I548" s="28"/>
      <c r="J548" s="143"/>
      <c r="K548" s="28"/>
      <c r="L548" s="28"/>
      <c r="M548" s="28"/>
      <c r="N548" s="28"/>
      <c r="O548" s="28"/>
      <c r="P548" s="28"/>
      <c r="Q548" s="144"/>
      <c r="R548" s="144"/>
      <c r="S548" s="144"/>
      <c r="T548" s="145"/>
      <c r="U548" s="28"/>
      <c r="V548" s="30"/>
      <c r="W548" s="28"/>
      <c r="X548" s="28"/>
      <c r="Y548" s="28"/>
      <c r="Z548" s="28"/>
    </row>
    <row r="549" ht="13.5" customHeight="1">
      <c r="A549" s="28"/>
      <c r="B549" s="28"/>
      <c r="C549" s="28"/>
      <c r="D549" s="28"/>
      <c r="E549" s="28"/>
      <c r="F549" s="28"/>
      <c r="G549" s="28"/>
      <c r="H549" s="28"/>
      <c r="I549" s="28"/>
      <c r="J549" s="143"/>
      <c r="K549" s="28"/>
      <c r="L549" s="28"/>
      <c r="M549" s="28"/>
      <c r="N549" s="28"/>
      <c r="O549" s="28"/>
      <c r="P549" s="28"/>
      <c r="Q549" s="144"/>
      <c r="R549" s="144"/>
      <c r="S549" s="144"/>
      <c r="T549" s="145"/>
      <c r="U549" s="28"/>
      <c r="V549" s="30"/>
      <c r="W549" s="28"/>
      <c r="X549" s="28"/>
      <c r="Y549" s="28"/>
      <c r="Z549" s="28"/>
    </row>
    <row r="550" ht="13.5" customHeight="1">
      <c r="A550" s="28"/>
      <c r="B550" s="28"/>
      <c r="C550" s="28"/>
      <c r="D550" s="28"/>
      <c r="E550" s="28"/>
      <c r="F550" s="28"/>
      <c r="G550" s="28"/>
      <c r="H550" s="28"/>
      <c r="I550" s="28"/>
      <c r="J550" s="143"/>
      <c r="K550" s="28"/>
      <c r="L550" s="28"/>
      <c r="M550" s="28"/>
      <c r="N550" s="28"/>
      <c r="O550" s="28"/>
      <c r="P550" s="28"/>
      <c r="Q550" s="144"/>
      <c r="R550" s="144"/>
      <c r="S550" s="144"/>
      <c r="T550" s="145"/>
      <c r="U550" s="28"/>
      <c r="V550" s="30"/>
      <c r="W550" s="28"/>
      <c r="X550" s="28"/>
      <c r="Y550" s="28"/>
      <c r="Z550" s="28"/>
    </row>
    <row r="551" ht="13.5" customHeight="1">
      <c r="A551" s="28"/>
      <c r="B551" s="28"/>
      <c r="C551" s="28"/>
      <c r="D551" s="28"/>
      <c r="E551" s="28"/>
      <c r="F551" s="28"/>
      <c r="G551" s="28"/>
      <c r="H551" s="28"/>
      <c r="I551" s="28"/>
      <c r="J551" s="143"/>
      <c r="K551" s="28"/>
      <c r="L551" s="28"/>
      <c r="M551" s="28"/>
      <c r="N551" s="28"/>
      <c r="O551" s="28"/>
      <c r="P551" s="28"/>
      <c r="Q551" s="144"/>
      <c r="R551" s="144"/>
      <c r="S551" s="144"/>
      <c r="T551" s="145"/>
      <c r="U551" s="28"/>
      <c r="V551" s="30"/>
      <c r="W551" s="28"/>
      <c r="X551" s="28"/>
      <c r="Y551" s="28"/>
      <c r="Z551" s="28"/>
    </row>
    <row r="552" ht="13.5" customHeight="1">
      <c r="A552" s="28"/>
      <c r="B552" s="28"/>
      <c r="C552" s="28"/>
      <c r="D552" s="28"/>
      <c r="E552" s="28"/>
      <c r="F552" s="28"/>
      <c r="G552" s="28"/>
      <c r="H552" s="28"/>
      <c r="I552" s="28"/>
      <c r="J552" s="143"/>
      <c r="K552" s="28"/>
      <c r="L552" s="28"/>
      <c r="M552" s="28"/>
      <c r="N552" s="28"/>
      <c r="O552" s="28"/>
      <c r="P552" s="28"/>
      <c r="Q552" s="144"/>
      <c r="R552" s="144"/>
      <c r="S552" s="144"/>
      <c r="T552" s="145"/>
      <c r="U552" s="28"/>
      <c r="V552" s="30"/>
      <c r="W552" s="28"/>
      <c r="X552" s="28"/>
      <c r="Y552" s="28"/>
      <c r="Z552" s="28"/>
    </row>
    <row r="553" ht="13.5" customHeight="1">
      <c r="A553" s="28"/>
      <c r="B553" s="28"/>
      <c r="C553" s="28"/>
      <c r="D553" s="28"/>
      <c r="E553" s="28"/>
      <c r="F553" s="28"/>
      <c r="G553" s="28"/>
      <c r="H553" s="28"/>
      <c r="I553" s="28"/>
      <c r="J553" s="143"/>
      <c r="K553" s="28"/>
      <c r="L553" s="28"/>
      <c r="M553" s="28"/>
      <c r="N553" s="28"/>
      <c r="O553" s="28"/>
      <c r="P553" s="28"/>
      <c r="Q553" s="144"/>
      <c r="R553" s="144"/>
      <c r="S553" s="144"/>
      <c r="T553" s="145"/>
      <c r="U553" s="28"/>
      <c r="V553" s="30"/>
      <c r="W553" s="28"/>
      <c r="X553" s="28"/>
      <c r="Y553" s="28"/>
      <c r="Z553" s="28"/>
    </row>
    <row r="554" ht="13.5" customHeight="1">
      <c r="A554" s="28"/>
      <c r="B554" s="28"/>
      <c r="C554" s="28"/>
      <c r="D554" s="28"/>
      <c r="E554" s="28"/>
      <c r="F554" s="28"/>
      <c r="G554" s="28"/>
      <c r="H554" s="28"/>
      <c r="I554" s="28"/>
      <c r="J554" s="143"/>
      <c r="K554" s="28"/>
      <c r="L554" s="28"/>
      <c r="M554" s="28"/>
      <c r="N554" s="28"/>
      <c r="O554" s="28"/>
      <c r="P554" s="28"/>
      <c r="Q554" s="144"/>
      <c r="R554" s="144"/>
      <c r="S554" s="144"/>
      <c r="T554" s="145"/>
      <c r="U554" s="28"/>
      <c r="V554" s="30"/>
      <c r="W554" s="28"/>
      <c r="X554" s="28"/>
      <c r="Y554" s="28"/>
      <c r="Z554" s="28"/>
    </row>
    <row r="555" ht="13.5" customHeight="1">
      <c r="A555" s="28"/>
      <c r="B555" s="28"/>
      <c r="C555" s="28"/>
      <c r="D555" s="28"/>
      <c r="E555" s="28"/>
      <c r="F555" s="28"/>
      <c r="G555" s="28"/>
      <c r="H555" s="28"/>
      <c r="I555" s="28"/>
      <c r="J555" s="143"/>
      <c r="K555" s="28"/>
      <c r="L555" s="28"/>
      <c r="M555" s="28"/>
      <c r="N555" s="28"/>
      <c r="O555" s="28"/>
      <c r="P555" s="28"/>
      <c r="Q555" s="144"/>
      <c r="R555" s="144"/>
      <c r="S555" s="144"/>
      <c r="T555" s="145"/>
      <c r="U555" s="28"/>
      <c r="V555" s="30"/>
      <c r="W555" s="28"/>
      <c r="X555" s="28"/>
      <c r="Y555" s="28"/>
      <c r="Z555" s="28"/>
    </row>
    <row r="556" ht="13.5" customHeight="1">
      <c r="A556" s="28"/>
      <c r="B556" s="28"/>
      <c r="C556" s="28"/>
      <c r="D556" s="28"/>
      <c r="E556" s="28"/>
      <c r="F556" s="28"/>
      <c r="G556" s="28"/>
      <c r="H556" s="28"/>
      <c r="I556" s="28"/>
      <c r="J556" s="143"/>
      <c r="K556" s="28"/>
      <c r="L556" s="28"/>
      <c r="M556" s="28"/>
      <c r="N556" s="28"/>
      <c r="O556" s="28"/>
      <c r="P556" s="28"/>
      <c r="Q556" s="144"/>
      <c r="R556" s="144"/>
      <c r="S556" s="144"/>
      <c r="T556" s="145"/>
      <c r="U556" s="28"/>
      <c r="V556" s="30"/>
      <c r="W556" s="28"/>
      <c r="X556" s="28"/>
      <c r="Y556" s="28"/>
      <c r="Z556" s="28"/>
    </row>
    <row r="557" ht="13.5" customHeight="1">
      <c r="A557" s="28"/>
      <c r="B557" s="28"/>
      <c r="C557" s="28"/>
      <c r="D557" s="28"/>
      <c r="E557" s="28"/>
      <c r="F557" s="28"/>
      <c r="G557" s="28"/>
      <c r="H557" s="28"/>
      <c r="I557" s="28"/>
      <c r="J557" s="143"/>
      <c r="K557" s="28"/>
      <c r="L557" s="28"/>
      <c r="M557" s="28"/>
      <c r="N557" s="28"/>
      <c r="O557" s="28"/>
      <c r="P557" s="28"/>
      <c r="Q557" s="144"/>
      <c r="R557" s="144"/>
      <c r="S557" s="144"/>
      <c r="T557" s="145"/>
      <c r="U557" s="28"/>
      <c r="V557" s="30"/>
      <c r="W557" s="28"/>
      <c r="X557" s="28"/>
      <c r="Y557" s="28"/>
      <c r="Z557" s="28"/>
    </row>
    <row r="558" ht="13.5" customHeight="1">
      <c r="A558" s="28"/>
      <c r="B558" s="28"/>
      <c r="C558" s="28"/>
      <c r="D558" s="28"/>
      <c r="E558" s="28"/>
      <c r="F558" s="28"/>
      <c r="G558" s="28"/>
      <c r="H558" s="28"/>
      <c r="I558" s="28"/>
      <c r="J558" s="143"/>
      <c r="K558" s="28"/>
      <c r="L558" s="28"/>
      <c r="M558" s="28"/>
      <c r="N558" s="28"/>
      <c r="O558" s="28"/>
      <c r="P558" s="28"/>
      <c r="Q558" s="144"/>
      <c r="R558" s="144"/>
      <c r="S558" s="144"/>
      <c r="T558" s="145"/>
      <c r="U558" s="28"/>
      <c r="V558" s="30"/>
      <c r="W558" s="28"/>
      <c r="X558" s="28"/>
      <c r="Y558" s="28"/>
      <c r="Z558" s="28"/>
    </row>
    <row r="559" ht="13.5" customHeight="1">
      <c r="A559" s="28"/>
      <c r="B559" s="28"/>
      <c r="C559" s="28"/>
      <c r="D559" s="28"/>
      <c r="E559" s="28"/>
      <c r="F559" s="28"/>
      <c r="G559" s="28"/>
      <c r="H559" s="28"/>
      <c r="I559" s="28"/>
      <c r="J559" s="143"/>
      <c r="K559" s="28"/>
      <c r="L559" s="28"/>
      <c r="M559" s="28"/>
      <c r="N559" s="28"/>
      <c r="O559" s="28"/>
      <c r="P559" s="28"/>
      <c r="Q559" s="144"/>
      <c r="R559" s="144"/>
      <c r="S559" s="144"/>
      <c r="T559" s="145"/>
      <c r="U559" s="28"/>
      <c r="V559" s="30"/>
      <c r="W559" s="28"/>
      <c r="X559" s="28"/>
      <c r="Y559" s="28"/>
      <c r="Z559" s="28"/>
    </row>
    <row r="560" ht="13.5" customHeight="1">
      <c r="A560" s="28"/>
      <c r="B560" s="28"/>
      <c r="C560" s="28"/>
      <c r="D560" s="28"/>
      <c r="E560" s="28"/>
      <c r="F560" s="28"/>
      <c r="G560" s="28"/>
      <c r="H560" s="28"/>
      <c r="I560" s="28"/>
      <c r="J560" s="143"/>
      <c r="K560" s="28"/>
      <c r="L560" s="28"/>
      <c r="M560" s="28"/>
      <c r="N560" s="28"/>
      <c r="O560" s="28"/>
      <c r="P560" s="28"/>
      <c r="Q560" s="144"/>
      <c r="R560" s="144"/>
      <c r="S560" s="144"/>
      <c r="T560" s="145"/>
      <c r="U560" s="28"/>
      <c r="V560" s="30"/>
      <c r="W560" s="28"/>
      <c r="X560" s="28"/>
      <c r="Y560" s="28"/>
      <c r="Z560" s="28"/>
    </row>
    <row r="561" ht="13.5" customHeight="1">
      <c r="A561" s="28"/>
      <c r="B561" s="28"/>
      <c r="C561" s="28"/>
      <c r="D561" s="28"/>
      <c r="E561" s="28"/>
      <c r="F561" s="28"/>
      <c r="G561" s="28"/>
      <c r="H561" s="28"/>
      <c r="I561" s="28"/>
      <c r="J561" s="143"/>
      <c r="K561" s="28"/>
      <c r="L561" s="28"/>
      <c r="M561" s="28"/>
      <c r="N561" s="28"/>
      <c r="O561" s="28"/>
      <c r="P561" s="28"/>
      <c r="Q561" s="144"/>
      <c r="R561" s="144"/>
      <c r="S561" s="144"/>
      <c r="T561" s="145"/>
      <c r="U561" s="28"/>
      <c r="V561" s="30"/>
      <c r="W561" s="28"/>
      <c r="X561" s="28"/>
      <c r="Y561" s="28"/>
      <c r="Z561" s="28"/>
    </row>
    <row r="562" ht="13.5" customHeight="1">
      <c r="A562" s="28"/>
      <c r="B562" s="28"/>
      <c r="C562" s="28"/>
      <c r="D562" s="28"/>
      <c r="E562" s="28"/>
      <c r="F562" s="28"/>
      <c r="G562" s="28"/>
      <c r="H562" s="28"/>
      <c r="I562" s="28"/>
      <c r="J562" s="143"/>
      <c r="K562" s="28"/>
      <c r="L562" s="28"/>
      <c r="M562" s="28"/>
      <c r="N562" s="28"/>
      <c r="O562" s="28"/>
      <c r="P562" s="28"/>
      <c r="Q562" s="144"/>
      <c r="R562" s="144"/>
      <c r="S562" s="144"/>
      <c r="T562" s="145"/>
      <c r="U562" s="28"/>
      <c r="V562" s="30"/>
      <c r="W562" s="28"/>
      <c r="X562" s="28"/>
      <c r="Y562" s="28"/>
      <c r="Z562" s="28"/>
    </row>
    <row r="563" ht="13.5" customHeight="1">
      <c r="A563" s="28"/>
      <c r="B563" s="28"/>
      <c r="C563" s="28"/>
      <c r="D563" s="28"/>
      <c r="E563" s="28"/>
      <c r="F563" s="28"/>
      <c r="G563" s="28"/>
      <c r="H563" s="28"/>
      <c r="I563" s="28"/>
      <c r="J563" s="143"/>
      <c r="K563" s="28"/>
      <c r="L563" s="28"/>
      <c r="M563" s="28"/>
      <c r="N563" s="28"/>
      <c r="O563" s="28"/>
      <c r="P563" s="28"/>
      <c r="Q563" s="144"/>
      <c r="R563" s="144"/>
      <c r="S563" s="144"/>
      <c r="T563" s="145"/>
      <c r="U563" s="28"/>
      <c r="V563" s="30"/>
      <c r="W563" s="28"/>
      <c r="X563" s="28"/>
      <c r="Y563" s="28"/>
      <c r="Z563" s="28"/>
    </row>
    <row r="564" ht="13.5" customHeight="1">
      <c r="A564" s="28"/>
      <c r="B564" s="28"/>
      <c r="C564" s="28"/>
      <c r="D564" s="28"/>
      <c r="E564" s="28"/>
      <c r="F564" s="28"/>
      <c r="G564" s="28"/>
      <c r="H564" s="28"/>
      <c r="I564" s="28"/>
      <c r="J564" s="143"/>
      <c r="K564" s="28"/>
      <c r="L564" s="28"/>
      <c r="M564" s="28"/>
      <c r="N564" s="28"/>
      <c r="O564" s="28"/>
      <c r="P564" s="28"/>
      <c r="Q564" s="144"/>
      <c r="R564" s="144"/>
      <c r="S564" s="144"/>
      <c r="T564" s="145"/>
      <c r="U564" s="28"/>
      <c r="V564" s="30"/>
      <c r="W564" s="28"/>
      <c r="X564" s="28"/>
      <c r="Y564" s="28"/>
      <c r="Z564" s="28"/>
    </row>
    <row r="565" ht="13.5" customHeight="1">
      <c r="A565" s="28"/>
      <c r="B565" s="28"/>
      <c r="C565" s="28"/>
      <c r="D565" s="28"/>
      <c r="E565" s="28"/>
      <c r="F565" s="28"/>
      <c r="G565" s="28"/>
      <c r="H565" s="28"/>
      <c r="I565" s="28"/>
      <c r="J565" s="143"/>
      <c r="K565" s="28"/>
      <c r="L565" s="28"/>
      <c r="M565" s="28"/>
      <c r="N565" s="28"/>
      <c r="O565" s="28"/>
      <c r="P565" s="28"/>
      <c r="Q565" s="144"/>
      <c r="R565" s="144"/>
      <c r="S565" s="144"/>
      <c r="T565" s="145"/>
      <c r="U565" s="28"/>
      <c r="V565" s="30"/>
      <c r="W565" s="28"/>
      <c r="X565" s="28"/>
      <c r="Y565" s="28"/>
      <c r="Z565" s="28"/>
    </row>
    <row r="566" ht="13.5" customHeight="1">
      <c r="A566" s="28"/>
      <c r="B566" s="28"/>
      <c r="C566" s="28"/>
      <c r="D566" s="28"/>
      <c r="E566" s="28"/>
      <c r="F566" s="28"/>
      <c r="G566" s="28"/>
      <c r="H566" s="28"/>
      <c r="I566" s="28"/>
      <c r="J566" s="143"/>
      <c r="K566" s="28"/>
      <c r="L566" s="28"/>
      <c r="M566" s="28"/>
      <c r="N566" s="28"/>
      <c r="O566" s="28"/>
      <c r="P566" s="28"/>
      <c r="Q566" s="144"/>
      <c r="R566" s="144"/>
      <c r="S566" s="144"/>
      <c r="T566" s="145"/>
      <c r="U566" s="28"/>
      <c r="V566" s="30"/>
      <c r="W566" s="28"/>
      <c r="X566" s="28"/>
      <c r="Y566" s="28"/>
      <c r="Z566" s="28"/>
    </row>
    <row r="567" ht="13.5" customHeight="1">
      <c r="A567" s="28"/>
      <c r="B567" s="28"/>
      <c r="C567" s="28"/>
      <c r="D567" s="28"/>
      <c r="E567" s="28"/>
      <c r="F567" s="28"/>
      <c r="G567" s="28"/>
      <c r="H567" s="28"/>
      <c r="I567" s="28"/>
      <c r="J567" s="143"/>
      <c r="K567" s="28"/>
      <c r="L567" s="28"/>
      <c r="M567" s="28"/>
      <c r="N567" s="28"/>
      <c r="O567" s="28"/>
      <c r="P567" s="28"/>
      <c r="Q567" s="144"/>
      <c r="R567" s="144"/>
      <c r="S567" s="144"/>
      <c r="T567" s="145"/>
      <c r="U567" s="28"/>
      <c r="V567" s="30"/>
      <c r="W567" s="28"/>
      <c r="X567" s="28"/>
      <c r="Y567" s="28"/>
      <c r="Z567" s="28"/>
    </row>
    <row r="568" ht="13.5" customHeight="1">
      <c r="A568" s="28"/>
      <c r="B568" s="28"/>
      <c r="C568" s="28"/>
      <c r="D568" s="28"/>
      <c r="E568" s="28"/>
      <c r="F568" s="28"/>
      <c r="G568" s="28"/>
      <c r="H568" s="28"/>
      <c r="I568" s="28"/>
      <c r="J568" s="143"/>
      <c r="K568" s="28"/>
      <c r="L568" s="28"/>
      <c r="M568" s="28"/>
      <c r="N568" s="28"/>
      <c r="O568" s="28"/>
      <c r="P568" s="28"/>
      <c r="Q568" s="144"/>
      <c r="R568" s="144"/>
      <c r="S568" s="144"/>
      <c r="T568" s="145"/>
      <c r="U568" s="28"/>
      <c r="V568" s="30"/>
      <c r="W568" s="28"/>
      <c r="X568" s="28"/>
      <c r="Y568" s="28"/>
      <c r="Z568" s="28"/>
    </row>
    <row r="569" ht="13.5" customHeight="1">
      <c r="A569" s="28"/>
      <c r="B569" s="28"/>
      <c r="C569" s="28"/>
      <c r="D569" s="28"/>
      <c r="E569" s="28"/>
      <c r="F569" s="28"/>
      <c r="G569" s="28"/>
      <c r="H569" s="28"/>
      <c r="I569" s="28"/>
      <c r="J569" s="143"/>
      <c r="K569" s="28"/>
      <c r="L569" s="28"/>
      <c r="M569" s="28"/>
      <c r="N569" s="28"/>
      <c r="O569" s="28"/>
      <c r="P569" s="28"/>
      <c r="Q569" s="144"/>
      <c r="R569" s="144"/>
      <c r="S569" s="144"/>
      <c r="T569" s="145"/>
      <c r="U569" s="28"/>
      <c r="V569" s="30"/>
      <c r="W569" s="28"/>
      <c r="X569" s="28"/>
      <c r="Y569" s="28"/>
      <c r="Z569" s="28"/>
    </row>
    <row r="570" ht="13.5" customHeight="1">
      <c r="A570" s="28"/>
      <c r="B570" s="28"/>
      <c r="C570" s="28"/>
      <c r="D570" s="28"/>
      <c r="E570" s="28"/>
      <c r="F570" s="28"/>
      <c r="G570" s="28"/>
      <c r="H570" s="28"/>
      <c r="I570" s="28"/>
      <c r="J570" s="143"/>
      <c r="K570" s="28"/>
      <c r="L570" s="28"/>
      <c r="M570" s="28"/>
      <c r="N570" s="28"/>
      <c r="O570" s="28"/>
      <c r="P570" s="28"/>
      <c r="Q570" s="144"/>
      <c r="R570" s="144"/>
      <c r="S570" s="144"/>
      <c r="T570" s="145"/>
      <c r="U570" s="28"/>
      <c r="V570" s="30"/>
      <c r="W570" s="28"/>
      <c r="X570" s="28"/>
      <c r="Y570" s="28"/>
      <c r="Z570" s="28"/>
    </row>
    <row r="571" ht="13.5" customHeight="1">
      <c r="A571" s="28"/>
      <c r="B571" s="28"/>
      <c r="C571" s="28"/>
      <c r="D571" s="28"/>
      <c r="E571" s="28"/>
      <c r="F571" s="28"/>
      <c r="G571" s="28"/>
      <c r="H571" s="28"/>
      <c r="I571" s="28"/>
      <c r="J571" s="143"/>
      <c r="K571" s="28"/>
      <c r="L571" s="28"/>
      <c r="M571" s="28"/>
      <c r="N571" s="28"/>
      <c r="O571" s="28"/>
      <c r="P571" s="28"/>
      <c r="Q571" s="144"/>
      <c r="R571" s="144"/>
      <c r="S571" s="144"/>
      <c r="T571" s="145"/>
      <c r="U571" s="28"/>
      <c r="V571" s="30"/>
      <c r="W571" s="28"/>
      <c r="X571" s="28"/>
      <c r="Y571" s="28"/>
      <c r="Z571" s="28"/>
    </row>
    <row r="572" ht="13.5" customHeight="1">
      <c r="A572" s="28"/>
      <c r="B572" s="28"/>
      <c r="C572" s="28"/>
      <c r="D572" s="28"/>
      <c r="E572" s="28"/>
      <c r="F572" s="28"/>
      <c r="G572" s="28"/>
      <c r="H572" s="28"/>
      <c r="I572" s="28"/>
      <c r="J572" s="143"/>
      <c r="K572" s="28"/>
      <c r="L572" s="28"/>
      <c r="M572" s="28"/>
      <c r="N572" s="28"/>
      <c r="O572" s="28"/>
      <c r="P572" s="28"/>
      <c r="Q572" s="144"/>
      <c r="R572" s="144"/>
      <c r="S572" s="144"/>
      <c r="T572" s="145"/>
      <c r="U572" s="28"/>
      <c r="V572" s="30"/>
      <c r="W572" s="28"/>
      <c r="X572" s="28"/>
      <c r="Y572" s="28"/>
      <c r="Z572" s="28"/>
    </row>
    <row r="573" ht="13.5" customHeight="1">
      <c r="A573" s="28"/>
      <c r="B573" s="28"/>
      <c r="C573" s="28"/>
      <c r="D573" s="28"/>
      <c r="E573" s="28"/>
      <c r="F573" s="28"/>
      <c r="G573" s="28"/>
      <c r="H573" s="28"/>
      <c r="I573" s="28"/>
      <c r="J573" s="143"/>
      <c r="K573" s="28"/>
      <c r="L573" s="28"/>
      <c r="M573" s="28"/>
      <c r="N573" s="28"/>
      <c r="O573" s="28"/>
      <c r="P573" s="28"/>
      <c r="Q573" s="144"/>
      <c r="R573" s="144"/>
      <c r="S573" s="144"/>
      <c r="T573" s="145"/>
      <c r="U573" s="28"/>
      <c r="V573" s="30"/>
      <c r="W573" s="28"/>
      <c r="X573" s="28"/>
      <c r="Y573" s="28"/>
      <c r="Z573" s="28"/>
    </row>
    <row r="574" ht="13.5" customHeight="1">
      <c r="A574" s="28"/>
      <c r="B574" s="28"/>
      <c r="C574" s="28"/>
      <c r="D574" s="28"/>
      <c r="E574" s="28"/>
      <c r="F574" s="28"/>
      <c r="G574" s="28"/>
      <c r="H574" s="28"/>
      <c r="I574" s="28"/>
      <c r="J574" s="143"/>
      <c r="K574" s="28"/>
      <c r="L574" s="28"/>
      <c r="M574" s="28"/>
      <c r="N574" s="28"/>
      <c r="O574" s="28"/>
      <c r="P574" s="28"/>
      <c r="Q574" s="144"/>
      <c r="R574" s="144"/>
      <c r="S574" s="144"/>
      <c r="T574" s="145"/>
      <c r="U574" s="28"/>
      <c r="V574" s="30"/>
      <c r="W574" s="28"/>
      <c r="X574" s="28"/>
      <c r="Y574" s="28"/>
      <c r="Z574" s="28"/>
    </row>
    <row r="575" ht="13.5" customHeight="1">
      <c r="A575" s="28"/>
      <c r="B575" s="28"/>
      <c r="C575" s="28"/>
      <c r="D575" s="28"/>
      <c r="E575" s="28"/>
      <c r="F575" s="28"/>
      <c r="G575" s="28"/>
      <c r="H575" s="28"/>
      <c r="I575" s="28"/>
      <c r="J575" s="143"/>
      <c r="K575" s="28"/>
      <c r="L575" s="28"/>
      <c r="M575" s="28"/>
      <c r="N575" s="28"/>
      <c r="O575" s="28"/>
      <c r="P575" s="28"/>
      <c r="Q575" s="144"/>
      <c r="R575" s="144"/>
      <c r="S575" s="144"/>
      <c r="T575" s="145"/>
      <c r="U575" s="28"/>
      <c r="V575" s="30"/>
      <c r="W575" s="28"/>
      <c r="X575" s="28"/>
      <c r="Y575" s="28"/>
      <c r="Z575" s="28"/>
    </row>
    <row r="576" ht="13.5" customHeight="1">
      <c r="A576" s="28"/>
      <c r="B576" s="28"/>
      <c r="C576" s="28"/>
      <c r="D576" s="28"/>
      <c r="E576" s="28"/>
      <c r="F576" s="28"/>
      <c r="G576" s="28"/>
      <c r="H576" s="28"/>
      <c r="I576" s="28"/>
      <c r="J576" s="143"/>
      <c r="K576" s="28"/>
      <c r="L576" s="28"/>
      <c r="M576" s="28"/>
      <c r="N576" s="28"/>
      <c r="O576" s="28"/>
      <c r="P576" s="28"/>
      <c r="Q576" s="144"/>
      <c r="R576" s="144"/>
      <c r="S576" s="144"/>
      <c r="T576" s="145"/>
      <c r="U576" s="28"/>
      <c r="V576" s="30"/>
      <c r="W576" s="28"/>
      <c r="X576" s="28"/>
      <c r="Y576" s="28"/>
      <c r="Z576" s="28"/>
    </row>
    <row r="577" ht="13.5" customHeight="1">
      <c r="A577" s="28"/>
      <c r="B577" s="28"/>
      <c r="C577" s="28"/>
      <c r="D577" s="28"/>
      <c r="E577" s="28"/>
      <c r="F577" s="28"/>
      <c r="G577" s="28"/>
      <c r="H577" s="28"/>
      <c r="I577" s="28"/>
      <c r="J577" s="143"/>
      <c r="K577" s="28"/>
      <c r="L577" s="28"/>
      <c r="M577" s="28"/>
      <c r="N577" s="28"/>
      <c r="O577" s="28"/>
      <c r="P577" s="28"/>
      <c r="Q577" s="144"/>
      <c r="R577" s="144"/>
      <c r="S577" s="144"/>
      <c r="T577" s="145"/>
      <c r="U577" s="28"/>
      <c r="V577" s="30"/>
      <c r="W577" s="28"/>
      <c r="X577" s="28"/>
      <c r="Y577" s="28"/>
      <c r="Z577" s="28"/>
    </row>
    <row r="578" ht="13.5" customHeight="1">
      <c r="A578" s="28"/>
      <c r="B578" s="28"/>
      <c r="C578" s="28"/>
      <c r="D578" s="28"/>
      <c r="E578" s="28"/>
      <c r="F578" s="28"/>
      <c r="G578" s="28"/>
      <c r="H578" s="28"/>
      <c r="I578" s="28"/>
      <c r="J578" s="143"/>
      <c r="K578" s="28"/>
      <c r="L578" s="28"/>
      <c r="M578" s="28"/>
      <c r="N578" s="28"/>
      <c r="O578" s="28"/>
      <c r="P578" s="28"/>
      <c r="Q578" s="144"/>
      <c r="R578" s="144"/>
      <c r="S578" s="144"/>
      <c r="T578" s="145"/>
      <c r="U578" s="28"/>
      <c r="V578" s="30"/>
      <c r="W578" s="28"/>
      <c r="X578" s="28"/>
      <c r="Y578" s="28"/>
      <c r="Z578" s="28"/>
    </row>
    <row r="579" ht="13.5" customHeight="1">
      <c r="A579" s="28"/>
      <c r="B579" s="28"/>
      <c r="C579" s="28"/>
      <c r="D579" s="28"/>
      <c r="E579" s="28"/>
      <c r="F579" s="28"/>
      <c r="G579" s="28"/>
      <c r="H579" s="28"/>
      <c r="I579" s="28"/>
      <c r="J579" s="143"/>
      <c r="K579" s="28"/>
      <c r="L579" s="28"/>
      <c r="M579" s="28"/>
      <c r="N579" s="28"/>
      <c r="O579" s="28"/>
      <c r="P579" s="28"/>
      <c r="Q579" s="144"/>
      <c r="R579" s="144"/>
      <c r="S579" s="144"/>
      <c r="T579" s="145"/>
      <c r="U579" s="28"/>
      <c r="V579" s="30"/>
      <c r="W579" s="28"/>
      <c r="X579" s="28"/>
      <c r="Y579" s="28"/>
      <c r="Z579" s="28"/>
    </row>
    <row r="580" ht="13.5" customHeight="1">
      <c r="A580" s="28"/>
      <c r="B580" s="28"/>
      <c r="C580" s="28"/>
      <c r="D580" s="28"/>
      <c r="E580" s="28"/>
      <c r="F580" s="28"/>
      <c r="G580" s="28"/>
      <c r="H580" s="28"/>
      <c r="I580" s="28"/>
      <c r="J580" s="143"/>
      <c r="K580" s="28"/>
      <c r="L580" s="28"/>
      <c r="M580" s="28"/>
      <c r="N580" s="28"/>
      <c r="O580" s="28"/>
      <c r="P580" s="28"/>
      <c r="Q580" s="144"/>
      <c r="R580" s="144"/>
      <c r="S580" s="144"/>
      <c r="T580" s="145"/>
      <c r="U580" s="28"/>
      <c r="V580" s="30"/>
      <c r="W580" s="28"/>
      <c r="X580" s="28"/>
      <c r="Y580" s="28"/>
      <c r="Z580" s="28"/>
    </row>
    <row r="581" ht="13.5" customHeight="1">
      <c r="A581" s="28"/>
      <c r="B581" s="28"/>
      <c r="C581" s="28"/>
      <c r="D581" s="28"/>
      <c r="E581" s="28"/>
      <c r="F581" s="28"/>
      <c r="G581" s="28"/>
      <c r="H581" s="28"/>
      <c r="I581" s="28"/>
      <c r="J581" s="143"/>
      <c r="K581" s="28"/>
      <c r="L581" s="28"/>
      <c r="M581" s="28"/>
      <c r="N581" s="28"/>
      <c r="O581" s="28"/>
      <c r="P581" s="28"/>
      <c r="Q581" s="144"/>
      <c r="R581" s="144"/>
      <c r="S581" s="144"/>
      <c r="T581" s="145"/>
      <c r="U581" s="28"/>
      <c r="V581" s="30"/>
      <c r="W581" s="28"/>
      <c r="X581" s="28"/>
      <c r="Y581" s="28"/>
      <c r="Z581" s="28"/>
    </row>
    <row r="582" ht="13.5" customHeight="1">
      <c r="A582" s="28"/>
      <c r="B582" s="28"/>
      <c r="C582" s="28"/>
      <c r="D582" s="28"/>
      <c r="E582" s="28"/>
      <c r="F582" s="28"/>
      <c r="G582" s="28"/>
      <c r="H582" s="28"/>
      <c r="I582" s="28"/>
      <c r="J582" s="143"/>
      <c r="K582" s="28"/>
      <c r="L582" s="28"/>
      <c r="M582" s="28"/>
      <c r="N582" s="28"/>
      <c r="O582" s="28"/>
      <c r="P582" s="28"/>
      <c r="Q582" s="144"/>
      <c r="R582" s="144"/>
      <c r="S582" s="144"/>
      <c r="T582" s="145"/>
      <c r="U582" s="28"/>
      <c r="V582" s="30"/>
      <c r="W582" s="28"/>
      <c r="X582" s="28"/>
      <c r="Y582" s="28"/>
      <c r="Z582" s="28"/>
    </row>
    <row r="583" ht="13.5" customHeight="1">
      <c r="A583" s="28"/>
      <c r="B583" s="28"/>
      <c r="C583" s="28"/>
      <c r="D583" s="28"/>
      <c r="E583" s="28"/>
      <c r="F583" s="28"/>
      <c r="G583" s="28"/>
      <c r="H583" s="28"/>
      <c r="I583" s="28"/>
      <c r="J583" s="143"/>
      <c r="K583" s="28"/>
      <c r="L583" s="28"/>
      <c r="M583" s="28"/>
      <c r="N583" s="28"/>
      <c r="O583" s="28"/>
      <c r="P583" s="28"/>
      <c r="Q583" s="144"/>
      <c r="R583" s="144"/>
      <c r="S583" s="144"/>
      <c r="T583" s="145"/>
      <c r="U583" s="28"/>
      <c r="V583" s="30"/>
      <c r="W583" s="28"/>
      <c r="X583" s="28"/>
      <c r="Y583" s="28"/>
      <c r="Z583" s="28"/>
    </row>
    <row r="584" ht="13.5" customHeight="1">
      <c r="A584" s="28"/>
      <c r="B584" s="28"/>
      <c r="C584" s="28"/>
      <c r="D584" s="28"/>
      <c r="E584" s="28"/>
      <c r="F584" s="28"/>
      <c r="G584" s="28"/>
      <c r="H584" s="28"/>
      <c r="I584" s="28"/>
      <c r="J584" s="143"/>
      <c r="K584" s="28"/>
      <c r="L584" s="28"/>
      <c r="M584" s="28"/>
      <c r="N584" s="28"/>
      <c r="O584" s="28"/>
      <c r="P584" s="28"/>
      <c r="Q584" s="144"/>
      <c r="R584" s="144"/>
      <c r="S584" s="144"/>
      <c r="T584" s="145"/>
      <c r="U584" s="28"/>
      <c r="V584" s="30"/>
      <c r="W584" s="28"/>
      <c r="X584" s="28"/>
      <c r="Y584" s="28"/>
      <c r="Z584" s="28"/>
    </row>
    <row r="585" ht="13.5" customHeight="1">
      <c r="A585" s="28"/>
      <c r="B585" s="28"/>
      <c r="C585" s="28"/>
      <c r="D585" s="28"/>
      <c r="E585" s="28"/>
      <c r="F585" s="28"/>
      <c r="G585" s="28"/>
      <c r="H585" s="28"/>
      <c r="I585" s="28"/>
      <c r="J585" s="143"/>
      <c r="K585" s="28"/>
      <c r="L585" s="28"/>
      <c r="M585" s="28"/>
      <c r="N585" s="28"/>
      <c r="O585" s="28"/>
      <c r="P585" s="28"/>
      <c r="Q585" s="144"/>
      <c r="R585" s="144"/>
      <c r="S585" s="144"/>
      <c r="T585" s="145"/>
      <c r="U585" s="28"/>
      <c r="V585" s="30"/>
      <c r="W585" s="28"/>
      <c r="X585" s="28"/>
      <c r="Y585" s="28"/>
      <c r="Z585" s="28"/>
    </row>
    <row r="586" ht="13.5" customHeight="1">
      <c r="A586" s="28"/>
      <c r="B586" s="28"/>
      <c r="C586" s="28"/>
      <c r="D586" s="28"/>
      <c r="E586" s="28"/>
      <c r="F586" s="28"/>
      <c r="G586" s="28"/>
      <c r="H586" s="28"/>
      <c r="I586" s="28"/>
      <c r="J586" s="143"/>
      <c r="K586" s="28"/>
      <c r="L586" s="28"/>
      <c r="M586" s="28"/>
      <c r="N586" s="28"/>
      <c r="O586" s="28"/>
      <c r="P586" s="28"/>
      <c r="Q586" s="144"/>
      <c r="R586" s="144"/>
      <c r="S586" s="144"/>
      <c r="T586" s="145"/>
      <c r="U586" s="28"/>
      <c r="V586" s="30"/>
      <c r="W586" s="28"/>
      <c r="X586" s="28"/>
      <c r="Y586" s="28"/>
      <c r="Z586" s="28"/>
    </row>
    <row r="587" ht="13.5" customHeight="1">
      <c r="A587" s="28"/>
      <c r="B587" s="28"/>
      <c r="C587" s="28"/>
      <c r="D587" s="28"/>
      <c r="E587" s="28"/>
      <c r="F587" s="28"/>
      <c r="G587" s="28"/>
      <c r="H587" s="28"/>
      <c r="I587" s="28"/>
      <c r="J587" s="143"/>
      <c r="K587" s="28"/>
      <c r="L587" s="28"/>
      <c r="M587" s="28"/>
      <c r="N587" s="28"/>
      <c r="O587" s="28"/>
      <c r="P587" s="28"/>
      <c r="Q587" s="144"/>
      <c r="R587" s="144"/>
      <c r="S587" s="144"/>
      <c r="T587" s="145"/>
      <c r="U587" s="28"/>
      <c r="V587" s="30"/>
      <c r="W587" s="28"/>
      <c r="X587" s="28"/>
      <c r="Y587" s="28"/>
      <c r="Z587" s="28"/>
    </row>
    <row r="588" ht="13.5" customHeight="1">
      <c r="A588" s="28"/>
      <c r="B588" s="28"/>
      <c r="C588" s="28"/>
      <c r="D588" s="28"/>
      <c r="E588" s="28"/>
      <c r="F588" s="28"/>
      <c r="G588" s="28"/>
      <c r="H588" s="28"/>
      <c r="I588" s="28"/>
      <c r="J588" s="143"/>
      <c r="K588" s="28"/>
      <c r="L588" s="28"/>
      <c r="M588" s="28"/>
      <c r="N588" s="28"/>
      <c r="O588" s="28"/>
      <c r="P588" s="28"/>
      <c r="Q588" s="144"/>
      <c r="R588" s="144"/>
      <c r="S588" s="144"/>
      <c r="T588" s="145"/>
      <c r="U588" s="28"/>
      <c r="V588" s="30"/>
      <c r="W588" s="28"/>
      <c r="X588" s="28"/>
      <c r="Y588" s="28"/>
      <c r="Z588" s="28"/>
    </row>
    <row r="589" ht="13.5" customHeight="1">
      <c r="A589" s="28"/>
      <c r="B589" s="28"/>
      <c r="C589" s="28"/>
      <c r="D589" s="28"/>
      <c r="E589" s="28"/>
      <c r="F589" s="28"/>
      <c r="G589" s="28"/>
      <c r="H589" s="28"/>
      <c r="I589" s="28"/>
      <c r="J589" s="143"/>
      <c r="K589" s="28"/>
      <c r="L589" s="28"/>
      <c r="M589" s="28"/>
      <c r="N589" s="28"/>
      <c r="O589" s="28"/>
      <c r="P589" s="28"/>
      <c r="Q589" s="144"/>
      <c r="R589" s="144"/>
      <c r="S589" s="144"/>
      <c r="T589" s="145"/>
      <c r="U589" s="28"/>
      <c r="V589" s="30"/>
      <c r="W589" s="28"/>
      <c r="X589" s="28"/>
      <c r="Y589" s="28"/>
      <c r="Z589" s="28"/>
    </row>
    <row r="590" ht="13.5" customHeight="1">
      <c r="A590" s="28"/>
      <c r="B590" s="28"/>
      <c r="C590" s="28"/>
      <c r="D590" s="28"/>
      <c r="E590" s="28"/>
      <c r="F590" s="28"/>
      <c r="G590" s="28"/>
      <c r="H590" s="28"/>
      <c r="I590" s="28"/>
      <c r="J590" s="143"/>
      <c r="K590" s="28"/>
      <c r="L590" s="28"/>
      <c r="M590" s="28"/>
      <c r="N590" s="28"/>
      <c r="O590" s="28"/>
      <c r="P590" s="28"/>
      <c r="Q590" s="144"/>
      <c r="R590" s="144"/>
      <c r="S590" s="144"/>
      <c r="T590" s="145"/>
      <c r="U590" s="28"/>
      <c r="V590" s="30"/>
      <c r="W590" s="28"/>
      <c r="X590" s="28"/>
      <c r="Y590" s="28"/>
      <c r="Z590" s="28"/>
    </row>
    <row r="591" ht="13.5" customHeight="1">
      <c r="A591" s="28"/>
      <c r="B591" s="28"/>
      <c r="C591" s="28"/>
      <c r="D591" s="28"/>
      <c r="E591" s="28"/>
      <c r="F591" s="28"/>
      <c r="G591" s="28"/>
      <c r="H591" s="28"/>
      <c r="I591" s="28"/>
      <c r="J591" s="143"/>
      <c r="K591" s="28"/>
      <c r="L591" s="28"/>
      <c r="M591" s="28"/>
      <c r="N591" s="28"/>
      <c r="O591" s="28"/>
      <c r="P591" s="28"/>
      <c r="Q591" s="144"/>
      <c r="R591" s="144"/>
      <c r="S591" s="144"/>
      <c r="T591" s="145"/>
      <c r="U591" s="28"/>
      <c r="V591" s="30"/>
      <c r="W591" s="28"/>
      <c r="X591" s="28"/>
      <c r="Y591" s="28"/>
      <c r="Z591" s="28"/>
    </row>
    <row r="592" ht="13.5" customHeight="1">
      <c r="A592" s="28"/>
      <c r="B592" s="28"/>
      <c r="C592" s="28"/>
      <c r="D592" s="28"/>
      <c r="E592" s="28"/>
      <c r="F592" s="28"/>
      <c r="G592" s="28"/>
      <c r="H592" s="28"/>
      <c r="I592" s="28"/>
      <c r="J592" s="143"/>
      <c r="K592" s="28"/>
      <c r="L592" s="28"/>
      <c r="M592" s="28"/>
      <c r="N592" s="28"/>
      <c r="O592" s="28"/>
      <c r="P592" s="28"/>
      <c r="Q592" s="144"/>
      <c r="R592" s="144"/>
      <c r="S592" s="144"/>
      <c r="T592" s="145"/>
      <c r="U592" s="28"/>
      <c r="V592" s="30"/>
      <c r="W592" s="28"/>
      <c r="X592" s="28"/>
      <c r="Y592" s="28"/>
      <c r="Z592" s="28"/>
    </row>
    <row r="593" ht="13.5" customHeight="1">
      <c r="A593" s="28"/>
      <c r="B593" s="28"/>
      <c r="C593" s="28"/>
      <c r="D593" s="28"/>
      <c r="E593" s="28"/>
      <c r="F593" s="28"/>
      <c r="G593" s="28"/>
      <c r="H593" s="28"/>
      <c r="I593" s="28"/>
      <c r="J593" s="143"/>
      <c r="K593" s="28"/>
      <c r="L593" s="28"/>
      <c r="M593" s="28"/>
      <c r="N593" s="28"/>
      <c r="O593" s="28"/>
      <c r="P593" s="28"/>
      <c r="Q593" s="144"/>
      <c r="R593" s="144"/>
      <c r="S593" s="144"/>
      <c r="T593" s="145"/>
      <c r="U593" s="28"/>
      <c r="V593" s="30"/>
      <c r="W593" s="28"/>
      <c r="X593" s="28"/>
      <c r="Y593" s="28"/>
      <c r="Z593" s="28"/>
    </row>
    <row r="594" ht="13.5" customHeight="1">
      <c r="A594" s="28"/>
      <c r="B594" s="28"/>
      <c r="C594" s="28"/>
      <c r="D594" s="28"/>
      <c r="E594" s="28"/>
      <c r="F594" s="28"/>
      <c r="G594" s="28"/>
      <c r="H594" s="28"/>
      <c r="I594" s="28"/>
      <c r="J594" s="143"/>
      <c r="K594" s="28"/>
      <c r="L594" s="28"/>
      <c r="M594" s="28"/>
      <c r="N594" s="28"/>
      <c r="O594" s="28"/>
      <c r="P594" s="28"/>
      <c r="Q594" s="144"/>
      <c r="R594" s="144"/>
      <c r="S594" s="144"/>
      <c r="T594" s="145"/>
      <c r="U594" s="28"/>
      <c r="V594" s="30"/>
      <c r="W594" s="28"/>
      <c r="X594" s="28"/>
      <c r="Y594" s="28"/>
      <c r="Z594" s="28"/>
    </row>
    <row r="595" ht="13.5" customHeight="1">
      <c r="A595" s="28"/>
      <c r="B595" s="28"/>
      <c r="C595" s="28"/>
      <c r="D595" s="28"/>
      <c r="E595" s="28"/>
      <c r="F595" s="28"/>
      <c r="G595" s="28"/>
      <c r="H595" s="28"/>
      <c r="I595" s="28"/>
      <c r="J595" s="143"/>
      <c r="K595" s="28"/>
      <c r="L595" s="28"/>
      <c r="M595" s="28"/>
      <c r="N595" s="28"/>
      <c r="O595" s="28"/>
      <c r="P595" s="28"/>
      <c r="Q595" s="144"/>
      <c r="R595" s="144"/>
      <c r="S595" s="144"/>
      <c r="T595" s="145"/>
      <c r="U595" s="28"/>
      <c r="V595" s="30"/>
      <c r="W595" s="28"/>
      <c r="X595" s="28"/>
      <c r="Y595" s="28"/>
      <c r="Z595" s="28"/>
    </row>
    <row r="596" ht="13.5" customHeight="1">
      <c r="A596" s="28"/>
      <c r="B596" s="28"/>
      <c r="C596" s="28"/>
      <c r="D596" s="28"/>
      <c r="E596" s="28"/>
      <c r="F596" s="28"/>
      <c r="G596" s="28"/>
      <c r="H596" s="28"/>
      <c r="I596" s="28"/>
      <c r="J596" s="143"/>
      <c r="K596" s="28"/>
      <c r="L596" s="28"/>
      <c r="M596" s="28"/>
      <c r="N596" s="28"/>
      <c r="O596" s="28"/>
      <c r="P596" s="28"/>
      <c r="Q596" s="144"/>
      <c r="R596" s="144"/>
      <c r="S596" s="144"/>
      <c r="T596" s="145"/>
      <c r="U596" s="28"/>
      <c r="V596" s="30"/>
      <c r="W596" s="28"/>
      <c r="X596" s="28"/>
      <c r="Y596" s="28"/>
      <c r="Z596" s="28"/>
    </row>
    <row r="597" ht="13.5" customHeight="1">
      <c r="A597" s="28"/>
      <c r="B597" s="28"/>
      <c r="C597" s="28"/>
      <c r="D597" s="28"/>
      <c r="E597" s="28"/>
      <c r="F597" s="28"/>
      <c r="G597" s="28"/>
      <c r="H597" s="28"/>
      <c r="I597" s="28"/>
      <c r="J597" s="143"/>
      <c r="K597" s="28"/>
      <c r="L597" s="28"/>
      <c r="M597" s="28"/>
      <c r="N597" s="28"/>
      <c r="O597" s="28"/>
      <c r="P597" s="28"/>
      <c r="Q597" s="144"/>
      <c r="R597" s="144"/>
      <c r="S597" s="144"/>
      <c r="T597" s="145"/>
      <c r="U597" s="28"/>
      <c r="V597" s="30"/>
      <c r="W597" s="28"/>
      <c r="X597" s="28"/>
      <c r="Y597" s="28"/>
      <c r="Z597" s="28"/>
    </row>
    <row r="598" ht="13.5" customHeight="1">
      <c r="A598" s="28"/>
      <c r="B598" s="28"/>
      <c r="C598" s="28"/>
      <c r="D598" s="28"/>
      <c r="E598" s="28"/>
      <c r="F598" s="28"/>
      <c r="G598" s="28"/>
      <c r="H598" s="28"/>
      <c r="I598" s="28"/>
      <c r="J598" s="143"/>
      <c r="K598" s="28"/>
      <c r="L598" s="28"/>
      <c r="M598" s="28"/>
      <c r="N598" s="28"/>
      <c r="O598" s="28"/>
      <c r="P598" s="28"/>
      <c r="Q598" s="144"/>
      <c r="R598" s="144"/>
      <c r="S598" s="144"/>
      <c r="T598" s="145"/>
      <c r="U598" s="28"/>
      <c r="V598" s="30"/>
      <c r="W598" s="28"/>
      <c r="X598" s="28"/>
      <c r="Y598" s="28"/>
      <c r="Z598" s="28"/>
    </row>
    <row r="599" ht="13.5" customHeight="1">
      <c r="A599" s="28"/>
      <c r="B599" s="28"/>
      <c r="C599" s="28"/>
      <c r="D599" s="28"/>
      <c r="E599" s="28"/>
      <c r="F599" s="28"/>
      <c r="G599" s="28"/>
      <c r="H599" s="28"/>
      <c r="I599" s="28"/>
      <c r="J599" s="143"/>
      <c r="K599" s="28"/>
      <c r="L599" s="28"/>
      <c r="M599" s="28"/>
      <c r="N599" s="28"/>
      <c r="O599" s="28"/>
      <c r="P599" s="28"/>
      <c r="Q599" s="144"/>
      <c r="R599" s="144"/>
      <c r="S599" s="144"/>
      <c r="T599" s="145"/>
      <c r="U599" s="28"/>
      <c r="V599" s="30"/>
      <c r="W599" s="28"/>
      <c r="X599" s="28"/>
      <c r="Y599" s="28"/>
      <c r="Z599" s="28"/>
    </row>
    <row r="600" ht="13.5" customHeight="1">
      <c r="A600" s="28"/>
      <c r="B600" s="28"/>
      <c r="C600" s="28"/>
      <c r="D600" s="28"/>
      <c r="E600" s="28"/>
      <c r="F600" s="28"/>
      <c r="G600" s="28"/>
      <c r="H600" s="28"/>
      <c r="I600" s="28"/>
      <c r="J600" s="143"/>
      <c r="K600" s="28"/>
      <c r="L600" s="28"/>
      <c r="M600" s="28"/>
      <c r="N600" s="28"/>
      <c r="O600" s="28"/>
      <c r="P600" s="28"/>
      <c r="Q600" s="144"/>
      <c r="R600" s="144"/>
      <c r="S600" s="144"/>
      <c r="T600" s="145"/>
      <c r="U600" s="28"/>
      <c r="V600" s="30"/>
      <c r="W600" s="28"/>
      <c r="X600" s="28"/>
      <c r="Y600" s="28"/>
      <c r="Z600" s="28"/>
    </row>
    <row r="601" ht="13.5" customHeight="1">
      <c r="A601" s="28"/>
      <c r="B601" s="28"/>
      <c r="C601" s="28"/>
      <c r="D601" s="28"/>
      <c r="E601" s="28"/>
      <c r="F601" s="28"/>
      <c r="G601" s="28"/>
      <c r="H601" s="28"/>
      <c r="I601" s="28"/>
      <c r="J601" s="143"/>
      <c r="K601" s="28"/>
      <c r="L601" s="28"/>
      <c r="M601" s="28"/>
      <c r="N601" s="28"/>
      <c r="O601" s="28"/>
      <c r="P601" s="28"/>
      <c r="Q601" s="144"/>
      <c r="R601" s="144"/>
      <c r="S601" s="144"/>
      <c r="T601" s="145"/>
      <c r="U601" s="28"/>
      <c r="V601" s="30"/>
      <c r="W601" s="28"/>
      <c r="X601" s="28"/>
      <c r="Y601" s="28"/>
      <c r="Z601" s="28"/>
    </row>
    <row r="602" ht="13.5" customHeight="1">
      <c r="A602" s="28"/>
      <c r="B602" s="28"/>
      <c r="C602" s="28"/>
      <c r="D602" s="28"/>
      <c r="E602" s="28"/>
      <c r="F602" s="28"/>
      <c r="G602" s="28"/>
      <c r="H602" s="28"/>
      <c r="I602" s="28"/>
      <c r="J602" s="143"/>
      <c r="K602" s="28"/>
      <c r="L602" s="28"/>
      <c r="M602" s="28"/>
      <c r="N602" s="28"/>
      <c r="O602" s="28"/>
      <c r="P602" s="28"/>
      <c r="Q602" s="144"/>
      <c r="R602" s="144"/>
      <c r="S602" s="144"/>
      <c r="T602" s="145"/>
      <c r="U602" s="28"/>
      <c r="V602" s="30"/>
      <c r="W602" s="28"/>
      <c r="X602" s="28"/>
      <c r="Y602" s="28"/>
      <c r="Z602" s="28"/>
    </row>
    <row r="603" ht="13.5" customHeight="1">
      <c r="A603" s="28"/>
      <c r="B603" s="28"/>
      <c r="C603" s="28"/>
      <c r="D603" s="28"/>
      <c r="E603" s="28"/>
      <c r="F603" s="28"/>
      <c r="G603" s="28"/>
      <c r="H603" s="28"/>
      <c r="I603" s="28"/>
      <c r="J603" s="143"/>
      <c r="K603" s="28"/>
      <c r="L603" s="28"/>
      <c r="M603" s="28"/>
      <c r="N603" s="28"/>
      <c r="O603" s="28"/>
      <c r="P603" s="28"/>
      <c r="Q603" s="144"/>
      <c r="R603" s="144"/>
      <c r="S603" s="144"/>
      <c r="T603" s="145"/>
      <c r="U603" s="28"/>
      <c r="V603" s="30"/>
      <c r="W603" s="28"/>
      <c r="X603" s="28"/>
      <c r="Y603" s="28"/>
      <c r="Z603" s="28"/>
    </row>
    <row r="604" ht="13.5" customHeight="1">
      <c r="A604" s="28"/>
      <c r="B604" s="28"/>
      <c r="C604" s="28"/>
      <c r="D604" s="28"/>
      <c r="E604" s="28"/>
      <c r="F604" s="28"/>
      <c r="G604" s="28"/>
      <c r="H604" s="28"/>
      <c r="I604" s="28"/>
      <c r="J604" s="143"/>
      <c r="K604" s="28"/>
      <c r="L604" s="28"/>
      <c r="M604" s="28"/>
      <c r="N604" s="28"/>
      <c r="O604" s="28"/>
      <c r="P604" s="28"/>
      <c r="Q604" s="144"/>
      <c r="R604" s="144"/>
      <c r="S604" s="144"/>
      <c r="T604" s="145"/>
      <c r="U604" s="28"/>
      <c r="V604" s="30"/>
      <c r="W604" s="28"/>
      <c r="X604" s="28"/>
      <c r="Y604" s="28"/>
      <c r="Z604" s="28"/>
    </row>
    <row r="605" ht="13.5" customHeight="1">
      <c r="A605" s="28"/>
      <c r="B605" s="28"/>
      <c r="C605" s="28"/>
      <c r="D605" s="28"/>
      <c r="E605" s="28"/>
      <c r="F605" s="28"/>
      <c r="G605" s="28"/>
      <c r="H605" s="28"/>
      <c r="I605" s="28"/>
      <c r="J605" s="143"/>
      <c r="K605" s="28"/>
      <c r="L605" s="28"/>
      <c r="M605" s="28"/>
      <c r="N605" s="28"/>
      <c r="O605" s="28"/>
      <c r="P605" s="28"/>
      <c r="Q605" s="144"/>
      <c r="R605" s="144"/>
      <c r="S605" s="144"/>
      <c r="T605" s="145"/>
      <c r="U605" s="28"/>
      <c r="V605" s="30"/>
      <c r="W605" s="28"/>
      <c r="X605" s="28"/>
      <c r="Y605" s="28"/>
      <c r="Z605" s="28"/>
    </row>
    <row r="606" ht="13.5" customHeight="1">
      <c r="A606" s="28"/>
      <c r="B606" s="28"/>
      <c r="C606" s="28"/>
      <c r="D606" s="28"/>
      <c r="E606" s="28"/>
      <c r="F606" s="28"/>
      <c r="G606" s="28"/>
      <c r="H606" s="28"/>
      <c r="I606" s="28"/>
      <c r="J606" s="143"/>
      <c r="K606" s="28"/>
      <c r="L606" s="28"/>
      <c r="M606" s="28"/>
      <c r="N606" s="28"/>
      <c r="O606" s="28"/>
      <c r="P606" s="28"/>
      <c r="Q606" s="144"/>
      <c r="R606" s="144"/>
      <c r="S606" s="144"/>
      <c r="T606" s="145"/>
      <c r="U606" s="28"/>
      <c r="V606" s="30"/>
      <c r="W606" s="28"/>
      <c r="X606" s="28"/>
      <c r="Y606" s="28"/>
      <c r="Z606" s="28"/>
    </row>
    <row r="607" ht="13.5" customHeight="1">
      <c r="A607" s="28"/>
      <c r="B607" s="28"/>
      <c r="C607" s="28"/>
      <c r="D607" s="28"/>
      <c r="E607" s="28"/>
      <c r="F607" s="28"/>
      <c r="G607" s="28"/>
      <c r="H607" s="28"/>
      <c r="I607" s="28"/>
      <c r="J607" s="143"/>
      <c r="K607" s="28"/>
      <c r="L607" s="28"/>
      <c r="M607" s="28"/>
      <c r="N607" s="28"/>
      <c r="O607" s="28"/>
      <c r="P607" s="28"/>
      <c r="Q607" s="144"/>
      <c r="R607" s="144"/>
      <c r="S607" s="144"/>
      <c r="T607" s="145"/>
      <c r="U607" s="28"/>
      <c r="V607" s="30"/>
      <c r="W607" s="28"/>
      <c r="X607" s="28"/>
      <c r="Y607" s="28"/>
      <c r="Z607" s="28"/>
    </row>
    <row r="608" ht="13.5" customHeight="1">
      <c r="A608" s="28"/>
      <c r="B608" s="28"/>
      <c r="C608" s="28"/>
      <c r="D608" s="28"/>
      <c r="E608" s="28"/>
      <c r="F608" s="28"/>
      <c r="G608" s="28"/>
      <c r="H608" s="28"/>
      <c r="I608" s="28"/>
      <c r="J608" s="143"/>
      <c r="K608" s="28"/>
      <c r="L608" s="28"/>
      <c r="M608" s="28"/>
      <c r="N608" s="28"/>
      <c r="O608" s="28"/>
      <c r="P608" s="28"/>
      <c r="Q608" s="144"/>
      <c r="R608" s="144"/>
      <c r="S608" s="144"/>
      <c r="T608" s="145"/>
      <c r="U608" s="28"/>
      <c r="V608" s="30"/>
      <c r="W608" s="28"/>
      <c r="X608" s="28"/>
      <c r="Y608" s="28"/>
      <c r="Z608" s="28"/>
    </row>
    <row r="609" ht="13.5" customHeight="1">
      <c r="A609" s="28"/>
      <c r="B609" s="28"/>
      <c r="C609" s="28"/>
      <c r="D609" s="28"/>
      <c r="E609" s="28"/>
      <c r="F609" s="28"/>
      <c r="G609" s="28"/>
      <c r="H609" s="28"/>
      <c r="I609" s="28"/>
      <c r="J609" s="143"/>
      <c r="K609" s="28"/>
      <c r="L609" s="28"/>
      <c r="M609" s="28"/>
      <c r="N609" s="28"/>
      <c r="O609" s="28"/>
      <c r="P609" s="28"/>
      <c r="Q609" s="144"/>
      <c r="R609" s="144"/>
      <c r="S609" s="144"/>
      <c r="T609" s="145"/>
      <c r="U609" s="28"/>
      <c r="V609" s="30"/>
      <c r="W609" s="28"/>
      <c r="X609" s="28"/>
      <c r="Y609" s="28"/>
      <c r="Z609" s="28"/>
    </row>
    <row r="610" ht="13.5" customHeight="1">
      <c r="A610" s="28"/>
      <c r="B610" s="28"/>
      <c r="C610" s="28"/>
      <c r="D610" s="28"/>
      <c r="E610" s="28"/>
      <c r="F610" s="28"/>
      <c r="G610" s="28"/>
      <c r="H610" s="28"/>
      <c r="I610" s="28"/>
      <c r="J610" s="143"/>
      <c r="K610" s="28"/>
      <c r="L610" s="28"/>
      <c r="M610" s="28"/>
      <c r="N610" s="28"/>
      <c r="O610" s="28"/>
      <c r="P610" s="28"/>
      <c r="Q610" s="144"/>
      <c r="R610" s="144"/>
      <c r="S610" s="144"/>
      <c r="T610" s="145"/>
      <c r="U610" s="28"/>
      <c r="V610" s="30"/>
      <c r="W610" s="28"/>
      <c r="X610" s="28"/>
      <c r="Y610" s="28"/>
      <c r="Z610" s="28"/>
    </row>
    <row r="611" ht="13.5" customHeight="1">
      <c r="A611" s="28"/>
      <c r="B611" s="28"/>
      <c r="C611" s="28"/>
      <c r="D611" s="28"/>
      <c r="E611" s="28"/>
      <c r="F611" s="28"/>
      <c r="G611" s="28"/>
      <c r="H611" s="28"/>
      <c r="I611" s="28"/>
      <c r="J611" s="143"/>
      <c r="K611" s="28"/>
      <c r="L611" s="28"/>
      <c r="M611" s="28"/>
      <c r="N611" s="28"/>
      <c r="O611" s="28"/>
      <c r="P611" s="28"/>
      <c r="Q611" s="144"/>
      <c r="R611" s="144"/>
      <c r="S611" s="144"/>
      <c r="T611" s="145"/>
      <c r="U611" s="28"/>
      <c r="V611" s="30"/>
      <c r="W611" s="28"/>
      <c r="X611" s="28"/>
      <c r="Y611" s="28"/>
      <c r="Z611" s="28"/>
    </row>
    <row r="612" ht="13.5" customHeight="1">
      <c r="A612" s="28"/>
      <c r="B612" s="28"/>
      <c r="C612" s="28"/>
      <c r="D612" s="28"/>
      <c r="E612" s="28"/>
      <c r="F612" s="28"/>
      <c r="G612" s="28"/>
      <c r="H612" s="28"/>
      <c r="I612" s="28"/>
      <c r="J612" s="143"/>
      <c r="K612" s="28"/>
      <c r="L612" s="28"/>
      <c r="M612" s="28"/>
      <c r="N612" s="28"/>
      <c r="O612" s="28"/>
      <c r="P612" s="28"/>
      <c r="Q612" s="144"/>
      <c r="R612" s="144"/>
      <c r="S612" s="144"/>
      <c r="T612" s="145"/>
      <c r="U612" s="28"/>
      <c r="V612" s="30"/>
      <c r="W612" s="28"/>
      <c r="X612" s="28"/>
      <c r="Y612" s="28"/>
      <c r="Z612" s="28"/>
    </row>
    <row r="613" ht="13.5" customHeight="1">
      <c r="A613" s="28"/>
      <c r="B613" s="28"/>
      <c r="C613" s="28"/>
      <c r="D613" s="28"/>
      <c r="E613" s="28"/>
      <c r="F613" s="28"/>
      <c r="G613" s="28"/>
      <c r="H613" s="28"/>
      <c r="I613" s="28"/>
      <c r="J613" s="143"/>
      <c r="K613" s="28"/>
      <c r="L613" s="28"/>
      <c r="M613" s="28"/>
      <c r="N613" s="28"/>
      <c r="O613" s="28"/>
      <c r="P613" s="28"/>
      <c r="Q613" s="144"/>
      <c r="R613" s="144"/>
      <c r="S613" s="144"/>
      <c r="T613" s="145"/>
      <c r="U613" s="28"/>
      <c r="V613" s="30"/>
      <c r="W613" s="28"/>
      <c r="X613" s="28"/>
      <c r="Y613" s="28"/>
      <c r="Z613" s="28"/>
    </row>
    <row r="614" ht="13.5" customHeight="1">
      <c r="A614" s="28"/>
      <c r="B614" s="28"/>
      <c r="C614" s="28"/>
      <c r="D614" s="28"/>
      <c r="E614" s="28"/>
      <c r="F614" s="28"/>
      <c r="G614" s="28"/>
      <c r="H614" s="28"/>
      <c r="I614" s="28"/>
      <c r="J614" s="143"/>
      <c r="K614" s="28"/>
      <c r="L614" s="28"/>
      <c r="M614" s="28"/>
      <c r="N614" s="28"/>
      <c r="O614" s="28"/>
      <c r="P614" s="28"/>
      <c r="Q614" s="144"/>
      <c r="R614" s="144"/>
      <c r="S614" s="144"/>
      <c r="T614" s="145"/>
      <c r="U614" s="28"/>
      <c r="V614" s="30"/>
      <c r="W614" s="28"/>
      <c r="X614" s="28"/>
      <c r="Y614" s="28"/>
      <c r="Z614" s="28"/>
    </row>
    <row r="615" ht="13.5" customHeight="1">
      <c r="A615" s="28"/>
      <c r="B615" s="28"/>
      <c r="C615" s="28"/>
      <c r="D615" s="28"/>
      <c r="E615" s="28"/>
      <c r="F615" s="28"/>
      <c r="G615" s="28"/>
      <c r="H615" s="28"/>
      <c r="I615" s="28"/>
      <c r="J615" s="143"/>
      <c r="K615" s="28"/>
      <c r="L615" s="28"/>
      <c r="M615" s="28"/>
      <c r="N615" s="28"/>
      <c r="O615" s="28"/>
      <c r="P615" s="28"/>
      <c r="Q615" s="144"/>
      <c r="R615" s="144"/>
      <c r="S615" s="144"/>
      <c r="T615" s="145"/>
      <c r="U615" s="28"/>
      <c r="V615" s="30"/>
      <c r="W615" s="28"/>
      <c r="X615" s="28"/>
      <c r="Y615" s="28"/>
      <c r="Z615" s="28"/>
    </row>
    <row r="616" ht="13.5" customHeight="1">
      <c r="A616" s="28"/>
      <c r="B616" s="28"/>
      <c r="C616" s="28"/>
      <c r="D616" s="28"/>
      <c r="E616" s="28"/>
      <c r="F616" s="28"/>
      <c r="G616" s="28"/>
      <c r="H616" s="28"/>
      <c r="I616" s="28"/>
      <c r="J616" s="143"/>
      <c r="K616" s="28"/>
      <c r="L616" s="28"/>
      <c r="M616" s="28"/>
      <c r="N616" s="28"/>
      <c r="O616" s="28"/>
      <c r="P616" s="28"/>
      <c r="Q616" s="144"/>
      <c r="R616" s="144"/>
      <c r="S616" s="144"/>
      <c r="T616" s="145"/>
      <c r="U616" s="28"/>
      <c r="V616" s="30"/>
      <c r="W616" s="28"/>
      <c r="X616" s="28"/>
      <c r="Y616" s="28"/>
      <c r="Z616" s="28"/>
    </row>
    <row r="617" ht="13.5" customHeight="1">
      <c r="A617" s="28"/>
      <c r="B617" s="28"/>
      <c r="C617" s="28"/>
      <c r="D617" s="28"/>
      <c r="E617" s="28"/>
      <c r="F617" s="28"/>
      <c r="G617" s="28"/>
      <c r="H617" s="28"/>
      <c r="I617" s="28"/>
      <c r="J617" s="143"/>
      <c r="K617" s="28"/>
      <c r="L617" s="28"/>
      <c r="M617" s="28"/>
      <c r="N617" s="28"/>
      <c r="O617" s="28"/>
      <c r="P617" s="28"/>
      <c r="Q617" s="144"/>
      <c r="R617" s="144"/>
      <c r="S617" s="144"/>
      <c r="T617" s="145"/>
      <c r="U617" s="28"/>
      <c r="V617" s="30"/>
      <c r="W617" s="28"/>
      <c r="X617" s="28"/>
      <c r="Y617" s="28"/>
      <c r="Z617" s="28"/>
    </row>
    <row r="618" ht="13.5" customHeight="1">
      <c r="A618" s="28"/>
      <c r="B618" s="28"/>
      <c r="C618" s="28"/>
      <c r="D618" s="28"/>
      <c r="E618" s="28"/>
      <c r="F618" s="28"/>
      <c r="G618" s="28"/>
      <c r="H618" s="28"/>
      <c r="I618" s="28"/>
      <c r="J618" s="143"/>
      <c r="K618" s="28"/>
      <c r="L618" s="28"/>
      <c r="M618" s="28"/>
      <c r="N618" s="28"/>
      <c r="O618" s="28"/>
      <c r="P618" s="28"/>
      <c r="Q618" s="144"/>
      <c r="R618" s="144"/>
      <c r="S618" s="144"/>
      <c r="T618" s="145"/>
      <c r="U618" s="28"/>
      <c r="V618" s="30"/>
      <c r="W618" s="28"/>
      <c r="X618" s="28"/>
      <c r="Y618" s="28"/>
      <c r="Z618" s="28"/>
    </row>
    <row r="619" ht="13.5" customHeight="1">
      <c r="A619" s="28"/>
      <c r="B619" s="28"/>
      <c r="C619" s="28"/>
      <c r="D619" s="28"/>
      <c r="E619" s="28"/>
      <c r="F619" s="28"/>
      <c r="G619" s="28"/>
      <c r="H619" s="28"/>
      <c r="I619" s="28"/>
      <c r="J619" s="143"/>
      <c r="K619" s="28"/>
      <c r="L619" s="28"/>
      <c r="M619" s="28"/>
      <c r="N619" s="28"/>
      <c r="O619" s="28"/>
      <c r="P619" s="28"/>
      <c r="Q619" s="144"/>
      <c r="R619" s="144"/>
      <c r="S619" s="144"/>
      <c r="T619" s="145"/>
      <c r="U619" s="28"/>
      <c r="V619" s="30"/>
      <c r="W619" s="28"/>
      <c r="X619" s="28"/>
      <c r="Y619" s="28"/>
      <c r="Z619" s="28"/>
    </row>
    <row r="620" ht="13.5" customHeight="1">
      <c r="A620" s="28"/>
      <c r="B620" s="28"/>
      <c r="C620" s="28"/>
      <c r="D620" s="28"/>
      <c r="E620" s="28"/>
      <c r="F620" s="28"/>
      <c r="G620" s="28"/>
      <c r="H620" s="28"/>
      <c r="I620" s="28"/>
      <c r="J620" s="143"/>
      <c r="K620" s="28"/>
      <c r="L620" s="28"/>
      <c r="M620" s="28"/>
      <c r="N620" s="28"/>
      <c r="O620" s="28"/>
      <c r="P620" s="28"/>
      <c r="Q620" s="144"/>
      <c r="R620" s="144"/>
      <c r="S620" s="144"/>
      <c r="T620" s="145"/>
      <c r="U620" s="28"/>
      <c r="V620" s="30"/>
      <c r="W620" s="28"/>
      <c r="X620" s="28"/>
      <c r="Y620" s="28"/>
      <c r="Z620" s="28"/>
    </row>
    <row r="621" ht="13.5" customHeight="1">
      <c r="A621" s="28"/>
      <c r="B621" s="28"/>
      <c r="C621" s="28"/>
      <c r="D621" s="28"/>
      <c r="E621" s="28"/>
      <c r="F621" s="28"/>
      <c r="G621" s="28"/>
      <c r="H621" s="28"/>
      <c r="I621" s="28"/>
      <c r="J621" s="143"/>
      <c r="K621" s="28"/>
      <c r="L621" s="28"/>
      <c r="M621" s="28"/>
      <c r="N621" s="28"/>
      <c r="O621" s="28"/>
      <c r="P621" s="28"/>
      <c r="Q621" s="144"/>
      <c r="R621" s="144"/>
      <c r="S621" s="144"/>
      <c r="T621" s="145"/>
      <c r="U621" s="28"/>
      <c r="V621" s="30"/>
      <c r="W621" s="28"/>
      <c r="X621" s="28"/>
      <c r="Y621" s="28"/>
      <c r="Z621" s="28"/>
    </row>
    <row r="622" ht="13.5" customHeight="1">
      <c r="A622" s="28"/>
      <c r="B622" s="28"/>
      <c r="C622" s="28"/>
      <c r="D622" s="28"/>
      <c r="E622" s="28"/>
      <c r="F622" s="28"/>
      <c r="G622" s="28"/>
      <c r="H622" s="28"/>
      <c r="I622" s="28"/>
      <c r="J622" s="143"/>
      <c r="K622" s="28"/>
      <c r="L622" s="28"/>
      <c r="M622" s="28"/>
      <c r="N622" s="28"/>
      <c r="O622" s="28"/>
      <c r="P622" s="28"/>
      <c r="Q622" s="144"/>
      <c r="R622" s="144"/>
      <c r="S622" s="144"/>
      <c r="T622" s="145"/>
      <c r="U622" s="28"/>
      <c r="V622" s="30"/>
      <c r="W622" s="28"/>
      <c r="X622" s="28"/>
      <c r="Y622" s="28"/>
      <c r="Z622" s="28"/>
    </row>
    <row r="623" ht="13.5" customHeight="1">
      <c r="A623" s="28"/>
      <c r="B623" s="28"/>
      <c r="C623" s="28"/>
      <c r="D623" s="28"/>
      <c r="E623" s="28"/>
      <c r="F623" s="28"/>
      <c r="G623" s="28"/>
      <c r="H623" s="28"/>
      <c r="I623" s="28"/>
      <c r="J623" s="143"/>
      <c r="K623" s="28"/>
      <c r="L623" s="28"/>
      <c r="M623" s="28"/>
      <c r="N623" s="28"/>
      <c r="O623" s="28"/>
      <c r="P623" s="28"/>
      <c r="Q623" s="144"/>
      <c r="R623" s="144"/>
      <c r="S623" s="144"/>
      <c r="T623" s="145"/>
      <c r="U623" s="28"/>
      <c r="V623" s="30"/>
      <c r="W623" s="28"/>
      <c r="X623" s="28"/>
      <c r="Y623" s="28"/>
      <c r="Z623" s="28"/>
    </row>
    <row r="624" ht="13.5" customHeight="1">
      <c r="A624" s="28"/>
      <c r="B624" s="28"/>
      <c r="C624" s="28"/>
      <c r="D624" s="28"/>
      <c r="E624" s="28"/>
      <c r="F624" s="28"/>
      <c r="G624" s="28"/>
      <c r="H624" s="28"/>
      <c r="I624" s="28"/>
      <c r="J624" s="143"/>
      <c r="K624" s="28"/>
      <c r="L624" s="28"/>
      <c r="M624" s="28"/>
      <c r="N624" s="28"/>
      <c r="O624" s="28"/>
      <c r="P624" s="28"/>
      <c r="Q624" s="144"/>
      <c r="R624" s="144"/>
      <c r="S624" s="144"/>
      <c r="T624" s="145"/>
      <c r="U624" s="28"/>
      <c r="V624" s="30"/>
      <c r="W624" s="28"/>
      <c r="X624" s="28"/>
      <c r="Y624" s="28"/>
      <c r="Z624" s="28"/>
    </row>
    <row r="625" ht="13.5" customHeight="1">
      <c r="A625" s="28"/>
      <c r="B625" s="28"/>
      <c r="C625" s="28"/>
      <c r="D625" s="28"/>
      <c r="E625" s="28"/>
      <c r="F625" s="28"/>
      <c r="G625" s="28"/>
      <c r="H625" s="28"/>
      <c r="I625" s="28"/>
      <c r="J625" s="143"/>
      <c r="K625" s="28"/>
      <c r="L625" s="28"/>
      <c r="M625" s="28"/>
      <c r="N625" s="28"/>
      <c r="O625" s="28"/>
      <c r="P625" s="28"/>
      <c r="Q625" s="144"/>
      <c r="R625" s="144"/>
      <c r="S625" s="144"/>
      <c r="T625" s="145"/>
      <c r="U625" s="28"/>
      <c r="V625" s="30"/>
      <c r="W625" s="28"/>
      <c r="X625" s="28"/>
      <c r="Y625" s="28"/>
      <c r="Z625" s="28"/>
    </row>
    <row r="626" ht="13.5" customHeight="1">
      <c r="A626" s="28"/>
      <c r="B626" s="28"/>
      <c r="C626" s="28"/>
      <c r="D626" s="28"/>
      <c r="E626" s="28"/>
      <c r="F626" s="28"/>
      <c r="G626" s="28"/>
      <c r="H626" s="28"/>
      <c r="I626" s="28"/>
      <c r="J626" s="143"/>
      <c r="K626" s="28"/>
      <c r="L626" s="28"/>
      <c r="M626" s="28"/>
      <c r="N626" s="28"/>
      <c r="O626" s="28"/>
      <c r="P626" s="28"/>
      <c r="Q626" s="144"/>
      <c r="R626" s="144"/>
      <c r="S626" s="144"/>
      <c r="T626" s="145"/>
      <c r="U626" s="28"/>
      <c r="V626" s="30"/>
      <c r="W626" s="28"/>
      <c r="X626" s="28"/>
      <c r="Y626" s="28"/>
      <c r="Z626" s="28"/>
    </row>
    <row r="627" ht="13.5" customHeight="1">
      <c r="A627" s="28"/>
      <c r="B627" s="28"/>
      <c r="C627" s="28"/>
      <c r="D627" s="28"/>
      <c r="E627" s="28"/>
      <c r="F627" s="28"/>
      <c r="G627" s="28"/>
      <c r="H627" s="28"/>
      <c r="I627" s="28"/>
      <c r="J627" s="143"/>
      <c r="K627" s="28"/>
      <c r="L627" s="28"/>
      <c r="M627" s="28"/>
      <c r="N627" s="28"/>
      <c r="O627" s="28"/>
      <c r="P627" s="28"/>
      <c r="Q627" s="144"/>
      <c r="R627" s="144"/>
      <c r="S627" s="144"/>
      <c r="T627" s="145"/>
      <c r="U627" s="28"/>
      <c r="V627" s="30"/>
      <c r="W627" s="28"/>
      <c r="X627" s="28"/>
      <c r="Y627" s="28"/>
      <c r="Z627" s="28"/>
    </row>
    <row r="628" ht="13.5" customHeight="1">
      <c r="A628" s="28"/>
      <c r="B628" s="28"/>
      <c r="C628" s="28"/>
      <c r="D628" s="28"/>
      <c r="E628" s="28"/>
      <c r="F628" s="28"/>
      <c r="G628" s="28"/>
      <c r="H628" s="28"/>
      <c r="I628" s="28"/>
      <c r="J628" s="143"/>
      <c r="K628" s="28"/>
      <c r="L628" s="28"/>
      <c r="M628" s="28"/>
      <c r="N628" s="28"/>
      <c r="O628" s="28"/>
      <c r="P628" s="28"/>
      <c r="Q628" s="144"/>
      <c r="R628" s="144"/>
      <c r="S628" s="144"/>
      <c r="T628" s="145"/>
      <c r="U628" s="28"/>
      <c r="V628" s="30"/>
      <c r="W628" s="28"/>
      <c r="X628" s="28"/>
      <c r="Y628" s="28"/>
      <c r="Z628" s="28"/>
    </row>
    <row r="629" ht="13.5" customHeight="1">
      <c r="A629" s="28"/>
      <c r="B629" s="28"/>
      <c r="C629" s="28"/>
      <c r="D629" s="28"/>
      <c r="E629" s="28"/>
      <c r="F629" s="28"/>
      <c r="G629" s="28"/>
      <c r="H629" s="28"/>
      <c r="I629" s="28"/>
      <c r="J629" s="143"/>
      <c r="K629" s="28"/>
      <c r="L629" s="28"/>
      <c r="M629" s="28"/>
      <c r="N629" s="28"/>
      <c r="O629" s="28"/>
      <c r="P629" s="28"/>
      <c r="Q629" s="144"/>
      <c r="R629" s="144"/>
      <c r="S629" s="144"/>
      <c r="T629" s="145"/>
      <c r="U629" s="28"/>
      <c r="V629" s="30"/>
      <c r="W629" s="28"/>
      <c r="X629" s="28"/>
      <c r="Y629" s="28"/>
      <c r="Z629" s="28"/>
    </row>
    <row r="630" ht="13.5" customHeight="1">
      <c r="A630" s="28"/>
      <c r="B630" s="28"/>
      <c r="C630" s="28"/>
      <c r="D630" s="28"/>
      <c r="E630" s="28"/>
      <c r="F630" s="28"/>
      <c r="G630" s="28"/>
      <c r="H630" s="28"/>
      <c r="I630" s="28"/>
      <c r="J630" s="143"/>
      <c r="K630" s="28"/>
      <c r="L630" s="28"/>
      <c r="M630" s="28"/>
      <c r="N630" s="28"/>
      <c r="O630" s="28"/>
      <c r="P630" s="28"/>
      <c r="Q630" s="144"/>
      <c r="R630" s="144"/>
      <c r="S630" s="144"/>
      <c r="T630" s="145"/>
      <c r="U630" s="28"/>
      <c r="V630" s="30"/>
      <c r="W630" s="28"/>
      <c r="X630" s="28"/>
      <c r="Y630" s="28"/>
      <c r="Z630" s="28"/>
    </row>
    <row r="631" ht="13.5" customHeight="1">
      <c r="A631" s="28"/>
      <c r="B631" s="28"/>
      <c r="C631" s="28"/>
      <c r="D631" s="28"/>
      <c r="E631" s="28"/>
      <c r="F631" s="28"/>
      <c r="G631" s="28"/>
      <c r="H631" s="28"/>
      <c r="I631" s="28"/>
      <c r="J631" s="143"/>
      <c r="K631" s="28"/>
      <c r="L631" s="28"/>
      <c r="M631" s="28"/>
      <c r="N631" s="28"/>
      <c r="O631" s="28"/>
      <c r="P631" s="28"/>
      <c r="Q631" s="144"/>
      <c r="R631" s="144"/>
      <c r="S631" s="144"/>
      <c r="T631" s="145"/>
      <c r="U631" s="28"/>
      <c r="V631" s="30"/>
      <c r="W631" s="28"/>
      <c r="X631" s="28"/>
      <c r="Y631" s="28"/>
      <c r="Z631" s="28"/>
    </row>
    <row r="632" ht="13.5" customHeight="1">
      <c r="A632" s="28"/>
      <c r="B632" s="28"/>
      <c r="C632" s="28"/>
      <c r="D632" s="28"/>
      <c r="E632" s="28"/>
      <c r="F632" s="28"/>
      <c r="G632" s="28"/>
      <c r="H632" s="28"/>
      <c r="I632" s="28"/>
      <c r="J632" s="143"/>
      <c r="K632" s="28"/>
      <c r="L632" s="28"/>
      <c r="M632" s="28"/>
      <c r="N632" s="28"/>
      <c r="O632" s="28"/>
      <c r="P632" s="28"/>
      <c r="Q632" s="144"/>
      <c r="R632" s="144"/>
      <c r="S632" s="144"/>
      <c r="T632" s="145"/>
      <c r="U632" s="28"/>
      <c r="V632" s="30"/>
      <c r="W632" s="28"/>
      <c r="X632" s="28"/>
      <c r="Y632" s="28"/>
      <c r="Z632" s="28"/>
    </row>
    <row r="633" ht="13.5" customHeight="1">
      <c r="A633" s="28"/>
      <c r="B633" s="28"/>
      <c r="C633" s="28"/>
      <c r="D633" s="28"/>
      <c r="E633" s="28"/>
      <c r="F633" s="28"/>
      <c r="G633" s="28"/>
      <c r="H633" s="28"/>
      <c r="I633" s="28"/>
      <c r="J633" s="143"/>
      <c r="K633" s="28"/>
      <c r="L633" s="28"/>
      <c r="M633" s="28"/>
      <c r="N633" s="28"/>
      <c r="O633" s="28"/>
      <c r="P633" s="28"/>
      <c r="Q633" s="144"/>
      <c r="R633" s="144"/>
      <c r="S633" s="144"/>
      <c r="T633" s="145"/>
      <c r="U633" s="28"/>
      <c r="V633" s="30"/>
      <c r="W633" s="28"/>
      <c r="X633" s="28"/>
      <c r="Y633" s="28"/>
      <c r="Z633" s="28"/>
    </row>
    <row r="634" ht="13.5" customHeight="1">
      <c r="A634" s="28"/>
      <c r="B634" s="28"/>
      <c r="C634" s="28"/>
      <c r="D634" s="28"/>
      <c r="E634" s="28"/>
      <c r="F634" s="28"/>
      <c r="G634" s="28"/>
      <c r="H634" s="28"/>
      <c r="I634" s="28"/>
      <c r="J634" s="143"/>
      <c r="K634" s="28"/>
      <c r="L634" s="28"/>
      <c r="M634" s="28"/>
      <c r="N634" s="28"/>
      <c r="O634" s="28"/>
      <c r="P634" s="28"/>
      <c r="Q634" s="144"/>
      <c r="R634" s="144"/>
      <c r="S634" s="144"/>
      <c r="T634" s="145"/>
      <c r="U634" s="28"/>
      <c r="V634" s="30"/>
      <c r="W634" s="28"/>
      <c r="X634" s="28"/>
      <c r="Y634" s="28"/>
      <c r="Z634" s="28"/>
    </row>
    <row r="635" ht="13.5" customHeight="1">
      <c r="A635" s="28"/>
      <c r="B635" s="28"/>
      <c r="C635" s="28"/>
      <c r="D635" s="28"/>
      <c r="E635" s="28"/>
      <c r="F635" s="28"/>
      <c r="G635" s="28"/>
      <c r="H635" s="28"/>
      <c r="I635" s="28"/>
      <c r="J635" s="143"/>
      <c r="K635" s="28"/>
      <c r="L635" s="28"/>
      <c r="M635" s="28"/>
      <c r="N635" s="28"/>
      <c r="O635" s="28"/>
      <c r="P635" s="28"/>
      <c r="Q635" s="144"/>
      <c r="R635" s="144"/>
      <c r="S635" s="144"/>
      <c r="T635" s="145"/>
      <c r="U635" s="28"/>
      <c r="V635" s="30"/>
      <c r="W635" s="28"/>
      <c r="X635" s="28"/>
      <c r="Y635" s="28"/>
      <c r="Z635" s="28"/>
    </row>
    <row r="636" ht="13.5" customHeight="1">
      <c r="A636" s="28"/>
      <c r="B636" s="28"/>
      <c r="C636" s="28"/>
      <c r="D636" s="28"/>
      <c r="E636" s="28"/>
      <c r="F636" s="28"/>
      <c r="G636" s="28"/>
      <c r="H636" s="28"/>
      <c r="I636" s="28"/>
      <c r="J636" s="143"/>
      <c r="K636" s="28"/>
      <c r="L636" s="28"/>
      <c r="M636" s="28"/>
      <c r="N636" s="28"/>
      <c r="O636" s="28"/>
      <c r="P636" s="28"/>
      <c r="Q636" s="144"/>
      <c r="R636" s="144"/>
      <c r="S636" s="144"/>
      <c r="T636" s="145"/>
      <c r="U636" s="28"/>
      <c r="V636" s="30"/>
      <c r="W636" s="28"/>
      <c r="X636" s="28"/>
      <c r="Y636" s="28"/>
      <c r="Z636" s="28"/>
    </row>
    <row r="637" ht="13.5" customHeight="1">
      <c r="A637" s="28"/>
      <c r="B637" s="28"/>
      <c r="C637" s="28"/>
      <c r="D637" s="28"/>
      <c r="E637" s="28"/>
      <c r="F637" s="28"/>
      <c r="G637" s="28"/>
      <c r="H637" s="28"/>
      <c r="I637" s="28"/>
      <c r="J637" s="143"/>
      <c r="K637" s="28"/>
      <c r="L637" s="28"/>
      <c r="M637" s="28"/>
      <c r="N637" s="28"/>
      <c r="O637" s="28"/>
      <c r="P637" s="28"/>
      <c r="Q637" s="144"/>
      <c r="R637" s="144"/>
      <c r="S637" s="144"/>
      <c r="T637" s="145"/>
      <c r="U637" s="28"/>
      <c r="V637" s="30"/>
      <c r="W637" s="28"/>
      <c r="X637" s="28"/>
      <c r="Y637" s="28"/>
      <c r="Z637" s="28"/>
    </row>
    <row r="638" ht="13.5" customHeight="1">
      <c r="A638" s="28"/>
      <c r="B638" s="28"/>
      <c r="C638" s="28"/>
      <c r="D638" s="28"/>
      <c r="E638" s="28"/>
      <c r="F638" s="28"/>
      <c r="G638" s="28"/>
      <c r="H638" s="28"/>
      <c r="I638" s="28"/>
      <c r="J638" s="143"/>
      <c r="K638" s="28"/>
      <c r="L638" s="28"/>
      <c r="M638" s="28"/>
      <c r="N638" s="28"/>
      <c r="O638" s="28"/>
      <c r="P638" s="28"/>
      <c r="Q638" s="144"/>
      <c r="R638" s="144"/>
      <c r="S638" s="144"/>
      <c r="T638" s="145"/>
      <c r="U638" s="28"/>
      <c r="V638" s="30"/>
      <c r="W638" s="28"/>
      <c r="X638" s="28"/>
      <c r="Y638" s="28"/>
      <c r="Z638" s="28"/>
    </row>
    <row r="639" ht="13.5" customHeight="1">
      <c r="A639" s="28"/>
      <c r="B639" s="28"/>
      <c r="C639" s="28"/>
      <c r="D639" s="28"/>
      <c r="E639" s="28"/>
      <c r="F639" s="28"/>
      <c r="G639" s="28"/>
      <c r="H639" s="28"/>
      <c r="I639" s="28"/>
      <c r="J639" s="143"/>
      <c r="K639" s="28"/>
      <c r="L639" s="28"/>
      <c r="M639" s="28"/>
      <c r="N639" s="28"/>
      <c r="O639" s="28"/>
      <c r="P639" s="28"/>
      <c r="Q639" s="144"/>
      <c r="R639" s="144"/>
      <c r="S639" s="144"/>
      <c r="T639" s="145"/>
      <c r="U639" s="28"/>
      <c r="V639" s="30"/>
      <c r="W639" s="28"/>
      <c r="X639" s="28"/>
      <c r="Y639" s="28"/>
      <c r="Z639" s="28"/>
    </row>
    <row r="640" ht="13.5" customHeight="1">
      <c r="A640" s="28"/>
      <c r="B640" s="28"/>
      <c r="C640" s="28"/>
      <c r="D640" s="28"/>
      <c r="E640" s="28"/>
      <c r="F640" s="28"/>
      <c r="G640" s="28"/>
      <c r="H640" s="28"/>
      <c r="I640" s="28"/>
      <c r="J640" s="143"/>
      <c r="K640" s="28"/>
      <c r="L640" s="28"/>
      <c r="M640" s="28"/>
      <c r="N640" s="28"/>
      <c r="O640" s="28"/>
      <c r="P640" s="28"/>
      <c r="Q640" s="144"/>
      <c r="R640" s="144"/>
      <c r="S640" s="144"/>
      <c r="T640" s="145"/>
      <c r="U640" s="28"/>
      <c r="V640" s="30"/>
      <c r="W640" s="28"/>
      <c r="X640" s="28"/>
      <c r="Y640" s="28"/>
      <c r="Z640" s="28"/>
    </row>
    <row r="641" ht="13.5" customHeight="1">
      <c r="A641" s="28"/>
      <c r="B641" s="28"/>
      <c r="C641" s="28"/>
      <c r="D641" s="28"/>
      <c r="E641" s="28"/>
      <c r="F641" s="28"/>
      <c r="G641" s="28"/>
      <c r="H641" s="28"/>
      <c r="I641" s="28"/>
      <c r="J641" s="143"/>
      <c r="K641" s="28"/>
      <c r="L641" s="28"/>
      <c r="M641" s="28"/>
      <c r="N641" s="28"/>
      <c r="O641" s="28"/>
      <c r="P641" s="28"/>
      <c r="Q641" s="144"/>
      <c r="R641" s="144"/>
      <c r="S641" s="144"/>
      <c r="T641" s="145"/>
      <c r="U641" s="28"/>
      <c r="V641" s="30"/>
      <c r="W641" s="28"/>
      <c r="X641" s="28"/>
      <c r="Y641" s="28"/>
      <c r="Z641" s="28"/>
    </row>
    <row r="642" ht="13.5" customHeight="1">
      <c r="A642" s="28"/>
      <c r="B642" s="28"/>
      <c r="C642" s="28"/>
      <c r="D642" s="28"/>
      <c r="E642" s="28"/>
      <c r="F642" s="28"/>
      <c r="G642" s="28"/>
      <c r="H642" s="28"/>
      <c r="I642" s="28"/>
      <c r="J642" s="143"/>
      <c r="K642" s="28"/>
      <c r="L642" s="28"/>
      <c r="M642" s="28"/>
      <c r="N642" s="28"/>
      <c r="O642" s="28"/>
      <c r="P642" s="28"/>
      <c r="Q642" s="144"/>
      <c r="R642" s="144"/>
      <c r="S642" s="144"/>
      <c r="T642" s="145"/>
      <c r="U642" s="28"/>
      <c r="V642" s="30"/>
      <c r="W642" s="28"/>
      <c r="X642" s="28"/>
      <c r="Y642" s="28"/>
      <c r="Z642" s="28"/>
    </row>
    <row r="643" ht="13.5" customHeight="1">
      <c r="A643" s="28"/>
      <c r="B643" s="28"/>
      <c r="C643" s="28"/>
      <c r="D643" s="28"/>
      <c r="E643" s="28"/>
      <c r="F643" s="28"/>
      <c r="G643" s="28"/>
      <c r="H643" s="28"/>
      <c r="I643" s="28"/>
      <c r="J643" s="143"/>
      <c r="K643" s="28"/>
      <c r="L643" s="28"/>
      <c r="M643" s="28"/>
      <c r="N643" s="28"/>
      <c r="O643" s="28"/>
      <c r="P643" s="28"/>
      <c r="Q643" s="144"/>
      <c r="R643" s="144"/>
      <c r="S643" s="144"/>
      <c r="T643" s="145"/>
      <c r="U643" s="28"/>
      <c r="V643" s="30"/>
      <c r="W643" s="28"/>
      <c r="X643" s="28"/>
      <c r="Y643" s="28"/>
      <c r="Z643" s="28"/>
    </row>
    <row r="644" ht="13.5" customHeight="1">
      <c r="A644" s="28"/>
      <c r="B644" s="28"/>
      <c r="C644" s="28"/>
      <c r="D644" s="28"/>
      <c r="E644" s="28"/>
      <c r="F644" s="28"/>
      <c r="G644" s="28"/>
      <c r="H644" s="28"/>
      <c r="I644" s="28"/>
      <c r="J644" s="143"/>
      <c r="K644" s="28"/>
      <c r="L644" s="28"/>
      <c r="M644" s="28"/>
      <c r="N644" s="28"/>
      <c r="O644" s="28"/>
      <c r="P644" s="28"/>
      <c r="Q644" s="144"/>
      <c r="R644" s="144"/>
      <c r="S644" s="144"/>
      <c r="T644" s="145"/>
      <c r="U644" s="28"/>
      <c r="V644" s="30"/>
      <c r="W644" s="28"/>
      <c r="X644" s="28"/>
      <c r="Y644" s="28"/>
      <c r="Z644" s="28"/>
    </row>
    <row r="645" ht="13.5" customHeight="1">
      <c r="A645" s="28"/>
      <c r="B645" s="28"/>
      <c r="C645" s="28"/>
      <c r="D645" s="28"/>
      <c r="E645" s="28"/>
      <c r="F645" s="28"/>
      <c r="G645" s="28"/>
      <c r="H645" s="28"/>
      <c r="I645" s="28"/>
      <c r="J645" s="143"/>
      <c r="K645" s="28"/>
      <c r="L645" s="28"/>
      <c r="M645" s="28"/>
      <c r="N645" s="28"/>
      <c r="O645" s="28"/>
      <c r="P645" s="28"/>
      <c r="Q645" s="144"/>
      <c r="R645" s="144"/>
      <c r="S645" s="144"/>
      <c r="T645" s="145"/>
      <c r="U645" s="28"/>
      <c r="V645" s="30"/>
      <c r="W645" s="28"/>
      <c r="X645" s="28"/>
      <c r="Y645" s="28"/>
      <c r="Z645" s="28"/>
    </row>
    <row r="646" ht="13.5" customHeight="1">
      <c r="A646" s="28"/>
      <c r="B646" s="28"/>
      <c r="C646" s="28"/>
      <c r="D646" s="28"/>
      <c r="E646" s="28"/>
      <c r="F646" s="28"/>
      <c r="G646" s="28"/>
      <c r="H646" s="28"/>
      <c r="I646" s="28"/>
      <c r="J646" s="143"/>
      <c r="K646" s="28"/>
      <c r="L646" s="28"/>
      <c r="M646" s="28"/>
      <c r="N646" s="28"/>
      <c r="O646" s="28"/>
      <c r="P646" s="28"/>
      <c r="Q646" s="144"/>
      <c r="R646" s="144"/>
      <c r="S646" s="144"/>
      <c r="T646" s="145"/>
      <c r="U646" s="28"/>
      <c r="V646" s="30"/>
      <c r="W646" s="28"/>
      <c r="X646" s="28"/>
      <c r="Y646" s="28"/>
      <c r="Z646" s="28"/>
    </row>
    <row r="647" ht="13.5" customHeight="1">
      <c r="A647" s="28"/>
      <c r="B647" s="28"/>
      <c r="C647" s="28"/>
      <c r="D647" s="28"/>
      <c r="E647" s="28"/>
      <c r="F647" s="28"/>
      <c r="G647" s="28"/>
      <c r="H647" s="28"/>
      <c r="I647" s="28"/>
      <c r="J647" s="143"/>
      <c r="K647" s="28"/>
      <c r="L647" s="28"/>
      <c r="M647" s="28"/>
      <c r="N647" s="28"/>
      <c r="O647" s="28"/>
      <c r="P647" s="28"/>
      <c r="Q647" s="144"/>
      <c r="R647" s="144"/>
      <c r="S647" s="144"/>
      <c r="T647" s="145"/>
      <c r="U647" s="28"/>
      <c r="V647" s="30"/>
      <c r="W647" s="28"/>
      <c r="X647" s="28"/>
      <c r="Y647" s="28"/>
      <c r="Z647" s="28"/>
    </row>
    <row r="648" ht="13.5" customHeight="1">
      <c r="A648" s="28"/>
      <c r="B648" s="28"/>
      <c r="C648" s="28"/>
      <c r="D648" s="28"/>
      <c r="E648" s="28"/>
      <c r="F648" s="28"/>
      <c r="G648" s="28"/>
      <c r="H648" s="28"/>
      <c r="I648" s="28"/>
      <c r="J648" s="143"/>
      <c r="K648" s="28"/>
      <c r="L648" s="28"/>
      <c r="M648" s="28"/>
      <c r="N648" s="28"/>
      <c r="O648" s="28"/>
      <c r="P648" s="28"/>
      <c r="Q648" s="144"/>
      <c r="R648" s="144"/>
      <c r="S648" s="144"/>
      <c r="T648" s="145"/>
      <c r="U648" s="28"/>
      <c r="V648" s="30"/>
      <c r="W648" s="28"/>
      <c r="X648" s="28"/>
      <c r="Y648" s="28"/>
      <c r="Z648" s="28"/>
    </row>
    <row r="649" ht="13.5" customHeight="1">
      <c r="A649" s="28"/>
      <c r="B649" s="28"/>
      <c r="C649" s="28"/>
      <c r="D649" s="28"/>
      <c r="E649" s="28"/>
      <c r="F649" s="28"/>
      <c r="G649" s="28"/>
      <c r="H649" s="28"/>
      <c r="I649" s="28"/>
      <c r="J649" s="143"/>
      <c r="K649" s="28"/>
      <c r="L649" s="28"/>
      <c r="M649" s="28"/>
      <c r="N649" s="28"/>
      <c r="O649" s="28"/>
      <c r="P649" s="28"/>
      <c r="Q649" s="144"/>
      <c r="R649" s="144"/>
      <c r="S649" s="144"/>
      <c r="T649" s="145"/>
      <c r="U649" s="28"/>
      <c r="V649" s="30"/>
      <c r="W649" s="28"/>
      <c r="X649" s="28"/>
      <c r="Y649" s="28"/>
      <c r="Z649" s="28"/>
    </row>
    <row r="650" ht="13.5" customHeight="1">
      <c r="A650" s="28"/>
      <c r="B650" s="28"/>
      <c r="C650" s="28"/>
      <c r="D650" s="28"/>
      <c r="E650" s="28"/>
      <c r="F650" s="28"/>
      <c r="G650" s="28"/>
      <c r="H650" s="28"/>
      <c r="I650" s="28"/>
      <c r="J650" s="143"/>
      <c r="K650" s="28"/>
      <c r="L650" s="28"/>
      <c r="M650" s="28"/>
      <c r="N650" s="28"/>
      <c r="O650" s="28"/>
      <c r="P650" s="28"/>
      <c r="Q650" s="144"/>
      <c r="R650" s="144"/>
      <c r="S650" s="144"/>
      <c r="T650" s="145"/>
      <c r="U650" s="28"/>
      <c r="V650" s="30"/>
      <c r="W650" s="28"/>
      <c r="X650" s="28"/>
      <c r="Y650" s="28"/>
      <c r="Z650" s="28"/>
    </row>
    <row r="651" ht="13.5" customHeight="1">
      <c r="A651" s="28"/>
      <c r="B651" s="28"/>
      <c r="C651" s="28"/>
      <c r="D651" s="28"/>
      <c r="E651" s="28"/>
      <c r="F651" s="28"/>
      <c r="G651" s="28"/>
      <c r="H651" s="28"/>
      <c r="I651" s="28"/>
      <c r="J651" s="143"/>
      <c r="K651" s="28"/>
      <c r="L651" s="28"/>
      <c r="M651" s="28"/>
      <c r="N651" s="28"/>
      <c r="O651" s="28"/>
      <c r="P651" s="28"/>
      <c r="Q651" s="144"/>
      <c r="R651" s="144"/>
      <c r="S651" s="144"/>
      <c r="T651" s="145"/>
      <c r="U651" s="28"/>
      <c r="V651" s="30"/>
      <c r="W651" s="28"/>
      <c r="X651" s="28"/>
      <c r="Y651" s="28"/>
      <c r="Z651" s="28"/>
    </row>
    <row r="652" ht="13.5" customHeight="1">
      <c r="A652" s="28"/>
      <c r="B652" s="28"/>
      <c r="C652" s="28"/>
      <c r="D652" s="28"/>
      <c r="E652" s="28"/>
      <c r="F652" s="28"/>
      <c r="G652" s="28"/>
      <c r="H652" s="28"/>
      <c r="I652" s="28"/>
      <c r="J652" s="143"/>
      <c r="K652" s="28"/>
      <c r="L652" s="28"/>
      <c r="M652" s="28"/>
      <c r="N652" s="28"/>
      <c r="O652" s="28"/>
      <c r="P652" s="28"/>
      <c r="Q652" s="144"/>
      <c r="R652" s="144"/>
      <c r="S652" s="144"/>
      <c r="T652" s="145"/>
      <c r="U652" s="28"/>
      <c r="V652" s="30"/>
      <c r="W652" s="28"/>
      <c r="X652" s="28"/>
      <c r="Y652" s="28"/>
      <c r="Z652" s="28"/>
    </row>
    <row r="653" ht="13.5" customHeight="1">
      <c r="A653" s="28"/>
      <c r="B653" s="28"/>
      <c r="C653" s="28"/>
      <c r="D653" s="28"/>
      <c r="E653" s="28"/>
      <c r="F653" s="28"/>
      <c r="G653" s="28"/>
      <c r="H653" s="28"/>
      <c r="I653" s="28"/>
      <c r="J653" s="143"/>
      <c r="K653" s="28"/>
      <c r="L653" s="28"/>
      <c r="M653" s="28"/>
      <c r="N653" s="28"/>
      <c r="O653" s="28"/>
      <c r="P653" s="28"/>
      <c r="Q653" s="144"/>
      <c r="R653" s="144"/>
      <c r="S653" s="144"/>
      <c r="T653" s="145"/>
      <c r="U653" s="28"/>
      <c r="V653" s="30"/>
      <c r="W653" s="28"/>
      <c r="X653" s="28"/>
      <c r="Y653" s="28"/>
      <c r="Z653" s="28"/>
    </row>
    <row r="654" ht="13.5" customHeight="1">
      <c r="A654" s="28"/>
      <c r="B654" s="28"/>
      <c r="C654" s="28"/>
      <c r="D654" s="28"/>
      <c r="E654" s="28"/>
      <c r="F654" s="28"/>
      <c r="G654" s="28"/>
      <c r="H654" s="28"/>
      <c r="I654" s="28"/>
      <c r="J654" s="143"/>
      <c r="K654" s="28"/>
      <c r="L654" s="28"/>
      <c r="M654" s="28"/>
      <c r="N654" s="28"/>
      <c r="O654" s="28"/>
      <c r="P654" s="28"/>
      <c r="Q654" s="144"/>
      <c r="R654" s="144"/>
      <c r="S654" s="144"/>
      <c r="T654" s="145"/>
      <c r="U654" s="28"/>
      <c r="V654" s="30"/>
      <c r="W654" s="28"/>
      <c r="X654" s="28"/>
      <c r="Y654" s="28"/>
      <c r="Z654" s="28"/>
    </row>
    <row r="655" ht="13.5" customHeight="1">
      <c r="A655" s="28"/>
      <c r="B655" s="28"/>
      <c r="C655" s="28"/>
      <c r="D655" s="28"/>
      <c r="E655" s="28"/>
      <c r="F655" s="28"/>
      <c r="G655" s="28"/>
      <c r="H655" s="28"/>
      <c r="I655" s="28"/>
      <c r="J655" s="143"/>
      <c r="K655" s="28"/>
      <c r="L655" s="28"/>
      <c r="M655" s="28"/>
      <c r="N655" s="28"/>
      <c r="O655" s="28"/>
      <c r="P655" s="28"/>
      <c r="Q655" s="144"/>
      <c r="R655" s="144"/>
      <c r="S655" s="144"/>
      <c r="T655" s="145"/>
      <c r="U655" s="28"/>
      <c r="V655" s="30"/>
      <c r="W655" s="28"/>
      <c r="X655" s="28"/>
      <c r="Y655" s="28"/>
      <c r="Z655" s="28"/>
    </row>
    <row r="656" ht="13.5" customHeight="1">
      <c r="A656" s="28"/>
      <c r="B656" s="28"/>
      <c r="C656" s="28"/>
      <c r="D656" s="28"/>
      <c r="E656" s="28"/>
      <c r="F656" s="28"/>
      <c r="G656" s="28"/>
      <c r="H656" s="28"/>
      <c r="I656" s="28"/>
      <c r="J656" s="143"/>
      <c r="K656" s="28"/>
      <c r="L656" s="28"/>
      <c r="M656" s="28"/>
      <c r="N656" s="28"/>
      <c r="O656" s="28"/>
      <c r="P656" s="28"/>
      <c r="Q656" s="144"/>
      <c r="R656" s="144"/>
      <c r="S656" s="144"/>
      <c r="T656" s="145"/>
      <c r="U656" s="28"/>
      <c r="V656" s="30"/>
      <c r="W656" s="28"/>
      <c r="X656" s="28"/>
      <c r="Y656" s="28"/>
      <c r="Z656" s="28"/>
    </row>
    <row r="657" ht="13.5" customHeight="1">
      <c r="A657" s="28"/>
      <c r="B657" s="28"/>
      <c r="C657" s="28"/>
      <c r="D657" s="28"/>
      <c r="E657" s="28"/>
      <c r="F657" s="28"/>
      <c r="G657" s="28"/>
      <c r="H657" s="28"/>
      <c r="I657" s="28"/>
      <c r="J657" s="143"/>
      <c r="K657" s="28"/>
      <c r="L657" s="28"/>
      <c r="M657" s="28"/>
      <c r="N657" s="28"/>
      <c r="O657" s="28"/>
      <c r="P657" s="28"/>
      <c r="Q657" s="144"/>
      <c r="R657" s="144"/>
      <c r="S657" s="144"/>
      <c r="T657" s="145"/>
      <c r="U657" s="28"/>
      <c r="V657" s="30"/>
      <c r="W657" s="28"/>
      <c r="X657" s="28"/>
      <c r="Y657" s="28"/>
      <c r="Z657" s="28"/>
    </row>
    <row r="658" ht="13.5" customHeight="1">
      <c r="A658" s="28"/>
      <c r="B658" s="28"/>
      <c r="C658" s="28"/>
      <c r="D658" s="28"/>
      <c r="E658" s="28"/>
      <c r="F658" s="28"/>
      <c r="G658" s="28"/>
      <c r="H658" s="28"/>
      <c r="I658" s="28"/>
      <c r="J658" s="143"/>
      <c r="K658" s="28"/>
      <c r="L658" s="28"/>
      <c r="M658" s="28"/>
      <c r="N658" s="28"/>
      <c r="O658" s="28"/>
      <c r="P658" s="28"/>
      <c r="Q658" s="144"/>
      <c r="R658" s="144"/>
      <c r="S658" s="144"/>
      <c r="T658" s="145"/>
      <c r="U658" s="28"/>
      <c r="V658" s="30"/>
      <c r="W658" s="28"/>
      <c r="X658" s="28"/>
      <c r="Y658" s="28"/>
      <c r="Z658" s="28"/>
    </row>
    <row r="659" ht="13.5" customHeight="1">
      <c r="A659" s="28"/>
      <c r="B659" s="28"/>
      <c r="C659" s="28"/>
      <c r="D659" s="28"/>
      <c r="E659" s="28"/>
      <c r="F659" s="28"/>
      <c r="G659" s="28"/>
      <c r="H659" s="28"/>
      <c r="I659" s="28"/>
      <c r="J659" s="143"/>
      <c r="K659" s="28"/>
      <c r="L659" s="28"/>
      <c r="M659" s="28"/>
      <c r="N659" s="28"/>
      <c r="O659" s="28"/>
      <c r="P659" s="28"/>
      <c r="Q659" s="144"/>
      <c r="R659" s="144"/>
      <c r="S659" s="144"/>
      <c r="T659" s="145"/>
      <c r="U659" s="28"/>
      <c r="V659" s="30"/>
      <c r="W659" s="28"/>
      <c r="X659" s="28"/>
      <c r="Y659" s="28"/>
      <c r="Z659" s="28"/>
    </row>
    <row r="660" ht="13.5" customHeight="1">
      <c r="A660" s="28"/>
      <c r="B660" s="28"/>
      <c r="C660" s="28"/>
      <c r="D660" s="28"/>
      <c r="E660" s="28"/>
      <c r="F660" s="28"/>
      <c r="G660" s="28"/>
      <c r="H660" s="28"/>
      <c r="I660" s="28"/>
      <c r="J660" s="143"/>
      <c r="K660" s="28"/>
      <c r="L660" s="28"/>
      <c r="M660" s="28"/>
      <c r="N660" s="28"/>
      <c r="O660" s="28"/>
      <c r="P660" s="28"/>
      <c r="Q660" s="144"/>
      <c r="R660" s="144"/>
      <c r="S660" s="144"/>
      <c r="T660" s="145"/>
      <c r="U660" s="28"/>
      <c r="V660" s="30"/>
      <c r="W660" s="28"/>
      <c r="X660" s="28"/>
      <c r="Y660" s="28"/>
      <c r="Z660" s="28"/>
    </row>
    <row r="661" ht="13.5" customHeight="1">
      <c r="A661" s="28"/>
      <c r="B661" s="28"/>
      <c r="C661" s="28"/>
      <c r="D661" s="28"/>
      <c r="E661" s="28"/>
      <c r="F661" s="28"/>
      <c r="G661" s="28"/>
      <c r="H661" s="28"/>
      <c r="I661" s="28"/>
      <c r="J661" s="143"/>
      <c r="K661" s="28"/>
      <c r="L661" s="28"/>
      <c r="M661" s="28"/>
      <c r="N661" s="28"/>
      <c r="O661" s="28"/>
      <c r="P661" s="28"/>
      <c r="Q661" s="144"/>
      <c r="R661" s="144"/>
      <c r="S661" s="144"/>
      <c r="T661" s="145"/>
      <c r="U661" s="28"/>
      <c r="V661" s="30"/>
      <c r="W661" s="28"/>
      <c r="X661" s="28"/>
      <c r="Y661" s="28"/>
      <c r="Z661" s="28"/>
    </row>
    <row r="662" ht="13.5" customHeight="1">
      <c r="A662" s="28"/>
      <c r="B662" s="28"/>
      <c r="C662" s="28"/>
      <c r="D662" s="28"/>
      <c r="E662" s="28"/>
      <c r="F662" s="28"/>
      <c r="G662" s="28"/>
      <c r="H662" s="28"/>
      <c r="I662" s="28"/>
      <c r="J662" s="143"/>
      <c r="K662" s="28"/>
      <c r="L662" s="28"/>
      <c r="M662" s="28"/>
      <c r="N662" s="28"/>
      <c r="O662" s="28"/>
      <c r="P662" s="28"/>
      <c r="Q662" s="144"/>
      <c r="R662" s="144"/>
      <c r="S662" s="144"/>
      <c r="T662" s="145"/>
      <c r="U662" s="28"/>
      <c r="V662" s="30"/>
      <c r="W662" s="28"/>
      <c r="X662" s="28"/>
      <c r="Y662" s="28"/>
      <c r="Z662" s="28"/>
    </row>
    <row r="663" ht="13.5" customHeight="1">
      <c r="A663" s="28"/>
      <c r="B663" s="28"/>
      <c r="C663" s="28"/>
      <c r="D663" s="28"/>
      <c r="E663" s="28"/>
      <c r="F663" s="28"/>
      <c r="G663" s="28"/>
      <c r="H663" s="28"/>
      <c r="I663" s="28"/>
      <c r="J663" s="143"/>
      <c r="K663" s="28"/>
      <c r="L663" s="28"/>
      <c r="M663" s="28"/>
      <c r="N663" s="28"/>
      <c r="O663" s="28"/>
      <c r="P663" s="28"/>
      <c r="Q663" s="144"/>
      <c r="R663" s="144"/>
      <c r="S663" s="144"/>
      <c r="T663" s="145"/>
      <c r="U663" s="28"/>
      <c r="V663" s="30"/>
      <c r="W663" s="28"/>
      <c r="X663" s="28"/>
      <c r="Y663" s="28"/>
      <c r="Z663" s="28"/>
    </row>
    <row r="664" ht="13.5" customHeight="1">
      <c r="A664" s="28"/>
      <c r="B664" s="28"/>
      <c r="C664" s="28"/>
      <c r="D664" s="28"/>
      <c r="E664" s="28"/>
      <c r="F664" s="28"/>
      <c r="G664" s="28"/>
      <c r="H664" s="28"/>
      <c r="I664" s="28"/>
      <c r="J664" s="143"/>
      <c r="K664" s="28"/>
      <c r="L664" s="28"/>
      <c r="M664" s="28"/>
      <c r="N664" s="28"/>
      <c r="O664" s="28"/>
      <c r="P664" s="28"/>
      <c r="Q664" s="144"/>
      <c r="R664" s="144"/>
      <c r="S664" s="144"/>
      <c r="T664" s="145"/>
      <c r="U664" s="28"/>
      <c r="V664" s="30"/>
      <c r="W664" s="28"/>
      <c r="X664" s="28"/>
      <c r="Y664" s="28"/>
      <c r="Z664" s="28"/>
    </row>
    <row r="665" ht="13.5" customHeight="1">
      <c r="A665" s="28"/>
      <c r="B665" s="28"/>
      <c r="C665" s="28"/>
      <c r="D665" s="28"/>
      <c r="E665" s="28"/>
      <c r="F665" s="28"/>
      <c r="G665" s="28"/>
      <c r="H665" s="28"/>
      <c r="I665" s="28"/>
      <c r="J665" s="143"/>
      <c r="K665" s="28"/>
      <c r="L665" s="28"/>
      <c r="M665" s="28"/>
      <c r="N665" s="28"/>
      <c r="O665" s="28"/>
      <c r="P665" s="28"/>
      <c r="Q665" s="144"/>
      <c r="R665" s="144"/>
      <c r="S665" s="144"/>
      <c r="T665" s="145"/>
      <c r="U665" s="28"/>
      <c r="V665" s="30"/>
      <c r="W665" s="28"/>
      <c r="X665" s="28"/>
      <c r="Y665" s="28"/>
      <c r="Z665" s="28"/>
    </row>
    <row r="666" ht="13.5" customHeight="1">
      <c r="A666" s="28"/>
      <c r="B666" s="28"/>
      <c r="C666" s="28"/>
      <c r="D666" s="28"/>
      <c r="E666" s="28"/>
      <c r="F666" s="28"/>
      <c r="G666" s="28"/>
      <c r="H666" s="28"/>
      <c r="I666" s="28"/>
      <c r="J666" s="143"/>
      <c r="K666" s="28"/>
      <c r="L666" s="28"/>
      <c r="M666" s="28"/>
      <c r="N666" s="28"/>
      <c r="O666" s="28"/>
      <c r="P666" s="28"/>
      <c r="Q666" s="144"/>
      <c r="R666" s="144"/>
      <c r="S666" s="144"/>
      <c r="T666" s="145"/>
      <c r="U666" s="28"/>
      <c r="V666" s="30"/>
      <c r="W666" s="28"/>
      <c r="X666" s="28"/>
      <c r="Y666" s="28"/>
      <c r="Z666" s="28"/>
    </row>
    <row r="667" ht="13.5" customHeight="1">
      <c r="A667" s="28"/>
      <c r="B667" s="28"/>
      <c r="C667" s="28"/>
      <c r="D667" s="28"/>
      <c r="E667" s="28"/>
      <c r="F667" s="28"/>
      <c r="G667" s="28"/>
      <c r="H667" s="28"/>
      <c r="I667" s="28"/>
      <c r="J667" s="143"/>
      <c r="K667" s="28"/>
      <c r="L667" s="28"/>
      <c r="M667" s="28"/>
      <c r="N667" s="28"/>
      <c r="O667" s="28"/>
      <c r="P667" s="28"/>
      <c r="Q667" s="144"/>
      <c r="R667" s="144"/>
      <c r="S667" s="144"/>
      <c r="T667" s="145"/>
      <c r="U667" s="28"/>
      <c r="V667" s="30"/>
      <c r="W667" s="28"/>
      <c r="X667" s="28"/>
      <c r="Y667" s="28"/>
      <c r="Z667" s="28"/>
    </row>
    <row r="668" ht="13.5" customHeight="1">
      <c r="A668" s="28"/>
      <c r="B668" s="28"/>
      <c r="C668" s="28"/>
      <c r="D668" s="28"/>
      <c r="E668" s="28"/>
      <c r="F668" s="28"/>
      <c r="G668" s="28"/>
      <c r="H668" s="28"/>
      <c r="I668" s="28"/>
      <c r="J668" s="143"/>
      <c r="K668" s="28"/>
      <c r="L668" s="28"/>
      <c r="M668" s="28"/>
      <c r="N668" s="28"/>
      <c r="O668" s="28"/>
      <c r="P668" s="28"/>
      <c r="Q668" s="144"/>
      <c r="R668" s="144"/>
      <c r="S668" s="144"/>
      <c r="T668" s="145"/>
      <c r="U668" s="28"/>
      <c r="V668" s="30"/>
      <c r="W668" s="28"/>
      <c r="X668" s="28"/>
      <c r="Y668" s="28"/>
      <c r="Z668" s="28"/>
    </row>
    <row r="669" ht="13.5" customHeight="1">
      <c r="A669" s="28"/>
      <c r="B669" s="28"/>
      <c r="C669" s="28"/>
      <c r="D669" s="28"/>
      <c r="E669" s="28"/>
      <c r="F669" s="28"/>
      <c r="G669" s="28"/>
      <c r="H669" s="28"/>
      <c r="I669" s="28"/>
      <c r="J669" s="143"/>
      <c r="K669" s="28"/>
      <c r="L669" s="28"/>
      <c r="M669" s="28"/>
      <c r="N669" s="28"/>
      <c r="O669" s="28"/>
      <c r="P669" s="28"/>
      <c r="Q669" s="144"/>
      <c r="R669" s="144"/>
      <c r="S669" s="144"/>
      <c r="T669" s="145"/>
      <c r="U669" s="28"/>
      <c r="V669" s="30"/>
      <c r="W669" s="28"/>
      <c r="X669" s="28"/>
      <c r="Y669" s="28"/>
      <c r="Z669" s="28"/>
    </row>
    <row r="670" ht="13.5" customHeight="1">
      <c r="A670" s="28"/>
      <c r="B670" s="28"/>
      <c r="C670" s="28"/>
      <c r="D670" s="28"/>
      <c r="E670" s="28"/>
      <c r="F670" s="28"/>
      <c r="G670" s="28"/>
      <c r="H670" s="28"/>
      <c r="I670" s="28"/>
      <c r="J670" s="143"/>
      <c r="K670" s="28"/>
      <c r="L670" s="28"/>
      <c r="M670" s="28"/>
      <c r="N670" s="28"/>
      <c r="O670" s="28"/>
      <c r="P670" s="28"/>
      <c r="Q670" s="144"/>
      <c r="R670" s="144"/>
      <c r="S670" s="144"/>
      <c r="T670" s="145"/>
      <c r="U670" s="28"/>
      <c r="V670" s="30"/>
      <c r="W670" s="28"/>
      <c r="X670" s="28"/>
      <c r="Y670" s="28"/>
      <c r="Z670" s="28"/>
    </row>
    <row r="671" ht="13.5" customHeight="1">
      <c r="A671" s="28"/>
      <c r="B671" s="28"/>
      <c r="C671" s="28"/>
      <c r="D671" s="28"/>
      <c r="E671" s="28"/>
      <c r="F671" s="28"/>
      <c r="G671" s="28"/>
      <c r="H671" s="28"/>
      <c r="I671" s="28"/>
      <c r="J671" s="143"/>
      <c r="K671" s="28"/>
      <c r="L671" s="28"/>
      <c r="M671" s="28"/>
      <c r="N671" s="28"/>
      <c r="O671" s="28"/>
      <c r="P671" s="28"/>
      <c r="Q671" s="144"/>
      <c r="R671" s="144"/>
      <c r="S671" s="144"/>
      <c r="T671" s="145"/>
      <c r="U671" s="28"/>
      <c r="V671" s="30"/>
      <c r="W671" s="28"/>
      <c r="X671" s="28"/>
      <c r="Y671" s="28"/>
      <c r="Z671" s="28"/>
    </row>
    <row r="672" ht="13.5" customHeight="1">
      <c r="A672" s="28"/>
      <c r="B672" s="28"/>
      <c r="C672" s="28"/>
      <c r="D672" s="28"/>
      <c r="E672" s="28"/>
      <c r="F672" s="28"/>
      <c r="G672" s="28"/>
      <c r="H672" s="28"/>
      <c r="I672" s="28"/>
      <c r="J672" s="143"/>
      <c r="K672" s="28"/>
      <c r="L672" s="28"/>
      <c r="M672" s="28"/>
      <c r="N672" s="28"/>
      <c r="O672" s="28"/>
      <c r="P672" s="28"/>
      <c r="Q672" s="144"/>
      <c r="R672" s="144"/>
      <c r="S672" s="144"/>
      <c r="T672" s="145"/>
      <c r="U672" s="28"/>
      <c r="V672" s="30"/>
      <c r="W672" s="28"/>
      <c r="X672" s="28"/>
      <c r="Y672" s="28"/>
      <c r="Z672" s="28"/>
    </row>
    <row r="673" ht="13.5" customHeight="1">
      <c r="A673" s="28"/>
      <c r="B673" s="28"/>
      <c r="C673" s="28"/>
      <c r="D673" s="28"/>
      <c r="E673" s="28"/>
      <c r="F673" s="28"/>
      <c r="G673" s="28"/>
      <c r="H673" s="28"/>
      <c r="I673" s="28"/>
      <c r="J673" s="143"/>
      <c r="K673" s="28"/>
      <c r="L673" s="28"/>
      <c r="M673" s="28"/>
      <c r="N673" s="28"/>
      <c r="O673" s="28"/>
      <c r="P673" s="28"/>
      <c r="Q673" s="144"/>
      <c r="R673" s="144"/>
      <c r="S673" s="144"/>
      <c r="T673" s="145"/>
      <c r="U673" s="28"/>
      <c r="V673" s="30"/>
      <c r="W673" s="28"/>
      <c r="X673" s="28"/>
      <c r="Y673" s="28"/>
      <c r="Z673" s="28"/>
    </row>
    <row r="674" ht="13.5" customHeight="1">
      <c r="A674" s="28"/>
      <c r="B674" s="28"/>
      <c r="C674" s="28"/>
      <c r="D674" s="28"/>
      <c r="E674" s="28"/>
      <c r="F674" s="28"/>
      <c r="G674" s="28"/>
      <c r="H674" s="28"/>
      <c r="I674" s="28"/>
      <c r="J674" s="143"/>
      <c r="K674" s="28"/>
      <c r="L674" s="28"/>
      <c r="M674" s="28"/>
      <c r="N674" s="28"/>
      <c r="O674" s="28"/>
      <c r="P674" s="28"/>
      <c r="Q674" s="144"/>
      <c r="R674" s="144"/>
      <c r="S674" s="144"/>
      <c r="T674" s="145"/>
      <c r="U674" s="28"/>
      <c r="V674" s="30"/>
      <c r="W674" s="28"/>
      <c r="X674" s="28"/>
      <c r="Y674" s="28"/>
      <c r="Z674" s="28"/>
    </row>
    <row r="675" ht="13.5" customHeight="1">
      <c r="A675" s="28"/>
      <c r="B675" s="28"/>
      <c r="C675" s="28"/>
      <c r="D675" s="28"/>
      <c r="E675" s="28"/>
      <c r="F675" s="28"/>
      <c r="G675" s="28"/>
      <c r="H675" s="28"/>
      <c r="I675" s="28"/>
      <c r="J675" s="143"/>
      <c r="K675" s="28"/>
      <c r="L675" s="28"/>
      <c r="M675" s="28"/>
      <c r="N675" s="28"/>
      <c r="O675" s="28"/>
      <c r="P675" s="28"/>
      <c r="Q675" s="144"/>
      <c r="R675" s="144"/>
      <c r="S675" s="144"/>
      <c r="T675" s="145"/>
      <c r="U675" s="28"/>
      <c r="V675" s="30"/>
      <c r="W675" s="28"/>
      <c r="X675" s="28"/>
      <c r="Y675" s="28"/>
      <c r="Z675" s="28"/>
    </row>
    <row r="676" ht="13.5" customHeight="1">
      <c r="A676" s="28"/>
      <c r="B676" s="28"/>
      <c r="C676" s="28"/>
      <c r="D676" s="28"/>
      <c r="E676" s="28"/>
      <c r="F676" s="28"/>
      <c r="G676" s="28"/>
      <c r="H676" s="28"/>
      <c r="I676" s="28"/>
      <c r="J676" s="143"/>
      <c r="K676" s="28"/>
      <c r="L676" s="28"/>
      <c r="M676" s="28"/>
      <c r="N676" s="28"/>
      <c r="O676" s="28"/>
      <c r="P676" s="28"/>
      <c r="Q676" s="144"/>
      <c r="R676" s="144"/>
      <c r="S676" s="144"/>
      <c r="T676" s="145"/>
      <c r="U676" s="28"/>
      <c r="V676" s="30"/>
      <c r="W676" s="28"/>
      <c r="X676" s="28"/>
      <c r="Y676" s="28"/>
      <c r="Z676" s="28"/>
    </row>
    <row r="677" ht="13.5" customHeight="1">
      <c r="A677" s="28"/>
      <c r="B677" s="28"/>
      <c r="C677" s="28"/>
      <c r="D677" s="28"/>
      <c r="E677" s="28"/>
      <c r="F677" s="28"/>
      <c r="G677" s="28"/>
      <c r="H677" s="28"/>
      <c r="I677" s="28"/>
      <c r="J677" s="143"/>
      <c r="K677" s="28"/>
      <c r="L677" s="28"/>
      <c r="M677" s="28"/>
      <c r="N677" s="28"/>
      <c r="O677" s="28"/>
      <c r="P677" s="28"/>
      <c r="Q677" s="144"/>
      <c r="R677" s="144"/>
      <c r="S677" s="144"/>
      <c r="T677" s="145"/>
      <c r="U677" s="28"/>
      <c r="V677" s="30"/>
      <c r="W677" s="28"/>
      <c r="X677" s="28"/>
      <c r="Y677" s="28"/>
      <c r="Z677" s="28"/>
    </row>
    <row r="678" ht="13.5" customHeight="1">
      <c r="A678" s="28"/>
      <c r="B678" s="28"/>
      <c r="C678" s="28"/>
      <c r="D678" s="28"/>
      <c r="E678" s="28"/>
      <c r="F678" s="28"/>
      <c r="G678" s="28"/>
      <c r="H678" s="28"/>
      <c r="I678" s="28"/>
      <c r="J678" s="143"/>
      <c r="K678" s="28"/>
      <c r="L678" s="28"/>
      <c r="M678" s="28"/>
      <c r="N678" s="28"/>
      <c r="O678" s="28"/>
      <c r="P678" s="28"/>
      <c r="Q678" s="144"/>
      <c r="R678" s="144"/>
      <c r="S678" s="144"/>
      <c r="T678" s="145"/>
      <c r="U678" s="28"/>
      <c r="V678" s="30"/>
      <c r="W678" s="28"/>
      <c r="X678" s="28"/>
      <c r="Y678" s="28"/>
      <c r="Z678" s="28"/>
    </row>
    <row r="679" ht="13.5" customHeight="1">
      <c r="A679" s="28"/>
      <c r="B679" s="28"/>
      <c r="C679" s="28"/>
      <c r="D679" s="28"/>
      <c r="E679" s="28"/>
      <c r="F679" s="28"/>
      <c r="G679" s="28"/>
      <c r="H679" s="28"/>
      <c r="I679" s="28"/>
      <c r="J679" s="143"/>
      <c r="K679" s="28"/>
      <c r="L679" s="28"/>
      <c r="M679" s="28"/>
      <c r="N679" s="28"/>
      <c r="O679" s="28"/>
      <c r="P679" s="28"/>
      <c r="Q679" s="144"/>
      <c r="R679" s="144"/>
      <c r="S679" s="144"/>
      <c r="T679" s="145"/>
      <c r="U679" s="28"/>
      <c r="V679" s="30"/>
      <c r="W679" s="28"/>
      <c r="X679" s="28"/>
      <c r="Y679" s="28"/>
      <c r="Z679" s="28"/>
    </row>
    <row r="680" ht="13.5" customHeight="1">
      <c r="A680" s="28"/>
      <c r="B680" s="28"/>
      <c r="C680" s="28"/>
      <c r="D680" s="28"/>
      <c r="E680" s="28"/>
      <c r="F680" s="28"/>
      <c r="G680" s="28"/>
      <c r="H680" s="28"/>
      <c r="I680" s="28"/>
      <c r="J680" s="143"/>
      <c r="K680" s="28"/>
      <c r="L680" s="28"/>
      <c r="M680" s="28"/>
      <c r="N680" s="28"/>
      <c r="O680" s="28"/>
      <c r="P680" s="28"/>
      <c r="Q680" s="144"/>
      <c r="R680" s="144"/>
      <c r="S680" s="144"/>
      <c r="T680" s="145"/>
      <c r="U680" s="28"/>
      <c r="V680" s="30"/>
      <c r="W680" s="28"/>
      <c r="X680" s="28"/>
      <c r="Y680" s="28"/>
      <c r="Z680" s="28"/>
    </row>
    <row r="681" ht="13.5" customHeight="1">
      <c r="A681" s="28"/>
      <c r="B681" s="28"/>
      <c r="C681" s="28"/>
      <c r="D681" s="28"/>
      <c r="E681" s="28"/>
      <c r="F681" s="28"/>
      <c r="G681" s="28"/>
      <c r="H681" s="28"/>
      <c r="I681" s="28"/>
      <c r="J681" s="143"/>
      <c r="K681" s="28"/>
      <c r="L681" s="28"/>
      <c r="M681" s="28"/>
      <c r="N681" s="28"/>
      <c r="O681" s="28"/>
      <c r="P681" s="28"/>
      <c r="Q681" s="144"/>
      <c r="R681" s="144"/>
      <c r="S681" s="144"/>
      <c r="T681" s="145"/>
      <c r="U681" s="28"/>
      <c r="V681" s="30"/>
      <c r="W681" s="28"/>
      <c r="X681" s="28"/>
      <c r="Y681" s="28"/>
      <c r="Z681" s="28"/>
    </row>
    <row r="682" ht="13.5" customHeight="1">
      <c r="A682" s="28"/>
      <c r="B682" s="28"/>
      <c r="C682" s="28"/>
      <c r="D682" s="28"/>
      <c r="E682" s="28"/>
      <c r="F682" s="28"/>
      <c r="G682" s="28"/>
      <c r="H682" s="28"/>
      <c r="I682" s="28"/>
      <c r="J682" s="143"/>
      <c r="K682" s="28"/>
      <c r="L682" s="28"/>
      <c r="M682" s="28"/>
      <c r="N682" s="28"/>
      <c r="O682" s="28"/>
      <c r="P682" s="28"/>
      <c r="Q682" s="144"/>
      <c r="R682" s="144"/>
      <c r="S682" s="144"/>
      <c r="T682" s="145"/>
      <c r="U682" s="28"/>
      <c r="V682" s="30"/>
      <c r="W682" s="28"/>
      <c r="X682" s="28"/>
      <c r="Y682" s="28"/>
      <c r="Z682" s="28"/>
    </row>
    <row r="683" ht="13.5" customHeight="1">
      <c r="A683" s="28"/>
      <c r="B683" s="28"/>
      <c r="C683" s="28"/>
      <c r="D683" s="28"/>
      <c r="E683" s="28"/>
      <c r="F683" s="28"/>
      <c r="G683" s="28"/>
      <c r="H683" s="28"/>
      <c r="I683" s="28"/>
      <c r="J683" s="143"/>
      <c r="K683" s="28"/>
      <c r="L683" s="28"/>
      <c r="M683" s="28"/>
      <c r="N683" s="28"/>
      <c r="O683" s="28"/>
      <c r="P683" s="28"/>
      <c r="Q683" s="144"/>
      <c r="R683" s="144"/>
      <c r="S683" s="144"/>
      <c r="T683" s="145"/>
      <c r="U683" s="28"/>
      <c r="V683" s="30"/>
      <c r="W683" s="28"/>
      <c r="X683" s="28"/>
      <c r="Y683" s="28"/>
      <c r="Z683" s="28"/>
    </row>
    <row r="684" ht="13.5" customHeight="1">
      <c r="A684" s="28"/>
      <c r="B684" s="28"/>
      <c r="C684" s="28"/>
      <c r="D684" s="28"/>
      <c r="E684" s="28"/>
      <c r="F684" s="28"/>
      <c r="G684" s="28"/>
      <c r="H684" s="28"/>
      <c r="I684" s="28"/>
      <c r="J684" s="143"/>
      <c r="K684" s="28"/>
      <c r="L684" s="28"/>
      <c r="M684" s="28"/>
      <c r="N684" s="28"/>
      <c r="O684" s="28"/>
      <c r="P684" s="28"/>
      <c r="Q684" s="144"/>
      <c r="R684" s="144"/>
      <c r="S684" s="144"/>
      <c r="T684" s="145"/>
      <c r="U684" s="28"/>
      <c r="V684" s="30"/>
      <c r="W684" s="28"/>
      <c r="X684" s="28"/>
      <c r="Y684" s="28"/>
      <c r="Z684" s="28"/>
    </row>
    <row r="685" ht="13.5" customHeight="1">
      <c r="A685" s="28"/>
      <c r="B685" s="28"/>
      <c r="C685" s="28"/>
      <c r="D685" s="28"/>
      <c r="E685" s="28"/>
      <c r="F685" s="28"/>
      <c r="G685" s="28"/>
      <c r="H685" s="28"/>
      <c r="I685" s="28"/>
      <c r="J685" s="143"/>
      <c r="K685" s="28"/>
      <c r="L685" s="28"/>
      <c r="M685" s="28"/>
      <c r="N685" s="28"/>
      <c r="O685" s="28"/>
      <c r="P685" s="28"/>
      <c r="Q685" s="144"/>
      <c r="R685" s="144"/>
      <c r="S685" s="144"/>
      <c r="T685" s="145"/>
      <c r="U685" s="28"/>
      <c r="V685" s="30"/>
      <c r="W685" s="28"/>
      <c r="X685" s="28"/>
      <c r="Y685" s="28"/>
      <c r="Z685" s="28"/>
    </row>
    <row r="686" ht="13.5" customHeight="1">
      <c r="A686" s="28"/>
      <c r="B686" s="28"/>
      <c r="C686" s="28"/>
      <c r="D686" s="28"/>
      <c r="E686" s="28"/>
      <c r="F686" s="28"/>
      <c r="G686" s="28"/>
      <c r="H686" s="28"/>
      <c r="I686" s="28"/>
      <c r="J686" s="143"/>
      <c r="K686" s="28"/>
      <c r="L686" s="28"/>
      <c r="M686" s="28"/>
      <c r="N686" s="28"/>
      <c r="O686" s="28"/>
      <c r="P686" s="28"/>
      <c r="Q686" s="144"/>
      <c r="R686" s="144"/>
      <c r="S686" s="144"/>
      <c r="T686" s="145"/>
      <c r="U686" s="28"/>
      <c r="V686" s="30"/>
      <c r="W686" s="28"/>
      <c r="X686" s="28"/>
      <c r="Y686" s="28"/>
      <c r="Z686" s="28"/>
    </row>
    <row r="687" ht="13.5" customHeight="1">
      <c r="A687" s="28"/>
      <c r="B687" s="28"/>
      <c r="C687" s="28"/>
      <c r="D687" s="28"/>
      <c r="E687" s="28"/>
      <c r="F687" s="28"/>
      <c r="G687" s="28"/>
      <c r="H687" s="28"/>
      <c r="I687" s="28"/>
      <c r="J687" s="143"/>
      <c r="K687" s="28"/>
      <c r="L687" s="28"/>
      <c r="M687" s="28"/>
      <c r="N687" s="28"/>
      <c r="O687" s="28"/>
      <c r="P687" s="28"/>
      <c r="Q687" s="144"/>
      <c r="R687" s="144"/>
      <c r="S687" s="144"/>
      <c r="T687" s="145"/>
      <c r="U687" s="28"/>
      <c r="V687" s="30"/>
      <c r="W687" s="28"/>
      <c r="X687" s="28"/>
      <c r="Y687" s="28"/>
      <c r="Z687" s="28"/>
    </row>
    <row r="688" ht="13.5" customHeight="1">
      <c r="A688" s="28"/>
      <c r="B688" s="28"/>
      <c r="C688" s="28"/>
      <c r="D688" s="28"/>
      <c r="E688" s="28"/>
      <c r="F688" s="28"/>
      <c r="G688" s="28"/>
      <c r="H688" s="28"/>
      <c r="I688" s="28"/>
      <c r="J688" s="143"/>
      <c r="K688" s="28"/>
      <c r="L688" s="28"/>
      <c r="M688" s="28"/>
      <c r="N688" s="28"/>
      <c r="O688" s="28"/>
      <c r="P688" s="28"/>
      <c r="Q688" s="144"/>
      <c r="R688" s="144"/>
      <c r="S688" s="144"/>
      <c r="T688" s="145"/>
      <c r="U688" s="28"/>
      <c r="V688" s="30"/>
      <c r="W688" s="28"/>
      <c r="X688" s="28"/>
      <c r="Y688" s="28"/>
      <c r="Z688" s="28"/>
    </row>
    <row r="689" ht="13.5" customHeight="1">
      <c r="A689" s="28"/>
      <c r="B689" s="28"/>
      <c r="C689" s="28"/>
      <c r="D689" s="28"/>
      <c r="E689" s="28"/>
      <c r="F689" s="28"/>
      <c r="G689" s="28"/>
      <c r="H689" s="28"/>
      <c r="I689" s="28"/>
      <c r="J689" s="143"/>
      <c r="K689" s="28"/>
      <c r="L689" s="28"/>
      <c r="M689" s="28"/>
      <c r="N689" s="28"/>
      <c r="O689" s="28"/>
      <c r="P689" s="28"/>
      <c r="Q689" s="144"/>
      <c r="R689" s="144"/>
      <c r="S689" s="144"/>
      <c r="T689" s="145"/>
      <c r="U689" s="28"/>
      <c r="V689" s="30"/>
      <c r="W689" s="28"/>
      <c r="X689" s="28"/>
      <c r="Y689" s="28"/>
      <c r="Z689" s="28"/>
    </row>
    <row r="690" ht="13.5" customHeight="1">
      <c r="A690" s="28"/>
      <c r="B690" s="28"/>
      <c r="C690" s="28"/>
      <c r="D690" s="28"/>
      <c r="E690" s="28"/>
      <c r="F690" s="28"/>
      <c r="G690" s="28"/>
      <c r="H690" s="28"/>
      <c r="I690" s="28"/>
      <c r="J690" s="143"/>
      <c r="K690" s="28"/>
      <c r="L690" s="28"/>
      <c r="M690" s="28"/>
      <c r="N690" s="28"/>
      <c r="O690" s="28"/>
      <c r="P690" s="28"/>
      <c r="Q690" s="144"/>
      <c r="R690" s="144"/>
      <c r="S690" s="144"/>
      <c r="T690" s="145"/>
      <c r="U690" s="28"/>
      <c r="V690" s="30"/>
      <c r="W690" s="28"/>
      <c r="X690" s="28"/>
      <c r="Y690" s="28"/>
      <c r="Z690" s="28"/>
    </row>
    <row r="691" ht="13.5" customHeight="1">
      <c r="A691" s="28"/>
      <c r="B691" s="28"/>
      <c r="C691" s="28"/>
      <c r="D691" s="28"/>
      <c r="E691" s="28"/>
      <c r="F691" s="28"/>
      <c r="G691" s="28"/>
      <c r="H691" s="28"/>
      <c r="I691" s="28"/>
      <c r="J691" s="143"/>
      <c r="K691" s="28"/>
      <c r="L691" s="28"/>
      <c r="M691" s="28"/>
      <c r="N691" s="28"/>
      <c r="O691" s="28"/>
      <c r="P691" s="28"/>
      <c r="Q691" s="144"/>
      <c r="R691" s="144"/>
      <c r="S691" s="144"/>
      <c r="T691" s="145"/>
      <c r="U691" s="28"/>
      <c r="V691" s="30"/>
      <c r="W691" s="28"/>
      <c r="X691" s="28"/>
      <c r="Y691" s="28"/>
      <c r="Z691" s="28"/>
    </row>
    <row r="692" ht="13.5" customHeight="1">
      <c r="A692" s="28"/>
      <c r="B692" s="28"/>
      <c r="C692" s="28"/>
      <c r="D692" s="28"/>
      <c r="E692" s="28"/>
      <c r="F692" s="28"/>
      <c r="G692" s="28"/>
      <c r="H692" s="28"/>
      <c r="I692" s="28"/>
      <c r="J692" s="143"/>
      <c r="K692" s="28"/>
      <c r="L692" s="28"/>
      <c r="M692" s="28"/>
      <c r="N692" s="28"/>
      <c r="O692" s="28"/>
      <c r="P692" s="28"/>
      <c r="Q692" s="144"/>
      <c r="R692" s="144"/>
      <c r="S692" s="144"/>
      <c r="T692" s="145"/>
      <c r="U692" s="28"/>
      <c r="V692" s="30"/>
      <c r="W692" s="28"/>
      <c r="X692" s="28"/>
      <c r="Y692" s="28"/>
      <c r="Z692" s="28"/>
    </row>
    <row r="693" ht="13.5" customHeight="1">
      <c r="A693" s="28"/>
      <c r="B693" s="28"/>
      <c r="C693" s="28"/>
      <c r="D693" s="28"/>
      <c r="E693" s="28"/>
      <c r="F693" s="28"/>
      <c r="G693" s="28"/>
      <c r="H693" s="28"/>
      <c r="I693" s="28"/>
      <c r="J693" s="143"/>
      <c r="K693" s="28"/>
      <c r="L693" s="28"/>
      <c r="M693" s="28"/>
      <c r="N693" s="28"/>
      <c r="O693" s="28"/>
      <c r="P693" s="28"/>
      <c r="Q693" s="144"/>
      <c r="R693" s="144"/>
      <c r="S693" s="144"/>
      <c r="T693" s="145"/>
      <c r="U693" s="28"/>
      <c r="V693" s="30"/>
      <c r="W693" s="28"/>
      <c r="X693" s="28"/>
      <c r="Y693" s="28"/>
      <c r="Z693" s="28"/>
    </row>
    <row r="694" ht="13.5" customHeight="1">
      <c r="A694" s="28"/>
      <c r="B694" s="28"/>
      <c r="C694" s="28"/>
      <c r="D694" s="28"/>
      <c r="E694" s="28"/>
      <c r="F694" s="28"/>
      <c r="G694" s="28"/>
      <c r="H694" s="28"/>
      <c r="I694" s="28"/>
      <c r="J694" s="143"/>
      <c r="K694" s="28"/>
      <c r="L694" s="28"/>
      <c r="M694" s="28"/>
      <c r="N694" s="28"/>
      <c r="O694" s="28"/>
      <c r="P694" s="28"/>
      <c r="Q694" s="144"/>
      <c r="R694" s="144"/>
      <c r="S694" s="144"/>
      <c r="T694" s="145"/>
      <c r="U694" s="28"/>
      <c r="V694" s="30"/>
      <c r="W694" s="28"/>
      <c r="X694" s="28"/>
      <c r="Y694" s="28"/>
      <c r="Z694" s="28"/>
    </row>
    <row r="695" ht="13.5" customHeight="1">
      <c r="A695" s="28"/>
      <c r="B695" s="28"/>
      <c r="C695" s="28"/>
      <c r="D695" s="28"/>
      <c r="E695" s="28"/>
      <c r="F695" s="28"/>
      <c r="G695" s="28"/>
      <c r="H695" s="28"/>
      <c r="I695" s="28"/>
      <c r="J695" s="143"/>
      <c r="K695" s="28"/>
      <c r="L695" s="28"/>
      <c r="M695" s="28"/>
      <c r="N695" s="28"/>
      <c r="O695" s="28"/>
      <c r="P695" s="28"/>
      <c r="Q695" s="144"/>
      <c r="R695" s="144"/>
      <c r="S695" s="144"/>
      <c r="T695" s="145"/>
      <c r="U695" s="28"/>
      <c r="V695" s="30"/>
      <c r="W695" s="28"/>
      <c r="X695" s="28"/>
      <c r="Y695" s="28"/>
      <c r="Z695" s="28"/>
    </row>
    <row r="696" ht="13.5" customHeight="1">
      <c r="A696" s="28"/>
      <c r="B696" s="28"/>
      <c r="C696" s="28"/>
      <c r="D696" s="28"/>
      <c r="E696" s="28"/>
      <c r="F696" s="28"/>
      <c r="G696" s="28"/>
      <c r="H696" s="28"/>
      <c r="I696" s="28"/>
      <c r="J696" s="143"/>
      <c r="K696" s="28"/>
      <c r="L696" s="28"/>
      <c r="M696" s="28"/>
      <c r="N696" s="28"/>
      <c r="O696" s="28"/>
      <c r="P696" s="28"/>
      <c r="Q696" s="144"/>
      <c r="R696" s="144"/>
      <c r="S696" s="144"/>
      <c r="T696" s="145"/>
      <c r="U696" s="28"/>
      <c r="V696" s="30"/>
      <c r="W696" s="28"/>
      <c r="X696" s="28"/>
      <c r="Y696" s="28"/>
      <c r="Z696" s="28"/>
    </row>
    <row r="697" ht="13.5" customHeight="1">
      <c r="A697" s="28"/>
      <c r="B697" s="28"/>
      <c r="C697" s="28"/>
      <c r="D697" s="28"/>
      <c r="E697" s="28"/>
      <c r="F697" s="28"/>
      <c r="G697" s="28"/>
      <c r="H697" s="28"/>
      <c r="I697" s="28"/>
      <c r="J697" s="143"/>
      <c r="K697" s="28"/>
      <c r="L697" s="28"/>
      <c r="M697" s="28"/>
      <c r="N697" s="28"/>
      <c r="O697" s="28"/>
      <c r="P697" s="28"/>
      <c r="Q697" s="144"/>
      <c r="R697" s="144"/>
      <c r="S697" s="144"/>
      <c r="T697" s="145"/>
      <c r="U697" s="28"/>
      <c r="V697" s="30"/>
      <c r="W697" s="28"/>
      <c r="X697" s="28"/>
      <c r="Y697" s="28"/>
      <c r="Z697" s="28"/>
    </row>
    <row r="698" ht="13.5" customHeight="1">
      <c r="A698" s="28"/>
      <c r="B698" s="28"/>
      <c r="C698" s="28"/>
      <c r="D698" s="28"/>
      <c r="E698" s="28"/>
      <c r="F698" s="28"/>
      <c r="G698" s="28"/>
      <c r="H698" s="28"/>
      <c r="I698" s="28"/>
      <c r="J698" s="143"/>
      <c r="K698" s="28"/>
      <c r="L698" s="28"/>
      <c r="M698" s="28"/>
      <c r="N698" s="28"/>
      <c r="O698" s="28"/>
      <c r="P698" s="28"/>
      <c r="Q698" s="144"/>
      <c r="R698" s="144"/>
      <c r="S698" s="144"/>
      <c r="T698" s="145"/>
      <c r="U698" s="28"/>
      <c r="V698" s="30"/>
      <c r="W698" s="28"/>
      <c r="X698" s="28"/>
      <c r="Y698" s="28"/>
      <c r="Z698" s="28"/>
    </row>
    <row r="699" ht="13.5" customHeight="1">
      <c r="A699" s="28"/>
      <c r="B699" s="28"/>
      <c r="C699" s="28"/>
      <c r="D699" s="28"/>
      <c r="E699" s="28"/>
      <c r="F699" s="28"/>
      <c r="G699" s="28"/>
      <c r="H699" s="28"/>
      <c r="I699" s="28"/>
      <c r="J699" s="143"/>
      <c r="K699" s="28"/>
      <c r="L699" s="28"/>
      <c r="M699" s="28"/>
      <c r="N699" s="28"/>
      <c r="O699" s="28"/>
      <c r="P699" s="28"/>
      <c r="Q699" s="144"/>
      <c r="R699" s="144"/>
      <c r="S699" s="144"/>
      <c r="T699" s="145"/>
      <c r="U699" s="28"/>
      <c r="V699" s="30"/>
      <c r="W699" s="28"/>
      <c r="X699" s="28"/>
      <c r="Y699" s="28"/>
      <c r="Z699" s="28"/>
    </row>
    <row r="700" ht="13.5" customHeight="1">
      <c r="A700" s="28"/>
      <c r="B700" s="28"/>
      <c r="C700" s="28"/>
      <c r="D700" s="28"/>
      <c r="E700" s="28"/>
      <c r="F700" s="28"/>
      <c r="G700" s="28"/>
      <c r="H700" s="28"/>
      <c r="I700" s="28"/>
      <c r="J700" s="143"/>
      <c r="K700" s="28"/>
      <c r="L700" s="28"/>
      <c r="M700" s="28"/>
      <c r="N700" s="28"/>
      <c r="O700" s="28"/>
      <c r="P700" s="28"/>
      <c r="Q700" s="144"/>
      <c r="R700" s="144"/>
      <c r="S700" s="144"/>
      <c r="T700" s="145"/>
      <c r="U700" s="28"/>
      <c r="V700" s="30"/>
      <c r="W700" s="28"/>
      <c r="X700" s="28"/>
      <c r="Y700" s="28"/>
      <c r="Z700" s="28"/>
    </row>
    <row r="701" ht="13.5" customHeight="1">
      <c r="A701" s="28"/>
      <c r="B701" s="28"/>
      <c r="C701" s="28"/>
      <c r="D701" s="28"/>
      <c r="E701" s="28"/>
      <c r="F701" s="28"/>
      <c r="G701" s="28"/>
      <c r="H701" s="28"/>
      <c r="I701" s="28"/>
      <c r="J701" s="143"/>
      <c r="K701" s="28"/>
      <c r="L701" s="28"/>
      <c r="M701" s="28"/>
      <c r="N701" s="28"/>
      <c r="O701" s="28"/>
      <c r="P701" s="28"/>
      <c r="Q701" s="144"/>
      <c r="R701" s="144"/>
      <c r="S701" s="144"/>
      <c r="T701" s="145"/>
      <c r="U701" s="28"/>
      <c r="V701" s="30"/>
      <c r="W701" s="28"/>
      <c r="X701" s="28"/>
      <c r="Y701" s="28"/>
      <c r="Z701" s="28"/>
    </row>
    <row r="702" ht="13.5" customHeight="1">
      <c r="A702" s="28"/>
      <c r="B702" s="28"/>
      <c r="C702" s="28"/>
      <c r="D702" s="28"/>
      <c r="E702" s="28"/>
      <c r="F702" s="28"/>
      <c r="G702" s="28"/>
      <c r="H702" s="28"/>
      <c r="I702" s="28"/>
      <c r="J702" s="143"/>
      <c r="K702" s="28"/>
      <c r="L702" s="28"/>
      <c r="M702" s="28"/>
      <c r="N702" s="28"/>
      <c r="O702" s="28"/>
      <c r="P702" s="28"/>
      <c r="Q702" s="144"/>
      <c r="R702" s="144"/>
      <c r="S702" s="144"/>
      <c r="T702" s="145"/>
      <c r="U702" s="28"/>
      <c r="V702" s="30"/>
      <c r="W702" s="28"/>
      <c r="X702" s="28"/>
      <c r="Y702" s="28"/>
      <c r="Z702" s="28"/>
    </row>
    <row r="703" ht="13.5" customHeight="1">
      <c r="A703" s="28"/>
      <c r="B703" s="28"/>
      <c r="C703" s="28"/>
      <c r="D703" s="28"/>
      <c r="E703" s="28"/>
      <c r="F703" s="28"/>
      <c r="G703" s="28"/>
      <c r="H703" s="28"/>
      <c r="I703" s="28"/>
      <c r="J703" s="143"/>
      <c r="K703" s="28"/>
      <c r="L703" s="28"/>
      <c r="M703" s="28"/>
      <c r="N703" s="28"/>
      <c r="O703" s="28"/>
      <c r="P703" s="28"/>
      <c r="Q703" s="144"/>
      <c r="R703" s="144"/>
      <c r="S703" s="144"/>
      <c r="T703" s="145"/>
      <c r="U703" s="28"/>
      <c r="V703" s="30"/>
      <c r="W703" s="28"/>
      <c r="X703" s="28"/>
      <c r="Y703" s="28"/>
      <c r="Z703" s="28"/>
    </row>
    <row r="704" ht="13.5" customHeight="1">
      <c r="A704" s="28"/>
      <c r="B704" s="28"/>
      <c r="C704" s="28"/>
      <c r="D704" s="28"/>
      <c r="E704" s="28"/>
      <c r="F704" s="28"/>
      <c r="G704" s="28"/>
      <c r="H704" s="28"/>
      <c r="I704" s="28"/>
      <c r="J704" s="143"/>
      <c r="K704" s="28"/>
      <c r="L704" s="28"/>
      <c r="M704" s="28"/>
      <c r="N704" s="28"/>
      <c r="O704" s="28"/>
      <c r="P704" s="28"/>
      <c r="Q704" s="144"/>
      <c r="R704" s="144"/>
      <c r="S704" s="144"/>
      <c r="T704" s="145"/>
      <c r="U704" s="28"/>
      <c r="V704" s="30"/>
      <c r="W704" s="28"/>
      <c r="X704" s="28"/>
      <c r="Y704" s="28"/>
      <c r="Z704" s="28"/>
    </row>
    <row r="705" ht="13.5" customHeight="1">
      <c r="A705" s="28"/>
      <c r="B705" s="28"/>
      <c r="C705" s="28"/>
      <c r="D705" s="28"/>
      <c r="E705" s="28"/>
      <c r="F705" s="28"/>
      <c r="G705" s="28"/>
      <c r="H705" s="28"/>
      <c r="I705" s="28"/>
      <c r="J705" s="143"/>
      <c r="K705" s="28"/>
      <c r="L705" s="28"/>
      <c r="M705" s="28"/>
      <c r="N705" s="28"/>
      <c r="O705" s="28"/>
      <c r="P705" s="28"/>
      <c r="Q705" s="144"/>
      <c r="R705" s="144"/>
      <c r="S705" s="144"/>
      <c r="T705" s="145"/>
      <c r="U705" s="28"/>
      <c r="V705" s="30"/>
      <c r="W705" s="28"/>
      <c r="X705" s="28"/>
      <c r="Y705" s="28"/>
      <c r="Z705" s="28"/>
    </row>
    <row r="706" ht="13.5" customHeight="1">
      <c r="A706" s="28"/>
      <c r="B706" s="28"/>
      <c r="C706" s="28"/>
      <c r="D706" s="28"/>
      <c r="E706" s="28"/>
      <c r="F706" s="28"/>
      <c r="G706" s="28"/>
      <c r="H706" s="28"/>
      <c r="I706" s="28"/>
      <c r="J706" s="143"/>
      <c r="K706" s="28"/>
      <c r="L706" s="28"/>
      <c r="M706" s="28"/>
      <c r="N706" s="28"/>
      <c r="O706" s="28"/>
      <c r="P706" s="28"/>
      <c r="Q706" s="144"/>
      <c r="R706" s="144"/>
      <c r="S706" s="144"/>
      <c r="T706" s="145"/>
      <c r="U706" s="28"/>
      <c r="V706" s="30"/>
      <c r="W706" s="28"/>
      <c r="X706" s="28"/>
      <c r="Y706" s="28"/>
      <c r="Z706" s="28"/>
    </row>
    <row r="707" ht="13.5" customHeight="1">
      <c r="A707" s="28"/>
      <c r="B707" s="28"/>
      <c r="C707" s="28"/>
      <c r="D707" s="28"/>
      <c r="E707" s="28"/>
      <c r="F707" s="28"/>
      <c r="G707" s="28"/>
      <c r="H707" s="28"/>
      <c r="I707" s="28"/>
      <c r="J707" s="143"/>
      <c r="K707" s="28"/>
      <c r="L707" s="28"/>
      <c r="M707" s="28"/>
      <c r="N707" s="28"/>
      <c r="O707" s="28"/>
      <c r="P707" s="28"/>
      <c r="Q707" s="144"/>
      <c r="R707" s="144"/>
      <c r="S707" s="144"/>
      <c r="T707" s="145"/>
      <c r="U707" s="28"/>
      <c r="V707" s="30"/>
      <c r="W707" s="28"/>
      <c r="X707" s="28"/>
      <c r="Y707" s="28"/>
      <c r="Z707" s="28"/>
    </row>
    <row r="708" ht="13.5" customHeight="1">
      <c r="A708" s="28"/>
      <c r="B708" s="28"/>
      <c r="C708" s="28"/>
      <c r="D708" s="28"/>
      <c r="E708" s="28"/>
      <c r="F708" s="28"/>
      <c r="G708" s="28"/>
      <c r="H708" s="28"/>
      <c r="I708" s="28"/>
      <c r="J708" s="143"/>
      <c r="K708" s="28"/>
      <c r="L708" s="28"/>
      <c r="M708" s="28"/>
      <c r="N708" s="28"/>
      <c r="O708" s="28"/>
      <c r="P708" s="28"/>
      <c r="Q708" s="144"/>
      <c r="R708" s="144"/>
      <c r="S708" s="144"/>
      <c r="T708" s="145"/>
      <c r="U708" s="28"/>
      <c r="V708" s="30"/>
      <c r="W708" s="28"/>
      <c r="X708" s="28"/>
      <c r="Y708" s="28"/>
      <c r="Z708" s="28"/>
    </row>
    <row r="709" ht="13.5" customHeight="1">
      <c r="A709" s="28"/>
      <c r="B709" s="28"/>
      <c r="C709" s="28"/>
      <c r="D709" s="28"/>
      <c r="E709" s="28"/>
      <c r="F709" s="28"/>
      <c r="G709" s="28"/>
      <c r="H709" s="28"/>
      <c r="I709" s="28"/>
      <c r="J709" s="143"/>
      <c r="K709" s="28"/>
      <c r="L709" s="28"/>
      <c r="M709" s="28"/>
      <c r="N709" s="28"/>
      <c r="O709" s="28"/>
      <c r="P709" s="28"/>
      <c r="Q709" s="144"/>
      <c r="R709" s="144"/>
      <c r="S709" s="144"/>
      <c r="T709" s="145"/>
      <c r="U709" s="28"/>
      <c r="V709" s="30"/>
      <c r="W709" s="28"/>
      <c r="X709" s="28"/>
      <c r="Y709" s="28"/>
      <c r="Z709" s="28"/>
    </row>
    <row r="710" ht="13.5" customHeight="1">
      <c r="A710" s="28"/>
      <c r="B710" s="28"/>
      <c r="C710" s="28"/>
      <c r="D710" s="28"/>
      <c r="E710" s="28"/>
      <c r="F710" s="28"/>
      <c r="G710" s="28"/>
      <c r="H710" s="28"/>
      <c r="I710" s="28"/>
      <c r="J710" s="143"/>
      <c r="K710" s="28"/>
      <c r="L710" s="28"/>
      <c r="M710" s="28"/>
      <c r="N710" s="28"/>
      <c r="O710" s="28"/>
      <c r="P710" s="28"/>
      <c r="Q710" s="144"/>
      <c r="R710" s="144"/>
      <c r="S710" s="144"/>
      <c r="T710" s="145"/>
      <c r="U710" s="28"/>
      <c r="V710" s="30"/>
      <c r="W710" s="28"/>
      <c r="X710" s="28"/>
      <c r="Y710" s="28"/>
      <c r="Z710" s="28"/>
    </row>
    <row r="711" ht="13.5" customHeight="1">
      <c r="A711" s="28"/>
      <c r="B711" s="28"/>
      <c r="C711" s="28"/>
      <c r="D711" s="28"/>
      <c r="E711" s="28"/>
      <c r="F711" s="28"/>
      <c r="G711" s="28"/>
      <c r="H711" s="28"/>
      <c r="I711" s="28"/>
      <c r="J711" s="143"/>
      <c r="K711" s="28"/>
      <c r="L711" s="28"/>
      <c r="M711" s="28"/>
      <c r="N711" s="28"/>
      <c r="O711" s="28"/>
      <c r="P711" s="28"/>
      <c r="Q711" s="144"/>
      <c r="R711" s="144"/>
      <c r="S711" s="144"/>
      <c r="T711" s="145"/>
      <c r="U711" s="28"/>
      <c r="V711" s="30"/>
      <c r="W711" s="28"/>
      <c r="X711" s="28"/>
      <c r="Y711" s="28"/>
      <c r="Z711" s="28"/>
    </row>
    <row r="712" ht="13.5" customHeight="1">
      <c r="A712" s="28"/>
      <c r="B712" s="28"/>
      <c r="C712" s="28"/>
      <c r="D712" s="28"/>
      <c r="E712" s="28"/>
      <c r="F712" s="28"/>
      <c r="G712" s="28"/>
      <c r="H712" s="28"/>
      <c r="I712" s="28"/>
      <c r="J712" s="143"/>
      <c r="K712" s="28"/>
      <c r="L712" s="28"/>
      <c r="M712" s="28"/>
      <c r="N712" s="28"/>
      <c r="O712" s="28"/>
      <c r="P712" s="28"/>
      <c r="Q712" s="144"/>
      <c r="R712" s="144"/>
      <c r="S712" s="144"/>
      <c r="T712" s="145"/>
      <c r="U712" s="28"/>
      <c r="V712" s="30"/>
      <c r="W712" s="28"/>
      <c r="X712" s="28"/>
      <c r="Y712" s="28"/>
      <c r="Z712" s="28"/>
    </row>
    <row r="713" ht="13.5" customHeight="1">
      <c r="A713" s="28"/>
      <c r="B713" s="28"/>
      <c r="C713" s="28"/>
      <c r="D713" s="28"/>
      <c r="E713" s="28"/>
      <c r="F713" s="28"/>
      <c r="G713" s="28"/>
      <c r="H713" s="28"/>
      <c r="I713" s="28"/>
      <c r="J713" s="143"/>
      <c r="K713" s="28"/>
      <c r="L713" s="28"/>
      <c r="M713" s="28"/>
      <c r="N713" s="28"/>
      <c r="O713" s="28"/>
      <c r="P713" s="28"/>
      <c r="Q713" s="144"/>
      <c r="R713" s="144"/>
      <c r="S713" s="144"/>
      <c r="T713" s="145"/>
      <c r="U713" s="28"/>
      <c r="V713" s="30"/>
      <c r="W713" s="28"/>
      <c r="X713" s="28"/>
      <c r="Y713" s="28"/>
      <c r="Z713" s="28"/>
    </row>
    <row r="714" ht="13.5" customHeight="1">
      <c r="A714" s="28"/>
      <c r="B714" s="28"/>
      <c r="C714" s="28"/>
      <c r="D714" s="28"/>
      <c r="E714" s="28"/>
      <c r="F714" s="28"/>
      <c r="G714" s="28"/>
      <c r="H714" s="28"/>
      <c r="I714" s="28"/>
      <c r="J714" s="143"/>
      <c r="K714" s="28"/>
      <c r="L714" s="28"/>
      <c r="M714" s="28"/>
      <c r="N714" s="28"/>
      <c r="O714" s="28"/>
      <c r="P714" s="28"/>
      <c r="Q714" s="144"/>
      <c r="R714" s="144"/>
      <c r="S714" s="144"/>
      <c r="T714" s="145"/>
      <c r="U714" s="28"/>
      <c r="V714" s="30"/>
      <c r="W714" s="28"/>
      <c r="X714" s="28"/>
      <c r="Y714" s="28"/>
      <c r="Z714" s="28"/>
    </row>
    <row r="715" ht="13.5" customHeight="1">
      <c r="A715" s="28"/>
      <c r="B715" s="28"/>
      <c r="C715" s="28"/>
      <c r="D715" s="28"/>
      <c r="E715" s="28"/>
      <c r="F715" s="28"/>
      <c r="G715" s="28"/>
      <c r="H715" s="28"/>
      <c r="I715" s="28"/>
      <c r="J715" s="143"/>
      <c r="K715" s="28"/>
      <c r="L715" s="28"/>
      <c r="M715" s="28"/>
      <c r="N715" s="28"/>
      <c r="O715" s="28"/>
      <c r="P715" s="28"/>
      <c r="Q715" s="144"/>
      <c r="R715" s="144"/>
      <c r="S715" s="144"/>
      <c r="T715" s="145"/>
      <c r="U715" s="28"/>
      <c r="V715" s="30"/>
      <c r="W715" s="28"/>
      <c r="X715" s="28"/>
      <c r="Y715" s="28"/>
      <c r="Z715" s="28"/>
    </row>
    <row r="716" ht="13.5" customHeight="1">
      <c r="A716" s="28"/>
      <c r="B716" s="28"/>
      <c r="C716" s="28"/>
      <c r="D716" s="28"/>
      <c r="E716" s="28"/>
      <c r="F716" s="28"/>
      <c r="G716" s="28"/>
      <c r="H716" s="28"/>
      <c r="I716" s="28"/>
      <c r="J716" s="143"/>
      <c r="K716" s="28"/>
      <c r="L716" s="28"/>
      <c r="M716" s="28"/>
      <c r="N716" s="28"/>
      <c r="O716" s="28"/>
      <c r="P716" s="28"/>
      <c r="Q716" s="144"/>
      <c r="R716" s="144"/>
      <c r="S716" s="144"/>
      <c r="T716" s="145"/>
      <c r="U716" s="28"/>
      <c r="V716" s="30"/>
      <c r="W716" s="28"/>
      <c r="X716" s="28"/>
      <c r="Y716" s="28"/>
      <c r="Z716" s="28"/>
    </row>
    <row r="717" ht="13.5" customHeight="1">
      <c r="A717" s="28"/>
      <c r="B717" s="28"/>
      <c r="C717" s="28"/>
      <c r="D717" s="28"/>
      <c r="E717" s="28"/>
      <c r="F717" s="28"/>
      <c r="G717" s="28"/>
      <c r="H717" s="28"/>
      <c r="I717" s="28"/>
      <c r="J717" s="143"/>
      <c r="K717" s="28"/>
      <c r="L717" s="28"/>
      <c r="M717" s="28"/>
      <c r="N717" s="28"/>
      <c r="O717" s="28"/>
      <c r="P717" s="28"/>
      <c r="Q717" s="144"/>
      <c r="R717" s="144"/>
      <c r="S717" s="144"/>
      <c r="T717" s="145"/>
      <c r="U717" s="28"/>
      <c r="V717" s="30"/>
      <c r="W717" s="28"/>
      <c r="X717" s="28"/>
      <c r="Y717" s="28"/>
      <c r="Z717" s="28"/>
    </row>
    <row r="718" ht="13.5" customHeight="1">
      <c r="A718" s="28"/>
      <c r="B718" s="28"/>
      <c r="C718" s="28"/>
      <c r="D718" s="28"/>
      <c r="E718" s="28"/>
      <c r="F718" s="28"/>
      <c r="G718" s="28"/>
      <c r="H718" s="28"/>
      <c r="I718" s="28"/>
      <c r="J718" s="143"/>
      <c r="K718" s="28"/>
      <c r="L718" s="28"/>
      <c r="M718" s="28"/>
      <c r="N718" s="28"/>
      <c r="O718" s="28"/>
      <c r="P718" s="28"/>
      <c r="Q718" s="144"/>
      <c r="R718" s="144"/>
      <c r="S718" s="144"/>
      <c r="T718" s="145"/>
      <c r="U718" s="28"/>
      <c r="V718" s="30"/>
      <c r="W718" s="28"/>
      <c r="X718" s="28"/>
      <c r="Y718" s="28"/>
      <c r="Z718" s="28"/>
    </row>
    <row r="719" ht="13.5" customHeight="1">
      <c r="A719" s="28"/>
      <c r="B719" s="28"/>
      <c r="C719" s="28"/>
      <c r="D719" s="28"/>
      <c r="E719" s="28"/>
      <c r="F719" s="28"/>
      <c r="G719" s="28"/>
      <c r="H719" s="28"/>
      <c r="I719" s="28"/>
      <c r="J719" s="143"/>
      <c r="K719" s="28"/>
      <c r="L719" s="28"/>
      <c r="M719" s="28"/>
      <c r="N719" s="28"/>
      <c r="O719" s="28"/>
      <c r="P719" s="28"/>
      <c r="Q719" s="144"/>
      <c r="R719" s="144"/>
      <c r="S719" s="144"/>
      <c r="T719" s="145"/>
      <c r="U719" s="28"/>
      <c r="V719" s="30"/>
      <c r="W719" s="28"/>
      <c r="X719" s="28"/>
      <c r="Y719" s="28"/>
      <c r="Z719" s="28"/>
    </row>
    <row r="720" ht="13.5" customHeight="1">
      <c r="A720" s="28"/>
      <c r="B720" s="28"/>
      <c r="C720" s="28"/>
      <c r="D720" s="28"/>
      <c r="E720" s="28"/>
      <c r="F720" s="28"/>
      <c r="G720" s="28"/>
      <c r="H720" s="28"/>
      <c r="I720" s="28"/>
      <c r="J720" s="143"/>
      <c r="K720" s="28"/>
      <c r="L720" s="28"/>
      <c r="M720" s="28"/>
      <c r="N720" s="28"/>
      <c r="O720" s="28"/>
      <c r="P720" s="28"/>
      <c r="Q720" s="144"/>
      <c r="R720" s="144"/>
      <c r="S720" s="144"/>
      <c r="T720" s="145"/>
      <c r="U720" s="28"/>
      <c r="V720" s="30"/>
      <c r="W720" s="28"/>
      <c r="X720" s="28"/>
      <c r="Y720" s="28"/>
      <c r="Z720" s="28"/>
    </row>
    <row r="721" ht="13.5" customHeight="1">
      <c r="A721" s="28"/>
      <c r="B721" s="28"/>
      <c r="C721" s="28"/>
      <c r="D721" s="28"/>
      <c r="E721" s="28"/>
      <c r="F721" s="28"/>
      <c r="G721" s="28"/>
      <c r="H721" s="28"/>
      <c r="I721" s="28"/>
      <c r="J721" s="143"/>
      <c r="K721" s="28"/>
      <c r="L721" s="28"/>
      <c r="M721" s="28"/>
      <c r="N721" s="28"/>
      <c r="O721" s="28"/>
      <c r="P721" s="28"/>
      <c r="Q721" s="144"/>
      <c r="R721" s="144"/>
      <c r="S721" s="144"/>
      <c r="T721" s="145"/>
      <c r="U721" s="28"/>
      <c r="V721" s="30"/>
      <c r="W721" s="28"/>
      <c r="X721" s="28"/>
      <c r="Y721" s="28"/>
      <c r="Z721" s="28"/>
    </row>
    <row r="722" ht="13.5" customHeight="1">
      <c r="A722" s="28"/>
      <c r="B722" s="28"/>
      <c r="C722" s="28"/>
      <c r="D722" s="28"/>
      <c r="E722" s="28"/>
      <c r="F722" s="28"/>
      <c r="G722" s="28"/>
      <c r="H722" s="28"/>
      <c r="I722" s="28"/>
      <c r="J722" s="143"/>
      <c r="K722" s="28"/>
      <c r="L722" s="28"/>
      <c r="M722" s="28"/>
      <c r="N722" s="28"/>
      <c r="O722" s="28"/>
      <c r="P722" s="28"/>
      <c r="Q722" s="144"/>
      <c r="R722" s="144"/>
      <c r="S722" s="144"/>
      <c r="T722" s="145"/>
      <c r="U722" s="28"/>
      <c r="V722" s="30"/>
      <c r="W722" s="28"/>
      <c r="X722" s="28"/>
      <c r="Y722" s="28"/>
      <c r="Z722" s="28"/>
    </row>
    <row r="723" ht="13.5" customHeight="1">
      <c r="A723" s="28"/>
      <c r="B723" s="28"/>
      <c r="C723" s="28"/>
      <c r="D723" s="28"/>
      <c r="E723" s="28"/>
      <c r="F723" s="28"/>
      <c r="G723" s="28"/>
      <c r="H723" s="28"/>
      <c r="I723" s="28"/>
      <c r="J723" s="143"/>
      <c r="K723" s="28"/>
      <c r="L723" s="28"/>
      <c r="M723" s="28"/>
      <c r="N723" s="28"/>
      <c r="O723" s="28"/>
      <c r="P723" s="28"/>
      <c r="Q723" s="144"/>
      <c r="R723" s="144"/>
      <c r="S723" s="144"/>
      <c r="T723" s="145"/>
      <c r="U723" s="28"/>
      <c r="V723" s="30"/>
      <c r="W723" s="28"/>
      <c r="X723" s="28"/>
      <c r="Y723" s="28"/>
      <c r="Z723" s="28"/>
    </row>
    <row r="724" ht="13.5" customHeight="1">
      <c r="A724" s="28"/>
      <c r="B724" s="28"/>
      <c r="C724" s="28"/>
      <c r="D724" s="28"/>
      <c r="E724" s="28"/>
      <c r="F724" s="28"/>
      <c r="G724" s="28"/>
      <c r="H724" s="28"/>
      <c r="I724" s="28"/>
      <c r="J724" s="143"/>
      <c r="K724" s="28"/>
      <c r="L724" s="28"/>
      <c r="M724" s="28"/>
      <c r="N724" s="28"/>
      <c r="O724" s="28"/>
      <c r="P724" s="28"/>
      <c r="Q724" s="144"/>
      <c r="R724" s="144"/>
      <c r="S724" s="144"/>
      <c r="T724" s="145"/>
      <c r="U724" s="28"/>
      <c r="V724" s="30"/>
      <c r="W724" s="28"/>
      <c r="X724" s="28"/>
      <c r="Y724" s="28"/>
      <c r="Z724" s="28"/>
    </row>
    <row r="725" ht="13.5" customHeight="1">
      <c r="A725" s="28"/>
      <c r="B725" s="28"/>
      <c r="C725" s="28"/>
      <c r="D725" s="28"/>
      <c r="E725" s="28"/>
      <c r="F725" s="28"/>
      <c r="G725" s="28"/>
      <c r="H725" s="28"/>
      <c r="I725" s="28"/>
      <c r="J725" s="143"/>
      <c r="K725" s="28"/>
      <c r="L725" s="28"/>
      <c r="M725" s="28"/>
      <c r="N725" s="28"/>
      <c r="O725" s="28"/>
      <c r="P725" s="28"/>
      <c r="Q725" s="144"/>
      <c r="R725" s="144"/>
      <c r="S725" s="144"/>
      <c r="T725" s="145"/>
      <c r="U725" s="28"/>
      <c r="V725" s="30"/>
      <c r="W725" s="28"/>
      <c r="X725" s="28"/>
      <c r="Y725" s="28"/>
      <c r="Z725" s="28"/>
    </row>
    <row r="726" ht="13.5" customHeight="1">
      <c r="A726" s="28"/>
      <c r="B726" s="28"/>
      <c r="C726" s="28"/>
      <c r="D726" s="28"/>
      <c r="E726" s="28"/>
      <c r="F726" s="28"/>
      <c r="G726" s="28"/>
      <c r="H726" s="28"/>
      <c r="I726" s="28"/>
      <c r="J726" s="143"/>
      <c r="K726" s="28"/>
      <c r="L726" s="28"/>
      <c r="M726" s="28"/>
      <c r="N726" s="28"/>
      <c r="O726" s="28"/>
      <c r="P726" s="28"/>
      <c r="Q726" s="144"/>
      <c r="R726" s="144"/>
      <c r="S726" s="144"/>
      <c r="T726" s="145"/>
      <c r="U726" s="28"/>
      <c r="V726" s="30"/>
      <c r="W726" s="28"/>
      <c r="X726" s="28"/>
      <c r="Y726" s="28"/>
      <c r="Z726" s="28"/>
    </row>
    <row r="727" ht="13.5" customHeight="1">
      <c r="A727" s="28"/>
      <c r="B727" s="28"/>
      <c r="C727" s="28"/>
      <c r="D727" s="28"/>
      <c r="E727" s="28"/>
      <c r="F727" s="28"/>
      <c r="G727" s="28"/>
      <c r="H727" s="28"/>
      <c r="I727" s="28"/>
      <c r="J727" s="143"/>
      <c r="K727" s="28"/>
      <c r="L727" s="28"/>
      <c r="M727" s="28"/>
      <c r="N727" s="28"/>
      <c r="O727" s="28"/>
      <c r="P727" s="28"/>
      <c r="Q727" s="144"/>
      <c r="R727" s="144"/>
      <c r="S727" s="144"/>
      <c r="T727" s="145"/>
      <c r="U727" s="28"/>
      <c r="V727" s="30"/>
      <c r="W727" s="28"/>
      <c r="X727" s="28"/>
      <c r="Y727" s="28"/>
      <c r="Z727" s="28"/>
    </row>
    <row r="728" ht="13.5" customHeight="1">
      <c r="A728" s="28"/>
      <c r="B728" s="28"/>
      <c r="C728" s="28"/>
      <c r="D728" s="28"/>
      <c r="E728" s="28"/>
      <c r="F728" s="28"/>
      <c r="G728" s="28"/>
      <c r="H728" s="28"/>
      <c r="I728" s="28"/>
      <c r="J728" s="143"/>
      <c r="K728" s="28"/>
      <c r="L728" s="28"/>
      <c r="M728" s="28"/>
      <c r="N728" s="28"/>
      <c r="O728" s="28"/>
      <c r="P728" s="28"/>
      <c r="Q728" s="144"/>
      <c r="R728" s="144"/>
      <c r="S728" s="144"/>
      <c r="T728" s="145"/>
      <c r="U728" s="28"/>
      <c r="V728" s="30"/>
      <c r="W728" s="28"/>
      <c r="X728" s="28"/>
      <c r="Y728" s="28"/>
      <c r="Z728" s="28"/>
    </row>
    <row r="729" ht="13.5" customHeight="1">
      <c r="A729" s="28"/>
      <c r="B729" s="28"/>
      <c r="C729" s="28"/>
      <c r="D729" s="28"/>
      <c r="E729" s="28"/>
      <c r="F729" s="28"/>
      <c r="G729" s="28"/>
      <c r="H729" s="28"/>
      <c r="I729" s="28"/>
      <c r="J729" s="143"/>
      <c r="K729" s="28"/>
      <c r="L729" s="28"/>
      <c r="M729" s="28"/>
      <c r="N729" s="28"/>
      <c r="O729" s="28"/>
      <c r="P729" s="28"/>
      <c r="Q729" s="144"/>
      <c r="R729" s="144"/>
      <c r="S729" s="144"/>
      <c r="T729" s="145"/>
      <c r="U729" s="28"/>
      <c r="V729" s="30"/>
      <c r="W729" s="28"/>
      <c r="X729" s="28"/>
      <c r="Y729" s="28"/>
      <c r="Z729" s="28"/>
    </row>
    <row r="730" ht="13.5" customHeight="1">
      <c r="A730" s="28"/>
      <c r="B730" s="28"/>
      <c r="C730" s="28"/>
      <c r="D730" s="28"/>
      <c r="E730" s="28"/>
      <c r="F730" s="28"/>
      <c r="G730" s="28"/>
      <c r="H730" s="28"/>
      <c r="I730" s="28"/>
      <c r="J730" s="143"/>
      <c r="K730" s="28"/>
      <c r="L730" s="28"/>
      <c r="M730" s="28"/>
      <c r="N730" s="28"/>
      <c r="O730" s="28"/>
      <c r="P730" s="28"/>
      <c r="Q730" s="144"/>
      <c r="R730" s="144"/>
      <c r="S730" s="144"/>
      <c r="T730" s="145"/>
      <c r="U730" s="28"/>
      <c r="V730" s="30"/>
      <c r="W730" s="28"/>
      <c r="X730" s="28"/>
      <c r="Y730" s="28"/>
      <c r="Z730" s="28"/>
    </row>
    <row r="731" ht="13.5" customHeight="1">
      <c r="A731" s="28"/>
      <c r="B731" s="28"/>
      <c r="C731" s="28"/>
      <c r="D731" s="28"/>
      <c r="E731" s="28"/>
      <c r="F731" s="28"/>
      <c r="G731" s="28"/>
      <c r="H731" s="28"/>
      <c r="I731" s="28"/>
      <c r="J731" s="143"/>
      <c r="K731" s="28"/>
      <c r="L731" s="28"/>
      <c r="M731" s="28"/>
      <c r="N731" s="28"/>
      <c r="O731" s="28"/>
      <c r="P731" s="28"/>
      <c r="Q731" s="144"/>
      <c r="R731" s="144"/>
      <c r="S731" s="144"/>
      <c r="T731" s="145"/>
      <c r="U731" s="28"/>
      <c r="V731" s="30"/>
      <c r="W731" s="28"/>
      <c r="X731" s="28"/>
      <c r="Y731" s="28"/>
      <c r="Z731" s="28"/>
    </row>
    <row r="732" ht="13.5" customHeight="1">
      <c r="A732" s="28"/>
      <c r="B732" s="28"/>
      <c r="C732" s="28"/>
      <c r="D732" s="28"/>
      <c r="E732" s="28"/>
      <c r="F732" s="28"/>
      <c r="G732" s="28"/>
      <c r="H732" s="28"/>
      <c r="I732" s="28"/>
      <c r="J732" s="143"/>
      <c r="K732" s="28"/>
      <c r="L732" s="28"/>
      <c r="M732" s="28"/>
      <c r="N732" s="28"/>
      <c r="O732" s="28"/>
      <c r="P732" s="28"/>
      <c r="Q732" s="144"/>
      <c r="R732" s="144"/>
      <c r="S732" s="144"/>
      <c r="T732" s="145"/>
      <c r="U732" s="28"/>
      <c r="V732" s="30"/>
      <c r="W732" s="28"/>
      <c r="X732" s="28"/>
      <c r="Y732" s="28"/>
      <c r="Z732" s="28"/>
    </row>
    <row r="733" ht="13.5" customHeight="1">
      <c r="A733" s="28"/>
      <c r="B733" s="28"/>
      <c r="C733" s="28"/>
      <c r="D733" s="28"/>
      <c r="E733" s="28"/>
      <c r="F733" s="28"/>
      <c r="G733" s="28"/>
      <c r="H733" s="28"/>
      <c r="I733" s="28"/>
      <c r="J733" s="143"/>
      <c r="K733" s="28"/>
      <c r="L733" s="28"/>
      <c r="M733" s="28"/>
      <c r="N733" s="28"/>
      <c r="O733" s="28"/>
      <c r="P733" s="28"/>
      <c r="Q733" s="144"/>
      <c r="R733" s="144"/>
      <c r="S733" s="144"/>
      <c r="T733" s="145"/>
      <c r="U733" s="28"/>
      <c r="V733" s="30"/>
      <c r="W733" s="28"/>
      <c r="X733" s="28"/>
      <c r="Y733" s="28"/>
      <c r="Z733" s="28"/>
    </row>
    <row r="734" ht="13.5" customHeight="1">
      <c r="A734" s="28"/>
      <c r="B734" s="28"/>
      <c r="C734" s="28"/>
      <c r="D734" s="28"/>
      <c r="E734" s="28"/>
      <c r="F734" s="28"/>
      <c r="G734" s="28"/>
      <c r="H734" s="28"/>
      <c r="I734" s="28"/>
      <c r="J734" s="143"/>
      <c r="K734" s="28"/>
      <c r="L734" s="28"/>
      <c r="M734" s="28"/>
      <c r="N734" s="28"/>
      <c r="O734" s="28"/>
      <c r="P734" s="28"/>
      <c r="Q734" s="144"/>
      <c r="R734" s="144"/>
      <c r="S734" s="144"/>
      <c r="T734" s="145"/>
      <c r="U734" s="28"/>
      <c r="V734" s="30"/>
      <c r="W734" s="28"/>
      <c r="X734" s="28"/>
      <c r="Y734" s="28"/>
      <c r="Z734" s="28"/>
    </row>
    <row r="735" ht="13.5" customHeight="1">
      <c r="A735" s="28"/>
      <c r="B735" s="28"/>
      <c r="C735" s="28"/>
      <c r="D735" s="28"/>
      <c r="E735" s="28"/>
      <c r="F735" s="28"/>
      <c r="G735" s="28"/>
      <c r="H735" s="28"/>
      <c r="I735" s="28"/>
      <c r="J735" s="143"/>
      <c r="K735" s="28"/>
      <c r="L735" s="28"/>
      <c r="M735" s="28"/>
      <c r="N735" s="28"/>
      <c r="O735" s="28"/>
      <c r="P735" s="28"/>
      <c r="Q735" s="144"/>
      <c r="R735" s="144"/>
      <c r="S735" s="144"/>
      <c r="T735" s="145"/>
      <c r="U735" s="28"/>
      <c r="V735" s="30"/>
      <c r="W735" s="28"/>
      <c r="X735" s="28"/>
      <c r="Y735" s="28"/>
      <c r="Z735" s="28"/>
    </row>
    <row r="736" ht="13.5" customHeight="1">
      <c r="A736" s="28"/>
      <c r="B736" s="28"/>
      <c r="C736" s="28"/>
      <c r="D736" s="28"/>
      <c r="E736" s="28"/>
      <c r="F736" s="28"/>
      <c r="G736" s="28"/>
      <c r="H736" s="28"/>
      <c r="I736" s="28"/>
      <c r="J736" s="143"/>
      <c r="K736" s="28"/>
      <c r="L736" s="28"/>
      <c r="M736" s="28"/>
      <c r="N736" s="28"/>
      <c r="O736" s="28"/>
      <c r="P736" s="28"/>
      <c r="Q736" s="144"/>
      <c r="R736" s="144"/>
      <c r="S736" s="144"/>
      <c r="T736" s="145"/>
      <c r="U736" s="28"/>
      <c r="V736" s="30"/>
      <c r="W736" s="28"/>
      <c r="X736" s="28"/>
      <c r="Y736" s="28"/>
      <c r="Z736" s="28"/>
    </row>
    <row r="737" ht="13.5" customHeight="1">
      <c r="A737" s="28"/>
      <c r="B737" s="28"/>
      <c r="C737" s="28"/>
      <c r="D737" s="28"/>
      <c r="E737" s="28"/>
      <c r="F737" s="28"/>
      <c r="G737" s="28"/>
      <c r="H737" s="28"/>
      <c r="I737" s="28"/>
      <c r="J737" s="143"/>
      <c r="K737" s="28"/>
      <c r="L737" s="28"/>
      <c r="M737" s="28"/>
      <c r="N737" s="28"/>
      <c r="O737" s="28"/>
      <c r="P737" s="28"/>
      <c r="Q737" s="144"/>
      <c r="R737" s="144"/>
      <c r="S737" s="144"/>
      <c r="T737" s="145"/>
      <c r="U737" s="28"/>
      <c r="V737" s="30"/>
      <c r="W737" s="28"/>
      <c r="X737" s="28"/>
      <c r="Y737" s="28"/>
      <c r="Z737" s="28"/>
    </row>
    <row r="738" ht="13.5" customHeight="1">
      <c r="A738" s="28"/>
      <c r="B738" s="28"/>
      <c r="C738" s="28"/>
      <c r="D738" s="28"/>
      <c r="E738" s="28"/>
      <c r="F738" s="28"/>
      <c r="G738" s="28"/>
      <c r="H738" s="28"/>
      <c r="I738" s="28"/>
      <c r="J738" s="143"/>
      <c r="K738" s="28"/>
      <c r="L738" s="28"/>
      <c r="M738" s="28"/>
      <c r="N738" s="28"/>
      <c r="O738" s="28"/>
      <c r="P738" s="28"/>
      <c r="Q738" s="144"/>
      <c r="R738" s="144"/>
      <c r="S738" s="144"/>
      <c r="T738" s="145"/>
      <c r="U738" s="28"/>
      <c r="V738" s="30"/>
      <c r="W738" s="28"/>
      <c r="X738" s="28"/>
      <c r="Y738" s="28"/>
      <c r="Z738" s="28"/>
    </row>
    <row r="739" ht="13.5" customHeight="1">
      <c r="A739" s="28"/>
      <c r="B739" s="28"/>
      <c r="C739" s="28"/>
      <c r="D739" s="28"/>
      <c r="E739" s="28"/>
      <c r="F739" s="28"/>
      <c r="G739" s="28"/>
      <c r="H739" s="28"/>
      <c r="I739" s="28"/>
      <c r="J739" s="143"/>
      <c r="K739" s="28"/>
      <c r="L739" s="28"/>
      <c r="M739" s="28"/>
      <c r="N739" s="28"/>
      <c r="O739" s="28"/>
      <c r="P739" s="28"/>
      <c r="Q739" s="144"/>
      <c r="R739" s="144"/>
      <c r="S739" s="144"/>
      <c r="T739" s="145"/>
      <c r="U739" s="28"/>
      <c r="V739" s="30"/>
      <c r="W739" s="28"/>
      <c r="X739" s="28"/>
      <c r="Y739" s="28"/>
      <c r="Z739" s="28"/>
    </row>
    <row r="740" ht="13.5" customHeight="1">
      <c r="A740" s="28"/>
      <c r="B740" s="28"/>
      <c r="C740" s="28"/>
      <c r="D740" s="28"/>
      <c r="E740" s="28"/>
      <c r="F740" s="28"/>
      <c r="G740" s="28"/>
      <c r="H740" s="28"/>
      <c r="I740" s="28"/>
      <c r="J740" s="143"/>
      <c r="K740" s="28"/>
      <c r="L740" s="28"/>
      <c r="M740" s="28"/>
      <c r="N740" s="28"/>
      <c r="O740" s="28"/>
      <c r="P740" s="28"/>
      <c r="Q740" s="144"/>
      <c r="R740" s="144"/>
      <c r="S740" s="144"/>
      <c r="T740" s="145"/>
      <c r="U740" s="28"/>
      <c r="V740" s="30"/>
      <c r="W740" s="28"/>
      <c r="X740" s="28"/>
      <c r="Y740" s="28"/>
      <c r="Z740" s="28"/>
    </row>
    <row r="741" ht="13.5" customHeight="1">
      <c r="A741" s="28"/>
      <c r="B741" s="28"/>
      <c r="C741" s="28"/>
      <c r="D741" s="28"/>
      <c r="E741" s="28"/>
      <c r="F741" s="28"/>
      <c r="G741" s="28"/>
      <c r="H741" s="28"/>
      <c r="I741" s="28"/>
      <c r="J741" s="143"/>
      <c r="K741" s="28"/>
      <c r="L741" s="28"/>
      <c r="M741" s="28"/>
      <c r="N741" s="28"/>
      <c r="O741" s="28"/>
      <c r="P741" s="28"/>
      <c r="Q741" s="144"/>
      <c r="R741" s="144"/>
      <c r="S741" s="144"/>
      <c r="T741" s="145"/>
      <c r="U741" s="28"/>
      <c r="V741" s="30"/>
      <c r="W741" s="28"/>
      <c r="X741" s="28"/>
      <c r="Y741" s="28"/>
      <c r="Z741" s="28"/>
    </row>
    <row r="742" ht="13.5" customHeight="1">
      <c r="A742" s="28"/>
      <c r="B742" s="28"/>
      <c r="C742" s="28"/>
      <c r="D742" s="28"/>
      <c r="E742" s="28"/>
      <c r="F742" s="28"/>
      <c r="G742" s="28"/>
      <c r="H742" s="28"/>
      <c r="I742" s="28"/>
      <c r="J742" s="143"/>
      <c r="K742" s="28"/>
      <c r="L742" s="28"/>
      <c r="M742" s="28"/>
      <c r="N742" s="28"/>
      <c r="O742" s="28"/>
      <c r="P742" s="28"/>
      <c r="Q742" s="144"/>
      <c r="R742" s="144"/>
      <c r="S742" s="144"/>
      <c r="T742" s="145"/>
      <c r="U742" s="28"/>
      <c r="V742" s="30"/>
      <c r="W742" s="28"/>
      <c r="X742" s="28"/>
      <c r="Y742" s="28"/>
      <c r="Z742" s="28"/>
    </row>
    <row r="743" ht="13.5" customHeight="1">
      <c r="A743" s="28"/>
      <c r="B743" s="28"/>
      <c r="C743" s="28"/>
      <c r="D743" s="28"/>
      <c r="E743" s="28"/>
      <c r="F743" s="28"/>
      <c r="G743" s="28"/>
      <c r="H743" s="28"/>
      <c r="I743" s="28"/>
      <c r="J743" s="143"/>
      <c r="K743" s="28"/>
      <c r="L743" s="28"/>
      <c r="M743" s="28"/>
      <c r="N743" s="28"/>
      <c r="O743" s="28"/>
      <c r="P743" s="28"/>
      <c r="Q743" s="144"/>
      <c r="R743" s="144"/>
      <c r="S743" s="144"/>
      <c r="T743" s="145"/>
      <c r="U743" s="28"/>
      <c r="V743" s="30"/>
      <c r="W743" s="28"/>
      <c r="X743" s="28"/>
      <c r="Y743" s="28"/>
      <c r="Z743" s="28"/>
    </row>
    <row r="744" ht="13.5" customHeight="1">
      <c r="A744" s="28"/>
      <c r="B744" s="28"/>
      <c r="C744" s="28"/>
      <c r="D744" s="28"/>
      <c r="E744" s="28"/>
      <c r="F744" s="28"/>
      <c r="G744" s="28"/>
      <c r="H744" s="28"/>
      <c r="I744" s="28"/>
      <c r="J744" s="143"/>
      <c r="K744" s="28"/>
      <c r="L744" s="28"/>
      <c r="M744" s="28"/>
      <c r="N744" s="28"/>
      <c r="O744" s="28"/>
      <c r="P744" s="28"/>
      <c r="Q744" s="144"/>
      <c r="R744" s="144"/>
      <c r="S744" s="144"/>
      <c r="T744" s="145"/>
      <c r="U744" s="28"/>
      <c r="V744" s="30"/>
      <c r="W744" s="28"/>
      <c r="X744" s="28"/>
      <c r="Y744" s="28"/>
      <c r="Z744" s="28"/>
    </row>
    <row r="745" ht="13.5" customHeight="1">
      <c r="A745" s="28"/>
      <c r="B745" s="28"/>
      <c r="C745" s="28"/>
      <c r="D745" s="28"/>
      <c r="E745" s="28"/>
      <c r="F745" s="28"/>
      <c r="G745" s="28"/>
      <c r="H745" s="28"/>
      <c r="I745" s="28"/>
      <c r="J745" s="143"/>
      <c r="K745" s="28"/>
      <c r="L745" s="28"/>
      <c r="M745" s="28"/>
      <c r="N745" s="28"/>
      <c r="O745" s="28"/>
      <c r="P745" s="28"/>
      <c r="Q745" s="144"/>
      <c r="R745" s="144"/>
      <c r="S745" s="144"/>
      <c r="T745" s="145"/>
      <c r="U745" s="28"/>
      <c r="V745" s="30"/>
      <c r="W745" s="28"/>
      <c r="X745" s="28"/>
      <c r="Y745" s="28"/>
      <c r="Z745" s="28"/>
    </row>
    <row r="746" ht="13.5" customHeight="1">
      <c r="A746" s="28"/>
      <c r="B746" s="28"/>
      <c r="C746" s="28"/>
      <c r="D746" s="28"/>
      <c r="E746" s="28"/>
      <c r="F746" s="28"/>
      <c r="G746" s="28"/>
      <c r="H746" s="28"/>
      <c r="I746" s="28"/>
      <c r="J746" s="143"/>
      <c r="K746" s="28"/>
      <c r="L746" s="28"/>
      <c r="M746" s="28"/>
      <c r="N746" s="28"/>
      <c r="O746" s="28"/>
      <c r="P746" s="28"/>
      <c r="Q746" s="144"/>
      <c r="R746" s="144"/>
      <c r="S746" s="144"/>
      <c r="T746" s="145"/>
      <c r="U746" s="28"/>
      <c r="V746" s="30"/>
      <c r="W746" s="28"/>
      <c r="X746" s="28"/>
      <c r="Y746" s="28"/>
      <c r="Z746" s="28"/>
    </row>
    <row r="747" ht="13.5" customHeight="1">
      <c r="A747" s="28"/>
      <c r="B747" s="28"/>
      <c r="C747" s="28"/>
      <c r="D747" s="28"/>
      <c r="E747" s="28"/>
      <c r="F747" s="28"/>
      <c r="G747" s="28"/>
      <c r="H747" s="28"/>
      <c r="I747" s="28"/>
      <c r="J747" s="143"/>
      <c r="K747" s="28"/>
      <c r="L747" s="28"/>
      <c r="M747" s="28"/>
      <c r="N747" s="28"/>
      <c r="O747" s="28"/>
      <c r="P747" s="28"/>
      <c r="Q747" s="144"/>
      <c r="R747" s="144"/>
      <c r="S747" s="144"/>
      <c r="T747" s="145"/>
      <c r="U747" s="28"/>
      <c r="V747" s="30"/>
      <c r="W747" s="28"/>
      <c r="X747" s="28"/>
      <c r="Y747" s="28"/>
      <c r="Z747" s="28"/>
    </row>
    <row r="748" ht="13.5" customHeight="1">
      <c r="A748" s="28"/>
      <c r="B748" s="28"/>
      <c r="C748" s="28"/>
      <c r="D748" s="28"/>
      <c r="E748" s="28"/>
      <c r="F748" s="28"/>
      <c r="G748" s="28"/>
      <c r="H748" s="28"/>
      <c r="I748" s="28"/>
      <c r="J748" s="143"/>
      <c r="K748" s="28"/>
      <c r="L748" s="28"/>
      <c r="M748" s="28"/>
      <c r="N748" s="28"/>
      <c r="O748" s="28"/>
      <c r="P748" s="28"/>
      <c r="Q748" s="144"/>
      <c r="R748" s="144"/>
      <c r="S748" s="144"/>
      <c r="T748" s="145"/>
      <c r="U748" s="28"/>
      <c r="V748" s="30"/>
      <c r="W748" s="28"/>
      <c r="X748" s="28"/>
      <c r="Y748" s="28"/>
      <c r="Z748" s="28"/>
    </row>
    <row r="749" ht="13.5" customHeight="1">
      <c r="A749" s="28"/>
      <c r="B749" s="28"/>
      <c r="C749" s="28"/>
      <c r="D749" s="28"/>
      <c r="E749" s="28"/>
      <c r="F749" s="28"/>
      <c r="G749" s="28"/>
      <c r="H749" s="28"/>
      <c r="I749" s="28"/>
      <c r="J749" s="143"/>
      <c r="K749" s="28"/>
      <c r="L749" s="28"/>
      <c r="M749" s="28"/>
      <c r="N749" s="28"/>
      <c r="O749" s="28"/>
      <c r="P749" s="28"/>
      <c r="Q749" s="144"/>
      <c r="R749" s="144"/>
      <c r="S749" s="144"/>
      <c r="T749" s="145"/>
      <c r="U749" s="28"/>
      <c r="V749" s="30"/>
      <c r="W749" s="28"/>
      <c r="X749" s="28"/>
      <c r="Y749" s="28"/>
      <c r="Z749" s="28"/>
    </row>
    <row r="750" ht="13.5" customHeight="1">
      <c r="A750" s="28"/>
      <c r="B750" s="28"/>
      <c r="C750" s="28"/>
      <c r="D750" s="28"/>
      <c r="E750" s="28"/>
      <c r="F750" s="28"/>
      <c r="G750" s="28"/>
      <c r="H750" s="28"/>
      <c r="I750" s="28"/>
      <c r="J750" s="143"/>
      <c r="K750" s="28"/>
      <c r="L750" s="28"/>
      <c r="M750" s="28"/>
      <c r="N750" s="28"/>
      <c r="O750" s="28"/>
      <c r="P750" s="28"/>
      <c r="Q750" s="144"/>
      <c r="R750" s="144"/>
      <c r="S750" s="144"/>
      <c r="T750" s="145"/>
      <c r="U750" s="28"/>
      <c r="V750" s="30"/>
      <c r="W750" s="28"/>
      <c r="X750" s="28"/>
      <c r="Y750" s="28"/>
      <c r="Z750" s="28"/>
    </row>
    <row r="751" ht="13.5" customHeight="1">
      <c r="A751" s="28"/>
      <c r="B751" s="28"/>
      <c r="C751" s="28"/>
      <c r="D751" s="28"/>
      <c r="E751" s="28"/>
      <c r="F751" s="28"/>
      <c r="G751" s="28"/>
      <c r="H751" s="28"/>
      <c r="I751" s="28"/>
      <c r="J751" s="143"/>
      <c r="K751" s="28"/>
      <c r="L751" s="28"/>
      <c r="M751" s="28"/>
      <c r="N751" s="28"/>
      <c r="O751" s="28"/>
      <c r="P751" s="28"/>
      <c r="Q751" s="144"/>
      <c r="R751" s="144"/>
      <c r="S751" s="144"/>
      <c r="T751" s="145"/>
      <c r="U751" s="28"/>
      <c r="V751" s="30"/>
      <c r="W751" s="28"/>
      <c r="X751" s="28"/>
      <c r="Y751" s="28"/>
      <c r="Z751" s="28"/>
    </row>
    <row r="752" ht="13.5" customHeight="1">
      <c r="A752" s="28"/>
      <c r="B752" s="28"/>
      <c r="C752" s="28"/>
      <c r="D752" s="28"/>
      <c r="E752" s="28"/>
      <c r="F752" s="28"/>
      <c r="G752" s="28"/>
      <c r="H752" s="28"/>
      <c r="I752" s="28"/>
      <c r="J752" s="143"/>
      <c r="K752" s="28"/>
      <c r="L752" s="28"/>
      <c r="M752" s="28"/>
      <c r="N752" s="28"/>
      <c r="O752" s="28"/>
      <c r="P752" s="28"/>
      <c r="Q752" s="144"/>
      <c r="R752" s="144"/>
      <c r="S752" s="144"/>
      <c r="T752" s="145"/>
      <c r="U752" s="28"/>
      <c r="V752" s="30"/>
      <c r="W752" s="28"/>
      <c r="X752" s="28"/>
      <c r="Y752" s="28"/>
      <c r="Z752" s="28"/>
    </row>
    <row r="753" ht="13.5" customHeight="1">
      <c r="A753" s="28"/>
      <c r="B753" s="28"/>
      <c r="C753" s="28"/>
      <c r="D753" s="28"/>
      <c r="E753" s="28"/>
      <c r="F753" s="28"/>
      <c r="G753" s="28"/>
      <c r="H753" s="28"/>
      <c r="I753" s="28"/>
      <c r="J753" s="143"/>
      <c r="K753" s="28"/>
      <c r="L753" s="28"/>
      <c r="M753" s="28"/>
      <c r="N753" s="28"/>
      <c r="O753" s="28"/>
      <c r="P753" s="28"/>
      <c r="Q753" s="144"/>
      <c r="R753" s="144"/>
      <c r="S753" s="144"/>
      <c r="T753" s="145"/>
      <c r="U753" s="28"/>
      <c r="V753" s="30"/>
      <c r="W753" s="28"/>
      <c r="X753" s="28"/>
      <c r="Y753" s="28"/>
      <c r="Z753" s="28"/>
    </row>
    <row r="754" ht="13.5" customHeight="1">
      <c r="A754" s="28"/>
      <c r="B754" s="28"/>
      <c r="C754" s="28"/>
      <c r="D754" s="28"/>
      <c r="E754" s="28"/>
      <c r="F754" s="28"/>
      <c r="G754" s="28"/>
      <c r="H754" s="28"/>
      <c r="I754" s="28"/>
      <c r="J754" s="143"/>
      <c r="K754" s="28"/>
      <c r="L754" s="28"/>
      <c r="M754" s="28"/>
      <c r="N754" s="28"/>
      <c r="O754" s="28"/>
      <c r="P754" s="28"/>
      <c r="Q754" s="144"/>
      <c r="R754" s="144"/>
      <c r="S754" s="144"/>
      <c r="T754" s="145"/>
      <c r="U754" s="28"/>
      <c r="V754" s="30"/>
      <c r="W754" s="28"/>
      <c r="X754" s="28"/>
      <c r="Y754" s="28"/>
      <c r="Z754" s="28"/>
    </row>
    <row r="755" ht="13.5" customHeight="1">
      <c r="A755" s="28"/>
      <c r="B755" s="28"/>
      <c r="C755" s="28"/>
      <c r="D755" s="28"/>
      <c r="E755" s="28"/>
      <c r="F755" s="28"/>
      <c r="G755" s="28"/>
      <c r="H755" s="28"/>
      <c r="I755" s="28"/>
      <c r="J755" s="143"/>
      <c r="K755" s="28"/>
      <c r="L755" s="28"/>
      <c r="M755" s="28"/>
      <c r="N755" s="28"/>
      <c r="O755" s="28"/>
      <c r="P755" s="28"/>
      <c r="Q755" s="144"/>
      <c r="R755" s="144"/>
      <c r="S755" s="144"/>
      <c r="T755" s="145"/>
      <c r="U755" s="28"/>
      <c r="V755" s="30"/>
      <c r="W755" s="28"/>
      <c r="X755" s="28"/>
      <c r="Y755" s="28"/>
      <c r="Z755" s="28"/>
    </row>
    <row r="756" ht="13.5" customHeight="1">
      <c r="A756" s="28"/>
      <c r="B756" s="28"/>
      <c r="C756" s="28"/>
      <c r="D756" s="28"/>
      <c r="E756" s="28"/>
      <c r="F756" s="28"/>
      <c r="G756" s="28"/>
      <c r="H756" s="28"/>
      <c r="I756" s="28"/>
      <c r="J756" s="143"/>
      <c r="K756" s="28"/>
      <c r="L756" s="28"/>
      <c r="M756" s="28"/>
      <c r="N756" s="28"/>
      <c r="O756" s="28"/>
      <c r="P756" s="28"/>
      <c r="Q756" s="144"/>
      <c r="R756" s="144"/>
      <c r="S756" s="144"/>
      <c r="T756" s="145"/>
      <c r="U756" s="28"/>
      <c r="V756" s="30"/>
      <c r="W756" s="28"/>
      <c r="X756" s="28"/>
      <c r="Y756" s="28"/>
      <c r="Z756" s="28"/>
    </row>
    <row r="757" ht="13.5" customHeight="1">
      <c r="A757" s="28"/>
      <c r="B757" s="28"/>
      <c r="C757" s="28"/>
      <c r="D757" s="28"/>
      <c r="E757" s="28"/>
      <c r="F757" s="28"/>
      <c r="G757" s="28"/>
      <c r="H757" s="28"/>
      <c r="I757" s="28"/>
      <c r="J757" s="143"/>
      <c r="K757" s="28"/>
      <c r="L757" s="28"/>
      <c r="M757" s="28"/>
      <c r="N757" s="28"/>
      <c r="O757" s="28"/>
      <c r="P757" s="28"/>
      <c r="Q757" s="144"/>
      <c r="R757" s="144"/>
      <c r="S757" s="144"/>
      <c r="T757" s="145"/>
      <c r="U757" s="28"/>
      <c r="V757" s="30"/>
      <c r="W757" s="28"/>
      <c r="X757" s="28"/>
      <c r="Y757" s="28"/>
      <c r="Z757" s="28"/>
    </row>
    <row r="758" ht="13.5" customHeight="1">
      <c r="A758" s="28"/>
      <c r="B758" s="28"/>
      <c r="C758" s="28"/>
      <c r="D758" s="28"/>
      <c r="E758" s="28"/>
      <c r="F758" s="28"/>
      <c r="G758" s="28"/>
      <c r="H758" s="28"/>
      <c r="I758" s="28"/>
      <c r="J758" s="143"/>
      <c r="K758" s="28"/>
      <c r="L758" s="28"/>
      <c r="M758" s="28"/>
      <c r="N758" s="28"/>
      <c r="O758" s="28"/>
      <c r="P758" s="28"/>
      <c r="Q758" s="144"/>
      <c r="R758" s="144"/>
      <c r="S758" s="144"/>
      <c r="T758" s="145"/>
      <c r="U758" s="28"/>
      <c r="V758" s="30"/>
      <c r="W758" s="28"/>
      <c r="X758" s="28"/>
      <c r="Y758" s="28"/>
      <c r="Z758" s="28"/>
    </row>
    <row r="759" ht="13.5" customHeight="1">
      <c r="A759" s="28"/>
      <c r="B759" s="28"/>
      <c r="C759" s="28"/>
      <c r="D759" s="28"/>
      <c r="E759" s="28"/>
      <c r="F759" s="28"/>
      <c r="G759" s="28"/>
      <c r="H759" s="28"/>
      <c r="I759" s="28"/>
      <c r="J759" s="143"/>
      <c r="K759" s="28"/>
      <c r="L759" s="28"/>
      <c r="M759" s="28"/>
      <c r="N759" s="28"/>
      <c r="O759" s="28"/>
      <c r="P759" s="28"/>
      <c r="Q759" s="144"/>
      <c r="R759" s="144"/>
      <c r="S759" s="144"/>
      <c r="T759" s="145"/>
      <c r="U759" s="28"/>
      <c r="V759" s="30"/>
      <c r="W759" s="28"/>
      <c r="X759" s="28"/>
      <c r="Y759" s="28"/>
      <c r="Z759" s="28"/>
    </row>
    <row r="760" ht="13.5" customHeight="1">
      <c r="A760" s="28"/>
      <c r="B760" s="28"/>
      <c r="C760" s="28"/>
      <c r="D760" s="28"/>
      <c r="E760" s="28"/>
      <c r="F760" s="28"/>
      <c r="G760" s="28"/>
      <c r="H760" s="28"/>
      <c r="I760" s="28"/>
      <c r="J760" s="143"/>
      <c r="K760" s="28"/>
      <c r="L760" s="28"/>
      <c r="M760" s="28"/>
      <c r="N760" s="28"/>
      <c r="O760" s="28"/>
      <c r="P760" s="28"/>
      <c r="Q760" s="144"/>
      <c r="R760" s="144"/>
      <c r="S760" s="144"/>
      <c r="T760" s="145"/>
      <c r="U760" s="28"/>
      <c r="V760" s="30"/>
      <c r="W760" s="28"/>
      <c r="X760" s="28"/>
      <c r="Y760" s="28"/>
      <c r="Z760" s="28"/>
    </row>
    <row r="761" ht="13.5" customHeight="1">
      <c r="A761" s="28"/>
      <c r="B761" s="28"/>
      <c r="C761" s="28"/>
      <c r="D761" s="28"/>
      <c r="E761" s="28"/>
      <c r="F761" s="28"/>
      <c r="G761" s="28"/>
      <c r="H761" s="28"/>
      <c r="I761" s="28"/>
      <c r="J761" s="143"/>
      <c r="K761" s="28"/>
      <c r="L761" s="28"/>
      <c r="M761" s="28"/>
      <c r="N761" s="28"/>
      <c r="O761" s="28"/>
      <c r="P761" s="28"/>
      <c r="Q761" s="144"/>
      <c r="R761" s="144"/>
      <c r="S761" s="144"/>
      <c r="T761" s="145"/>
      <c r="U761" s="28"/>
      <c r="V761" s="30"/>
      <c r="W761" s="28"/>
      <c r="X761" s="28"/>
      <c r="Y761" s="28"/>
      <c r="Z761" s="28"/>
    </row>
    <row r="762" ht="13.5" customHeight="1">
      <c r="A762" s="28"/>
      <c r="B762" s="28"/>
      <c r="C762" s="28"/>
      <c r="D762" s="28"/>
      <c r="E762" s="28"/>
      <c r="F762" s="28"/>
      <c r="G762" s="28"/>
      <c r="H762" s="28"/>
      <c r="I762" s="28"/>
      <c r="J762" s="143"/>
      <c r="K762" s="28"/>
      <c r="L762" s="28"/>
      <c r="M762" s="28"/>
      <c r="N762" s="28"/>
      <c r="O762" s="28"/>
      <c r="P762" s="28"/>
      <c r="Q762" s="144"/>
      <c r="R762" s="144"/>
      <c r="S762" s="144"/>
      <c r="T762" s="145"/>
      <c r="U762" s="28"/>
      <c r="V762" s="30"/>
      <c r="W762" s="28"/>
      <c r="X762" s="28"/>
      <c r="Y762" s="28"/>
      <c r="Z762" s="28"/>
    </row>
    <row r="763" ht="13.5" customHeight="1">
      <c r="A763" s="28"/>
      <c r="B763" s="28"/>
      <c r="C763" s="28"/>
      <c r="D763" s="28"/>
      <c r="E763" s="28"/>
      <c r="F763" s="28"/>
      <c r="G763" s="28"/>
      <c r="H763" s="28"/>
      <c r="I763" s="28"/>
      <c r="J763" s="143"/>
      <c r="K763" s="28"/>
      <c r="L763" s="28"/>
      <c r="M763" s="28"/>
      <c r="N763" s="28"/>
      <c r="O763" s="28"/>
      <c r="P763" s="28"/>
      <c r="Q763" s="144"/>
      <c r="R763" s="144"/>
      <c r="S763" s="144"/>
      <c r="T763" s="145"/>
      <c r="U763" s="28"/>
      <c r="V763" s="30"/>
      <c r="W763" s="28"/>
      <c r="X763" s="28"/>
      <c r="Y763" s="28"/>
      <c r="Z763" s="28"/>
    </row>
    <row r="764" ht="13.5" customHeight="1">
      <c r="A764" s="28"/>
      <c r="B764" s="28"/>
      <c r="C764" s="28"/>
      <c r="D764" s="28"/>
      <c r="E764" s="28"/>
      <c r="F764" s="28"/>
      <c r="G764" s="28"/>
      <c r="H764" s="28"/>
      <c r="I764" s="28"/>
      <c r="J764" s="143"/>
      <c r="K764" s="28"/>
      <c r="L764" s="28"/>
      <c r="M764" s="28"/>
      <c r="N764" s="28"/>
      <c r="O764" s="28"/>
      <c r="P764" s="28"/>
      <c r="Q764" s="144"/>
      <c r="R764" s="144"/>
      <c r="S764" s="144"/>
      <c r="T764" s="145"/>
      <c r="U764" s="28"/>
      <c r="V764" s="30"/>
      <c r="W764" s="28"/>
      <c r="X764" s="28"/>
      <c r="Y764" s="28"/>
      <c r="Z764" s="28"/>
    </row>
    <row r="765" ht="13.5" customHeight="1">
      <c r="A765" s="28"/>
      <c r="B765" s="28"/>
      <c r="C765" s="28"/>
      <c r="D765" s="28"/>
      <c r="E765" s="28"/>
      <c r="F765" s="28"/>
      <c r="G765" s="28"/>
      <c r="H765" s="28"/>
      <c r="I765" s="28"/>
      <c r="J765" s="143"/>
      <c r="K765" s="28"/>
      <c r="L765" s="28"/>
      <c r="M765" s="28"/>
      <c r="N765" s="28"/>
      <c r="O765" s="28"/>
      <c r="P765" s="28"/>
      <c r="Q765" s="144"/>
      <c r="R765" s="144"/>
      <c r="S765" s="144"/>
      <c r="T765" s="145"/>
      <c r="U765" s="28"/>
      <c r="V765" s="30"/>
      <c r="W765" s="28"/>
      <c r="X765" s="28"/>
      <c r="Y765" s="28"/>
      <c r="Z765" s="28"/>
    </row>
    <row r="766" ht="13.5" customHeight="1">
      <c r="A766" s="28"/>
      <c r="B766" s="28"/>
      <c r="C766" s="28"/>
      <c r="D766" s="28"/>
      <c r="E766" s="28"/>
      <c r="F766" s="28"/>
      <c r="G766" s="28"/>
      <c r="H766" s="28"/>
      <c r="I766" s="28"/>
      <c r="J766" s="143"/>
      <c r="K766" s="28"/>
      <c r="L766" s="28"/>
      <c r="M766" s="28"/>
      <c r="N766" s="28"/>
      <c r="O766" s="28"/>
      <c r="P766" s="28"/>
      <c r="Q766" s="144"/>
      <c r="R766" s="144"/>
      <c r="S766" s="144"/>
      <c r="T766" s="145"/>
      <c r="U766" s="28"/>
      <c r="V766" s="30"/>
      <c r="W766" s="28"/>
      <c r="X766" s="28"/>
      <c r="Y766" s="28"/>
      <c r="Z766" s="28"/>
    </row>
    <row r="767" ht="13.5" customHeight="1">
      <c r="A767" s="28"/>
      <c r="B767" s="28"/>
      <c r="C767" s="28"/>
      <c r="D767" s="28"/>
      <c r="E767" s="28"/>
      <c r="F767" s="28"/>
      <c r="G767" s="28"/>
      <c r="H767" s="28"/>
      <c r="I767" s="28"/>
      <c r="J767" s="143"/>
      <c r="K767" s="28"/>
      <c r="L767" s="28"/>
      <c r="M767" s="28"/>
      <c r="N767" s="28"/>
      <c r="O767" s="28"/>
      <c r="P767" s="28"/>
      <c r="Q767" s="144"/>
      <c r="R767" s="144"/>
      <c r="S767" s="144"/>
      <c r="T767" s="145"/>
      <c r="U767" s="28"/>
      <c r="V767" s="30"/>
      <c r="W767" s="28"/>
      <c r="X767" s="28"/>
      <c r="Y767" s="28"/>
      <c r="Z767" s="28"/>
    </row>
    <row r="768" ht="13.5" customHeight="1">
      <c r="A768" s="28"/>
      <c r="B768" s="28"/>
      <c r="C768" s="28"/>
      <c r="D768" s="28"/>
      <c r="E768" s="28"/>
      <c r="F768" s="28"/>
      <c r="G768" s="28"/>
      <c r="H768" s="28"/>
      <c r="I768" s="28"/>
      <c r="J768" s="143"/>
      <c r="K768" s="28"/>
      <c r="L768" s="28"/>
      <c r="M768" s="28"/>
      <c r="N768" s="28"/>
      <c r="O768" s="28"/>
      <c r="P768" s="28"/>
      <c r="Q768" s="144"/>
      <c r="R768" s="144"/>
      <c r="S768" s="144"/>
      <c r="T768" s="145"/>
      <c r="U768" s="28"/>
      <c r="V768" s="30"/>
      <c r="W768" s="28"/>
      <c r="X768" s="28"/>
      <c r="Y768" s="28"/>
      <c r="Z768" s="28"/>
    </row>
    <row r="769" ht="13.5" customHeight="1">
      <c r="A769" s="28"/>
      <c r="B769" s="28"/>
      <c r="C769" s="28"/>
      <c r="D769" s="28"/>
      <c r="E769" s="28"/>
      <c r="F769" s="28"/>
      <c r="G769" s="28"/>
      <c r="H769" s="28"/>
      <c r="I769" s="28"/>
      <c r="J769" s="143"/>
      <c r="K769" s="28"/>
      <c r="L769" s="28"/>
      <c r="M769" s="28"/>
      <c r="N769" s="28"/>
      <c r="O769" s="28"/>
      <c r="P769" s="28"/>
      <c r="Q769" s="144"/>
      <c r="R769" s="144"/>
      <c r="S769" s="144"/>
      <c r="T769" s="145"/>
      <c r="U769" s="28"/>
      <c r="V769" s="30"/>
      <c r="W769" s="28"/>
      <c r="X769" s="28"/>
      <c r="Y769" s="28"/>
      <c r="Z769" s="28"/>
    </row>
    <row r="770" ht="13.5" customHeight="1">
      <c r="A770" s="28"/>
      <c r="B770" s="28"/>
      <c r="C770" s="28"/>
      <c r="D770" s="28"/>
      <c r="E770" s="28"/>
      <c r="F770" s="28"/>
      <c r="G770" s="28"/>
      <c r="H770" s="28"/>
      <c r="I770" s="28"/>
      <c r="J770" s="143"/>
      <c r="K770" s="28"/>
      <c r="L770" s="28"/>
      <c r="M770" s="28"/>
      <c r="N770" s="28"/>
      <c r="O770" s="28"/>
      <c r="P770" s="28"/>
      <c r="Q770" s="144"/>
      <c r="R770" s="144"/>
      <c r="S770" s="144"/>
      <c r="T770" s="145"/>
      <c r="U770" s="28"/>
      <c r="V770" s="30"/>
      <c r="W770" s="28"/>
      <c r="X770" s="28"/>
      <c r="Y770" s="28"/>
      <c r="Z770" s="28"/>
    </row>
    <row r="771" ht="13.5" customHeight="1">
      <c r="A771" s="28"/>
      <c r="B771" s="28"/>
      <c r="C771" s="28"/>
      <c r="D771" s="28"/>
      <c r="E771" s="28"/>
      <c r="F771" s="28"/>
      <c r="G771" s="28"/>
      <c r="H771" s="28"/>
      <c r="I771" s="28"/>
      <c r="J771" s="143"/>
      <c r="K771" s="28"/>
      <c r="L771" s="28"/>
      <c r="M771" s="28"/>
      <c r="N771" s="28"/>
      <c r="O771" s="28"/>
      <c r="P771" s="28"/>
      <c r="Q771" s="144"/>
      <c r="R771" s="144"/>
      <c r="S771" s="144"/>
      <c r="T771" s="145"/>
      <c r="U771" s="28"/>
      <c r="V771" s="30"/>
      <c r="W771" s="28"/>
      <c r="X771" s="28"/>
      <c r="Y771" s="28"/>
      <c r="Z771" s="28"/>
    </row>
    <row r="772" ht="13.5" customHeight="1">
      <c r="A772" s="28"/>
      <c r="B772" s="28"/>
      <c r="C772" s="28"/>
      <c r="D772" s="28"/>
      <c r="E772" s="28"/>
      <c r="F772" s="28"/>
      <c r="G772" s="28"/>
      <c r="H772" s="28"/>
      <c r="I772" s="28"/>
      <c r="J772" s="143"/>
      <c r="K772" s="28"/>
      <c r="L772" s="28"/>
      <c r="M772" s="28"/>
      <c r="N772" s="28"/>
      <c r="O772" s="28"/>
      <c r="P772" s="28"/>
      <c r="Q772" s="144"/>
      <c r="R772" s="144"/>
      <c r="S772" s="144"/>
      <c r="T772" s="145"/>
      <c r="U772" s="28"/>
      <c r="V772" s="30"/>
      <c r="W772" s="28"/>
      <c r="X772" s="28"/>
      <c r="Y772" s="28"/>
      <c r="Z772" s="28"/>
    </row>
    <row r="773" ht="13.5" customHeight="1">
      <c r="A773" s="28"/>
      <c r="B773" s="28"/>
      <c r="C773" s="28"/>
      <c r="D773" s="28"/>
      <c r="E773" s="28"/>
      <c r="F773" s="28"/>
      <c r="G773" s="28"/>
      <c r="H773" s="28"/>
      <c r="I773" s="28"/>
      <c r="J773" s="143"/>
      <c r="K773" s="28"/>
      <c r="L773" s="28"/>
      <c r="M773" s="28"/>
      <c r="N773" s="28"/>
      <c r="O773" s="28"/>
      <c r="P773" s="28"/>
      <c r="Q773" s="144"/>
      <c r="R773" s="144"/>
      <c r="S773" s="144"/>
      <c r="T773" s="145"/>
      <c r="U773" s="28"/>
      <c r="V773" s="30"/>
      <c r="W773" s="28"/>
      <c r="X773" s="28"/>
      <c r="Y773" s="28"/>
      <c r="Z773" s="28"/>
    </row>
    <row r="774" ht="13.5" customHeight="1">
      <c r="A774" s="28"/>
      <c r="B774" s="28"/>
      <c r="C774" s="28"/>
      <c r="D774" s="28"/>
      <c r="E774" s="28"/>
      <c r="F774" s="28"/>
      <c r="G774" s="28"/>
      <c r="H774" s="28"/>
      <c r="I774" s="28"/>
      <c r="J774" s="143"/>
      <c r="K774" s="28"/>
      <c r="L774" s="28"/>
      <c r="M774" s="28"/>
      <c r="N774" s="28"/>
      <c r="O774" s="28"/>
      <c r="P774" s="28"/>
      <c r="Q774" s="144"/>
      <c r="R774" s="144"/>
      <c r="S774" s="144"/>
      <c r="T774" s="145"/>
      <c r="U774" s="28"/>
      <c r="V774" s="30"/>
      <c r="W774" s="28"/>
      <c r="X774" s="28"/>
      <c r="Y774" s="28"/>
      <c r="Z774" s="28"/>
    </row>
    <row r="775" ht="13.5" customHeight="1">
      <c r="A775" s="28"/>
      <c r="B775" s="28"/>
      <c r="C775" s="28"/>
      <c r="D775" s="28"/>
      <c r="E775" s="28"/>
      <c r="F775" s="28"/>
      <c r="G775" s="28"/>
      <c r="H775" s="28"/>
      <c r="I775" s="28"/>
      <c r="J775" s="143"/>
      <c r="K775" s="28"/>
      <c r="L775" s="28"/>
      <c r="M775" s="28"/>
      <c r="N775" s="28"/>
      <c r="O775" s="28"/>
      <c r="P775" s="28"/>
      <c r="Q775" s="144"/>
      <c r="R775" s="144"/>
      <c r="S775" s="144"/>
      <c r="T775" s="145"/>
      <c r="U775" s="28"/>
      <c r="V775" s="30"/>
      <c r="W775" s="28"/>
      <c r="X775" s="28"/>
      <c r="Y775" s="28"/>
      <c r="Z775" s="28"/>
    </row>
    <row r="776" ht="13.5" customHeight="1">
      <c r="A776" s="28"/>
      <c r="B776" s="28"/>
      <c r="C776" s="28"/>
      <c r="D776" s="28"/>
      <c r="E776" s="28"/>
      <c r="F776" s="28"/>
      <c r="G776" s="28"/>
      <c r="H776" s="28"/>
      <c r="I776" s="28"/>
      <c r="J776" s="143"/>
      <c r="K776" s="28"/>
      <c r="L776" s="28"/>
      <c r="M776" s="28"/>
      <c r="N776" s="28"/>
      <c r="O776" s="28"/>
      <c r="P776" s="28"/>
      <c r="Q776" s="144"/>
      <c r="R776" s="144"/>
      <c r="S776" s="144"/>
      <c r="T776" s="145"/>
      <c r="U776" s="28"/>
      <c r="V776" s="30"/>
      <c r="W776" s="28"/>
      <c r="X776" s="28"/>
      <c r="Y776" s="28"/>
      <c r="Z776" s="28"/>
    </row>
    <row r="777" ht="13.5" customHeight="1">
      <c r="A777" s="28"/>
      <c r="B777" s="28"/>
      <c r="C777" s="28"/>
      <c r="D777" s="28"/>
      <c r="E777" s="28"/>
      <c r="F777" s="28"/>
      <c r="G777" s="28"/>
      <c r="H777" s="28"/>
      <c r="I777" s="28"/>
      <c r="J777" s="143"/>
      <c r="K777" s="28"/>
      <c r="L777" s="28"/>
      <c r="M777" s="28"/>
      <c r="N777" s="28"/>
      <c r="O777" s="28"/>
      <c r="P777" s="28"/>
      <c r="Q777" s="144"/>
      <c r="R777" s="144"/>
      <c r="S777" s="144"/>
      <c r="T777" s="145"/>
      <c r="U777" s="28"/>
      <c r="V777" s="30"/>
      <c r="W777" s="28"/>
      <c r="X777" s="28"/>
      <c r="Y777" s="28"/>
      <c r="Z777" s="28"/>
    </row>
    <row r="778" ht="13.5" customHeight="1">
      <c r="A778" s="28"/>
      <c r="B778" s="28"/>
      <c r="C778" s="28"/>
      <c r="D778" s="28"/>
      <c r="E778" s="28"/>
      <c r="F778" s="28"/>
      <c r="G778" s="28"/>
      <c r="H778" s="28"/>
      <c r="I778" s="28"/>
      <c r="J778" s="143"/>
      <c r="K778" s="28"/>
      <c r="L778" s="28"/>
      <c r="M778" s="28"/>
      <c r="N778" s="28"/>
      <c r="O778" s="28"/>
      <c r="P778" s="28"/>
      <c r="Q778" s="144"/>
      <c r="R778" s="144"/>
      <c r="S778" s="144"/>
      <c r="T778" s="145"/>
      <c r="U778" s="28"/>
      <c r="V778" s="30"/>
      <c r="W778" s="28"/>
      <c r="X778" s="28"/>
      <c r="Y778" s="28"/>
      <c r="Z778" s="28"/>
    </row>
    <row r="779" ht="13.5" customHeight="1">
      <c r="A779" s="28"/>
      <c r="B779" s="28"/>
      <c r="C779" s="28"/>
      <c r="D779" s="28"/>
      <c r="E779" s="28"/>
      <c r="F779" s="28"/>
      <c r="G779" s="28"/>
      <c r="H779" s="28"/>
      <c r="I779" s="28"/>
      <c r="J779" s="143"/>
      <c r="K779" s="28"/>
      <c r="L779" s="28"/>
      <c r="M779" s="28"/>
      <c r="N779" s="28"/>
      <c r="O779" s="28"/>
      <c r="P779" s="28"/>
      <c r="Q779" s="144"/>
      <c r="R779" s="144"/>
      <c r="S779" s="144"/>
      <c r="T779" s="145"/>
      <c r="U779" s="28"/>
      <c r="V779" s="30"/>
      <c r="W779" s="28"/>
      <c r="X779" s="28"/>
      <c r="Y779" s="28"/>
      <c r="Z779" s="28"/>
    </row>
    <row r="780" ht="13.5" customHeight="1">
      <c r="A780" s="28"/>
      <c r="B780" s="28"/>
      <c r="C780" s="28"/>
      <c r="D780" s="28"/>
      <c r="E780" s="28"/>
      <c r="F780" s="28"/>
      <c r="G780" s="28"/>
      <c r="H780" s="28"/>
      <c r="I780" s="28"/>
      <c r="J780" s="143"/>
      <c r="K780" s="28"/>
      <c r="L780" s="28"/>
      <c r="M780" s="28"/>
      <c r="N780" s="28"/>
      <c r="O780" s="28"/>
      <c r="P780" s="28"/>
      <c r="Q780" s="144"/>
      <c r="R780" s="144"/>
      <c r="S780" s="144"/>
      <c r="T780" s="145"/>
      <c r="U780" s="28"/>
      <c r="V780" s="30"/>
      <c r="W780" s="28"/>
      <c r="X780" s="28"/>
      <c r="Y780" s="28"/>
      <c r="Z780" s="28"/>
    </row>
    <row r="781" ht="13.5" customHeight="1">
      <c r="A781" s="28"/>
      <c r="B781" s="28"/>
      <c r="C781" s="28"/>
      <c r="D781" s="28"/>
      <c r="E781" s="28"/>
      <c r="F781" s="28"/>
      <c r="G781" s="28"/>
      <c r="H781" s="28"/>
      <c r="I781" s="28"/>
      <c r="J781" s="143"/>
      <c r="K781" s="28"/>
      <c r="L781" s="28"/>
      <c r="M781" s="28"/>
      <c r="N781" s="28"/>
      <c r="O781" s="28"/>
      <c r="P781" s="28"/>
      <c r="Q781" s="144"/>
      <c r="R781" s="144"/>
      <c r="S781" s="144"/>
      <c r="T781" s="145"/>
      <c r="U781" s="28"/>
      <c r="V781" s="30"/>
      <c r="W781" s="28"/>
      <c r="X781" s="28"/>
      <c r="Y781" s="28"/>
      <c r="Z781" s="28"/>
    </row>
    <row r="782" ht="13.5" customHeight="1">
      <c r="A782" s="28"/>
      <c r="B782" s="28"/>
      <c r="C782" s="28"/>
      <c r="D782" s="28"/>
      <c r="E782" s="28"/>
      <c r="F782" s="28"/>
      <c r="G782" s="28"/>
      <c r="H782" s="28"/>
      <c r="I782" s="28"/>
      <c r="J782" s="143"/>
      <c r="K782" s="28"/>
      <c r="L782" s="28"/>
      <c r="M782" s="28"/>
      <c r="N782" s="28"/>
      <c r="O782" s="28"/>
      <c r="P782" s="28"/>
      <c r="Q782" s="144"/>
      <c r="R782" s="144"/>
      <c r="S782" s="144"/>
      <c r="T782" s="145"/>
      <c r="U782" s="28"/>
      <c r="V782" s="30"/>
      <c r="W782" s="28"/>
      <c r="X782" s="28"/>
      <c r="Y782" s="28"/>
      <c r="Z782" s="28"/>
    </row>
    <row r="783" ht="13.5" customHeight="1">
      <c r="A783" s="28"/>
      <c r="B783" s="28"/>
      <c r="C783" s="28"/>
      <c r="D783" s="28"/>
      <c r="E783" s="28"/>
      <c r="F783" s="28"/>
      <c r="G783" s="28"/>
      <c r="H783" s="28"/>
      <c r="I783" s="28"/>
      <c r="J783" s="143"/>
      <c r="K783" s="28"/>
      <c r="L783" s="28"/>
      <c r="M783" s="28"/>
      <c r="N783" s="28"/>
      <c r="O783" s="28"/>
      <c r="P783" s="28"/>
      <c r="Q783" s="144"/>
      <c r="R783" s="144"/>
      <c r="S783" s="144"/>
      <c r="T783" s="145"/>
      <c r="U783" s="28"/>
      <c r="V783" s="30"/>
      <c r="W783" s="28"/>
      <c r="X783" s="28"/>
      <c r="Y783" s="28"/>
      <c r="Z783" s="28"/>
    </row>
    <row r="784" ht="13.5" customHeight="1">
      <c r="A784" s="28"/>
      <c r="B784" s="28"/>
      <c r="C784" s="28"/>
      <c r="D784" s="28"/>
      <c r="E784" s="28"/>
      <c r="F784" s="28"/>
      <c r="G784" s="28"/>
      <c r="H784" s="28"/>
      <c r="I784" s="28"/>
      <c r="J784" s="143"/>
      <c r="K784" s="28"/>
      <c r="L784" s="28"/>
      <c r="M784" s="28"/>
      <c r="N784" s="28"/>
      <c r="O784" s="28"/>
      <c r="P784" s="28"/>
      <c r="Q784" s="144"/>
      <c r="R784" s="144"/>
      <c r="S784" s="144"/>
      <c r="T784" s="145"/>
      <c r="U784" s="28"/>
      <c r="V784" s="30"/>
      <c r="W784" s="28"/>
      <c r="X784" s="28"/>
      <c r="Y784" s="28"/>
      <c r="Z784" s="28"/>
    </row>
    <row r="785" ht="13.5" customHeight="1">
      <c r="A785" s="28"/>
      <c r="B785" s="28"/>
      <c r="C785" s="28"/>
      <c r="D785" s="28"/>
      <c r="E785" s="28"/>
      <c r="F785" s="28"/>
      <c r="G785" s="28"/>
      <c r="H785" s="28"/>
      <c r="I785" s="28"/>
      <c r="J785" s="143"/>
      <c r="K785" s="28"/>
      <c r="L785" s="28"/>
      <c r="M785" s="28"/>
      <c r="N785" s="28"/>
      <c r="O785" s="28"/>
      <c r="P785" s="28"/>
      <c r="Q785" s="144"/>
      <c r="R785" s="144"/>
      <c r="S785" s="144"/>
      <c r="T785" s="145"/>
      <c r="U785" s="28"/>
      <c r="V785" s="30"/>
      <c r="W785" s="28"/>
      <c r="X785" s="28"/>
      <c r="Y785" s="28"/>
      <c r="Z785" s="28"/>
    </row>
    <row r="786" ht="13.5" customHeight="1">
      <c r="A786" s="28"/>
      <c r="B786" s="28"/>
      <c r="C786" s="28"/>
      <c r="D786" s="28"/>
      <c r="E786" s="28"/>
      <c r="F786" s="28"/>
      <c r="G786" s="28"/>
      <c r="H786" s="28"/>
      <c r="I786" s="28"/>
      <c r="J786" s="143"/>
      <c r="K786" s="28"/>
      <c r="L786" s="28"/>
      <c r="M786" s="28"/>
      <c r="N786" s="28"/>
      <c r="O786" s="28"/>
      <c r="P786" s="28"/>
      <c r="Q786" s="144"/>
      <c r="R786" s="144"/>
      <c r="S786" s="144"/>
      <c r="T786" s="145"/>
      <c r="U786" s="28"/>
      <c r="V786" s="30"/>
      <c r="W786" s="28"/>
      <c r="X786" s="28"/>
      <c r="Y786" s="28"/>
      <c r="Z786" s="28"/>
    </row>
    <row r="787" ht="13.5" customHeight="1">
      <c r="A787" s="28"/>
      <c r="B787" s="28"/>
      <c r="C787" s="28"/>
      <c r="D787" s="28"/>
      <c r="E787" s="28"/>
      <c r="F787" s="28"/>
      <c r="G787" s="28"/>
      <c r="H787" s="28"/>
      <c r="I787" s="28"/>
      <c r="J787" s="143"/>
      <c r="K787" s="28"/>
      <c r="L787" s="28"/>
      <c r="M787" s="28"/>
      <c r="N787" s="28"/>
      <c r="O787" s="28"/>
      <c r="P787" s="28"/>
      <c r="Q787" s="144"/>
      <c r="R787" s="144"/>
      <c r="S787" s="144"/>
      <c r="T787" s="145"/>
      <c r="U787" s="28"/>
      <c r="V787" s="30"/>
      <c r="W787" s="28"/>
      <c r="X787" s="28"/>
      <c r="Y787" s="28"/>
      <c r="Z787" s="28"/>
    </row>
    <row r="788" ht="13.5" customHeight="1">
      <c r="A788" s="28"/>
      <c r="B788" s="28"/>
      <c r="C788" s="28"/>
      <c r="D788" s="28"/>
      <c r="E788" s="28"/>
      <c r="F788" s="28"/>
      <c r="G788" s="28"/>
      <c r="H788" s="28"/>
      <c r="I788" s="28"/>
      <c r="J788" s="143"/>
      <c r="K788" s="28"/>
      <c r="L788" s="28"/>
      <c r="M788" s="28"/>
      <c r="N788" s="28"/>
      <c r="O788" s="28"/>
      <c r="P788" s="28"/>
      <c r="Q788" s="144"/>
      <c r="R788" s="144"/>
      <c r="S788" s="144"/>
      <c r="T788" s="145"/>
      <c r="U788" s="28"/>
      <c r="V788" s="30"/>
      <c r="W788" s="28"/>
      <c r="X788" s="28"/>
      <c r="Y788" s="28"/>
      <c r="Z788" s="28"/>
    </row>
    <row r="789" ht="13.5" customHeight="1">
      <c r="A789" s="28"/>
      <c r="B789" s="28"/>
      <c r="C789" s="28"/>
      <c r="D789" s="28"/>
      <c r="E789" s="28"/>
      <c r="F789" s="28"/>
      <c r="G789" s="28"/>
      <c r="H789" s="28"/>
      <c r="I789" s="28"/>
      <c r="J789" s="143"/>
      <c r="K789" s="28"/>
      <c r="L789" s="28"/>
      <c r="M789" s="28"/>
      <c r="N789" s="28"/>
      <c r="O789" s="28"/>
      <c r="P789" s="28"/>
      <c r="Q789" s="144"/>
      <c r="R789" s="144"/>
      <c r="S789" s="144"/>
      <c r="T789" s="145"/>
      <c r="U789" s="28"/>
      <c r="V789" s="30"/>
      <c r="W789" s="28"/>
      <c r="X789" s="28"/>
      <c r="Y789" s="28"/>
      <c r="Z789" s="28"/>
    </row>
    <row r="790" ht="13.5" customHeight="1">
      <c r="A790" s="28"/>
      <c r="B790" s="28"/>
      <c r="C790" s="28"/>
      <c r="D790" s="28"/>
      <c r="E790" s="28"/>
      <c r="F790" s="28"/>
      <c r="G790" s="28"/>
      <c r="H790" s="28"/>
      <c r="I790" s="28"/>
      <c r="J790" s="143"/>
      <c r="K790" s="28"/>
      <c r="L790" s="28"/>
      <c r="M790" s="28"/>
      <c r="N790" s="28"/>
      <c r="O790" s="28"/>
      <c r="P790" s="28"/>
      <c r="Q790" s="144"/>
      <c r="R790" s="144"/>
      <c r="S790" s="144"/>
      <c r="T790" s="145"/>
      <c r="U790" s="28"/>
      <c r="V790" s="30"/>
      <c r="W790" s="28"/>
      <c r="X790" s="28"/>
      <c r="Y790" s="28"/>
      <c r="Z790" s="28"/>
    </row>
    <row r="791" ht="13.5" customHeight="1">
      <c r="A791" s="28"/>
      <c r="B791" s="28"/>
      <c r="C791" s="28"/>
      <c r="D791" s="28"/>
      <c r="E791" s="28"/>
      <c r="F791" s="28"/>
      <c r="G791" s="28"/>
      <c r="H791" s="28"/>
      <c r="I791" s="28"/>
      <c r="J791" s="143"/>
      <c r="K791" s="28"/>
      <c r="L791" s="28"/>
      <c r="M791" s="28"/>
      <c r="N791" s="28"/>
      <c r="O791" s="28"/>
      <c r="P791" s="28"/>
      <c r="Q791" s="144"/>
      <c r="R791" s="144"/>
      <c r="S791" s="144"/>
      <c r="T791" s="145"/>
      <c r="U791" s="28"/>
      <c r="V791" s="30"/>
      <c r="W791" s="28"/>
      <c r="X791" s="28"/>
      <c r="Y791" s="28"/>
      <c r="Z791" s="28"/>
    </row>
    <row r="792" ht="13.5" customHeight="1">
      <c r="A792" s="28"/>
      <c r="B792" s="28"/>
      <c r="C792" s="28"/>
      <c r="D792" s="28"/>
      <c r="E792" s="28"/>
      <c r="F792" s="28"/>
      <c r="G792" s="28"/>
      <c r="H792" s="28"/>
      <c r="I792" s="28"/>
      <c r="J792" s="143"/>
      <c r="K792" s="28"/>
      <c r="L792" s="28"/>
      <c r="M792" s="28"/>
      <c r="N792" s="28"/>
      <c r="O792" s="28"/>
      <c r="P792" s="28"/>
      <c r="Q792" s="144"/>
      <c r="R792" s="144"/>
      <c r="S792" s="144"/>
      <c r="T792" s="145"/>
      <c r="U792" s="28"/>
      <c r="V792" s="30"/>
      <c r="W792" s="28"/>
      <c r="X792" s="28"/>
      <c r="Y792" s="28"/>
      <c r="Z792" s="28"/>
    </row>
    <row r="793" ht="13.5" customHeight="1">
      <c r="A793" s="28"/>
      <c r="B793" s="28"/>
      <c r="C793" s="28"/>
      <c r="D793" s="28"/>
      <c r="E793" s="28"/>
      <c r="F793" s="28"/>
      <c r="G793" s="28"/>
      <c r="H793" s="28"/>
      <c r="I793" s="28"/>
      <c r="J793" s="143"/>
      <c r="K793" s="28"/>
      <c r="L793" s="28"/>
      <c r="M793" s="28"/>
      <c r="N793" s="28"/>
      <c r="O793" s="28"/>
      <c r="P793" s="28"/>
      <c r="Q793" s="144"/>
      <c r="R793" s="144"/>
      <c r="S793" s="144"/>
      <c r="T793" s="145"/>
      <c r="U793" s="28"/>
      <c r="V793" s="30"/>
      <c r="W793" s="28"/>
      <c r="X793" s="28"/>
      <c r="Y793" s="28"/>
      <c r="Z793" s="28"/>
    </row>
    <row r="794" ht="13.5" customHeight="1">
      <c r="A794" s="28"/>
      <c r="B794" s="28"/>
      <c r="C794" s="28"/>
      <c r="D794" s="28"/>
      <c r="E794" s="28"/>
      <c r="F794" s="28"/>
      <c r="G794" s="28"/>
      <c r="H794" s="28"/>
      <c r="I794" s="28"/>
      <c r="J794" s="143"/>
      <c r="K794" s="28"/>
      <c r="L794" s="28"/>
      <c r="M794" s="28"/>
      <c r="N794" s="28"/>
      <c r="O794" s="28"/>
      <c r="P794" s="28"/>
      <c r="Q794" s="144"/>
      <c r="R794" s="144"/>
      <c r="S794" s="144"/>
      <c r="T794" s="145"/>
      <c r="U794" s="28"/>
      <c r="V794" s="30"/>
      <c r="W794" s="28"/>
      <c r="X794" s="28"/>
      <c r="Y794" s="28"/>
      <c r="Z794" s="28"/>
    </row>
    <row r="795" ht="13.5" customHeight="1">
      <c r="A795" s="28"/>
      <c r="B795" s="28"/>
      <c r="C795" s="28"/>
      <c r="D795" s="28"/>
      <c r="E795" s="28"/>
      <c r="F795" s="28"/>
      <c r="G795" s="28"/>
      <c r="H795" s="28"/>
      <c r="I795" s="28"/>
      <c r="J795" s="143"/>
      <c r="K795" s="28"/>
      <c r="L795" s="28"/>
      <c r="M795" s="28"/>
      <c r="N795" s="28"/>
      <c r="O795" s="28"/>
      <c r="P795" s="28"/>
      <c r="Q795" s="144"/>
      <c r="R795" s="144"/>
      <c r="S795" s="144"/>
      <c r="T795" s="145"/>
      <c r="U795" s="28"/>
      <c r="V795" s="30"/>
      <c r="W795" s="28"/>
      <c r="X795" s="28"/>
      <c r="Y795" s="28"/>
      <c r="Z795" s="28"/>
    </row>
    <row r="796" ht="13.5" customHeight="1">
      <c r="A796" s="28"/>
      <c r="B796" s="28"/>
      <c r="C796" s="28"/>
      <c r="D796" s="28"/>
      <c r="E796" s="28"/>
      <c r="F796" s="28"/>
      <c r="G796" s="28"/>
      <c r="H796" s="28"/>
      <c r="I796" s="28"/>
      <c r="J796" s="143"/>
      <c r="K796" s="28"/>
      <c r="L796" s="28"/>
      <c r="M796" s="28"/>
      <c r="N796" s="28"/>
      <c r="O796" s="28"/>
      <c r="P796" s="28"/>
      <c r="Q796" s="144"/>
      <c r="R796" s="144"/>
      <c r="S796" s="144"/>
      <c r="T796" s="145"/>
      <c r="U796" s="28"/>
      <c r="V796" s="30"/>
      <c r="W796" s="28"/>
      <c r="X796" s="28"/>
      <c r="Y796" s="28"/>
      <c r="Z796" s="28"/>
    </row>
    <row r="797" ht="13.5" customHeight="1">
      <c r="A797" s="28"/>
      <c r="B797" s="28"/>
      <c r="C797" s="28"/>
      <c r="D797" s="28"/>
      <c r="E797" s="28"/>
      <c r="F797" s="28"/>
      <c r="G797" s="28"/>
      <c r="H797" s="28"/>
      <c r="I797" s="28"/>
      <c r="J797" s="143"/>
      <c r="K797" s="28"/>
      <c r="L797" s="28"/>
      <c r="M797" s="28"/>
      <c r="N797" s="28"/>
      <c r="O797" s="28"/>
      <c r="P797" s="28"/>
      <c r="Q797" s="144"/>
      <c r="R797" s="144"/>
      <c r="S797" s="144"/>
      <c r="T797" s="145"/>
      <c r="U797" s="28"/>
      <c r="V797" s="30"/>
      <c r="W797" s="28"/>
      <c r="X797" s="28"/>
      <c r="Y797" s="28"/>
      <c r="Z797" s="28"/>
    </row>
    <row r="798" ht="13.5" customHeight="1">
      <c r="A798" s="28"/>
      <c r="B798" s="28"/>
      <c r="C798" s="28"/>
      <c r="D798" s="28"/>
      <c r="E798" s="28"/>
      <c r="F798" s="28"/>
      <c r="G798" s="28"/>
      <c r="H798" s="28"/>
      <c r="I798" s="28"/>
      <c r="J798" s="143"/>
      <c r="K798" s="28"/>
      <c r="L798" s="28"/>
      <c r="M798" s="28"/>
      <c r="N798" s="28"/>
      <c r="O798" s="28"/>
      <c r="P798" s="28"/>
      <c r="Q798" s="144"/>
      <c r="R798" s="144"/>
      <c r="S798" s="144"/>
      <c r="T798" s="145"/>
      <c r="U798" s="28"/>
      <c r="V798" s="30"/>
      <c r="W798" s="28"/>
      <c r="X798" s="28"/>
      <c r="Y798" s="28"/>
      <c r="Z798" s="28"/>
    </row>
    <row r="799" ht="13.5" customHeight="1">
      <c r="A799" s="28"/>
      <c r="B799" s="28"/>
      <c r="C799" s="28"/>
      <c r="D799" s="28"/>
      <c r="E799" s="28"/>
      <c r="F799" s="28"/>
      <c r="G799" s="28"/>
      <c r="H799" s="28"/>
      <c r="I799" s="28"/>
      <c r="J799" s="143"/>
      <c r="K799" s="28"/>
      <c r="L799" s="28"/>
      <c r="M799" s="28"/>
      <c r="N799" s="28"/>
      <c r="O799" s="28"/>
      <c r="P799" s="28"/>
      <c r="Q799" s="144"/>
      <c r="R799" s="144"/>
      <c r="S799" s="144"/>
      <c r="T799" s="145"/>
      <c r="U799" s="28"/>
      <c r="V799" s="30"/>
      <c r="W799" s="28"/>
      <c r="X799" s="28"/>
      <c r="Y799" s="28"/>
      <c r="Z799" s="28"/>
    </row>
    <row r="800" ht="13.5" customHeight="1">
      <c r="A800" s="28"/>
      <c r="B800" s="28"/>
      <c r="C800" s="28"/>
      <c r="D800" s="28"/>
      <c r="E800" s="28"/>
      <c r="F800" s="28"/>
      <c r="G800" s="28"/>
      <c r="H800" s="28"/>
      <c r="I800" s="28"/>
      <c r="J800" s="143"/>
      <c r="K800" s="28"/>
      <c r="L800" s="28"/>
      <c r="M800" s="28"/>
      <c r="N800" s="28"/>
      <c r="O800" s="28"/>
      <c r="P800" s="28"/>
      <c r="Q800" s="144"/>
      <c r="R800" s="144"/>
      <c r="S800" s="144"/>
      <c r="T800" s="145"/>
      <c r="U800" s="28"/>
      <c r="V800" s="30"/>
      <c r="W800" s="28"/>
      <c r="X800" s="28"/>
      <c r="Y800" s="28"/>
      <c r="Z800" s="28"/>
    </row>
    <row r="801" ht="13.5" customHeight="1">
      <c r="A801" s="28"/>
      <c r="B801" s="28"/>
      <c r="C801" s="28"/>
      <c r="D801" s="28"/>
      <c r="E801" s="28"/>
      <c r="F801" s="28"/>
      <c r="G801" s="28"/>
      <c r="H801" s="28"/>
      <c r="I801" s="28"/>
      <c r="J801" s="143"/>
      <c r="K801" s="28"/>
      <c r="L801" s="28"/>
      <c r="M801" s="28"/>
      <c r="N801" s="28"/>
      <c r="O801" s="28"/>
      <c r="P801" s="28"/>
      <c r="Q801" s="144"/>
      <c r="R801" s="144"/>
      <c r="S801" s="144"/>
      <c r="T801" s="145"/>
      <c r="U801" s="28"/>
      <c r="V801" s="30"/>
      <c r="W801" s="28"/>
      <c r="X801" s="28"/>
      <c r="Y801" s="28"/>
      <c r="Z801" s="28"/>
    </row>
    <row r="802" ht="13.5" customHeight="1">
      <c r="A802" s="28"/>
      <c r="B802" s="28"/>
      <c r="C802" s="28"/>
      <c r="D802" s="28"/>
      <c r="E802" s="28"/>
      <c r="F802" s="28"/>
      <c r="G802" s="28"/>
      <c r="H802" s="28"/>
      <c r="I802" s="28"/>
      <c r="J802" s="143"/>
      <c r="K802" s="28"/>
      <c r="L802" s="28"/>
      <c r="M802" s="28"/>
      <c r="N802" s="28"/>
      <c r="O802" s="28"/>
      <c r="P802" s="28"/>
      <c r="Q802" s="144"/>
      <c r="R802" s="144"/>
      <c r="S802" s="144"/>
      <c r="T802" s="145"/>
      <c r="U802" s="28"/>
      <c r="V802" s="30"/>
      <c r="W802" s="28"/>
      <c r="X802" s="28"/>
      <c r="Y802" s="28"/>
      <c r="Z802" s="28"/>
    </row>
    <row r="803" ht="13.5" customHeight="1">
      <c r="A803" s="28"/>
      <c r="B803" s="28"/>
      <c r="C803" s="28"/>
      <c r="D803" s="28"/>
      <c r="E803" s="28"/>
      <c r="F803" s="28"/>
      <c r="G803" s="28"/>
      <c r="H803" s="28"/>
      <c r="I803" s="28"/>
      <c r="J803" s="143"/>
      <c r="K803" s="28"/>
      <c r="L803" s="28"/>
      <c r="M803" s="28"/>
      <c r="N803" s="28"/>
      <c r="O803" s="28"/>
      <c r="P803" s="28"/>
      <c r="Q803" s="144"/>
      <c r="R803" s="144"/>
      <c r="S803" s="144"/>
      <c r="T803" s="145"/>
      <c r="U803" s="28"/>
      <c r="V803" s="30"/>
      <c r="W803" s="28"/>
      <c r="X803" s="28"/>
      <c r="Y803" s="28"/>
      <c r="Z803" s="28"/>
    </row>
    <row r="804" ht="13.5" customHeight="1">
      <c r="A804" s="28"/>
      <c r="B804" s="28"/>
      <c r="C804" s="28"/>
      <c r="D804" s="28"/>
      <c r="E804" s="28"/>
      <c r="F804" s="28"/>
      <c r="G804" s="28"/>
      <c r="H804" s="28"/>
      <c r="I804" s="28"/>
      <c r="J804" s="143"/>
      <c r="K804" s="28"/>
      <c r="L804" s="28"/>
      <c r="M804" s="28"/>
      <c r="N804" s="28"/>
      <c r="O804" s="28"/>
      <c r="P804" s="28"/>
      <c r="Q804" s="144"/>
      <c r="R804" s="144"/>
      <c r="S804" s="144"/>
      <c r="T804" s="145"/>
      <c r="U804" s="28"/>
      <c r="V804" s="30"/>
      <c r="W804" s="28"/>
      <c r="X804" s="28"/>
      <c r="Y804" s="28"/>
      <c r="Z804" s="28"/>
    </row>
    <row r="805" ht="13.5" customHeight="1">
      <c r="A805" s="28"/>
      <c r="B805" s="28"/>
      <c r="C805" s="28"/>
      <c r="D805" s="28"/>
      <c r="E805" s="28"/>
      <c r="F805" s="28"/>
      <c r="G805" s="28"/>
      <c r="H805" s="28"/>
      <c r="I805" s="28"/>
      <c r="J805" s="143"/>
      <c r="K805" s="28"/>
      <c r="L805" s="28"/>
      <c r="M805" s="28"/>
      <c r="N805" s="28"/>
      <c r="O805" s="28"/>
      <c r="P805" s="28"/>
      <c r="Q805" s="144"/>
      <c r="R805" s="144"/>
      <c r="S805" s="144"/>
      <c r="T805" s="145"/>
      <c r="U805" s="28"/>
      <c r="V805" s="30"/>
      <c r="W805" s="28"/>
      <c r="X805" s="28"/>
      <c r="Y805" s="28"/>
      <c r="Z805" s="28"/>
    </row>
    <row r="806" ht="13.5" customHeight="1">
      <c r="A806" s="28"/>
      <c r="B806" s="28"/>
      <c r="C806" s="28"/>
      <c r="D806" s="28"/>
      <c r="E806" s="28"/>
      <c r="F806" s="28"/>
      <c r="G806" s="28"/>
      <c r="H806" s="28"/>
      <c r="I806" s="28"/>
      <c r="J806" s="143"/>
      <c r="K806" s="28"/>
      <c r="L806" s="28"/>
      <c r="M806" s="28"/>
      <c r="N806" s="28"/>
      <c r="O806" s="28"/>
      <c r="P806" s="28"/>
      <c r="Q806" s="144"/>
      <c r="R806" s="144"/>
      <c r="S806" s="144"/>
      <c r="T806" s="145"/>
      <c r="U806" s="28"/>
      <c r="V806" s="30"/>
      <c r="W806" s="28"/>
      <c r="X806" s="28"/>
      <c r="Y806" s="28"/>
      <c r="Z806" s="28"/>
    </row>
    <row r="807" ht="13.5" customHeight="1">
      <c r="A807" s="28"/>
      <c r="B807" s="28"/>
      <c r="C807" s="28"/>
      <c r="D807" s="28"/>
      <c r="E807" s="28"/>
      <c r="F807" s="28"/>
      <c r="G807" s="28"/>
      <c r="H807" s="28"/>
      <c r="I807" s="28"/>
      <c r="J807" s="143"/>
      <c r="K807" s="28"/>
      <c r="L807" s="28"/>
      <c r="M807" s="28"/>
      <c r="N807" s="28"/>
      <c r="O807" s="28"/>
      <c r="P807" s="28"/>
      <c r="Q807" s="144"/>
      <c r="R807" s="144"/>
      <c r="S807" s="144"/>
      <c r="T807" s="145"/>
      <c r="U807" s="28"/>
      <c r="V807" s="30"/>
      <c r="W807" s="28"/>
      <c r="X807" s="28"/>
      <c r="Y807" s="28"/>
      <c r="Z807" s="28"/>
    </row>
    <row r="808" ht="13.5" customHeight="1">
      <c r="A808" s="28"/>
      <c r="B808" s="28"/>
      <c r="C808" s="28"/>
      <c r="D808" s="28"/>
      <c r="E808" s="28"/>
      <c r="F808" s="28"/>
      <c r="G808" s="28"/>
      <c r="H808" s="28"/>
      <c r="I808" s="28"/>
      <c r="J808" s="143"/>
      <c r="K808" s="28"/>
      <c r="L808" s="28"/>
      <c r="M808" s="28"/>
      <c r="N808" s="28"/>
      <c r="O808" s="28"/>
      <c r="P808" s="28"/>
      <c r="Q808" s="144"/>
      <c r="R808" s="144"/>
      <c r="S808" s="144"/>
      <c r="T808" s="145"/>
      <c r="U808" s="28"/>
      <c r="V808" s="30"/>
      <c r="W808" s="28"/>
      <c r="X808" s="28"/>
      <c r="Y808" s="28"/>
      <c r="Z808" s="28"/>
    </row>
    <row r="809" ht="13.5" customHeight="1">
      <c r="A809" s="28"/>
      <c r="B809" s="28"/>
      <c r="C809" s="28"/>
      <c r="D809" s="28"/>
      <c r="E809" s="28"/>
      <c r="F809" s="28"/>
      <c r="G809" s="28"/>
      <c r="H809" s="28"/>
      <c r="I809" s="28"/>
      <c r="J809" s="143"/>
      <c r="K809" s="28"/>
      <c r="L809" s="28"/>
      <c r="M809" s="28"/>
      <c r="N809" s="28"/>
      <c r="O809" s="28"/>
      <c r="P809" s="28"/>
      <c r="Q809" s="144"/>
      <c r="R809" s="144"/>
      <c r="S809" s="144"/>
      <c r="T809" s="145"/>
      <c r="U809" s="28"/>
      <c r="V809" s="30"/>
      <c r="W809" s="28"/>
      <c r="X809" s="28"/>
      <c r="Y809" s="28"/>
      <c r="Z809" s="28"/>
    </row>
    <row r="810" ht="13.5" customHeight="1">
      <c r="A810" s="28"/>
      <c r="B810" s="28"/>
      <c r="C810" s="28"/>
      <c r="D810" s="28"/>
      <c r="E810" s="28"/>
      <c r="F810" s="28"/>
      <c r="G810" s="28"/>
      <c r="H810" s="28"/>
      <c r="I810" s="28"/>
      <c r="J810" s="143"/>
      <c r="K810" s="28"/>
      <c r="L810" s="28"/>
      <c r="M810" s="28"/>
      <c r="N810" s="28"/>
      <c r="O810" s="28"/>
      <c r="P810" s="28"/>
      <c r="Q810" s="144"/>
      <c r="R810" s="144"/>
      <c r="S810" s="144"/>
      <c r="T810" s="145"/>
      <c r="U810" s="28"/>
      <c r="V810" s="30"/>
      <c r="W810" s="28"/>
      <c r="X810" s="28"/>
      <c r="Y810" s="28"/>
      <c r="Z810" s="28"/>
    </row>
    <row r="811" ht="13.5" customHeight="1">
      <c r="A811" s="28"/>
      <c r="B811" s="28"/>
      <c r="C811" s="28"/>
      <c r="D811" s="28"/>
      <c r="E811" s="28"/>
      <c r="F811" s="28"/>
      <c r="G811" s="28"/>
      <c r="H811" s="28"/>
      <c r="I811" s="28"/>
      <c r="J811" s="143"/>
      <c r="K811" s="28"/>
      <c r="L811" s="28"/>
      <c r="M811" s="28"/>
      <c r="N811" s="28"/>
      <c r="O811" s="28"/>
      <c r="P811" s="28"/>
      <c r="Q811" s="144"/>
      <c r="R811" s="144"/>
      <c r="S811" s="144"/>
      <c r="T811" s="145"/>
      <c r="U811" s="28"/>
      <c r="V811" s="30"/>
      <c r="W811" s="28"/>
      <c r="X811" s="28"/>
      <c r="Y811" s="28"/>
      <c r="Z811" s="28"/>
    </row>
    <row r="812" ht="13.5" customHeight="1">
      <c r="A812" s="28"/>
      <c r="B812" s="28"/>
      <c r="C812" s="28"/>
      <c r="D812" s="28"/>
      <c r="E812" s="28"/>
      <c r="F812" s="28"/>
      <c r="G812" s="28"/>
      <c r="H812" s="28"/>
      <c r="I812" s="28"/>
      <c r="J812" s="143"/>
      <c r="K812" s="28"/>
      <c r="L812" s="28"/>
      <c r="M812" s="28"/>
      <c r="N812" s="28"/>
      <c r="O812" s="28"/>
      <c r="P812" s="28"/>
      <c r="Q812" s="144"/>
      <c r="R812" s="144"/>
      <c r="S812" s="144"/>
      <c r="T812" s="145"/>
      <c r="U812" s="28"/>
      <c r="V812" s="30"/>
      <c r="W812" s="28"/>
      <c r="X812" s="28"/>
      <c r="Y812" s="28"/>
      <c r="Z812" s="28"/>
    </row>
    <row r="813" ht="13.5" customHeight="1">
      <c r="A813" s="28"/>
      <c r="B813" s="28"/>
      <c r="C813" s="28"/>
      <c r="D813" s="28"/>
      <c r="E813" s="28"/>
      <c r="F813" s="28"/>
      <c r="G813" s="28"/>
      <c r="H813" s="28"/>
      <c r="I813" s="28"/>
      <c r="J813" s="143"/>
      <c r="K813" s="28"/>
      <c r="L813" s="28"/>
      <c r="M813" s="28"/>
      <c r="N813" s="28"/>
      <c r="O813" s="28"/>
      <c r="P813" s="28"/>
      <c r="Q813" s="144"/>
      <c r="R813" s="144"/>
      <c r="S813" s="144"/>
      <c r="T813" s="145"/>
      <c r="U813" s="28"/>
      <c r="V813" s="30"/>
      <c r="W813" s="28"/>
      <c r="X813" s="28"/>
      <c r="Y813" s="28"/>
      <c r="Z813" s="28"/>
    </row>
    <row r="814" ht="13.5" customHeight="1">
      <c r="A814" s="28"/>
      <c r="B814" s="28"/>
      <c r="C814" s="28"/>
      <c r="D814" s="28"/>
      <c r="E814" s="28"/>
      <c r="F814" s="28"/>
      <c r="G814" s="28"/>
      <c r="H814" s="28"/>
      <c r="I814" s="28"/>
      <c r="J814" s="143"/>
      <c r="K814" s="28"/>
      <c r="L814" s="28"/>
      <c r="M814" s="28"/>
      <c r="N814" s="28"/>
      <c r="O814" s="28"/>
      <c r="P814" s="28"/>
      <c r="Q814" s="144"/>
      <c r="R814" s="144"/>
      <c r="S814" s="144"/>
      <c r="T814" s="145"/>
      <c r="U814" s="28"/>
      <c r="V814" s="30"/>
      <c r="W814" s="28"/>
      <c r="X814" s="28"/>
      <c r="Y814" s="28"/>
      <c r="Z814" s="28"/>
    </row>
    <row r="815" ht="13.5" customHeight="1">
      <c r="A815" s="28"/>
      <c r="B815" s="28"/>
      <c r="C815" s="28"/>
      <c r="D815" s="28"/>
      <c r="E815" s="28"/>
      <c r="F815" s="28"/>
      <c r="G815" s="28"/>
      <c r="H815" s="28"/>
      <c r="I815" s="28"/>
      <c r="J815" s="143"/>
      <c r="K815" s="28"/>
      <c r="L815" s="28"/>
      <c r="M815" s="28"/>
      <c r="N815" s="28"/>
      <c r="O815" s="28"/>
      <c r="P815" s="28"/>
      <c r="Q815" s="144"/>
      <c r="R815" s="144"/>
      <c r="S815" s="144"/>
      <c r="T815" s="145"/>
      <c r="U815" s="28"/>
      <c r="V815" s="30"/>
      <c r="W815" s="28"/>
      <c r="X815" s="28"/>
      <c r="Y815" s="28"/>
      <c r="Z815" s="28"/>
    </row>
    <row r="816" ht="13.5" customHeight="1">
      <c r="A816" s="28"/>
      <c r="B816" s="28"/>
      <c r="C816" s="28"/>
      <c r="D816" s="28"/>
      <c r="E816" s="28"/>
      <c r="F816" s="28"/>
      <c r="G816" s="28"/>
      <c r="H816" s="28"/>
      <c r="I816" s="28"/>
      <c r="J816" s="143"/>
      <c r="K816" s="28"/>
      <c r="L816" s="28"/>
      <c r="M816" s="28"/>
      <c r="N816" s="28"/>
      <c r="O816" s="28"/>
      <c r="P816" s="28"/>
      <c r="Q816" s="144"/>
      <c r="R816" s="144"/>
      <c r="S816" s="144"/>
      <c r="T816" s="145"/>
      <c r="U816" s="28"/>
      <c r="V816" s="30"/>
      <c r="W816" s="28"/>
      <c r="X816" s="28"/>
      <c r="Y816" s="28"/>
      <c r="Z816" s="28"/>
    </row>
    <row r="817" ht="13.5" customHeight="1">
      <c r="A817" s="28"/>
      <c r="B817" s="28"/>
      <c r="C817" s="28"/>
      <c r="D817" s="28"/>
      <c r="E817" s="28"/>
      <c r="F817" s="28"/>
      <c r="G817" s="28"/>
      <c r="H817" s="28"/>
      <c r="I817" s="28"/>
      <c r="J817" s="143"/>
      <c r="K817" s="28"/>
      <c r="L817" s="28"/>
      <c r="M817" s="28"/>
      <c r="N817" s="28"/>
      <c r="O817" s="28"/>
      <c r="P817" s="28"/>
      <c r="Q817" s="144"/>
      <c r="R817" s="144"/>
      <c r="S817" s="144"/>
      <c r="T817" s="145"/>
      <c r="U817" s="28"/>
      <c r="V817" s="30"/>
      <c r="W817" s="28"/>
      <c r="X817" s="28"/>
      <c r="Y817" s="28"/>
      <c r="Z817" s="28"/>
    </row>
    <row r="818" ht="13.5" customHeight="1">
      <c r="A818" s="28"/>
      <c r="B818" s="28"/>
      <c r="C818" s="28"/>
      <c r="D818" s="28"/>
      <c r="E818" s="28"/>
      <c r="F818" s="28"/>
      <c r="G818" s="28"/>
      <c r="H818" s="28"/>
      <c r="I818" s="28"/>
      <c r="J818" s="143"/>
      <c r="K818" s="28"/>
      <c r="L818" s="28"/>
      <c r="M818" s="28"/>
      <c r="N818" s="28"/>
      <c r="O818" s="28"/>
      <c r="P818" s="28"/>
      <c r="Q818" s="144"/>
      <c r="R818" s="144"/>
      <c r="S818" s="144"/>
      <c r="T818" s="145"/>
      <c r="U818" s="28"/>
      <c r="V818" s="30"/>
      <c r="W818" s="28"/>
      <c r="X818" s="28"/>
      <c r="Y818" s="28"/>
      <c r="Z818" s="28"/>
    </row>
    <row r="819" ht="13.5" customHeight="1">
      <c r="A819" s="28"/>
      <c r="B819" s="28"/>
      <c r="C819" s="28"/>
      <c r="D819" s="28"/>
      <c r="E819" s="28"/>
      <c r="F819" s="28"/>
      <c r="G819" s="28"/>
      <c r="H819" s="28"/>
      <c r="I819" s="28"/>
      <c r="J819" s="143"/>
      <c r="K819" s="28"/>
      <c r="L819" s="28"/>
      <c r="M819" s="28"/>
      <c r="N819" s="28"/>
      <c r="O819" s="28"/>
      <c r="P819" s="28"/>
      <c r="Q819" s="144"/>
      <c r="R819" s="144"/>
      <c r="S819" s="144"/>
      <c r="T819" s="145"/>
      <c r="U819" s="28"/>
      <c r="V819" s="30"/>
      <c r="W819" s="28"/>
      <c r="X819" s="28"/>
      <c r="Y819" s="28"/>
      <c r="Z819" s="28"/>
    </row>
    <row r="820" ht="13.5" customHeight="1">
      <c r="A820" s="28"/>
      <c r="B820" s="28"/>
      <c r="C820" s="28"/>
      <c r="D820" s="28"/>
      <c r="E820" s="28"/>
      <c r="F820" s="28"/>
      <c r="G820" s="28"/>
      <c r="H820" s="28"/>
      <c r="I820" s="28"/>
      <c r="J820" s="143"/>
      <c r="K820" s="28"/>
      <c r="L820" s="28"/>
      <c r="M820" s="28"/>
      <c r="N820" s="28"/>
      <c r="O820" s="28"/>
      <c r="P820" s="28"/>
      <c r="Q820" s="144"/>
      <c r="R820" s="144"/>
      <c r="S820" s="144"/>
      <c r="T820" s="145"/>
      <c r="U820" s="28"/>
      <c r="V820" s="30"/>
      <c r="W820" s="28"/>
      <c r="X820" s="28"/>
      <c r="Y820" s="28"/>
      <c r="Z820" s="28"/>
    </row>
    <row r="821" ht="13.5" customHeight="1">
      <c r="A821" s="28"/>
      <c r="B821" s="28"/>
      <c r="C821" s="28"/>
      <c r="D821" s="28"/>
      <c r="E821" s="28"/>
      <c r="F821" s="28"/>
      <c r="G821" s="28"/>
      <c r="H821" s="28"/>
      <c r="I821" s="28"/>
      <c r="J821" s="143"/>
      <c r="K821" s="28"/>
      <c r="L821" s="28"/>
      <c r="M821" s="28"/>
      <c r="N821" s="28"/>
      <c r="O821" s="28"/>
      <c r="P821" s="28"/>
      <c r="Q821" s="144"/>
      <c r="R821" s="144"/>
      <c r="S821" s="144"/>
      <c r="T821" s="145"/>
      <c r="U821" s="28"/>
      <c r="V821" s="30"/>
      <c r="W821" s="28"/>
      <c r="X821" s="28"/>
      <c r="Y821" s="28"/>
      <c r="Z821" s="28"/>
    </row>
    <row r="822" ht="13.5" customHeight="1">
      <c r="A822" s="28"/>
      <c r="B822" s="28"/>
      <c r="C822" s="28"/>
      <c r="D822" s="28"/>
      <c r="E822" s="28"/>
      <c r="F822" s="28"/>
      <c r="G822" s="28"/>
      <c r="H822" s="28"/>
      <c r="I822" s="28"/>
      <c r="J822" s="143"/>
      <c r="K822" s="28"/>
      <c r="L822" s="28"/>
      <c r="M822" s="28"/>
      <c r="N822" s="28"/>
      <c r="O822" s="28"/>
      <c r="P822" s="28"/>
      <c r="Q822" s="144"/>
      <c r="R822" s="144"/>
      <c r="S822" s="144"/>
      <c r="T822" s="145"/>
      <c r="U822" s="28"/>
      <c r="V822" s="30"/>
      <c r="W822" s="28"/>
      <c r="X822" s="28"/>
      <c r="Y822" s="28"/>
      <c r="Z822" s="28"/>
    </row>
    <row r="823" ht="13.5" customHeight="1">
      <c r="A823" s="28"/>
      <c r="B823" s="28"/>
      <c r="C823" s="28"/>
      <c r="D823" s="28"/>
      <c r="E823" s="28"/>
      <c r="F823" s="28"/>
      <c r="G823" s="28"/>
      <c r="H823" s="28"/>
      <c r="I823" s="28"/>
      <c r="J823" s="143"/>
      <c r="K823" s="28"/>
      <c r="L823" s="28"/>
      <c r="M823" s="28"/>
      <c r="N823" s="28"/>
      <c r="O823" s="28"/>
      <c r="P823" s="28"/>
      <c r="Q823" s="144"/>
      <c r="R823" s="144"/>
      <c r="S823" s="144"/>
      <c r="T823" s="145"/>
      <c r="U823" s="28"/>
      <c r="V823" s="30"/>
      <c r="W823" s="28"/>
      <c r="X823" s="28"/>
      <c r="Y823" s="28"/>
      <c r="Z823" s="28"/>
    </row>
    <row r="824" ht="13.5" customHeight="1">
      <c r="A824" s="28"/>
      <c r="B824" s="28"/>
      <c r="C824" s="28"/>
      <c r="D824" s="28"/>
      <c r="E824" s="28"/>
      <c r="F824" s="28"/>
      <c r="G824" s="28"/>
      <c r="H824" s="28"/>
      <c r="I824" s="28"/>
      <c r="J824" s="143"/>
      <c r="K824" s="28"/>
      <c r="L824" s="28"/>
      <c r="M824" s="28"/>
      <c r="N824" s="28"/>
      <c r="O824" s="28"/>
      <c r="P824" s="28"/>
      <c r="Q824" s="144"/>
      <c r="R824" s="144"/>
      <c r="S824" s="144"/>
      <c r="T824" s="145"/>
      <c r="U824" s="28"/>
      <c r="V824" s="30"/>
      <c r="W824" s="28"/>
      <c r="X824" s="28"/>
      <c r="Y824" s="28"/>
      <c r="Z824" s="28"/>
    </row>
    <row r="825" ht="13.5" customHeight="1">
      <c r="A825" s="28"/>
      <c r="B825" s="28"/>
      <c r="C825" s="28"/>
      <c r="D825" s="28"/>
      <c r="E825" s="28"/>
      <c r="F825" s="28"/>
      <c r="G825" s="28"/>
      <c r="H825" s="28"/>
      <c r="I825" s="28"/>
      <c r="J825" s="143"/>
      <c r="K825" s="28"/>
      <c r="L825" s="28"/>
      <c r="M825" s="28"/>
      <c r="N825" s="28"/>
      <c r="O825" s="28"/>
      <c r="P825" s="28"/>
      <c r="Q825" s="144"/>
      <c r="R825" s="144"/>
      <c r="S825" s="144"/>
      <c r="T825" s="145"/>
      <c r="U825" s="28"/>
      <c r="V825" s="30"/>
      <c r="W825" s="28"/>
      <c r="X825" s="28"/>
      <c r="Y825" s="28"/>
      <c r="Z825" s="28"/>
    </row>
    <row r="826" ht="13.5" customHeight="1">
      <c r="A826" s="28"/>
      <c r="B826" s="28"/>
      <c r="C826" s="28"/>
      <c r="D826" s="28"/>
      <c r="E826" s="28"/>
      <c r="F826" s="28"/>
      <c r="G826" s="28"/>
      <c r="H826" s="28"/>
      <c r="I826" s="28"/>
      <c r="J826" s="143"/>
      <c r="K826" s="28"/>
      <c r="L826" s="28"/>
      <c r="M826" s="28"/>
      <c r="N826" s="28"/>
      <c r="O826" s="28"/>
      <c r="P826" s="28"/>
      <c r="Q826" s="144"/>
      <c r="R826" s="144"/>
      <c r="S826" s="144"/>
      <c r="T826" s="145"/>
      <c r="U826" s="28"/>
      <c r="V826" s="30"/>
      <c r="W826" s="28"/>
      <c r="X826" s="28"/>
      <c r="Y826" s="28"/>
      <c r="Z826" s="28"/>
    </row>
    <row r="827" ht="13.5" customHeight="1">
      <c r="A827" s="28"/>
      <c r="B827" s="28"/>
      <c r="C827" s="28"/>
      <c r="D827" s="28"/>
      <c r="E827" s="28"/>
      <c r="F827" s="28"/>
      <c r="G827" s="28"/>
      <c r="H827" s="28"/>
      <c r="I827" s="28"/>
      <c r="J827" s="143"/>
      <c r="K827" s="28"/>
      <c r="L827" s="28"/>
      <c r="M827" s="28"/>
      <c r="N827" s="28"/>
      <c r="O827" s="28"/>
      <c r="P827" s="28"/>
      <c r="Q827" s="144"/>
      <c r="R827" s="144"/>
      <c r="S827" s="144"/>
      <c r="T827" s="145"/>
      <c r="U827" s="28"/>
      <c r="V827" s="30"/>
      <c r="W827" s="28"/>
      <c r="X827" s="28"/>
      <c r="Y827" s="28"/>
      <c r="Z827" s="28"/>
    </row>
    <row r="828" ht="13.5" customHeight="1">
      <c r="A828" s="28"/>
      <c r="B828" s="28"/>
      <c r="C828" s="28"/>
      <c r="D828" s="28"/>
      <c r="E828" s="28"/>
      <c r="F828" s="28"/>
      <c r="G828" s="28"/>
      <c r="H828" s="28"/>
      <c r="I828" s="28"/>
      <c r="J828" s="143"/>
      <c r="K828" s="28"/>
      <c r="L828" s="28"/>
      <c r="M828" s="28"/>
      <c r="N828" s="28"/>
      <c r="O828" s="28"/>
      <c r="P828" s="28"/>
      <c r="Q828" s="144"/>
      <c r="R828" s="144"/>
      <c r="S828" s="144"/>
      <c r="T828" s="145"/>
      <c r="U828" s="28"/>
      <c r="V828" s="30"/>
      <c r="W828" s="28"/>
      <c r="X828" s="28"/>
      <c r="Y828" s="28"/>
      <c r="Z828" s="28"/>
    </row>
    <row r="829" ht="13.5" customHeight="1">
      <c r="A829" s="28"/>
      <c r="B829" s="28"/>
      <c r="C829" s="28"/>
      <c r="D829" s="28"/>
      <c r="E829" s="28"/>
      <c r="F829" s="28"/>
      <c r="G829" s="28"/>
      <c r="H829" s="28"/>
      <c r="I829" s="28"/>
      <c r="J829" s="143"/>
      <c r="K829" s="28"/>
      <c r="L829" s="28"/>
      <c r="M829" s="28"/>
      <c r="N829" s="28"/>
      <c r="O829" s="28"/>
      <c r="P829" s="28"/>
      <c r="Q829" s="144"/>
      <c r="R829" s="144"/>
      <c r="S829" s="144"/>
      <c r="T829" s="145"/>
      <c r="U829" s="28"/>
      <c r="V829" s="30"/>
      <c r="W829" s="28"/>
      <c r="X829" s="28"/>
      <c r="Y829" s="28"/>
      <c r="Z829" s="28"/>
    </row>
    <row r="830" ht="13.5" customHeight="1">
      <c r="A830" s="28"/>
      <c r="B830" s="28"/>
      <c r="C830" s="28"/>
      <c r="D830" s="28"/>
      <c r="E830" s="28"/>
      <c r="F830" s="28"/>
      <c r="G830" s="28"/>
      <c r="H830" s="28"/>
      <c r="I830" s="28"/>
      <c r="J830" s="143"/>
      <c r="K830" s="28"/>
      <c r="L830" s="28"/>
      <c r="M830" s="28"/>
      <c r="N830" s="28"/>
      <c r="O830" s="28"/>
      <c r="P830" s="28"/>
      <c r="Q830" s="144"/>
      <c r="R830" s="144"/>
      <c r="S830" s="144"/>
      <c r="T830" s="145"/>
      <c r="U830" s="28"/>
      <c r="V830" s="30"/>
      <c r="W830" s="28"/>
      <c r="X830" s="28"/>
      <c r="Y830" s="28"/>
      <c r="Z830" s="28"/>
    </row>
    <row r="831" ht="13.5" customHeight="1">
      <c r="A831" s="28"/>
      <c r="B831" s="28"/>
      <c r="C831" s="28"/>
      <c r="D831" s="28"/>
      <c r="E831" s="28"/>
      <c r="F831" s="28"/>
      <c r="G831" s="28"/>
      <c r="H831" s="28"/>
      <c r="I831" s="28"/>
      <c r="J831" s="143"/>
      <c r="K831" s="28"/>
      <c r="L831" s="28"/>
      <c r="M831" s="28"/>
      <c r="N831" s="28"/>
      <c r="O831" s="28"/>
      <c r="P831" s="28"/>
      <c r="Q831" s="144"/>
      <c r="R831" s="144"/>
      <c r="S831" s="144"/>
      <c r="T831" s="145"/>
      <c r="U831" s="28"/>
      <c r="V831" s="30"/>
      <c r="W831" s="28"/>
      <c r="X831" s="28"/>
      <c r="Y831" s="28"/>
      <c r="Z831" s="28"/>
    </row>
    <row r="832" ht="13.5" customHeight="1">
      <c r="A832" s="28"/>
      <c r="B832" s="28"/>
      <c r="C832" s="28"/>
      <c r="D832" s="28"/>
      <c r="E832" s="28"/>
      <c r="F832" s="28"/>
      <c r="G832" s="28"/>
      <c r="H832" s="28"/>
      <c r="I832" s="28"/>
      <c r="J832" s="143"/>
      <c r="K832" s="28"/>
      <c r="L832" s="28"/>
      <c r="M832" s="28"/>
      <c r="N832" s="28"/>
      <c r="O832" s="28"/>
      <c r="P832" s="28"/>
      <c r="Q832" s="144"/>
      <c r="R832" s="144"/>
      <c r="S832" s="144"/>
      <c r="T832" s="145"/>
      <c r="U832" s="28"/>
      <c r="V832" s="30"/>
      <c r="W832" s="28"/>
      <c r="X832" s="28"/>
      <c r="Y832" s="28"/>
      <c r="Z832" s="28"/>
    </row>
    <row r="833" ht="13.5" customHeight="1">
      <c r="A833" s="28"/>
      <c r="B833" s="28"/>
      <c r="C833" s="28"/>
      <c r="D833" s="28"/>
      <c r="E833" s="28"/>
      <c r="F833" s="28"/>
      <c r="G833" s="28"/>
      <c r="H833" s="28"/>
      <c r="I833" s="28"/>
      <c r="J833" s="143"/>
      <c r="K833" s="28"/>
      <c r="L833" s="28"/>
      <c r="M833" s="28"/>
      <c r="N833" s="28"/>
      <c r="O833" s="28"/>
      <c r="P833" s="28"/>
      <c r="Q833" s="144"/>
      <c r="R833" s="144"/>
      <c r="S833" s="144"/>
      <c r="T833" s="145"/>
      <c r="U833" s="28"/>
      <c r="V833" s="30"/>
      <c r="W833" s="28"/>
      <c r="X833" s="28"/>
      <c r="Y833" s="28"/>
      <c r="Z833" s="28"/>
    </row>
    <row r="834" ht="13.5" customHeight="1">
      <c r="A834" s="28"/>
      <c r="B834" s="28"/>
      <c r="C834" s="28"/>
      <c r="D834" s="28"/>
      <c r="E834" s="28"/>
      <c r="F834" s="28"/>
      <c r="G834" s="28"/>
      <c r="H834" s="28"/>
      <c r="I834" s="28"/>
      <c r="J834" s="143"/>
      <c r="K834" s="28"/>
      <c r="L834" s="28"/>
      <c r="M834" s="28"/>
      <c r="N834" s="28"/>
      <c r="O834" s="28"/>
      <c r="P834" s="28"/>
      <c r="Q834" s="144"/>
      <c r="R834" s="144"/>
      <c r="S834" s="144"/>
      <c r="T834" s="145"/>
      <c r="U834" s="28"/>
      <c r="V834" s="30"/>
      <c r="W834" s="28"/>
      <c r="X834" s="28"/>
      <c r="Y834" s="28"/>
      <c r="Z834" s="28"/>
    </row>
    <row r="835" ht="13.5" customHeight="1">
      <c r="A835" s="28"/>
      <c r="B835" s="28"/>
      <c r="C835" s="28"/>
      <c r="D835" s="28"/>
      <c r="E835" s="28"/>
      <c r="F835" s="28"/>
      <c r="G835" s="28"/>
      <c r="H835" s="28"/>
      <c r="I835" s="28"/>
      <c r="J835" s="143"/>
      <c r="K835" s="28"/>
      <c r="L835" s="28"/>
      <c r="M835" s="28"/>
      <c r="N835" s="28"/>
      <c r="O835" s="28"/>
      <c r="P835" s="28"/>
      <c r="Q835" s="144"/>
      <c r="R835" s="144"/>
      <c r="S835" s="144"/>
      <c r="T835" s="145"/>
      <c r="U835" s="28"/>
      <c r="V835" s="30"/>
      <c r="W835" s="28"/>
      <c r="X835" s="28"/>
      <c r="Y835" s="28"/>
      <c r="Z835" s="28"/>
    </row>
    <row r="836" ht="13.5" customHeight="1">
      <c r="A836" s="28"/>
      <c r="B836" s="28"/>
      <c r="C836" s="28"/>
      <c r="D836" s="28"/>
      <c r="E836" s="28"/>
      <c r="F836" s="28"/>
      <c r="G836" s="28"/>
      <c r="H836" s="28"/>
      <c r="I836" s="28"/>
      <c r="J836" s="143"/>
      <c r="K836" s="28"/>
      <c r="L836" s="28"/>
      <c r="M836" s="28"/>
      <c r="N836" s="28"/>
      <c r="O836" s="28"/>
      <c r="P836" s="28"/>
      <c r="Q836" s="144"/>
      <c r="R836" s="144"/>
      <c r="S836" s="144"/>
      <c r="T836" s="145"/>
      <c r="U836" s="28"/>
      <c r="V836" s="30"/>
      <c r="W836" s="28"/>
      <c r="X836" s="28"/>
      <c r="Y836" s="28"/>
      <c r="Z836" s="28"/>
    </row>
    <row r="837" ht="13.5" customHeight="1">
      <c r="A837" s="28"/>
      <c r="B837" s="28"/>
      <c r="C837" s="28"/>
      <c r="D837" s="28"/>
      <c r="E837" s="28"/>
      <c r="F837" s="28"/>
      <c r="G837" s="28"/>
      <c r="H837" s="28"/>
      <c r="I837" s="28"/>
      <c r="J837" s="143"/>
      <c r="K837" s="28"/>
      <c r="L837" s="28"/>
      <c r="M837" s="28"/>
      <c r="N837" s="28"/>
      <c r="O837" s="28"/>
      <c r="P837" s="28"/>
      <c r="Q837" s="144"/>
      <c r="R837" s="144"/>
      <c r="S837" s="144"/>
      <c r="T837" s="145"/>
      <c r="U837" s="28"/>
      <c r="V837" s="30"/>
      <c r="W837" s="28"/>
      <c r="X837" s="28"/>
      <c r="Y837" s="28"/>
      <c r="Z837" s="28"/>
    </row>
    <row r="838" ht="13.5" customHeight="1">
      <c r="A838" s="28"/>
      <c r="B838" s="28"/>
      <c r="C838" s="28"/>
      <c r="D838" s="28"/>
      <c r="E838" s="28"/>
      <c r="F838" s="28"/>
      <c r="G838" s="28"/>
      <c r="H838" s="28"/>
      <c r="I838" s="28"/>
      <c r="J838" s="143"/>
      <c r="K838" s="28"/>
      <c r="L838" s="28"/>
      <c r="M838" s="28"/>
      <c r="N838" s="28"/>
      <c r="O838" s="28"/>
      <c r="P838" s="28"/>
      <c r="Q838" s="144"/>
      <c r="R838" s="144"/>
      <c r="S838" s="144"/>
      <c r="T838" s="145"/>
      <c r="U838" s="28"/>
      <c r="V838" s="30"/>
      <c r="W838" s="28"/>
      <c r="X838" s="28"/>
      <c r="Y838" s="28"/>
      <c r="Z838" s="28"/>
    </row>
    <row r="839" ht="13.5" customHeight="1">
      <c r="A839" s="28"/>
      <c r="B839" s="28"/>
      <c r="C839" s="28"/>
      <c r="D839" s="28"/>
      <c r="E839" s="28"/>
      <c r="F839" s="28"/>
      <c r="G839" s="28"/>
      <c r="H839" s="28"/>
      <c r="I839" s="28"/>
      <c r="J839" s="143"/>
      <c r="K839" s="28"/>
      <c r="L839" s="28"/>
      <c r="M839" s="28"/>
      <c r="N839" s="28"/>
      <c r="O839" s="28"/>
      <c r="P839" s="28"/>
      <c r="Q839" s="144"/>
      <c r="R839" s="144"/>
      <c r="S839" s="144"/>
      <c r="T839" s="145"/>
      <c r="U839" s="28"/>
      <c r="V839" s="30"/>
      <c r="W839" s="28"/>
      <c r="X839" s="28"/>
      <c r="Y839" s="28"/>
      <c r="Z839" s="28"/>
    </row>
    <row r="840" ht="13.5" customHeight="1">
      <c r="A840" s="28"/>
      <c r="B840" s="28"/>
      <c r="C840" s="28"/>
      <c r="D840" s="28"/>
      <c r="E840" s="28"/>
      <c r="F840" s="28"/>
      <c r="G840" s="28"/>
      <c r="H840" s="28"/>
      <c r="I840" s="28"/>
      <c r="J840" s="143"/>
      <c r="K840" s="28"/>
      <c r="L840" s="28"/>
      <c r="M840" s="28"/>
      <c r="N840" s="28"/>
      <c r="O840" s="28"/>
      <c r="P840" s="28"/>
      <c r="Q840" s="144"/>
      <c r="R840" s="144"/>
      <c r="S840" s="144"/>
      <c r="T840" s="145"/>
      <c r="U840" s="28"/>
      <c r="V840" s="30"/>
      <c r="W840" s="28"/>
      <c r="X840" s="28"/>
      <c r="Y840" s="28"/>
      <c r="Z840" s="28"/>
    </row>
    <row r="841" ht="13.5" customHeight="1">
      <c r="A841" s="28"/>
      <c r="B841" s="28"/>
      <c r="C841" s="28"/>
      <c r="D841" s="28"/>
      <c r="E841" s="28"/>
      <c r="F841" s="28"/>
      <c r="G841" s="28"/>
      <c r="H841" s="28"/>
      <c r="I841" s="28"/>
      <c r="J841" s="143"/>
      <c r="K841" s="28"/>
      <c r="L841" s="28"/>
      <c r="M841" s="28"/>
      <c r="N841" s="28"/>
      <c r="O841" s="28"/>
      <c r="P841" s="28"/>
      <c r="Q841" s="144"/>
      <c r="R841" s="144"/>
      <c r="S841" s="144"/>
      <c r="T841" s="145"/>
      <c r="U841" s="28"/>
      <c r="V841" s="30"/>
      <c r="W841" s="28"/>
      <c r="X841" s="28"/>
      <c r="Y841" s="28"/>
      <c r="Z841" s="28"/>
    </row>
    <row r="842" ht="13.5" customHeight="1">
      <c r="A842" s="28"/>
      <c r="B842" s="28"/>
      <c r="C842" s="28"/>
      <c r="D842" s="28"/>
      <c r="E842" s="28"/>
      <c r="F842" s="28"/>
      <c r="G842" s="28"/>
      <c r="H842" s="28"/>
      <c r="I842" s="28"/>
      <c r="J842" s="143"/>
      <c r="K842" s="28"/>
      <c r="L842" s="28"/>
      <c r="M842" s="28"/>
      <c r="N842" s="28"/>
      <c r="O842" s="28"/>
      <c r="P842" s="28"/>
      <c r="Q842" s="144"/>
      <c r="R842" s="144"/>
      <c r="S842" s="144"/>
      <c r="T842" s="145"/>
      <c r="U842" s="28"/>
      <c r="V842" s="30"/>
      <c r="W842" s="28"/>
      <c r="X842" s="28"/>
      <c r="Y842" s="28"/>
      <c r="Z842" s="28"/>
    </row>
    <row r="843" ht="13.5" customHeight="1">
      <c r="A843" s="28"/>
      <c r="B843" s="28"/>
      <c r="C843" s="28"/>
      <c r="D843" s="28"/>
      <c r="E843" s="28"/>
      <c r="F843" s="28"/>
      <c r="G843" s="28"/>
      <c r="H843" s="28"/>
      <c r="I843" s="28"/>
      <c r="J843" s="143"/>
      <c r="K843" s="28"/>
      <c r="L843" s="28"/>
      <c r="M843" s="28"/>
      <c r="N843" s="28"/>
      <c r="O843" s="28"/>
      <c r="P843" s="28"/>
      <c r="Q843" s="144"/>
      <c r="R843" s="144"/>
      <c r="S843" s="144"/>
      <c r="T843" s="145"/>
      <c r="U843" s="28"/>
      <c r="V843" s="30"/>
      <c r="W843" s="28"/>
      <c r="X843" s="28"/>
      <c r="Y843" s="28"/>
      <c r="Z843" s="28"/>
    </row>
    <row r="844" ht="13.5" customHeight="1">
      <c r="A844" s="28"/>
      <c r="B844" s="28"/>
      <c r="C844" s="28"/>
      <c r="D844" s="28"/>
      <c r="E844" s="28"/>
      <c r="F844" s="28"/>
      <c r="G844" s="28"/>
      <c r="H844" s="28"/>
      <c r="I844" s="28"/>
      <c r="J844" s="143"/>
      <c r="K844" s="28"/>
      <c r="L844" s="28"/>
      <c r="M844" s="28"/>
      <c r="N844" s="28"/>
      <c r="O844" s="28"/>
      <c r="P844" s="28"/>
      <c r="Q844" s="144"/>
      <c r="R844" s="144"/>
      <c r="S844" s="144"/>
      <c r="T844" s="145"/>
      <c r="U844" s="28"/>
      <c r="V844" s="30"/>
      <c r="W844" s="28"/>
      <c r="X844" s="28"/>
      <c r="Y844" s="28"/>
      <c r="Z844" s="28"/>
    </row>
    <row r="845" ht="13.5" customHeight="1">
      <c r="A845" s="28"/>
      <c r="B845" s="28"/>
      <c r="C845" s="28"/>
      <c r="D845" s="28"/>
      <c r="E845" s="28"/>
      <c r="F845" s="28"/>
      <c r="G845" s="28"/>
      <c r="H845" s="28"/>
      <c r="I845" s="28"/>
      <c r="J845" s="143"/>
      <c r="K845" s="28"/>
      <c r="L845" s="28"/>
      <c r="M845" s="28"/>
      <c r="N845" s="28"/>
      <c r="O845" s="28"/>
      <c r="P845" s="28"/>
      <c r="Q845" s="144"/>
      <c r="R845" s="144"/>
      <c r="S845" s="144"/>
      <c r="T845" s="145"/>
      <c r="U845" s="28"/>
      <c r="V845" s="30"/>
      <c r="W845" s="28"/>
      <c r="X845" s="28"/>
      <c r="Y845" s="28"/>
      <c r="Z845" s="28"/>
    </row>
    <row r="846" ht="13.5" customHeight="1">
      <c r="A846" s="28"/>
      <c r="B846" s="28"/>
      <c r="C846" s="28"/>
      <c r="D846" s="28"/>
      <c r="E846" s="28"/>
      <c r="F846" s="28"/>
      <c r="G846" s="28"/>
      <c r="H846" s="28"/>
      <c r="I846" s="28"/>
      <c r="J846" s="143"/>
      <c r="K846" s="28"/>
      <c r="L846" s="28"/>
      <c r="M846" s="28"/>
      <c r="N846" s="28"/>
      <c r="O846" s="28"/>
      <c r="P846" s="28"/>
      <c r="Q846" s="144"/>
      <c r="R846" s="144"/>
      <c r="S846" s="144"/>
      <c r="T846" s="145"/>
      <c r="U846" s="28"/>
      <c r="V846" s="30"/>
      <c r="W846" s="28"/>
      <c r="X846" s="28"/>
      <c r="Y846" s="28"/>
      <c r="Z846" s="28"/>
    </row>
    <row r="847" ht="13.5" customHeight="1">
      <c r="A847" s="28"/>
      <c r="B847" s="28"/>
      <c r="C847" s="28"/>
      <c r="D847" s="28"/>
      <c r="E847" s="28"/>
      <c r="F847" s="28"/>
      <c r="G847" s="28"/>
      <c r="H847" s="28"/>
      <c r="I847" s="28"/>
      <c r="J847" s="143"/>
      <c r="K847" s="28"/>
      <c r="L847" s="28"/>
      <c r="M847" s="28"/>
      <c r="N847" s="28"/>
      <c r="O847" s="28"/>
      <c r="P847" s="28"/>
      <c r="Q847" s="144"/>
      <c r="R847" s="144"/>
      <c r="S847" s="144"/>
      <c r="T847" s="145"/>
      <c r="U847" s="28"/>
      <c r="V847" s="30"/>
      <c r="W847" s="28"/>
      <c r="X847" s="28"/>
      <c r="Y847" s="28"/>
      <c r="Z847" s="28"/>
    </row>
    <row r="848" ht="13.5" customHeight="1">
      <c r="A848" s="28"/>
      <c r="B848" s="28"/>
      <c r="C848" s="28"/>
      <c r="D848" s="28"/>
      <c r="E848" s="28"/>
      <c r="F848" s="28"/>
      <c r="G848" s="28"/>
      <c r="H848" s="28"/>
      <c r="I848" s="28"/>
      <c r="J848" s="143"/>
      <c r="K848" s="28"/>
      <c r="L848" s="28"/>
      <c r="M848" s="28"/>
      <c r="N848" s="28"/>
      <c r="O848" s="28"/>
      <c r="P848" s="28"/>
      <c r="Q848" s="144"/>
      <c r="R848" s="144"/>
      <c r="S848" s="144"/>
      <c r="T848" s="145"/>
      <c r="U848" s="28"/>
      <c r="V848" s="30"/>
      <c r="W848" s="28"/>
      <c r="X848" s="28"/>
      <c r="Y848" s="28"/>
      <c r="Z848" s="28"/>
    </row>
    <row r="849" ht="13.5" customHeight="1">
      <c r="A849" s="28"/>
      <c r="B849" s="28"/>
      <c r="C849" s="28"/>
      <c r="D849" s="28"/>
      <c r="E849" s="28"/>
      <c r="F849" s="28"/>
      <c r="G849" s="28"/>
      <c r="H849" s="28"/>
      <c r="I849" s="28"/>
      <c r="J849" s="143"/>
      <c r="K849" s="28"/>
      <c r="L849" s="28"/>
      <c r="M849" s="28"/>
      <c r="N849" s="28"/>
      <c r="O849" s="28"/>
      <c r="P849" s="28"/>
      <c r="Q849" s="144"/>
      <c r="R849" s="144"/>
      <c r="S849" s="144"/>
      <c r="T849" s="145"/>
      <c r="U849" s="28"/>
      <c r="V849" s="30"/>
      <c r="W849" s="28"/>
      <c r="X849" s="28"/>
      <c r="Y849" s="28"/>
      <c r="Z849" s="28"/>
    </row>
    <row r="850" ht="13.5" customHeight="1">
      <c r="A850" s="28"/>
      <c r="B850" s="28"/>
      <c r="C850" s="28"/>
      <c r="D850" s="28"/>
      <c r="E850" s="28"/>
      <c r="F850" s="28"/>
      <c r="G850" s="28"/>
      <c r="H850" s="28"/>
      <c r="I850" s="28"/>
      <c r="J850" s="143"/>
      <c r="K850" s="28"/>
      <c r="L850" s="28"/>
      <c r="M850" s="28"/>
      <c r="N850" s="28"/>
      <c r="O850" s="28"/>
      <c r="P850" s="28"/>
      <c r="Q850" s="144"/>
      <c r="R850" s="144"/>
      <c r="S850" s="144"/>
      <c r="T850" s="145"/>
      <c r="U850" s="28"/>
      <c r="V850" s="30"/>
      <c r="W850" s="28"/>
      <c r="X850" s="28"/>
      <c r="Y850" s="28"/>
      <c r="Z850" s="28"/>
    </row>
    <row r="851" ht="13.5" customHeight="1">
      <c r="A851" s="28"/>
      <c r="B851" s="28"/>
      <c r="C851" s="28"/>
      <c r="D851" s="28"/>
      <c r="E851" s="28"/>
      <c r="F851" s="28"/>
      <c r="G851" s="28"/>
      <c r="H851" s="28"/>
      <c r="I851" s="28"/>
      <c r="J851" s="143"/>
      <c r="K851" s="28"/>
      <c r="L851" s="28"/>
      <c r="M851" s="28"/>
      <c r="N851" s="28"/>
      <c r="O851" s="28"/>
      <c r="P851" s="28"/>
      <c r="Q851" s="144"/>
      <c r="R851" s="144"/>
      <c r="S851" s="144"/>
      <c r="T851" s="145"/>
      <c r="U851" s="28"/>
      <c r="V851" s="30"/>
      <c r="W851" s="28"/>
      <c r="X851" s="28"/>
      <c r="Y851" s="28"/>
      <c r="Z851" s="28"/>
    </row>
    <row r="852" ht="13.5" customHeight="1">
      <c r="A852" s="28"/>
      <c r="B852" s="28"/>
      <c r="C852" s="28"/>
      <c r="D852" s="28"/>
      <c r="E852" s="28"/>
      <c r="F852" s="28"/>
      <c r="G852" s="28"/>
      <c r="H852" s="28"/>
      <c r="I852" s="28"/>
      <c r="J852" s="143"/>
      <c r="K852" s="28"/>
      <c r="L852" s="28"/>
      <c r="M852" s="28"/>
      <c r="N852" s="28"/>
      <c r="O852" s="28"/>
      <c r="P852" s="28"/>
      <c r="Q852" s="144"/>
      <c r="R852" s="144"/>
      <c r="S852" s="144"/>
      <c r="T852" s="145"/>
      <c r="U852" s="28"/>
      <c r="V852" s="30"/>
      <c r="W852" s="28"/>
      <c r="X852" s="28"/>
      <c r="Y852" s="28"/>
      <c r="Z852" s="28"/>
    </row>
    <row r="853" ht="13.5" customHeight="1">
      <c r="A853" s="28"/>
      <c r="B853" s="28"/>
      <c r="C853" s="28"/>
      <c r="D853" s="28"/>
      <c r="E853" s="28"/>
      <c r="F853" s="28"/>
      <c r="G853" s="28"/>
      <c r="H853" s="28"/>
      <c r="I853" s="28"/>
      <c r="J853" s="143"/>
      <c r="K853" s="28"/>
      <c r="L853" s="28"/>
      <c r="M853" s="28"/>
      <c r="N853" s="28"/>
      <c r="O853" s="28"/>
      <c r="P853" s="28"/>
      <c r="Q853" s="144"/>
      <c r="R853" s="144"/>
      <c r="S853" s="144"/>
      <c r="T853" s="145"/>
      <c r="U853" s="28"/>
      <c r="V853" s="30"/>
      <c r="W853" s="28"/>
      <c r="X853" s="28"/>
      <c r="Y853" s="28"/>
      <c r="Z853" s="28"/>
    </row>
    <row r="854" ht="13.5" customHeight="1">
      <c r="A854" s="28"/>
      <c r="B854" s="28"/>
      <c r="C854" s="28"/>
      <c r="D854" s="28"/>
      <c r="E854" s="28"/>
      <c r="F854" s="28"/>
      <c r="G854" s="28"/>
      <c r="H854" s="28"/>
      <c r="I854" s="28"/>
      <c r="J854" s="143"/>
      <c r="K854" s="28"/>
      <c r="L854" s="28"/>
      <c r="M854" s="28"/>
      <c r="N854" s="28"/>
      <c r="O854" s="28"/>
      <c r="P854" s="28"/>
      <c r="Q854" s="144"/>
      <c r="R854" s="144"/>
      <c r="S854" s="144"/>
      <c r="T854" s="145"/>
      <c r="U854" s="28"/>
      <c r="V854" s="30"/>
      <c r="W854" s="28"/>
      <c r="X854" s="28"/>
      <c r="Y854" s="28"/>
      <c r="Z854" s="28"/>
    </row>
    <row r="855" ht="13.5" customHeight="1">
      <c r="A855" s="28"/>
      <c r="B855" s="28"/>
      <c r="C855" s="28"/>
      <c r="D855" s="28"/>
      <c r="E855" s="28"/>
      <c r="F855" s="28"/>
      <c r="G855" s="28"/>
      <c r="H855" s="28"/>
      <c r="I855" s="28"/>
      <c r="J855" s="143"/>
      <c r="K855" s="28"/>
      <c r="L855" s="28"/>
      <c r="M855" s="28"/>
      <c r="N855" s="28"/>
      <c r="O855" s="28"/>
      <c r="P855" s="28"/>
      <c r="Q855" s="144"/>
      <c r="R855" s="144"/>
      <c r="S855" s="144"/>
      <c r="T855" s="145"/>
      <c r="U855" s="28"/>
      <c r="V855" s="30"/>
      <c r="W855" s="28"/>
      <c r="X855" s="28"/>
      <c r="Y855" s="28"/>
      <c r="Z855" s="28"/>
    </row>
    <row r="856" ht="13.5" customHeight="1">
      <c r="A856" s="28"/>
      <c r="B856" s="28"/>
      <c r="C856" s="28"/>
      <c r="D856" s="28"/>
      <c r="E856" s="28"/>
      <c r="F856" s="28"/>
      <c r="G856" s="28"/>
      <c r="H856" s="28"/>
      <c r="I856" s="28"/>
      <c r="J856" s="143"/>
      <c r="K856" s="28"/>
      <c r="L856" s="28"/>
      <c r="M856" s="28"/>
      <c r="N856" s="28"/>
      <c r="O856" s="28"/>
      <c r="P856" s="28"/>
      <c r="Q856" s="144"/>
      <c r="R856" s="144"/>
      <c r="S856" s="144"/>
      <c r="T856" s="145"/>
      <c r="U856" s="28"/>
      <c r="V856" s="30"/>
      <c r="W856" s="28"/>
      <c r="X856" s="28"/>
      <c r="Y856" s="28"/>
      <c r="Z856" s="28"/>
    </row>
    <row r="857" ht="13.5" customHeight="1">
      <c r="A857" s="28"/>
      <c r="B857" s="28"/>
      <c r="C857" s="28"/>
      <c r="D857" s="28"/>
      <c r="E857" s="28"/>
      <c r="F857" s="28"/>
      <c r="G857" s="28"/>
      <c r="H857" s="28"/>
      <c r="I857" s="28"/>
      <c r="J857" s="143"/>
      <c r="K857" s="28"/>
      <c r="L857" s="28"/>
      <c r="M857" s="28"/>
      <c r="N857" s="28"/>
      <c r="O857" s="28"/>
      <c r="P857" s="28"/>
      <c r="Q857" s="144"/>
      <c r="R857" s="144"/>
      <c r="S857" s="144"/>
      <c r="T857" s="145"/>
      <c r="U857" s="28"/>
      <c r="V857" s="30"/>
      <c r="W857" s="28"/>
      <c r="X857" s="28"/>
      <c r="Y857" s="28"/>
      <c r="Z857" s="28"/>
    </row>
    <row r="858" ht="13.5" customHeight="1">
      <c r="A858" s="28"/>
      <c r="B858" s="28"/>
      <c r="C858" s="28"/>
      <c r="D858" s="28"/>
      <c r="E858" s="28"/>
      <c r="F858" s="28"/>
      <c r="G858" s="28"/>
      <c r="H858" s="28"/>
      <c r="I858" s="28"/>
      <c r="J858" s="143"/>
      <c r="K858" s="28"/>
      <c r="L858" s="28"/>
      <c r="M858" s="28"/>
      <c r="N858" s="28"/>
      <c r="O858" s="28"/>
      <c r="P858" s="28"/>
      <c r="Q858" s="144"/>
      <c r="R858" s="144"/>
      <c r="S858" s="144"/>
      <c r="T858" s="145"/>
      <c r="U858" s="28"/>
      <c r="V858" s="30"/>
      <c r="W858" s="28"/>
      <c r="X858" s="28"/>
      <c r="Y858" s="28"/>
      <c r="Z858" s="28"/>
    </row>
    <row r="859" ht="13.5" customHeight="1">
      <c r="A859" s="28"/>
      <c r="B859" s="28"/>
      <c r="C859" s="28"/>
      <c r="D859" s="28"/>
      <c r="E859" s="28"/>
      <c r="F859" s="28"/>
      <c r="G859" s="28"/>
      <c r="H859" s="28"/>
      <c r="I859" s="28"/>
      <c r="J859" s="143"/>
      <c r="K859" s="28"/>
      <c r="L859" s="28"/>
      <c r="M859" s="28"/>
      <c r="N859" s="28"/>
      <c r="O859" s="28"/>
      <c r="P859" s="28"/>
      <c r="Q859" s="144"/>
      <c r="R859" s="144"/>
      <c r="S859" s="144"/>
      <c r="T859" s="145"/>
      <c r="U859" s="28"/>
      <c r="V859" s="30"/>
      <c r="W859" s="28"/>
      <c r="X859" s="28"/>
      <c r="Y859" s="28"/>
      <c r="Z859" s="28"/>
    </row>
    <row r="860" ht="13.5" customHeight="1">
      <c r="A860" s="28"/>
      <c r="B860" s="28"/>
      <c r="C860" s="28"/>
      <c r="D860" s="28"/>
      <c r="E860" s="28"/>
      <c r="F860" s="28"/>
      <c r="G860" s="28"/>
      <c r="H860" s="28"/>
      <c r="I860" s="28"/>
      <c r="J860" s="143"/>
      <c r="K860" s="28"/>
      <c r="L860" s="28"/>
      <c r="M860" s="28"/>
      <c r="N860" s="28"/>
      <c r="O860" s="28"/>
      <c r="P860" s="28"/>
      <c r="Q860" s="144"/>
      <c r="R860" s="144"/>
      <c r="S860" s="144"/>
      <c r="T860" s="145"/>
      <c r="U860" s="28"/>
      <c r="V860" s="30"/>
      <c r="W860" s="28"/>
      <c r="X860" s="28"/>
      <c r="Y860" s="28"/>
      <c r="Z860" s="28"/>
    </row>
    <row r="861" ht="13.5" customHeight="1">
      <c r="A861" s="28"/>
      <c r="B861" s="28"/>
      <c r="C861" s="28"/>
      <c r="D861" s="28"/>
      <c r="E861" s="28"/>
      <c r="F861" s="28"/>
      <c r="G861" s="28"/>
      <c r="H861" s="28"/>
      <c r="I861" s="28"/>
      <c r="J861" s="143"/>
      <c r="K861" s="28"/>
      <c r="L861" s="28"/>
      <c r="M861" s="28"/>
      <c r="N861" s="28"/>
      <c r="O861" s="28"/>
      <c r="P861" s="28"/>
      <c r="Q861" s="144"/>
      <c r="R861" s="144"/>
      <c r="S861" s="144"/>
      <c r="T861" s="145"/>
      <c r="U861" s="28"/>
      <c r="V861" s="30"/>
      <c r="W861" s="28"/>
      <c r="X861" s="28"/>
      <c r="Y861" s="28"/>
      <c r="Z861" s="28"/>
    </row>
    <row r="862" ht="13.5" customHeight="1">
      <c r="A862" s="28"/>
      <c r="B862" s="28"/>
      <c r="C862" s="28"/>
      <c r="D862" s="28"/>
      <c r="E862" s="28"/>
      <c r="F862" s="28"/>
      <c r="G862" s="28"/>
      <c r="H862" s="28"/>
      <c r="I862" s="28"/>
      <c r="J862" s="143"/>
      <c r="K862" s="28"/>
      <c r="L862" s="28"/>
      <c r="M862" s="28"/>
      <c r="N862" s="28"/>
      <c r="O862" s="28"/>
      <c r="P862" s="28"/>
      <c r="Q862" s="144"/>
      <c r="R862" s="144"/>
      <c r="S862" s="144"/>
      <c r="T862" s="145"/>
      <c r="U862" s="28"/>
      <c r="V862" s="30"/>
      <c r="W862" s="28"/>
      <c r="X862" s="28"/>
      <c r="Y862" s="28"/>
      <c r="Z862" s="28"/>
    </row>
    <row r="863" ht="13.5" customHeight="1">
      <c r="A863" s="28"/>
      <c r="B863" s="28"/>
      <c r="C863" s="28"/>
      <c r="D863" s="28"/>
      <c r="E863" s="28"/>
      <c r="F863" s="28"/>
      <c r="G863" s="28"/>
      <c r="H863" s="28"/>
      <c r="I863" s="28"/>
      <c r="J863" s="143"/>
      <c r="K863" s="28"/>
      <c r="L863" s="28"/>
      <c r="M863" s="28"/>
      <c r="N863" s="28"/>
      <c r="O863" s="28"/>
      <c r="P863" s="28"/>
      <c r="Q863" s="144"/>
      <c r="R863" s="144"/>
      <c r="S863" s="144"/>
      <c r="T863" s="145"/>
      <c r="U863" s="28"/>
      <c r="V863" s="30"/>
      <c r="W863" s="28"/>
      <c r="X863" s="28"/>
      <c r="Y863" s="28"/>
      <c r="Z863" s="28"/>
    </row>
    <row r="864" ht="13.5" customHeight="1">
      <c r="A864" s="28"/>
      <c r="B864" s="28"/>
      <c r="C864" s="28"/>
      <c r="D864" s="28"/>
      <c r="E864" s="28"/>
      <c r="F864" s="28"/>
      <c r="G864" s="28"/>
      <c r="H864" s="28"/>
      <c r="I864" s="28"/>
      <c r="J864" s="143"/>
      <c r="K864" s="28"/>
      <c r="L864" s="28"/>
      <c r="M864" s="28"/>
      <c r="N864" s="28"/>
      <c r="O864" s="28"/>
      <c r="P864" s="28"/>
      <c r="Q864" s="144"/>
      <c r="R864" s="144"/>
      <c r="S864" s="144"/>
      <c r="T864" s="145"/>
      <c r="U864" s="28"/>
      <c r="V864" s="30"/>
      <c r="W864" s="28"/>
      <c r="X864" s="28"/>
      <c r="Y864" s="28"/>
      <c r="Z864" s="28"/>
    </row>
    <row r="865" ht="13.5" customHeight="1">
      <c r="A865" s="28"/>
      <c r="B865" s="28"/>
      <c r="C865" s="28"/>
      <c r="D865" s="28"/>
      <c r="E865" s="28"/>
      <c r="F865" s="28"/>
      <c r="G865" s="28"/>
      <c r="H865" s="28"/>
      <c r="I865" s="28"/>
      <c r="J865" s="143"/>
      <c r="K865" s="28"/>
      <c r="L865" s="28"/>
      <c r="M865" s="28"/>
      <c r="N865" s="28"/>
      <c r="O865" s="28"/>
      <c r="P865" s="28"/>
      <c r="Q865" s="144"/>
      <c r="R865" s="144"/>
      <c r="S865" s="144"/>
      <c r="T865" s="145"/>
      <c r="U865" s="28"/>
      <c r="V865" s="30"/>
      <c r="W865" s="28"/>
      <c r="X865" s="28"/>
      <c r="Y865" s="28"/>
      <c r="Z865" s="28"/>
    </row>
    <row r="866" ht="13.5" customHeight="1">
      <c r="A866" s="28"/>
      <c r="B866" s="28"/>
      <c r="C866" s="28"/>
      <c r="D866" s="28"/>
      <c r="E866" s="28"/>
      <c r="F866" s="28"/>
      <c r="G866" s="28"/>
      <c r="H866" s="28"/>
      <c r="I866" s="28"/>
      <c r="J866" s="143"/>
      <c r="K866" s="28"/>
      <c r="L866" s="28"/>
      <c r="M866" s="28"/>
      <c r="N866" s="28"/>
      <c r="O866" s="28"/>
      <c r="P866" s="28"/>
      <c r="Q866" s="144"/>
      <c r="R866" s="144"/>
      <c r="S866" s="144"/>
      <c r="T866" s="145"/>
      <c r="U866" s="28"/>
      <c r="V866" s="30"/>
      <c r="W866" s="28"/>
      <c r="X866" s="28"/>
      <c r="Y866" s="28"/>
      <c r="Z866" s="28"/>
    </row>
    <row r="867" ht="13.5" customHeight="1">
      <c r="A867" s="28"/>
      <c r="B867" s="28"/>
      <c r="C867" s="28"/>
      <c r="D867" s="28"/>
      <c r="E867" s="28"/>
      <c r="F867" s="28"/>
      <c r="G867" s="28"/>
      <c r="H867" s="28"/>
      <c r="I867" s="28"/>
      <c r="J867" s="143"/>
      <c r="K867" s="28"/>
      <c r="L867" s="28"/>
      <c r="M867" s="28"/>
      <c r="N867" s="28"/>
      <c r="O867" s="28"/>
      <c r="P867" s="28"/>
      <c r="Q867" s="144"/>
      <c r="R867" s="144"/>
      <c r="S867" s="144"/>
      <c r="T867" s="145"/>
      <c r="U867" s="28"/>
      <c r="V867" s="30"/>
      <c r="W867" s="28"/>
      <c r="X867" s="28"/>
      <c r="Y867" s="28"/>
      <c r="Z867" s="28"/>
    </row>
    <row r="868" ht="13.5" customHeight="1">
      <c r="A868" s="28"/>
      <c r="B868" s="28"/>
      <c r="C868" s="28"/>
      <c r="D868" s="28"/>
      <c r="E868" s="28"/>
      <c r="F868" s="28"/>
      <c r="G868" s="28"/>
      <c r="H868" s="28"/>
      <c r="I868" s="28"/>
      <c r="J868" s="143"/>
      <c r="K868" s="28"/>
      <c r="L868" s="28"/>
      <c r="M868" s="28"/>
      <c r="N868" s="28"/>
      <c r="O868" s="28"/>
      <c r="P868" s="28"/>
      <c r="Q868" s="144"/>
      <c r="R868" s="144"/>
      <c r="S868" s="144"/>
      <c r="T868" s="145"/>
      <c r="U868" s="28"/>
      <c r="V868" s="30"/>
      <c r="W868" s="28"/>
      <c r="X868" s="28"/>
      <c r="Y868" s="28"/>
      <c r="Z868" s="28"/>
    </row>
    <row r="869" ht="13.5" customHeight="1">
      <c r="A869" s="28"/>
      <c r="B869" s="28"/>
      <c r="C869" s="28"/>
      <c r="D869" s="28"/>
      <c r="E869" s="28"/>
      <c r="F869" s="28"/>
      <c r="G869" s="28"/>
      <c r="H869" s="28"/>
      <c r="I869" s="28"/>
      <c r="J869" s="143"/>
      <c r="K869" s="28"/>
      <c r="L869" s="28"/>
      <c r="M869" s="28"/>
      <c r="N869" s="28"/>
      <c r="O869" s="28"/>
      <c r="P869" s="28"/>
      <c r="Q869" s="144"/>
      <c r="R869" s="144"/>
      <c r="S869" s="144"/>
      <c r="T869" s="145"/>
      <c r="U869" s="28"/>
      <c r="V869" s="30"/>
      <c r="W869" s="28"/>
      <c r="X869" s="28"/>
      <c r="Y869" s="28"/>
      <c r="Z869" s="28"/>
    </row>
    <row r="870" ht="13.5" customHeight="1">
      <c r="A870" s="28"/>
      <c r="B870" s="28"/>
      <c r="C870" s="28"/>
      <c r="D870" s="28"/>
      <c r="E870" s="28"/>
      <c r="F870" s="28"/>
      <c r="G870" s="28"/>
      <c r="H870" s="28"/>
      <c r="I870" s="28"/>
      <c r="J870" s="143"/>
      <c r="K870" s="28"/>
      <c r="L870" s="28"/>
      <c r="M870" s="28"/>
      <c r="N870" s="28"/>
      <c r="O870" s="28"/>
      <c r="P870" s="28"/>
      <c r="Q870" s="144"/>
      <c r="R870" s="144"/>
      <c r="S870" s="144"/>
      <c r="T870" s="145"/>
      <c r="U870" s="28"/>
      <c r="V870" s="30"/>
      <c r="W870" s="28"/>
      <c r="X870" s="28"/>
      <c r="Y870" s="28"/>
      <c r="Z870" s="28"/>
    </row>
    <row r="871" ht="13.5" customHeight="1">
      <c r="A871" s="28"/>
      <c r="B871" s="28"/>
      <c r="C871" s="28"/>
      <c r="D871" s="28"/>
      <c r="E871" s="28"/>
      <c r="F871" s="28"/>
      <c r="G871" s="28"/>
      <c r="H871" s="28"/>
      <c r="I871" s="28"/>
      <c r="J871" s="143"/>
      <c r="K871" s="28"/>
      <c r="L871" s="28"/>
      <c r="M871" s="28"/>
      <c r="N871" s="28"/>
      <c r="O871" s="28"/>
      <c r="P871" s="28"/>
      <c r="Q871" s="144"/>
      <c r="R871" s="144"/>
      <c r="S871" s="144"/>
      <c r="T871" s="145"/>
      <c r="U871" s="28"/>
      <c r="V871" s="30"/>
      <c r="W871" s="28"/>
      <c r="X871" s="28"/>
      <c r="Y871" s="28"/>
      <c r="Z871" s="28"/>
    </row>
    <row r="872" ht="13.5" customHeight="1">
      <c r="A872" s="28"/>
      <c r="B872" s="28"/>
      <c r="C872" s="28"/>
      <c r="D872" s="28"/>
      <c r="E872" s="28"/>
      <c r="F872" s="28"/>
      <c r="G872" s="28"/>
      <c r="H872" s="28"/>
      <c r="I872" s="28"/>
      <c r="J872" s="143"/>
      <c r="K872" s="28"/>
      <c r="L872" s="28"/>
      <c r="M872" s="28"/>
      <c r="N872" s="28"/>
      <c r="O872" s="28"/>
      <c r="P872" s="28"/>
      <c r="Q872" s="144"/>
      <c r="R872" s="144"/>
      <c r="S872" s="144"/>
      <c r="T872" s="145"/>
      <c r="U872" s="28"/>
      <c r="V872" s="30"/>
      <c r="W872" s="28"/>
      <c r="X872" s="28"/>
      <c r="Y872" s="28"/>
      <c r="Z872" s="28"/>
    </row>
    <row r="873" ht="13.5" customHeight="1">
      <c r="A873" s="28"/>
      <c r="B873" s="28"/>
      <c r="C873" s="28"/>
      <c r="D873" s="28"/>
      <c r="E873" s="28"/>
      <c r="F873" s="28"/>
      <c r="G873" s="28"/>
      <c r="H873" s="28"/>
      <c r="I873" s="28"/>
      <c r="J873" s="143"/>
      <c r="K873" s="28"/>
      <c r="L873" s="28"/>
      <c r="M873" s="28"/>
      <c r="N873" s="28"/>
      <c r="O873" s="28"/>
      <c r="P873" s="28"/>
      <c r="Q873" s="144"/>
      <c r="R873" s="144"/>
      <c r="S873" s="144"/>
      <c r="T873" s="145"/>
      <c r="U873" s="28"/>
      <c r="V873" s="30"/>
      <c r="W873" s="28"/>
      <c r="X873" s="28"/>
      <c r="Y873" s="28"/>
      <c r="Z873" s="28"/>
    </row>
    <row r="874" ht="13.5" customHeight="1">
      <c r="A874" s="28"/>
      <c r="B874" s="28"/>
      <c r="C874" s="28"/>
      <c r="D874" s="28"/>
      <c r="E874" s="28"/>
      <c r="F874" s="28"/>
      <c r="G874" s="28"/>
      <c r="H874" s="28"/>
      <c r="I874" s="28"/>
      <c r="J874" s="143"/>
      <c r="K874" s="28"/>
      <c r="L874" s="28"/>
      <c r="M874" s="28"/>
      <c r="N874" s="28"/>
      <c r="O874" s="28"/>
      <c r="P874" s="28"/>
      <c r="Q874" s="144"/>
      <c r="R874" s="144"/>
      <c r="S874" s="144"/>
      <c r="T874" s="145"/>
      <c r="U874" s="28"/>
      <c r="V874" s="30"/>
      <c r="W874" s="28"/>
      <c r="X874" s="28"/>
      <c r="Y874" s="28"/>
      <c r="Z874" s="28"/>
    </row>
    <row r="875" ht="13.5" customHeight="1">
      <c r="A875" s="28"/>
      <c r="B875" s="28"/>
      <c r="C875" s="28"/>
      <c r="D875" s="28"/>
      <c r="E875" s="28"/>
      <c r="F875" s="28"/>
      <c r="G875" s="28"/>
      <c r="H875" s="28"/>
      <c r="I875" s="28"/>
      <c r="J875" s="143"/>
      <c r="K875" s="28"/>
      <c r="L875" s="28"/>
      <c r="M875" s="28"/>
      <c r="N875" s="28"/>
      <c r="O875" s="28"/>
      <c r="P875" s="28"/>
      <c r="Q875" s="144"/>
      <c r="R875" s="144"/>
      <c r="S875" s="144"/>
      <c r="T875" s="145"/>
      <c r="U875" s="28"/>
      <c r="V875" s="30"/>
      <c r="W875" s="28"/>
      <c r="X875" s="28"/>
      <c r="Y875" s="28"/>
      <c r="Z875" s="28"/>
    </row>
    <row r="876" ht="13.5" customHeight="1">
      <c r="A876" s="28"/>
      <c r="B876" s="28"/>
      <c r="C876" s="28"/>
      <c r="D876" s="28"/>
      <c r="E876" s="28"/>
      <c r="F876" s="28"/>
      <c r="G876" s="28"/>
      <c r="H876" s="28"/>
      <c r="I876" s="28"/>
      <c r="J876" s="143"/>
      <c r="K876" s="28"/>
      <c r="L876" s="28"/>
      <c r="M876" s="28"/>
      <c r="N876" s="28"/>
      <c r="O876" s="28"/>
      <c r="P876" s="28"/>
      <c r="Q876" s="144"/>
      <c r="R876" s="144"/>
      <c r="S876" s="144"/>
      <c r="T876" s="145"/>
      <c r="U876" s="28"/>
      <c r="V876" s="30"/>
      <c r="W876" s="28"/>
      <c r="X876" s="28"/>
      <c r="Y876" s="28"/>
      <c r="Z876" s="28"/>
    </row>
    <row r="877" ht="13.5" customHeight="1">
      <c r="A877" s="28"/>
      <c r="B877" s="28"/>
      <c r="C877" s="28"/>
      <c r="D877" s="28"/>
      <c r="E877" s="28"/>
      <c r="F877" s="28"/>
      <c r="G877" s="28"/>
      <c r="H877" s="28"/>
      <c r="I877" s="28"/>
      <c r="J877" s="143"/>
      <c r="K877" s="28"/>
      <c r="L877" s="28"/>
      <c r="M877" s="28"/>
      <c r="N877" s="28"/>
      <c r="O877" s="28"/>
      <c r="P877" s="28"/>
      <c r="Q877" s="144"/>
      <c r="R877" s="144"/>
      <c r="S877" s="144"/>
      <c r="T877" s="145"/>
      <c r="U877" s="28"/>
      <c r="V877" s="30"/>
      <c r="W877" s="28"/>
      <c r="X877" s="28"/>
      <c r="Y877" s="28"/>
      <c r="Z877" s="28"/>
    </row>
    <row r="878" ht="13.5" customHeight="1">
      <c r="A878" s="28"/>
      <c r="B878" s="28"/>
      <c r="C878" s="28"/>
      <c r="D878" s="28"/>
      <c r="E878" s="28"/>
      <c r="F878" s="28"/>
      <c r="G878" s="28"/>
      <c r="H878" s="28"/>
      <c r="I878" s="28"/>
      <c r="J878" s="143"/>
      <c r="K878" s="28"/>
      <c r="L878" s="28"/>
      <c r="M878" s="28"/>
      <c r="N878" s="28"/>
      <c r="O878" s="28"/>
      <c r="P878" s="28"/>
      <c r="Q878" s="144"/>
      <c r="R878" s="144"/>
      <c r="S878" s="144"/>
      <c r="T878" s="145"/>
      <c r="U878" s="28"/>
      <c r="V878" s="30"/>
      <c r="W878" s="28"/>
      <c r="X878" s="28"/>
      <c r="Y878" s="28"/>
      <c r="Z878" s="28"/>
    </row>
    <row r="879" ht="13.5" customHeight="1">
      <c r="A879" s="28"/>
      <c r="B879" s="28"/>
      <c r="C879" s="28"/>
      <c r="D879" s="28"/>
      <c r="E879" s="28"/>
      <c r="F879" s="28"/>
      <c r="G879" s="28"/>
      <c r="H879" s="28"/>
      <c r="I879" s="28"/>
      <c r="J879" s="143"/>
      <c r="K879" s="28"/>
      <c r="L879" s="28"/>
      <c r="M879" s="28"/>
      <c r="N879" s="28"/>
      <c r="O879" s="28"/>
      <c r="P879" s="28"/>
      <c r="Q879" s="144"/>
      <c r="R879" s="144"/>
      <c r="S879" s="144"/>
      <c r="T879" s="145"/>
      <c r="U879" s="28"/>
      <c r="V879" s="30"/>
      <c r="W879" s="28"/>
      <c r="X879" s="28"/>
      <c r="Y879" s="28"/>
      <c r="Z879" s="28"/>
    </row>
    <row r="880" ht="13.5" customHeight="1">
      <c r="A880" s="28"/>
      <c r="B880" s="28"/>
      <c r="C880" s="28"/>
      <c r="D880" s="28"/>
      <c r="E880" s="28"/>
      <c r="F880" s="28"/>
      <c r="G880" s="28"/>
      <c r="H880" s="28"/>
      <c r="I880" s="28"/>
      <c r="J880" s="143"/>
      <c r="K880" s="28"/>
      <c r="L880" s="28"/>
      <c r="M880" s="28"/>
      <c r="N880" s="28"/>
      <c r="O880" s="28"/>
      <c r="P880" s="28"/>
      <c r="Q880" s="144"/>
      <c r="R880" s="144"/>
      <c r="S880" s="144"/>
      <c r="T880" s="145"/>
      <c r="U880" s="28"/>
      <c r="V880" s="30"/>
      <c r="W880" s="28"/>
      <c r="X880" s="28"/>
      <c r="Y880" s="28"/>
      <c r="Z880" s="28"/>
    </row>
    <row r="881" ht="13.5" customHeight="1">
      <c r="A881" s="28"/>
      <c r="B881" s="28"/>
      <c r="C881" s="28"/>
      <c r="D881" s="28"/>
      <c r="E881" s="28"/>
      <c r="F881" s="28"/>
      <c r="G881" s="28"/>
      <c r="H881" s="28"/>
      <c r="I881" s="28"/>
      <c r="J881" s="143"/>
      <c r="K881" s="28"/>
      <c r="L881" s="28"/>
      <c r="M881" s="28"/>
      <c r="N881" s="28"/>
      <c r="O881" s="28"/>
      <c r="P881" s="28"/>
      <c r="Q881" s="144"/>
      <c r="R881" s="144"/>
      <c r="S881" s="144"/>
      <c r="T881" s="145"/>
      <c r="U881" s="28"/>
      <c r="V881" s="30"/>
      <c r="W881" s="28"/>
      <c r="X881" s="28"/>
      <c r="Y881" s="28"/>
      <c r="Z881" s="28"/>
    </row>
    <row r="882" ht="13.5" customHeight="1">
      <c r="A882" s="28"/>
      <c r="B882" s="28"/>
      <c r="C882" s="28"/>
      <c r="D882" s="28"/>
      <c r="E882" s="28"/>
      <c r="F882" s="28"/>
      <c r="G882" s="28"/>
      <c r="H882" s="28"/>
      <c r="I882" s="28"/>
      <c r="J882" s="143"/>
      <c r="K882" s="28"/>
      <c r="L882" s="28"/>
      <c r="M882" s="28"/>
      <c r="N882" s="28"/>
      <c r="O882" s="28"/>
      <c r="P882" s="28"/>
      <c r="Q882" s="144"/>
      <c r="R882" s="144"/>
      <c r="S882" s="144"/>
      <c r="T882" s="145"/>
      <c r="U882" s="28"/>
      <c r="V882" s="30"/>
      <c r="W882" s="28"/>
      <c r="X882" s="28"/>
      <c r="Y882" s="28"/>
      <c r="Z882" s="28"/>
    </row>
    <row r="883" ht="13.5" customHeight="1">
      <c r="A883" s="28"/>
      <c r="B883" s="28"/>
      <c r="C883" s="28"/>
      <c r="D883" s="28"/>
      <c r="E883" s="28"/>
      <c r="F883" s="28"/>
      <c r="G883" s="28"/>
      <c r="H883" s="28"/>
      <c r="I883" s="28"/>
      <c r="J883" s="143"/>
      <c r="K883" s="28"/>
      <c r="L883" s="28"/>
      <c r="M883" s="28"/>
      <c r="N883" s="28"/>
      <c r="O883" s="28"/>
      <c r="P883" s="28"/>
      <c r="Q883" s="144"/>
      <c r="R883" s="144"/>
      <c r="S883" s="144"/>
      <c r="T883" s="145"/>
      <c r="U883" s="28"/>
      <c r="V883" s="30"/>
      <c r="W883" s="28"/>
      <c r="X883" s="28"/>
      <c r="Y883" s="28"/>
      <c r="Z883" s="28"/>
    </row>
    <row r="884" ht="13.5" customHeight="1">
      <c r="A884" s="28"/>
      <c r="B884" s="28"/>
      <c r="C884" s="28"/>
      <c r="D884" s="28"/>
      <c r="E884" s="28"/>
      <c r="F884" s="28"/>
      <c r="G884" s="28"/>
      <c r="H884" s="28"/>
      <c r="I884" s="28"/>
      <c r="J884" s="143"/>
      <c r="K884" s="28"/>
      <c r="L884" s="28"/>
      <c r="M884" s="28"/>
      <c r="N884" s="28"/>
      <c r="O884" s="28"/>
      <c r="P884" s="28"/>
      <c r="Q884" s="144"/>
      <c r="R884" s="144"/>
      <c r="S884" s="144"/>
      <c r="T884" s="145"/>
      <c r="U884" s="28"/>
      <c r="V884" s="30"/>
      <c r="W884" s="28"/>
      <c r="X884" s="28"/>
      <c r="Y884" s="28"/>
      <c r="Z884" s="28"/>
    </row>
    <row r="885" ht="13.5" customHeight="1">
      <c r="A885" s="28"/>
      <c r="B885" s="28"/>
      <c r="C885" s="28"/>
      <c r="D885" s="28"/>
      <c r="E885" s="28"/>
      <c r="F885" s="28"/>
      <c r="G885" s="28"/>
      <c r="H885" s="28"/>
      <c r="I885" s="28"/>
      <c r="J885" s="143"/>
      <c r="K885" s="28"/>
      <c r="L885" s="28"/>
      <c r="M885" s="28"/>
      <c r="N885" s="28"/>
      <c r="O885" s="28"/>
      <c r="P885" s="28"/>
      <c r="Q885" s="144"/>
      <c r="R885" s="144"/>
      <c r="S885" s="144"/>
      <c r="T885" s="145"/>
      <c r="U885" s="28"/>
      <c r="V885" s="30"/>
      <c r="W885" s="28"/>
      <c r="X885" s="28"/>
      <c r="Y885" s="28"/>
      <c r="Z885" s="28"/>
    </row>
    <row r="886" ht="13.5" customHeight="1">
      <c r="A886" s="28"/>
      <c r="B886" s="28"/>
      <c r="C886" s="28"/>
      <c r="D886" s="28"/>
      <c r="E886" s="28"/>
      <c r="F886" s="28"/>
      <c r="G886" s="28"/>
      <c r="H886" s="28"/>
      <c r="I886" s="28"/>
      <c r="J886" s="143"/>
      <c r="K886" s="28"/>
      <c r="L886" s="28"/>
      <c r="M886" s="28"/>
      <c r="N886" s="28"/>
      <c r="O886" s="28"/>
      <c r="P886" s="28"/>
      <c r="Q886" s="144"/>
      <c r="R886" s="144"/>
      <c r="S886" s="144"/>
      <c r="T886" s="145"/>
      <c r="U886" s="28"/>
      <c r="V886" s="30"/>
      <c r="W886" s="28"/>
      <c r="X886" s="28"/>
      <c r="Y886" s="28"/>
      <c r="Z886" s="28"/>
    </row>
    <row r="887" ht="13.5" customHeight="1">
      <c r="A887" s="28"/>
      <c r="B887" s="28"/>
      <c r="C887" s="28"/>
      <c r="D887" s="28"/>
      <c r="E887" s="28"/>
      <c r="F887" s="28"/>
      <c r="G887" s="28"/>
      <c r="H887" s="28"/>
      <c r="I887" s="28"/>
      <c r="J887" s="143"/>
      <c r="K887" s="28"/>
      <c r="L887" s="28"/>
      <c r="M887" s="28"/>
      <c r="N887" s="28"/>
      <c r="O887" s="28"/>
      <c r="P887" s="28"/>
      <c r="Q887" s="144"/>
      <c r="R887" s="144"/>
      <c r="S887" s="144"/>
      <c r="T887" s="145"/>
      <c r="U887" s="28"/>
      <c r="V887" s="30"/>
      <c r="W887" s="28"/>
      <c r="X887" s="28"/>
      <c r="Y887" s="28"/>
      <c r="Z887" s="28"/>
    </row>
    <row r="888" ht="13.5" customHeight="1">
      <c r="A888" s="28"/>
      <c r="B888" s="28"/>
      <c r="C888" s="28"/>
      <c r="D888" s="28"/>
      <c r="E888" s="28"/>
      <c r="F888" s="28"/>
      <c r="G888" s="28"/>
      <c r="H888" s="28"/>
      <c r="I888" s="28"/>
      <c r="J888" s="143"/>
      <c r="K888" s="28"/>
      <c r="L888" s="28"/>
      <c r="M888" s="28"/>
      <c r="N888" s="28"/>
      <c r="O888" s="28"/>
      <c r="P888" s="28"/>
      <c r="Q888" s="144"/>
      <c r="R888" s="144"/>
      <c r="S888" s="144"/>
      <c r="T888" s="145"/>
      <c r="U888" s="28"/>
      <c r="V888" s="30"/>
      <c r="W888" s="28"/>
      <c r="X888" s="28"/>
      <c r="Y888" s="28"/>
      <c r="Z888" s="28"/>
    </row>
    <row r="889" ht="13.5" customHeight="1">
      <c r="A889" s="28"/>
      <c r="B889" s="28"/>
      <c r="C889" s="28"/>
      <c r="D889" s="28"/>
      <c r="E889" s="28"/>
      <c r="F889" s="28"/>
      <c r="G889" s="28"/>
      <c r="H889" s="28"/>
      <c r="I889" s="28"/>
      <c r="J889" s="143"/>
      <c r="K889" s="28"/>
      <c r="L889" s="28"/>
      <c r="M889" s="28"/>
      <c r="N889" s="28"/>
      <c r="O889" s="28"/>
      <c r="P889" s="28"/>
      <c r="Q889" s="144"/>
      <c r="R889" s="144"/>
      <c r="S889" s="144"/>
      <c r="T889" s="145"/>
      <c r="U889" s="28"/>
      <c r="V889" s="30"/>
      <c r="W889" s="28"/>
      <c r="X889" s="28"/>
      <c r="Y889" s="28"/>
      <c r="Z889" s="28"/>
    </row>
    <row r="890" ht="13.5" customHeight="1">
      <c r="A890" s="28"/>
      <c r="B890" s="28"/>
      <c r="C890" s="28"/>
      <c r="D890" s="28"/>
      <c r="E890" s="28"/>
      <c r="F890" s="28"/>
      <c r="G890" s="28"/>
      <c r="H890" s="28"/>
      <c r="I890" s="28"/>
      <c r="J890" s="143"/>
      <c r="K890" s="28"/>
      <c r="L890" s="28"/>
      <c r="M890" s="28"/>
      <c r="N890" s="28"/>
      <c r="O890" s="28"/>
      <c r="P890" s="28"/>
      <c r="Q890" s="144"/>
      <c r="R890" s="144"/>
      <c r="S890" s="144"/>
      <c r="T890" s="145"/>
      <c r="U890" s="28"/>
      <c r="V890" s="30"/>
      <c r="W890" s="28"/>
      <c r="X890" s="28"/>
      <c r="Y890" s="28"/>
      <c r="Z890" s="28"/>
    </row>
    <row r="891" ht="13.5" customHeight="1">
      <c r="A891" s="28"/>
      <c r="B891" s="28"/>
      <c r="C891" s="28"/>
      <c r="D891" s="28"/>
      <c r="E891" s="28"/>
      <c r="F891" s="28"/>
      <c r="G891" s="28"/>
      <c r="H891" s="28"/>
      <c r="I891" s="28"/>
      <c r="J891" s="143"/>
      <c r="K891" s="28"/>
      <c r="L891" s="28"/>
      <c r="M891" s="28"/>
      <c r="N891" s="28"/>
      <c r="O891" s="28"/>
      <c r="P891" s="28"/>
      <c r="Q891" s="144"/>
      <c r="R891" s="144"/>
      <c r="S891" s="144"/>
      <c r="T891" s="145"/>
      <c r="U891" s="28"/>
      <c r="V891" s="30"/>
      <c r="W891" s="28"/>
      <c r="X891" s="28"/>
      <c r="Y891" s="28"/>
      <c r="Z891" s="28"/>
    </row>
    <row r="892" ht="13.5" customHeight="1">
      <c r="A892" s="28"/>
      <c r="B892" s="28"/>
      <c r="C892" s="28"/>
      <c r="D892" s="28"/>
      <c r="E892" s="28"/>
      <c r="F892" s="28"/>
      <c r="G892" s="28"/>
      <c r="H892" s="28"/>
      <c r="I892" s="28"/>
      <c r="J892" s="143"/>
      <c r="K892" s="28"/>
      <c r="L892" s="28"/>
      <c r="M892" s="28"/>
      <c r="N892" s="28"/>
      <c r="O892" s="28"/>
      <c r="P892" s="28"/>
      <c r="Q892" s="144"/>
      <c r="R892" s="144"/>
      <c r="S892" s="144"/>
      <c r="T892" s="145"/>
      <c r="U892" s="28"/>
      <c r="V892" s="30"/>
      <c r="W892" s="28"/>
      <c r="X892" s="28"/>
      <c r="Y892" s="28"/>
      <c r="Z892" s="28"/>
    </row>
    <row r="893" ht="13.5" customHeight="1">
      <c r="A893" s="28"/>
      <c r="B893" s="28"/>
      <c r="C893" s="28"/>
      <c r="D893" s="28"/>
      <c r="E893" s="28"/>
      <c r="F893" s="28"/>
      <c r="G893" s="28"/>
      <c r="H893" s="28"/>
      <c r="I893" s="28"/>
      <c r="J893" s="143"/>
      <c r="K893" s="28"/>
      <c r="L893" s="28"/>
      <c r="M893" s="28"/>
      <c r="N893" s="28"/>
      <c r="O893" s="28"/>
      <c r="P893" s="28"/>
      <c r="Q893" s="144"/>
      <c r="R893" s="144"/>
      <c r="S893" s="144"/>
      <c r="T893" s="145"/>
      <c r="U893" s="28"/>
      <c r="V893" s="30"/>
      <c r="W893" s="28"/>
      <c r="X893" s="28"/>
      <c r="Y893" s="28"/>
      <c r="Z893" s="28"/>
    </row>
    <row r="894" ht="13.5" customHeight="1">
      <c r="A894" s="28"/>
      <c r="B894" s="28"/>
      <c r="C894" s="28"/>
      <c r="D894" s="28"/>
      <c r="E894" s="28"/>
      <c r="F894" s="28"/>
      <c r="G894" s="28"/>
      <c r="H894" s="28"/>
      <c r="I894" s="28"/>
      <c r="J894" s="143"/>
      <c r="K894" s="28"/>
      <c r="L894" s="28"/>
      <c r="M894" s="28"/>
      <c r="N894" s="28"/>
      <c r="O894" s="28"/>
      <c r="P894" s="28"/>
      <c r="Q894" s="144"/>
      <c r="R894" s="144"/>
      <c r="S894" s="144"/>
      <c r="T894" s="145"/>
      <c r="U894" s="28"/>
      <c r="V894" s="30"/>
      <c r="W894" s="28"/>
      <c r="X894" s="28"/>
      <c r="Y894" s="28"/>
      <c r="Z894" s="28"/>
    </row>
    <row r="895" ht="13.5" customHeight="1">
      <c r="A895" s="28"/>
      <c r="B895" s="28"/>
      <c r="C895" s="28"/>
      <c r="D895" s="28"/>
      <c r="E895" s="28"/>
      <c r="F895" s="28"/>
      <c r="G895" s="28"/>
      <c r="H895" s="28"/>
      <c r="I895" s="28"/>
      <c r="J895" s="143"/>
      <c r="K895" s="28"/>
      <c r="L895" s="28"/>
      <c r="M895" s="28"/>
      <c r="N895" s="28"/>
      <c r="O895" s="28"/>
      <c r="P895" s="28"/>
      <c r="Q895" s="144"/>
      <c r="R895" s="144"/>
      <c r="S895" s="144"/>
      <c r="T895" s="145"/>
      <c r="U895" s="28"/>
      <c r="V895" s="30"/>
      <c r="W895" s="28"/>
      <c r="X895" s="28"/>
      <c r="Y895" s="28"/>
      <c r="Z895" s="28"/>
    </row>
    <row r="896" ht="13.5" customHeight="1">
      <c r="A896" s="28"/>
      <c r="B896" s="28"/>
      <c r="C896" s="28"/>
      <c r="D896" s="28"/>
      <c r="E896" s="28"/>
      <c r="F896" s="28"/>
      <c r="G896" s="28"/>
      <c r="H896" s="28"/>
      <c r="I896" s="28"/>
      <c r="J896" s="143"/>
      <c r="K896" s="28"/>
      <c r="L896" s="28"/>
      <c r="M896" s="28"/>
      <c r="N896" s="28"/>
      <c r="O896" s="28"/>
      <c r="P896" s="28"/>
      <c r="Q896" s="144"/>
      <c r="R896" s="144"/>
      <c r="S896" s="144"/>
      <c r="T896" s="145"/>
      <c r="U896" s="28"/>
      <c r="V896" s="30"/>
      <c r="W896" s="28"/>
      <c r="X896" s="28"/>
      <c r="Y896" s="28"/>
      <c r="Z896" s="28"/>
    </row>
    <row r="897" ht="13.5" customHeight="1">
      <c r="A897" s="28"/>
      <c r="B897" s="28"/>
      <c r="C897" s="28"/>
      <c r="D897" s="28"/>
      <c r="E897" s="28"/>
      <c r="F897" s="28"/>
      <c r="G897" s="28"/>
      <c r="H897" s="28"/>
      <c r="I897" s="28"/>
      <c r="J897" s="143"/>
      <c r="K897" s="28"/>
      <c r="L897" s="28"/>
      <c r="M897" s="28"/>
      <c r="N897" s="28"/>
      <c r="O897" s="28"/>
      <c r="P897" s="28"/>
      <c r="Q897" s="144"/>
      <c r="R897" s="144"/>
      <c r="S897" s="144"/>
      <c r="T897" s="145"/>
      <c r="U897" s="28"/>
      <c r="V897" s="30"/>
      <c r="W897" s="28"/>
      <c r="X897" s="28"/>
      <c r="Y897" s="28"/>
      <c r="Z897" s="28"/>
    </row>
    <row r="898" ht="13.5" customHeight="1">
      <c r="A898" s="28"/>
      <c r="B898" s="28"/>
      <c r="C898" s="28"/>
      <c r="D898" s="28"/>
      <c r="E898" s="28"/>
      <c r="F898" s="28"/>
      <c r="G898" s="28"/>
      <c r="H898" s="28"/>
      <c r="I898" s="28"/>
      <c r="J898" s="143"/>
      <c r="K898" s="28"/>
      <c r="L898" s="28"/>
      <c r="M898" s="28"/>
      <c r="N898" s="28"/>
      <c r="O898" s="28"/>
      <c r="P898" s="28"/>
      <c r="Q898" s="144"/>
      <c r="R898" s="144"/>
      <c r="S898" s="144"/>
      <c r="T898" s="145"/>
      <c r="U898" s="28"/>
      <c r="V898" s="30"/>
      <c r="W898" s="28"/>
      <c r="X898" s="28"/>
      <c r="Y898" s="28"/>
      <c r="Z898" s="28"/>
    </row>
    <row r="899" ht="13.5" customHeight="1">
      <c r="A899" s="28"/>
      <c r="B899" s="28"/>
      <c r="C899" s="28"/>
      <c r="D899" s="28"/>
      <c r="E899" s="28"/>
      <c r="F899" s="28"/>
      <c r="G899" s="28"/>
      <c r="H899" s="28"/>
      <c r="I899" s="28"/>
      <c r="J899" s="143"/>
      <c r="K899" s="28"/>
      <c r="L899" s="28"/>
      <c r="M899" s="28"/>
      <c r="N899" s="28"/>
      <c r="O899" s="28"/>
      <c r="P899" s="28"/>
      <c r="Q899" s="144"/>
      <c r="R899" s="144"/>
      <c r="S899" s="144"/>
      <c r="T899" s="145"/>
      <c r="U899" s="28"/>
      <c r="V899" s="30"/>
      <c r="W899" s="28"/>
      <c r="X899" s="28"/>
      <c r="Y899" s="28"/>
      <c r="Z899" s="28"/>
    </row>
    <row r="900" ht="13.5" customHeight="1">
      <c r="A900" s="28"/>
      <c r="B900" s="28"/>
      <c r="C900" s="28"/>
      <c r="D900" s="28"/>
      <c r="E900" s="28"/>
      <c r="F900" s="28"/>
      <c r="G900" s="28"/>
      <c r="H900" s="28"/>
      <c r="I900" s="28"/>
      <c r="J900" s="143"/>
      <c r="K900" s="28"/>
      <c r="L900" s="28"/>
      <c r="M900" s="28"/>
      <c r="N900" s="28"/>
      <c r="O900" s="28"/>
      <c r="P900" s="28"/>
      <c r="Q900" s="144"/>
      <c r="R900" s="144"/>
      <c r="S900" s="144"/>
      <c r="T900" s="145"/>
      <c r="U900" s="28"/>
      <c r="V900" s="30"/>
      <c r="W900" s="28"/>
      <c r="X900" s="28"/>
      <c r="Y900" s="28"/>
      <c r="Z900" s="28"/>
    </row>
    <row r="901" ht="13.5" customHeight="1">
      <c r="A901" s="28"/>
      <c r="B901" s="28"/>
      <c r="C901" s="28"/>
      <c r="D901" s="28"/>
      <c r="E901" s="28"/>
      <c r="F901" s="28"/>
      <c r="G901" s="28"/>
      <c r="H901" s="28"/>
      <c r="I901" s="28"/>
      <c r="J901" s="143"/>
      <c r="K901" s="28"/>
      <c r="L901" s="28"/>
      <c r="M901" s="28"/>
      <c r="N901" s="28"/>
      <c r="O901" s="28"/>
      <c r="P901" s="28"/>
      <c r="Q901" s="144"/>
      <c r="R901" s="144"/>
      <c r="S901" s="144"/>
      <c r="T901" s="145"/>
      <c r="U901" s="28"/>
      <c r="V901" s="30"/>
      <c r="W901" s="28"/>
      <c r="X901" s="28"/>
      <c r="Y901" s="28"/>
      <c r="Z901" s="28"/>
    </row>
    <row r="902" ht="13.5" customHeight="1">
      <c r="A902" s="28"/>
      <c r="B902" s="28"/>
      <c r="C902" s="28"/>
      <c r="D902" s="28"/>
      <c r="E902" s="28"/>
      <c r="F902" s="28"/>
      <c r="G902" s="28"/>
      <c r="H902" s="28"/>
      <c r="I902" s="28"/>
      <c r="J902" s="143"/>
      <c r="K902" s="28"/>
      <c r="L902" s="28"/>
      <c r="M902" s="28"/>
      <c r="N902" s="28"/>
      <c r="O902" s="28"/>
      <c r="P902" s="28"/>
      <c r="Q902" s="144"/>
      <c r="R902" s="144"/>
      <c r="S902" s="144"/>
      <c r="T902" s="145"/>
      <c r="U902" s="28"/>
      <c r="V902" s="30"/>
      <c r="W902" s="28"/>
      <c r="X902" s="28"/>
      <c r="Y902" s="28"/>
      <c r="Z902" s="28"/>
    </row>
    <row r="903" ht="13.5" customHeight="1">
      <c r="A903" s="28"/>
      <c r="B903" s="28"/>
      <c r="C903" s="28"/>
      <c r="D903" s="28"/>
      <c r="E903" s="28"/>
      <c r="F903" s="28"/>
      <c r="G903" s="28"/>
      <c r="H903" s="28"/>
      <c r="I903" s="28"/>
      <c r="J903" s="143"/>
      <c r="K903" s="28"/>
      <c r="L903" s="28"/>
      <c r="M903" s="28"/>
      <c r="N903" s="28"/>
      <c r="O903" s="28"/>
      <c r="P903" s="28"/>
      <c r="Q903" s="144"/>
      <c r="R903" s="144"/>
      <c r="S903" s="144"/>
      <c r="T903" s="145"/>
      <c r="U903" s="28"/>
      <c r="V903" s="30"/>
      <c r="W903" s="28"/>
      <c r="X903" s="28"/>
      <c r="Y903" s="28"/>
      <c r="Z903" s="28"/>
    </row>
    <row r="904" ht="13.5" customHeight="1">
      <c r="A904" s="28"/>
      <c r="B904" s="28"/>
      <c r="C904" s="28"/>
      <c r="D904" s="28"/>
      <c r="E904" s="28"/>
      <c r="F904" s="28"/>
      <c r="G904" s="28"/>
      <c r="H904" s="28"/>
      <c r="I904" s="28"/>
      <c r="J904" s="143"/>
      <c r="K904" s="28"/>
      <c r="L904" s="28"/>
      <c r="M904" s="28"/>
      <c r="N904" s="28"/>
      <c r="O904" s="28"/>
      <c r="P904" s="28"/>
      <c r="Q904" s="144"/>
      <c r="R904" s="144"/>
      <c r="S904" s="144"/>
      <c r="T904" s="145"/>
      <c r="U904" s="28"/>
      <c r="V904" s="30"/>
      <c r="W904" s="28"/>
      <c r="X904" s="28"/>
      <c r="Y904" s="28"/>
      <c r="Z904" s="28"/>
    </row>
    <row r="905" ht="13.5" customHeight="1">
      <c r="A905" s="28"/>
      <c r="B905" s="28"/>
      <c r="C905" s="28"/>
      <c r="D905" s="28"/>
      <c r="E905" s="28"/>
      <c r="F905" s="28"/>
      <c r="G905" s="28"/>
      <c r="H905" s="28"/>
      <c r="I905" s="28"/>
      <c r="J905" s="143"/>
      <c r="K905" s="28"/>
      <c r="L905" s="28"/>
      <c r="M905" s="28"/>
      <c r="N905" s="28"/>
      <c r="O905" s="28"/>
      <c r="P905" s="28"/>
      <c r="Q905" s="144"/>
      <c r="R905" s="144"/>
      <c r="S905" s="144"/>
      <c r="T905" s="145"/>
      <c r="U905" s="28"/>
      <c r="V905" s="30"/>
      <c r="W905" s="28"/>
      <c r="X905" s="28"/>
      <c r="Y905" s="28"/>
      <c r="Z905" s="28"/>
    </row>
    <row r="906" ht="13.5" customHeight="1">
      <c r="A906" s="28"/>
      <c r="B906" s="28"/>
      <c r="C906" s="28"/>
      <c r="D906" s="28"/>
      <c r="E906" s="28"/>
      <c r="F906" s="28"/>
      <c r="G906" s="28"/>
      <c r="H906" s="28"/>
      <c r="I906" s="28"/>
      <c r="J906" s="143"/>
      <c r="K906" s="28"/>
      <c r="L906" s="28"/>
      <c r="M906" s="28"/>
      <c r="N906" s="28"/>
      <c r="O906" s="28"/>
      <c r="P906" s="28"/>
      <c r="Q906" s="144"/>
      <c r="R906" s="144"/>
      <c r="S906" s="144"/>
      <c r="T906" s="145"/>
      <c r="U906" s="28"/>
      <c r="V906" s="30"/>
      <c r="W906" s="28"/>
      <c r="X906" s="28"/>
      <c r="Y906" s="28"/>
      <c r="Z906" s="28"/>
    </row>
    <row r="907" ht="13.5" customHeight="1">
      <c r="A907" s="28"/>
      <c r="B907" s="28"/>
      <c r="C907" s="28"/>
      <c r="D907" s="28"/>
      <c r="E907" s="28"/>
      <c r="F907" s="28"/>
      <c r="G907" s="28"/>
      <c r="H907" s="28"/>
      <c r="I907" s="28"/>
      <c r="J907" s="143"/>
      <c r="K907" s="28"/>
      <c r="L907" s="28"/>
      <c r="M907" s="28"/>
      <c r="N907" s="28"/>
      <c r="O907" s="28"/>
      <c r="P907" s="28"/>
      <c r="Q907" s="144"/>
      <c r="R907" s="144"/>
      <c r="S907" s="144"/>
      <c r="T907" s="145"/>
      <c r="U907" s="28"/>
      <c r="V907" s="30"/>
      <c r="W907" s="28"/>
      <c r="X907" s="28"/>
      <c r="Y907" s="28"/>
      <c r="Z907" s="28"/>
    </row>
    <row r="908" ht="13.5" customHeight="1">
      <c r="A908" s="28"/>
      <c r="B908" s="28"/>
      <c r="C908" s="28"/>
      <c r="D908" s="28"/>
      <c r="E908" s="28"/>
      <c r="F908" s="28"/>
      <c r="G908" s="28"/>
      <c r="H908" s="28"/>
      <c r="I908" s="28"/>
      <c r="J908" s="143"/>
      <c r="K908" s="28"/>
      <c r="L908" s="28"/>
      <c r="M908" s="28"/>
      <c r="N908" s="28"/>
      <c r="O908" s="28"/>
      <c r="P908" s="28"/>
      <c r="Q908" s="144"/>
      <c r="R908" s="144"/>
      <c r="S908" s="144"/>
      <c r="T908" s="145"/>
      <c r="U908" s="28"/>
      <c r="V908" s="30"/>
      <c r="W908" s="28"/>
      <c r="X908" s="28"/>
      <c r="Y908" s="28"/>
      <c r="Z908" s="28"/>
    </row>
    <row r="909" ht="13.5" customHeight="1">
      <c r="A909" s="28"/>
      <c r="B909" s="28"/>
      <c r="C909" s="28"/>
      <c r="D909" s="28"/>
      <c r="E909" s="28"/>
      <c r="F909" s="28"/>
      <c r="G909" s="28"/>
      <c r="H909" s="28"/>
      <c r="I909" s="28"/>
      <c r="J909" s="143"/>
      <c r="K909" s="28"/>
      <c r="L909" s="28"/>
      <c r="M909" s="28"/>
      <c r="N909" s="28"/>
      <c r="O909" s="28"/>
      <c r="P909" s="28"/>
      <c r="Q909" s="144"/>
      <c r="R909" s="144"/>
      <c r="S909" s="144"/>
      <c r="T909" s="145"/>
      <c r="U909" s="28"/>
      <c r="V909" s="30"/>
      <c r="W909" s="28"/>
      <c r="X909" s="28"/>
      <c r="Y909" s="28"/>
      <c r="Z909" s="28"/>
    </row>
    <row r="910" ht="13.5" customHeight="1">
      <c r="A910" s="28"/>
      <c r="B910" s="28"/>
      <c r="C910" s="28"/>
      <c r="D910" s="28"/>
      <c r="E910" s="28"/>
      <c r="F910" s="28"/>
      <c r="G910" s="28"/>
      <c r="H910" s="28"/>
      <c r="I910" s="28"/>
      <c r="J910" s="143"/>
      <c r="K910" s="28"/>
      <c r="L910" s="28"/>
      <c r="M910" s="28"/>
      <c r="N910" s="28"/>
      <c r="O910" s="28"/>
      <c r="P910" s="28"/>
      <c r="Q910" s="144"/>
      <c r="R910" s="144"/>
      <c r="S910" s="144"/>
      <c r="T910" s="145"/>
      <c r="U910" s="28"/>
      <c r="V910" s="30"/>
      <c r="W910" s="28"/>
      <c r="X910" s="28"/>
      <c r="Y910" s="28"/>
      <c r="Z910" s="28"/>
    </row>
    <row r="911" ht="13.5" customHeight="1">
      <c r="A911" s="28"/>
      <c r="B911" s="28"/>
      <c r="C911" s="28"/>
      <c r="D911" s="28"/>
      <c r="E911" s="28"/>
      <c r="F911" s="28"/>
      <c r="G911" s="28"/>
      <c r="H911" s="28"/>
      <c r="I911" s="28"/>
      <c r="J911" s="143"/>
      <c r="K911" s="28"/>
      <c r="L911" s="28"/>
      <c r="M911" s="28"/>
      <c r="N911" s="28"/>
      <c r="O911" s="28"/>
      <c r="P911" s="28"/>
      <c r="Q911" s="144"/>
      <c r="R911" s="144"/>
      <c r="S911" s="144"/>
      <c r="T911" s="145"/>
      <c r="U911" s="28"/>
      <c r="V911" s="30"/>
      <c r="W911" s="28"/>
      <c r="X911" s="28"/>
      <c r="Y911" s="28"/>
      <c r="Z911" s="28"/>
    </row>
    <row r="912" ht="13.5" customHeight="1">
      <c r="A912" s="28"/>
      <c r="B912" s="28"/>
      <c r="C912" s="28"/>
      <c r="D912" s="28"/>
      <c r="E912" s="28"/>
      <c r="F912" s="28"/>
      <c r="G912" s="28"/>
      <c r="H912" s="28"/>
      <c r="I912" s="28"/>
      <c r="J912" s="143"/>
      <c r="K912" s="28"/>
      <c r="L912" s="28"/>
      <c r="M912" s="28"/>
      <c r="N912" s="28"/>
      <c r="O912" s="28"/>
      <c r="P912" s="28"/>
      <c r="Q912" s="144"/>
      <c r="R912" s="144"/>
      <c r="S912" s="144"/>
      <c r="T912" s="145"/>
      <c r="U912" s="28"/>
      <c r="V912" s="30"/>
      <c r="W912" s="28"/>
      <c r="X912" s="28"/>
      <c r="Y912" s="28"/>
      <c r="Z912" s="28"/>
    </row>
    <row r="913" ht="13.5" customHeight="1">
      <c r="A913" s="28"/>
      <c r="B913" s="28"/>
      <c r="C913" s="28"/>
      <c r="D913" s="28"/>
      <c r="E913" s="28"/>
      <c r="F913" s="28"/>
      <c r="G913" s="28"/>
      <c r="H913" s="28"/>
      <c r="I913" s="28"/>
      <c r="J913" s="143"/>
      <c r="K913" s="28"/>
      <c r="L913" s="28"/>
      <c r="M913" s="28"/>
      <c r="N913" s="28"/>
      <c r="O913" s="28"/>
      <c r="P913" s="28"/>
      <c r="Q913" s="144"/>
      <c r="R913" s="144"/>
      <c r="S913" s="144"/>
      <c r="T913" s="145"/>
      <c r="U913" s="28"/>
      <c r="V913" s="30"/>
      <c r="W913" s="28"/>
      <c r="X913" s="28"/>
      <c r="Y913" s="28"/>
      <c r="Z913" s="28"/>
    </row>
    <row r="914" ht="13.5" customHeight="1">
      <c r="A914" s="28"/>
      <c r="B914" s="28"/>
      <c r="C914" s="28"/>
      <c r="D914" s="28"/>
      <c r="E914" s="28"/>
      <c r="F914" s="28"/>
      <c r="G914" s="28"/>
      <c r="H914" s="28"/>
      <c r="I914" s="28"/>
      <c r="J914" s="143"/>
      <c r="K914" s="28"/>
      <c r="L914" s="28"/>
      <c r="M914" s="28"/>
      <c r="N914" s="28"/>
      <c r="O914" s="28"/>
      <c r="P914" s="28"/>
      <c r="Q914" s="144"/>
      <c r="R914" s="144"/>
      <c r="S914" s="144"/>
      <c r="T914" s="145"/>
      <c r="U914" s="28"/>
      <c r="V914" s="30"/>
      <c r="W914" s="28"/>
      <c r="X914" s="28"/>
      <c r="Y914" s="28"/>
      <c r="Z914" s="28"/>
    </row>
    <row r="915" ht="13.5" customHeight="1">
      <c r="A915" s="28"/>
      <c r="B915" s="28"/>
      <c r="C915" s="28"/>
      <c r="D915" s="28"/>
      <c r="E915" s="28"/>
      <c r="F915" s="28"/>
      <c r="G915" s="28"/>
      <c r="H915" s="28"/>
      <c r="I915" s="28"/>
      <c r="J915" s="143"/>
      <c r="K915" s="28"/>
      <c r="L915" s="28"/>
      <c r="M915" s="28"/>
      <c r="N915" s="28"/>
      <c r="O915" s="28"/>
      <c r="P915" s="28"/>
      <c r="Q915" s="144"/>
      <c r="R915" s="144"/>
      <c r="S915" s="144"/>
      <c r="T915" s="145"/>
      <c r="U915" s="28"/>
      <c r="V915" s="30"/>
      <c r="W915" s="28"/>
      <c r="X915" s="28"/>
      <c r="Y915" s="28"/>
      <c r="Z915" s="28"/>
    </row>
    <row r="916" ht="13.5" customHeight="1">
      <c r="A916" s="28"/>
      <c r="B916" s="28"/>
      <c r="C916" s="28"/>
      <c r="D916" s="28"/>
      <c r="E916" s="28"/>
      <c r="F916" s="28"/>
      <c r="G916" s="28"/>
      <c r="H916" s="28"/>
      <c r="I916" s="28"/>
      <c r="J916" s="143"/>
      <c r="K916" s="28"/>
      <c r="L916" s="28"/>
      <c r="M916" s="28"/>
      <c r="N916" s="28"/>
      <c r="O916" s="28"/>
      <c r="P916" s="28"/>
      <c r="Q916" s="144"/>
      <c r="R916" s="144"/>
      <c r="S916" s="144"/>
      <c r="T916" s="145"/>
      <c r="U916" s="28"/>
      <c r="V916" s="30"/>
      <c r="W916" s="28"/>
      <c r="X916" s="28"/>
      <c r="Y916" s="28"/>
      <c r="Z916" s="28"/>
    </row>
    <row r="917" ht="13.5" customHeight="1">
      <c r="A917" s="28"/>
      <c r="B917" s="28"/>
      <c r="C917" s="28"/>
      <c r="D917" s="28"/>
      <c r="E917" s="28"/>
      <c r="F917" s="28"/>
      <c r="G917" s="28"/>
      <c r="H917" s="28"/>
      <c r="I917" s="28"/>
      <c r="J917" s="143"/>
      <c r="K917" s="28"/>
      <c r="L917" s="28"/>
      <c r="M917" s="28"/>
      <c r="N917" s="28"/>
      <c r="O917" s="28"/>
      <c r="P917" s="28"/>
      <c r="Q917" s="144"/>
      <c r="R917" s="144"/>
      <c r="S917" s="144"/>
      <c r="T917" s="145"/>
      <c r="U917" s="28"/>
      <c r="V917" s="30"/>
      <c r="W917" s="28"/>
      <c r="X917" s="28"/>
      <c r="Y917" s="28"/>
      <c r="Z917" s="28"/>
    </row>
    <row r="918" ht="13.5" customHeight="1">
      <c r="A918" s="28"/>
      <c r="B918" s="28"/>
      <c r="C918" s="28"/>
      <c r="D918" s="28"/>
      <c r="E918" s="28"/>
      <c r="F918" s="28"/>
      <c r="G918" s="28"/>
      <c r="H918" s="28"/>
      <c r="I918" s="28"/>
      <c r="J918" s="143"/>
      <c r="K918" s="28"/>
      <c r="L918" s="28"/>
      <c r="M918" s="28"/>
      <c r="N918" s="28"/>
      <c r="O918" s="28"/>
      <c r="P918" s="28"/>
      <c r="Q918" s="144"/>
      <c r="R918" s="144"/>
      <c r="S918" s="144"/>
      <c r="T918" s="145"/>
      <c r="U918" s="28"/>
      <c r="V918" s="30"/>
      <c r="W918" s="28"/>
      <c r="X918" s="28"/>
      <c r="Y918" s="28"/>
      <c r="Z918" s="28"/>
    </row>
    <row r="919" ht="13.5" customHeight="1">
      <c r="A919" s="28"/>
      <c r="B919" s="28"/>
      <c r="C919" s="28"/>
      <c r="D919" s="28"/>
      <c r="E919" s="28"/>
      <c r="F919" s="28"/>
      <c r="G919" s="28"/>
      <c r="H919" s="28"/>
      <c r="I919" s="28"/>
      <c r="J919" s="143"/>
      <c r="K919" s="28"/>
      <c r="L919" s="28"/>
      <c r="M919" s="28"/>
      <c r="N919" s="28"/>
      <c r="O919" s="28"/>
      <c r="P919" s="28"/>
      <c r="Q919" s="144"/>
      <c r="R919" s="144"/>
      <c r="S919" s="144"/>
      <c r="T919" s="145"/>
      <c r="U919" s="28"/>
      <c r="V919" s="30"/>
      <c r="W919" s="28"/>
      <c r="X919" s="28"/>
      <c r="Y919" s="28"/>
      <c r="Z919" s="28"/>
    </row>
    <row r="920" ht="13.5" customHeight="1">
      <c r="A920" s="28"/>
      <c r="B920" s="28"/>
      <c r="C920" s="28"/>
      <c r="D920" s="28"/>
      <c r="E920" s="28"/>
      <c r="F920" s="28"/>
      <c r="G920" s="28"/>
      <c r="H920" s="28"/>
      <c r="I920" s="28"/>
      <c r="J920" s="143"/>
      <c r="K920" s="28"/>
      <c r="L920" s="28"/>
      <c r="M920" s="28"/>
      <c r="N920" s="28"/>
      <c r="O920" s="28"/>
      <c r="P920" s="28"/>
      <c r="Q920" s="144"/>
      <c r="R920" s="144"/>
      <c r="S920" s="144"/>
      <c r="T920" s="145"/>
      <c r="U920" s="28"/>
      <c r="V920" s="30"/>
      <c r="W920" s="28"/>
      <c r="X920" s="28"/>
      <c r="Y920" s="28"/>
      <c r="Z920" s="28"/>
    </row>
    <row r="921" ht="13.5" customHeight="1">
      <c r="A921" s="28"/>
      <c r="B921" s="28"/>
      <c r="C921" s="28"/>
      <c r="D921" s="28"/>
      <c r="E921" s="28"/>
      <c r="F921" s="28"/>
      <c r="G921" s="28"/>
      <c r="H921" s="28"/>
      <c r="I921" s="28"/>
      <c r="J921" s="143"/>
      <c r="K921" s="28"/>
      <c r="L921" s="28"/>
      <c r="M921" s="28"/>
      <c r="N921" s="28"/>
      <c r="O921" s="28"/>
      <c r="P921" s="28"/>
      <c r="Q921" s="144"/>
      <c r="R921" s="144"/>
      <c r="S921" s="144"/>
      <c r="T921" s="145"/>
      <c r="U921" s="28"/>
      <c r="V921" s="30"/>
      <c r="W921" s="28"/>
      <c r="X921" s="28"/>
      <c r="Y921" s="28"/>
      <c r="Z921" s="28"/>
    </row>
    <row r="922" ht="13.5" customHeight="1">
      <c r="A922" s="28"/>
      <c r="B922" s="28"/>
      <c r="C922" s="28"/>
      <c r="D922" s="28"/>
      <c r="E922" s="28"/>
      <c r="F922" s="28"/>
      <c r="G922" s="28"/>
      <c r="H922" s="28"/>
      <c r="I922" s="28"/>
      <c r="J922" s="143"/>
      <c r="K922" s="28"/>
      <c r="L922" s="28"/>
      <c r="M922" s="28"/>
      <c r="N922" s="28"/>
      <c r="O922" s="28"/>
      <c r="P922" s="28"/>
      <c r="Q922" s="144"/>
      <c r="R922" s="144"/>
      <c r="S922" s="144"/>
      <c r="T922" s="145"/>
      <c r="U922" s="28"/>
      <c r="V922" s="30"/>
      <c r="W922" s="28"/>
      <c r="X922" s="28"/>
      <c r="Y922" s="28"/>
      <c r="Z922" s="28"/>
    </row>
    <row r="923" ht="13.5" customHeight="1">
      <c r="A923" s="28"/>
      <c r="B923" s="28"/>
      <c r="C923" s="28"/>
      <c r="D923" s="28"/>
      <c r="E923" s="28"/>
      <c r="F923" s="28"/>
      <c r="G923" s="28"/>
      <c r="H923" s="28"/>
      <c r="I923" s="28"/>
      <c r="J923" s="143"/>
      <c r="K923" s="28"/>
      <c r="L923" s="28"/>
      <c r="M923" s="28"/>
      <c r="N923" s="28"/>
      <c r="O923" s="28"/>
      <c r="P923" s="28"/>
      <c r="Q923" s="144"/>
      <c r="R923" s="144"/>
      <c r="S923" s="144"/>
      <c r="T923" s="145"/>
      <c r="U923" s="28"/>
      <c r="V923" s="30"/>
      <c r="W923" s="28"/>
      <c r="X923" s="28"/>
      <c r="Y923" s="28"/>
      <c r="Z923" s="28"/>
    </row>
    <row r="924" ht="13.5" customHeight="1">
      <c r="A924" s="28"/>
      <c r="B924" s="28"/>
      <c r="C924" s="28"/>
      <c r="D924" s="28"/>
      <c r="E924" s="28"/>
      <c r="F924" s="28"/>
      <c r="G924" s="28"/>
      <c r="H924" s="28"/>
      <c r="I924" s="28"/>
      <c r="J924" s="143"/>
      <c r="K924" s="28"/>
      <c r="L924" s="28"/>
      <c r="M924" s="28"/>
      <c r="N924" s="28"/>
      <c r="O924" s="28"/>
      <c r="P924" s="28"/>
      <c r="Q924" s="144"/>
      <c r="R924" s="144"/>
      <c r="S924" s="144"/>
      <c r="T924" s="145"/>
      <c r="U924" s="28"/>
      <c r="V924" s="30"/>
      <c r="W924" s="28"/>
      <c r="X924" s="28"/>
      <c r="Y924" s="28"/>
      <c r="Z924" s="28"/>
    </row>
    <row r="925" ht="13.5" customHeight="1">
      <c r="A925" s="28"/>
      <c r="B925" s="28"/>
      <c r="C925" s="28"/>
      <c r="D925" s="28"/>
      <c r="E925" s="28"/>
      <c r="F925" s="28"/>
      <c r="G925" s="28"/>
      <c r="H925" s="28"/>
      <c r="I925" s="28"/>
      <c r="J925" s="143"/>
      <c r="K925" s="28"/>
      <c r="L925" s="28"/>
      <c r="M925" s="28"/>
      <c r="N925" s="28"/>
      <c r="O925" s="28"/>
      <c r="P925" s="28"/>
      <c r="Q925" s="144"/>
      <c r="R925" s="144"/>
      <c r="S925" s="144"/>
      <c r="T925" s="145"/>
      <c r="U925" s="28"/>
      <c r="V925" s="30"/>
      <c r="W925" s="28"/>
      <c r="X925" s="28"/>
      <c r="Y925" s="28"/>
      <c r="Z925" s="28"/>
    </row>
    <row r="926" ht="13.5" customHeight="1">
      <c r="A926" s="28"/>
      <c r="B926" s="28"/>
      <c r="C926" s="28"/>
      <c r="D926" s="28"/>
      <c r="E926" s="28"/>
      <c r="F926" s="28"/>
      <c r="G926" s="28"/>
      <c r="H926" s="28"/>
      <c r="I926" s="28"/>
      <c r="J926" s="143"/>
      <c r="K926" s="28"/>
      <c r="L926" s="28"/>
      <c r="M926" s="28"/>
      <c r="N926" s="28"/>
      <c r="O926" s="28"/>
      <c r="P926" s="28"/>
      <c r="Q926" s="144"/>
      <c r="R926" s="144"/>
      <c r="S926" s="144"/>
      <c r="T926" s="145"/>
      <c r="U926" s="28"/>
      <c r="V926" s="30"/>
      <c r="W926" s="28"/>
      <c r="X926" s="28"/>
      <c r="Y926" s="28"/>
      <c r="Z926" s="28"/>
    </row>
    <row r="927" ht="13.5" customHeight="1">
      <c r="A927" s="28"/>
      <c r="B927" s="28"/>
      <c r="C927" s="28"/>
      <c r="D927" s="28"/>
      <c r="E927" s="28"/>
      <c r="F927" s="28"/>
      <c r="G927" s="28"/>
      <c r="H927" s="28"/>
      <c r="I927" s="28"/>
      <c r="J927" s="143"/>
      <c r="K927" s="28"/>
      <c r="L927" s="28"/>
      <c r="M927" s="28"/>
      <c r="N927" s="28"/>
      <c r="O927" s="28"/>
      <c r="P927" s="28"/>
      <c r="Q927" s="144"/>
      <c r="R927" s="144"/>
      <c r="S927" s="144"/>
      <c r="T927" s="145"/>
      <c r="U927" s="28"/>
      <c r="V927" s="30"/>
      <c r="W927" s="28"/>
      <c r="X927" s="28"/>
      <c r="Y927" s="28"/>
      <c r="Z927" s="28"/>
    </row>
    <row r="928" ht="13.5" customHeight="1">
      <c r="A928" s="28"/>
      <c r="B928" s="28"/>
      <c r="C928" s="28"/>
      <c r="D928" s="28"/>
      <c r="E928" s="28"/>
      <c r="F928" s="28"/>
      <c r="G928" s="28"/>
      <c r="H928" s="28"/>
      <c r="I928" s="28"/>
      <c r="J928" s="143"/>
      <c r="K928" s="28"/>
      <c r="L928" s="28"/>
      <c r="M928" s="28"/>
      <c r="N928" s="28"/>
      <c r="O928" s="28"/>
      <c r="P928" s="28"/>
      <c r="Q928" s="144"/>
      <c r="R928" s="144"/>
      <c r="S928" s="144"/>
      <c r="T928" s="145"/>
      <c r="U928" s="28"/>
      <c r="V928" s="30"/>
      <c r="W928" s="28"/>
      <c r="X928" s="28"/>
      <c r="Y928" s="28"/>
      <c r="Z928" s="28"/>
    </row>
    <row r="929" ht="13.5" customHeight="1">
      <c r="A929" s="28"/>
      <c r="B929" s="28"/>
      <c r="C929" s="28"/>
      <c r="D929" s="28"/>
      <c r="E929" s="28"/>
      <c r="F929" s="28"/>
      <c r="G929" s="28"/>
      <c r="H929" s="28"/>
      <c r="I929" s="28"/>
      <c r="J929" s="143"/>
      <c r="K929" s="28"/>
      <c r="L929" s="28"/>
      <c r="M929" s="28"/>
      <c r="N929" s="28"/>
      <c r="O929" s="28"/>
      <c r="P929" s="28"/>
      <c r="Q929" s="144"/>
      <c r="R929" s="144"/>
      <c r="S929" s="144"/>
      <c r="T929" s="145"/>
      <c r="U929" s="28"/>
      <c r="V929" s="30"/>
      <c r="W929" s="28"/>
      <c r="X929" s="28"/>
      <c r="Y929" s="28"/>
      <c r="Z929" s="28"/>
    </row>
    <row r="930" ht="13.5" customHeight="1">
      <c r="A930" s="28"/>
      <c r="B930" s="28"/>
      <c r="C930" s="28"/>
      <c r="D930" s="28"/>
      <c r="E930" s="28"/>
      <c r="F930" s="28"/>
      <c r="G930" s="28"/>
      <c r="H930" s="28"/>
      <c r="I930" s="28"/>
      <c r="J930" s="143"/>
      <c r="K930" s="28"/>
      <c r="L930" s="28"/>
      <c r="M930" s="28"/>
      <c r="N930" s="28"/>
      <c r="O930" s="28"/>
      <c r="P930" s="28"/>
      <c r="Q930" s="144"/>
      <c r="R930" s="144"/>
      <c r="S930" s="144"/>
      <c r="T930" s="145"/>
      <c r="U930" s="28"/>
      <c r="V930" s="30"/>
      <c r="W930" s="28"/>
      <c r="X930" s="28"/>
      <c r="Y930" s="28"/>
      <c r="Z930" s="28"/>
    </row>
    <row r="931" ht="13.5" customHeight="1">
      <c r="A931" s="28"/>
      <c r="B931" s="28"/>
      <c r="C931" s="28"/>
      <c r="D931" s="28"/>
      <c r="E931" s="28"/>
      <c r="F931" s="28"/>
      <c r="G931" s="28"/>
      <c r="H931" s="28"/>
      <c r="I931" s="28"/>
      <c r="J931" s="143"/>
      <c r="K931" s="28"/>
      <c r="L931" s="28"/>
      <c r="M931" s="28"/>
      <c r="N931" s="28"/>
      <c r="O931" s="28"/>
      <c r="P931" s="28"/>
      <c r="Q931" s="144"/>
      <c r="R931" s="144"/>
      <c r="S931" s="144"/>
      <c r="T931" s="145"/>
      <c r="U931" s="28"/>
      <c r="V931" s="30"/>
      <c r="W931" s="28"/>
      <c r="X931" s="28"/>
      <c r="Y931" s="28"/>
      <c r="Z931" s="28"/>
    </row>
    <row r="932" ht="13.5" customHeight="1">
      <c r="A932" s="28"/>
      <c r="B932" s="28"/>
      <c r="C932" s="28"/>
      <c r="D932" s="28"/>
      <c r="E932" s="28"/>
      <c r="F932" s="28"/>
      <c r="G932" s="28"/>
      <c r="H932" s="28"/>
      <c r="I932" s="28"/>
      <c r="J932" s="143"/>
      <c r="K932" s="28"/>
      <c r="L932" s="28"/>
      <c r="M932" s="28"/>
      <c r="N932" s="28"/>
      <c r="O932" s="28"/>
      <c r="P932" s="28"/>
      <c r="Q932" s="144"/>
      <c r="R932" s="144"/>
      <c r="S932" s="144"/>
      <c r="T932" s="145"/>
      <c r="U932" s="28"/>
      <c r="V932" s="30"/>
      <c r="W932" s="28"/>
      <c r="X932" s="28"/>
      <c r="Y932" s="28"/>
      <c r="Z932" s="28"/>
    </row>
    <row r="933" ht="13.5" customHeight="1">
      <c r="A933" s="28"/>
      <c r="B933" s="28"/>
      <c r="C933" s="28"/>
      <c r="D933" s="28"/>
      <c r="E933" s="28"/>
      <c r="F933" s="28"/>
      <c r="G933" s="28"/>
      <c r="H933" s="28"/>
      <c r="I933" s="28"/>
      <c r="J933" s="143"/>
      <c r="K933" s="28"/>
      <c r="L933" s="28"/>
      <c r="M933" s="28"/>
      <c r="N933" s="28"/>
      <c r="O933" s="28"/>
      <c r="P933" s="28"/>
      <c r="Q933" s="144"/>
      <c r="R933" s="144"/>
      <c r="S933" s="144"/>
      <c r="T933" s="145"/>
      <c r="U933" s="28"/>
      <c r="V933" s="30"/>
      <c r="W933" s="28"/>
      <c r="X933" s="28"/>
      <c r="Y933" s="28"/>
      <c r="Z933" s="28"/>
    </row>
    <row r="934" ht="13.5" customHeight="1">
      <c r="A934" s="28"/>
      <c r="B934" s="28"/>
      <c r="C934" s="28"/>
      <c r="D934" s="28"/>
      <c r="E934" s="28"/>
      <c r="F934" s="28"/>
      <c r="G934" s="28"/>
      <c r="H934" s="28"/>
      <c r="I934" s="28"/>
      <c r="J934" s="143"/>
      <c r="K934" s="28"/>
      <c r="L934" s="28"/>
      <c r="M934" s="28"/>
      <c r="N934" s="28"/>
      <c r="O934" s="28"/>
      <c r="P934" s="28"/>
      <c r="Q934" s="144"/>
      <c r="R934" s="144"/>
      <c r="S934" s="144"/>
      <c r="T934" s="145"/>
      <c r="U934" s="28"/>
      <c r="V934" s="30"/>
      <c r="W934" s="28"/>
      <c r="X934" s="28"/>
      <c r="Y934" s="28"/>
      <c r="Z934" s="28"/>
    </row>
    <row r="935" ht="13.5" customHeight="1">
      <c r="A935" s="28"/>
      <c r="B935" s="28"/>
      <c r="C935" s="28"/>
      <c r="D935" s="28"/>
      <c r="E935" s="28"/>
      <c r="F935" s="28"/>
      <c r="G935" s="28"/>
      <c r="H935" s="28"/>
      <c r="I935" s="28"/>
      <c r="J935" s="143"/>
      <c r="K935" s="28"/>
      <c r="L935" s="28"/>
      <c r="M935" s="28"/>
      <c r="N935" s="28"/>
      <c r="O935" s="28"/>
      <c r="P935" s="28"/>
      <c r="Q935" s="144"/>
      <c r="R935" s="144"/>
      <c r="S935" s="144"/>
      <c r="T935" s="145"/>
      <c r="U935" s="28"/>
      <c r="V935" s="30"/>
      <c r="W935" s="28"/>
      <c r="X935" s="28"/>
      <c r="Y935" s="28"/>
      <c r="Z935" s="28"/>
    </row>
    <row r="936" ht="13.5" customHeight="1">
      <c r="A936" s="28"/>
      <c r="B936" s="28"/>
      <c r="C936" s="28"/>
      <c r="D936" s="28"/>
      <c r="E936" s="28"/>
      <c r="F936" s="28"/>
      <c r="G936" s="28"/>
      <c r="H936" s="28"/>
      <c r="I936" s="28"/>
      <c r="J936" s="143"/>
      <c r="K936" s="28"/>
      <c r="L936" s="28"/>
      <c r="M936" s="28"/>
      <c r="N936" s="28"/>
      <c r="O936" s="28"/>
      <c r="P936" s="28"/>
      <c r="Q936" s="144"/>
      <c r="R936" s="144"/>
      <c r="S936" s="144"/>
      <c r="T936" s="145"/>
      <c r="U936" s="28"/>
      <c r="V936" s="30"/>
      <c r="W936" s="28"/>
      <c r="X936" s="28"/>
      <c r="Y936" s="28"/>
      <c r="Z936" s="28"/>
    </row>
    <row r="937" ht="13.5" customHeight="1">
      <c r="A937" s="28"/>
      <c r="B937" s="28"/>
      <c r="C937" s="28"/>
      <c r="D937" s="28"/>
      <c r="E937" s="28"/>
      <c r="F937" s="28"/>
      <c r="G937" s="28"/>
      <c r="H937" s="28"/>
      <c r="I937" s="28"/>
      <c r="J937" s="143"/>
      <c r="K937" s="28"/>
      <c r="L937" s="28"/>
      <c r="M937" s="28"/>
      <c r="N937" s="28"/>
      <c r="O937" s="28"/>
      <c r="P937" s="28"/>
      <c r="Q937" s="144"/>
      <c r="R937" s="144"/>
      <c r="S937" s="144"/>
      <c r="T937" s="145"/>
      <c r="U937" s="28"/>
      <c r="V937" s="30"/>
      <c r="W937" s="28"/>
      <c r="X937" s="28"/>
      <c r="Y937" s="28"/>
      <c r="Z937" s="28"/>
    </row>
    <row r="938" ht="13.5" customHeight="1">
      <c r="A938" s="28"/>
      <c r="B938" s="28"/>
      <c r="C938" s="28"/>
      <c r="D938" s="28"/>
      <c r="E938" s="28"/>
      <c r="F938" s="28"/>
      <c r="G938" s="28"/>
      <c r="H938" s="28"/>
      <c r="I938" s="28"/>
      <c r="J938" s="143"/>
      <c r="K938" s="28"/>
      <c r="L938" s="28"/>
      <c r="M938" s="28"/>
      <c r="N938" s="28"/>
      <c r="O938" s="28"/>
      <c r="P938" s="28"/>
      <c r="Q938" s="144"/>
      <c r="R938" s="144"/>
      <c r="S938" s="144"/>
      <c r="T938" s="145"/>
      <c r="U938" s="28"/>
      <c r="V938" s="30"/>
      <c r="W938" s="28"/>
      <c r="X938" s="28"/>
      <c r="Y938" s="28"/>
      <c r="Z938" s="28"/>
    </row>
    <row r="939" ht="13.5" customHeight="1">
      <c r="A939" s="28"/>
      <c r="B939" s="28"/>
      <c r="C939" s="28"/>
      <c r="D939" s="28"/>
      <c r="E939" s="28"/>
      <c r="F939" s="28"/>
      <c r="G939" s="28"/>
      <c r="H939" s="28"/>
      <c r="I939" s="28"/>
      <c r="J939" s="143"/>
      <c r="K939" s="28"/>
      <c r="L939" s="28"/>
      <c r="M939" s="28"/>
      <c r="N939" s="28"/>
      <c r="O939" s="28"/>
      <c r="P939" s="28"/>
      <c r="Q939" s="144"/>
      <c r="R939" s="144"/>
      <c r="S939" s="144"/>
      <c r="T939" s="145"/>
      <c r="U939" s="28"/>
      <c r="V939" s="30"/>
      <c r="W939" s="28"/>
      <c r="X939" s="28"/>
      <c r="Y939" s="28"/>
      <c r="Z939" s="28"/>
    </row>
    <row r="940" ht="13.5" customHeight="1">
      <c r="A940" s="28"/>
      <c r="B940" s="28"/>
      <c r="C940" s="28"/>
      <c r="D940" s="28"/>
      <c r="E940" s="28"/>
      <c r="F940" s="28"/>
      <c r="G940" s="28"/>
      <c r="H940" s="28"/>
      <c r="I940" s="28"/>
      <c r="J940" s="143"/>
      <c r="K940" s="28"/>
      <c r="L940" s="28"/>
      <c r="M940" s="28"/>
      <c r="N940" s="28"/>
      <c r="O940" s="28"/>
      <c r="P940" s="28"/>
      <c r="Q940" s="144"/>
      <c r="R940" s="144"/>
      <c r="S940" s="144"/>
      <c r="T940" s="145"/>
      <c r="U940" s="28"/>
      <c r="V940" s="30"/>
      <c r="W940" s="28"/>
      <c r="X940" s="28"/>
      <c r="Y940" s="28"/>
      <c r="Z940" s="28"/>
    </row>
    <row r="941" ht="13.5" customHeight="1">
      <c r="A941" s="28"/>
      <c r="B941" s="28"/>
      <c r="C941" s="28"/>
      <c r="D941" s="28"/>
      <c r="E941" s="28"/>
      <c r="F941" s="28"/>
      <c r="G941" s="28"/>
      <c r="H941" s="28"/>
      <c r="I941" s="28"/>
      <c r="J941" s="143"/>
      <c r="K941" s="28"/>
      <c r="L941" s="28"/>
      <c r="M941" s="28"/>
      <c r="N941" s="28"/>
      <c r="O941" s="28"/>
      <c r="P941" s="28"/>
      <c r="Q941" s="144"/>
      <c r="R941" s="144"/>
      <c r="S941" s="144"/>
      <c r="T941" s="145"/>
      <c r="U941" s="28"/>
      <c r="V941" s="30"/>
      <c r="W941" s="28"/>
      <c r="X941" s="28"/>
      <c r="Y941" s="28"/>
      <c r="Z941" s="28"/>
    </row>
    <row r="942" ht="13.5" customHeight="1">
      <c r="A942" s="28"/>
      <c r="B942" s="28"/>
      <c r="C942" s="28"/>
      <c r="D942" s="28"/>
      <c r="E942" s="28"/>
      <c r="F942" s="28"/>
      <c r="G942" s="28"/>
      <c r="H942" s="28"/>
      <c r="I942" s="28"/>
      <c r="J942" s="143"/>
      <c r="K942" s="28"/>
      <c r="L942" s="28"/>
      <c r="M942" s="28"/>
      <c r="N942" s="28"/>
      <c r="O942" s="28"/>
      <c r="P942" s="28"/>
      <c r="Q942" s="144"/>
      <c r="R942" s="144"/>
      <c r="S942" s="144"/>
      <c r="T942" s="145"/>
      <c r="U942" s="28"/>
      <c r="V942" s="30"/>
      <c r="W942" s="28"/>
      <c r="X942" s="28"/>
      <c r="Y942" s="28"/>
      <c r="Z942" s="28"/>
    </row>
    <row r="943" ht="13.5" customHeight="1">
      <c r="A943" s="28"/>
      <c r="B943" s="28"/>
      <c r="C943" s="28"/>
      <c r="D943" s="28"/>
      <c r="E943" s="28"/>
      <c r="F943" s="28"/>
      <c r="G943" s="28"/>
      <c r="H943" s="28"/>
      <c r="I943" s="28"/>
      <c r="J943" s="143"/>
      <c r="K943" s="28"/>
      <c r="L943" s="28"/>
      <c r="M943" s="28"/>
      <c r="N943" s="28"/>
      <c r="O943" s="28"/>
      <c r="P943" s="28"/>
      <c r="Q943" s="144"/>
      <c r="R943" s="144"/>
      <c r="S943" s="144"/>
      <c r="T943" s="145"/>
      <c r="U943" s="28"/>
      <c r="V943" s="30"/>
      <c r="W943" s="28"/>
      <c r="X943" s="28"/>
      <c r="Y943" s="28"/>
      <c r="Z943" s="28"/>
    </row>
    <row r="944" ht="13.5" customHeight="1">
      <c r="A944" s="28"/>
      <c r="B944" s="28"/>
      <c r="C944" s="28"/>
      <c r="D944" s="28"/>
      <c r="E944" s="28"/>
      <c r="F944" s="28"/>
      <c r="G944" s="28"/>
      <c r="H944" s="28"/>
      <c r="I944" s="28"/>
      <c r="J944" s="143"/>
      <c r="K944" s="28"/>
      <c r="L944" s="28"/>
      <c r="M944" s="28"/>
      <c r="N944" s="28"/>
      <c r="O944" s="28"/>
      <c r="P944" s="28"/>
      <c r="Q944" s="144"/>
      <c r="R944" s="144"/>
      <c r="S944" s="144"/>
      <c r="T944" s="145"/>
      <c r="U944" s="28"/>
      <c r="V944" s="30"/>
      <c r="W944" s="28"/>
      <c r="X944" s="28"/>
      <c r="Y944" s="28"/>
      <c r="Z944" s="28"/>
    </row>
    <row r="945" ht="13.5" customHeight="1">
      <c r="A945" s="28"/>
      <c r="B945" s="28"/>
      <c r="C945" s="28"/>
      <c r="D945" s="28"/>
      <c r="E945" s="28"/>
      <c r="F945" s="28"/>
      <c r="G945" s="28"/>
      <c r="H945" s="28"/>
      <c r="I945" s="28"/>
      <c r="J945" s="143"/>
      <c r="K945" s="28"/>
      <c r="L945" s="28"/>
      <c r="M945" s="28"/>
      <c r="N945" s="28"/>
      <c r="O945" s="28"/>
      <c r="P945" s="28"/>
      <c r="Q945" s="144"/>
      <c r="R945" s="144"/>
      <c r="S945" s="144"/>
      <c r="T945" s="145"/>
      <c r="U945" s="28"/>
      <c r="V945" s="30"/>
      <c r="W945" s="28"/>
      <c r="X945" s="28"/>
      <c r="Y945" s="28"/>
      <c r="Z945" s="28"/>
    </row>
    <row r="946" ht="13.5" customHeight="1">
      <c r="A946" s="28"/>
      <c r="B946" s="28"/>
      <c r="C946" s="28"/>
      <c r="D946" s="28"/>
      <c r="E946" s="28"/>
      <c r="F946" s="28"/>
      <c r="G946" s="28"/>
      <c r="H946" s="28"/>
      <c r="I946" s="28"/>
      <c r="J946" s="143"/>
      <c r="K946" s="28"/>
      <c r="L946" s="28"/>
      <c r="M946" s="28"/>
      <c r="N946" s="28"/>
      <c r="O946" s="28"/>
      <c r="P946" s="28"/>
      <c r="Q946" s="144"/>
      <c r="R946" s="144"/>
      <c r="S946" s="144"/>
      <c r="T946" s="145"/>
      <c r="U946" s="28"/>
      <c r="V946" s="30"/>
      <c r="W946" s="28"/>
      <c r="X946" s="28"/>
      <c r="Y946" s="28"/>
      <c r="Z946" s="28"/>
    </row>
    <row r="947" ht="13.5" customHeight="1">
      <c r="A947" s="28"/>
      <c r="B947" s="28"/>
      <c r="C947" s="28"/>
      <c r="D947" s="28"/>
      <c r="E947" s="28"/>
      <c r="F947" s="28"/>
      <c r="G947" s="28"/>
      <c r="H947" s="28"/>
      <c r="I947" s="28"/>
      <c r="J947" s="143"/>
      <c r="K947" s="28"/>
      <c r="L947" s="28"/>
      <c r="M947" s="28"/>
      <c r="N947" s="28"/>
      <c r="O947" s="28"/>
      <c r="P947" s="28"/>
      <c r="Q947" s="144"/>
      <c r="R947" s="144"/>
      <c r="S947" s="144"/>
      <c r="T947" s="145"/>
      <c r="U947" s="28"/>
      <c r="V947" s="30"/>
      <c r="W947" s="28"/>
      <c r="X947" s="28"/>
      <c r="Y947" s="28"/>
      <c r="Z947" s="28"/>
    </row>
    <row r="948" ht="13.5" customHeight="1">
      <c r="A948" s="28"/>
      <c r="B948" s="28"/>
      <c r="C948" s="28"/>
      <c r="D948" s="28"/>
      <c r="E948" s="28"/>
      <c r="F948" s="28"/>
      <c r="G948" s="28"/>
      <c r="H948" s="28"/>
      <c r="I948" s="28"/>
      <c r="J948" s="143"/>
      <c r="K948" s="28"/>
      <c r="L948" s="28"/>
      <c r="M948" s="28"/>
      <c r="N948" s="28"/>
      <c r="O948" s="28"/>
      <c r="P948" s="28"/>
      <c r="Q948" s="144"/>
      <c r="R948" s="144"/>
      <c r="S948" s="144"/>
      <c r="T948" s="145"/>
      <c r="U948" s="28"/>
      <c r="V948" s="30"/>
      <c r="W948" s="28"/>
      <c r="X948" s="28"/>
      <c r="Y948" s="28"/>
      <c r="Z948" s="28"/>
    </row>
    <row r="949" ht="13.5" customHeight="1">
      <c r="A949" s="28"/>
      <c r="B949" s="28"/>
      <c r="C949" s="28"/>
      <c r="D949" s="28"/>
      <c r="E949" s="28"/>
      <c r="F949" s="28"/>
      <c r="G949" s="28"/>
      <c r="H949" s="28"/>
      <c r="I949" s="28"/>
      <c r="J949" s="143"/>
      <c r="K949" s="28"/>
      <c r="L949" s="28"/>
      <c r="M949" s="28"/>
      <c r="N949" s="28"/>
      <c r="O949" s="28"/>
      <c r="P949" s="28"/>
      <c r="Q949" s="144"/>
      <c r="R949" s="144"/>
      <c r="S949" s="144"/>
      <c r="T949" s="145"/>
      <c r="U949" s="28"/>
      <c r="V949" s="30"/>
      <c r="W949" s="28"/>
      <c r="X949" s="28"/>
      <c r="Y949" s="28"/>
      <c r="Z949" s="28"/>
    </row>
    <row r="950" ht="13.5" customHeight="1">
      <c r="A950" s="28"/>
      <c r="B950" s="28"/>
      <c r="C950" s="28"/>
      <c r="D950" s="28"/>
      <c r="E950" s="28"/>
      <c r="F950" s="28"/>
      <c r="G950" s="28"/>
      <c r="H950" s="28"/>
      <c r="I950" s="28"/>
      <c r="J950" s="143"/>
      <c r="K950" s="28"/>
      <c r="L950" s="28"/>
      <c r="M950" s="28"/>
      <c r="N950" s="28"/>
      <c r="O950" s="28"/>
      <c r="P950" s="28"/>
      <c r="Q950" s="144"/>
      <c r="R950" s="144"/>
      <c r="S950" s="144"/>
      <c r="T950" s="145"/>
      <c r="U950" s="28"/>
      <c r="V950" s="30"/>
      <c r="W950" s="28"/>
      <c r="X950" s="28"/>
      <c r="Y950" s="28"/>
      <c r="Z950" s="28"/>
    </row>
    <row r="951" ht="13.5" customHeight="1">
      <c r="A951" s="28"/>
      <c r="B951" s="28"/>
      <c r="C951" s="28"/>
      <c r="D951" s="28"/>
      <c r="E951" s="28"/>
      <c r="F951" s="28"/>
      <c r="G951" s="28"/>
      <c r="H951" s="28"/>
      <c r="I951" s="28"/>
      <c r="J951" s="143"/>
      <c r="K951" s="28"/>
      <c r="L951" s="28"/>
      <c r="M951" s="28"/>
      <c r="N951" s="28"/>
      <c r="O951" s="28"/>
      <c r="P951" s="28"/>
      <c r="Q951" s="144"/>
      <c r="R951" s="144"/>
      <c r="S951" s="144"/>
      <c r="T951" s="145"/>
      <c r="U951" s="28"/>
      <c r="V951" s="30"/>
      <c r="W951" s="28"/>
      <c r="X951" s="28"/>
      <c r="Y951" s="28"/>
      <c r="Z951" s="28"/>
    </row>
    <row r="952" ht="13.5" customHeight="1">
      <c r="A952" s="28"/>
      <c r="B952" s="28"/>
      <c r="C952" s="28"/>
      <c r="D952" s="28"/>
      <c r="E952" s="28"/>
      <c r="F952" s="28"/>
      <c r="G952" s="28"/>
      <c r="H952" s="28"/>
      <c r="I952" s="28"/>
      <c r="J952" s="143"/>
      <c r="K952" s="28"/>
      <c r="L952" s="28"/>
      <c r="M952" s="28"/>
      <c r="N952" s="28"/>
      <c r="O952" s="28"/>
      <c r="P952" s="28"/>
      <c r="Q952" s="144"/>
      <c r="R952" s="144"/>
      <c r="S952" s="144"/>
      <c r="T952" s="145"/>
      <c r="U952" s="28"/>
      <c r="V952" s="30"/>
      <c r="W952" s="28"/>
      <c r="X952" s="28"/>
      <c r="Y952" s="28"/>
      <c r="Z952" s="28"/>
    </row>
    <row r="953" ht="13.5" customHeight="1">
      <c r="A953" s="28"/>
      <c r="B953" s="28"/>
      <c r="C953" s="28"/>
      <c r="D953" s="28"/>
      <c r="E953" s="28"/>
      <c r="F953" s="28"/>
      <c r="G953" s="28"/>
      <c r="H953" s="28"/>
      <c r="I953" s="28"/>
      <c r="J953" s="143"/>
      <c r="K953" s="28"/>
      <c r="L953" s="28"/>
      <c r="M953" s="28"/>
      <c r="N953" s="28"/>
      <c r="O953" s="28"/>
      <c r="P953" s="28"/>
      <c r="Q953" s="144"/>
      <c r="R953" s="144"/>
      <c r="S953" s="144"/>
      <c r="T953" s="145"/>
      <c r="U953" s="28"/>
      <c r="V953" s="30"/>
      <c r="W953" s="28"/>
      <c r="X953" s="28"/>
      <c r="Y953" s="28"/>
      <c r="Z953" s="28"/>
    </row>
    <row r="954" ht="13.5" customHeight="1">
      <c r="A954" s="28"/>
      <c r="B954" s="28"/>
      <c r="C954" s="28"/>
      <c r="D954" s="28"/>
      <c r="E954" s="28"/>
      <c r="F954" s="28"/>
      <c r="G954" s="28"/>
      <c r="H954" s="28"/>
      <c r="I954" s="28"/>
      <c r="J954" s="143"/>
      <c r="K954" s="28"/>
      <c r="L954" s="28"/>
      <c r="M954" s="28"/>
      <c r="N954" s="28"/>
      <c r="O954" s="28"/>
      <c r="P954" s="28"/>
      <c r="Q954" s="144"/>
      <c r="R954" s="144"/>
      <c r="S954" s="144"/>
      <c r="T954" s="145"/>
      <c r="U954" s="28"/>
      <c r="V954" s="30"/>
      <c r="W954" s="28"/>
      <c r="X954" s="28"/>
      <c r="Y954" s="28"/>
      <c r="Z954" s="28"/>
    </row>
    <row r="955" ht="13.5" customHeight="1">
      <c r="A955" s="28"/>
      <c r="B955" s="28"/>
      <c r="C955" s="28"/>
      <c r="D955" s="28"/>
      <c r="E955" s="28"/>
      <c r="F955" s="28"/>
      <c r="G955" s="28"/>
      <c r="H955" s="28"/>
      <c r="I955" s="28"/>
      <c r="J955" s="143"/>
      <c r="K955" s="28"/>
      <c r="L955" s="28"/>
      <c r="M955" s="28"/>
      <c r="N955" s="28"/>
      <c r="O955" s="28"/>
      <c r="P955" s="28"/>
      <c r="Q955" s="144"/>
      <c r="R955" s="144"/>
      <c r="S955" s="144"/>
      <c r="T955" s="145"/>
      <c r="U955" s="28"/>
      <c r="V955" s="30"/>
      <c r="W955" s="28"/>
      <c r="X955" s="28"/>
      <c r="Y955" s="28"/>
      <c r="Z955" s="28"/>
    </row>
    <row r="956" ht="13.5" customHeight="1">
      <c r="A956" s="28"/>
      <c r="B956" s="28"/>
      <c r="C956" s="28"/>
      <c r="D956" s="28"/>
      <c r="E956" s="28"/>
      <c r="F956" s="28"/>
      <c r="G956" s="28"/>
      <c r="H956" s="28"/>
      <c r="I956" s="28"/>
      <c r="J956" s="143"/>
      <c r="K956" s="28"/>
      <c r="L956" s="28"/>
      <c r="M956" s="28"/>
      <c r="N956" s="28"/>
      <c r="O956" s="28"/>
      <c r="P956" s="28"/>
      <c r="Q956" s="144"/>
      <c r="R956" s="144"/>
      <c r="S956" s="144"/>
      <c r="T956" s="145"/>
      <c r="U956" s="28"/>
      <c r="V956" s="30"/>
      <c r="W956" s="28"/>
      <c r="X956" s="28"/>
      <c r="Y956" s="28"/>
      <c r="Z956" s="28"/>
    </row>
    <row r="957" ht="13.5" customHeight="1">
      <c r="A957" s="28"/>
      <c r="B957" s="28"/>
      <c r="C957" s="28"/>
      <c r="D957" s="28"/>
      <c r="E957" s="28"/>
      <c r="F957" s="28"/>
      <c r="G957" s="28"/>
      <c r="H957" s="28"/>
      <c r="I957" s="28"/>
      <c r="J957" s="143"/>
      <c r="K957" s="28"/>
      <c r="L957" s="28"/>
      <c r="M957" s="28"/>
      <c r="N957" s="28"/>
      <c r="O957" s="28"/>
      <c r="P957" s="28"/>
      <c r="Q957" s="144"/>
      <c r="R957" s="144"/>
      <c r="S957" s="144"/>
      <c r="T957" s="145"/>
      <c r="U957" s="28"/>
      <c r="V957" s="30"/>
      <c r="W957" s="28"/>
      <c r="X957" s="28"/>
      <c r="Y957" s="28"/>
      <c r="Z957" s="28"/>
    </row>
    <row r="958" ht="13.5" customHeight="1">
      <c r="A958" s="28"/>
      <c r="B958" s="28"/>
      <c r="C958" s="28"/>
      <c r="D958" s="28"/>
      <c r="E958" s="28"/>
      <c r="F958" s="28"/>
      <c r="G958" s="28"/>
      <c r="H958" s="28"/>
      <c r="I958" s="28"/>
      <c r="J958" s="143"/>
      <c r="K958" s="28"/>
      <c r="L958" s="28"/>
      <c r="M958" s="28"/>
      <c r="N958" s="28"/>
      <c r="O958" s="28"/>
      <c r="P958" s="28"/>
      <c r="Q958" s="144"/>
      <c r="R958" s="144"/>
      <c r="S958" s="144"/>
      <c r="T958" s="145"/>
      <c r="U958" s="28"/>
      <c r="V958" s="30"/>
      <c r="W958" s="28"/>
      <c r="X958" s="28"/>
      <c r="Y958" s="28"/>
      <c r="Z958" s="28"/>
    </row>
    <row r="959" ht="13.5" customHeight="1">
      <c r="A959" s="28"/>
      <c r="B959" s="28"/>
      <c r="C959" s="28"/>
      <c r="D959" s="28"/>
      <c r="E959" s="28"/>
      <c r="F959" s="28"/>
      <c r="G959" s="28"/>
      <c r="H959" s="28"/>
      <c r="I959" s="28"/>
      <c r="J959" s="143"/>
      <c r="K959" s="28"/>
      <c r="L959" s="28"/>
      <c r="M959" s="28"/>
      <c r="N959" s="28"/>
      <c r="O959" s="28"/>
      <c r="P959" s="28"/>
      <c r="Q959" s="144"/>
      <c r="R959" s="144"/>
      <c r="S959" s="144"/>
      <c r="T959" s="145"/>
      <c r="U959" s="28"/>
      <c r="V959" s="30"/>
      <c r="W959" s="28"/>
      <c r="X959" s="28"/>
      <c r="Y959" s="28"/>
      <c r="Z959" s="28"/>
    </row>
    <row r="960" ht="13.5" customHeight="1">
      <c r="A960" s="28"/>
      <c r="B960" s="28"/>
      <c r="C960" s="28"/>
      <c r="D960" s="28"/>
      <c r="E960" s="28"/>
      <c r="F960" s="28"/>
      <c r="G960" s="28"/>
      <c r="H960" s="28"/>
      <c r="I960" s="28"/>
      <c r="J960" s="143"/>
      <c r="K960" s="28"/>
      <c r="L960" s="28"/>
      <c r="M960" s="28"/>
      <c r="N960" s="28"/>
      <c r="O960" s="28"/>
      <c r="P960" s="28"/>
      <c r="Q960" s="144"/>
      <c r="R960" s="144"/>
      <c r="S960" s="144"/>
      <c r="T960" s="145"/>
      <c r="U960" s="28"/>
      <c r="V960" s="30"/>
      <c r="W960" s="28"/>
      <c r="X960" s="28"/>
      <c r="Y960" s="28"/>
      <c r="Z960" s="28"/>
    </row>
    <row r="961" ht="13.5" customHeight="1">
      <c r="A961" s="28"/>
      <c r="B961" s="28"/>
      <c r="C961" s="28"/>
      <c r="D961" s="28"/>
      <c r="E961" s="28"/>
      <c r="F961" s="28"/>
      <c r="G961" s="28"/>
      <c r="H961" s="28"/>
      <c r="I961" s="28"/>
      <c r="J961" s="143"/>
      <c r="K961" s="28"/>
      <c r="L961" s="28"/>
      <c r="M961" s="28"/>
      <c r="N961" s="28"/>
      <c r="O961" s="28"/>
      <c r="P961" s="28"/>
      <c r="Q961" s="144"/>
      <c r="R961" s="144"/>
      <c r="S961" s="144"/>
      <c r="T961" s="145"/>
      <c r="U961" s="28"/>
      <c r="V961" s="30"/>
      <c r="W961" s="28"/>
      <c r="X961" s="28"/>
      <c r="Y961" s="28"/>
      <c r="Z961" s="28"/>
    </row>
    <row r="962" ht="13.5" customHeight="1">
      <c r="A962" s="28"/>
      <c r="B962" s="28"/>
      <c r="C962" s="28"/>
      <c r="D962" s="28"/>
      <c r="E962" s="28"/>
      <c r="F962" s="28"/>
      <c r="G962" s="28"/>
      <c r="H962" s="28"/>
      <c r="I962" s="28"/>
      <c r="J962" s="143"/>
      <c r="K962" s="28"/>
      <c r="L962" s="28"/>
      <c r="M962" s="28"/>
      <c r="N962" s="28"/>
      <c r="O962" s="28"/>
      <c r="P962" s="28"/>
      <c r="Q962" s="144"/>
      <c r="R962" s="144"/>
      <c r="S962" s="144"/>
      <c r="T962" s="145"/>
      <c r="U962" s="28"/>
      <c r="V962" s="30"/>
      <c r="W962" s="28"/>
      <c r="X962" s="28"/>
      <c r="Y962" s="28"/>
      <c r="Z962" s="28"/>
    </row>
    <row r="963" ht="13.5" customHeight="1">
      <c r="A963" s="28"/>
      <c r="B963" s="28"/>
      <c r="C963" s="28"/>
      <c r="D963" s="28"/>
      <c r="E963" s="28"/>
      <c r="F963" s="28"/>
      <c r="G963" s="28"/>
      <c r="H963" s="28"/>
      <c r="I963" s="28"/>
      <c r="J963" s="143"/>
      <c r="K963" s="28"/>
      <c r="L963" s="28"/>
      <c r="M963" s="28"/>
      <c r="N963" s="28"/>
      <c r="O963" s="28"/>
      <c r="P963" s="28"/>
      <c r="Q963" s="144"/>
      <c r="R963" s="144"/>
      <c r="S963" s="144"/>
      <c r="T963" s="145"/>
      <c r="U963" s="28"/>
      <c r="V963" s="30"/>
      <c r="W963" s="28"/>
      <c r="X963" s="28"/>
      <c r="Y963" s="28"/>
      <c r="Z963" s="28"/>
    </row>
    <row r="964" ht="13.5" customHeight="1">
      <c r="A964" s="28"/>
      <c r="B964" s="28"/>
      <c r="C964" s="28"/>
      <c r="D964" s="28"/>
      <c r="E964" s="28"/>
      <c r="F964" s="28"/>
      <c r="G964" s="28"/>
      <c r="H964" s="28"/>
      <c r="I964" s="28"/>
      <c r="J964" s="143"/>
      <c r="K964" s="28"/>
      <c r="L964" s="28"/>
      <c r="M964" s="28"/>
      <c r="N964" s="28"/>
      <c r="O964" s="28"/>
      <c r="P964" s="28"/>
      <c r="Q964" s="144"/>
      <c r="R964" s="144"/>
      <c r="S964" s="144"/>
      <c r="T964" s="145"/>
      <c r="U964" s="28"/>
      <c r="V964" s="30"/>
      <c r="W964" s="28"/>
      <c r="X964" s="28"/>
      <c r="Y964" s="28"/>
      <c r="Z964" s="28"/>
    </row>
    <row r="965" ht="13.5" customHeight="1">
      <c r="A965" s="28"/>
      <c r="B965" s="28"/>
      <c r="C965" s="28"/>
      <c r="D965" s="28"/>
      <c r="E965" s="28"/>
      <c r="F965" s="28"/>
      <c r="G965" s="28"/>
      <c r="H965" s="28"/>
      <c r="I965" s="28"/>
      <c r="J965" s="143"/>
      <c r="K965" s="28"/>
      <c r="L965" s="28"/>
      <c r="M965" s="28"/>
      <c r="N965" s="28"/>
      <c r="O965" s="28"/>
      <c r="P965" s="28"/>
      <c r="Q965" s="144"/>
      <c r="R965" s="144"/>
      <c r="S965" s="144"/>
      <c r="T965" s="145"/>
      <c r="U965" s="28"/>
      <c r="V965" s="30"/>
      <c r="W965" s="28"/>
      <c r="X965" s="28"/>
      <c r="Y965" s="28"/>
      <c r="Z965" s="28"/>
    </row>
    <row r="966" ht="13.5" customHeight="1">
      <c r="A966" s="28"/>
      <c r="B966" s="28"/>
      <c r="C966" s="28"/>
      <c r="D966" s="28"/>
      <c r="E966" s="28"/>
      <c r="F966" s="28"/>
      <c r="G966" s="28"/>
      <c r="H966" s="28"/>
      <c r="I966" s="28"/>
      <c r="J966" s="143"/>
      <c r="K966" s="28"/>
      <c r="L966" s="28"/>
      <c r="M966" s="28"/>
      <c r="N966" s="28"/>
      <c r="O966" s="28"/>
      <c r="P966" s="28"/>
      <c r="Q966" s="144"/>
      <c r="R966" s="144"/>
      <c r="S966" s="144"/>
      <c r="T966" s="145"/>
      <c r="U966" s="28"/>
      <c r="V966" s="30"/>
      <c r="W966" s="28"/>
      <c r="X966" s="28"/>
      <c r="Y966" s="28"/>
      <c r="Z966" s="28"/>
    </row>
    <row r="967" ht="13.5" customHeight="1">
      <c r="A967" s="28"/>
      <c r="B967" s="28"/>
      <c r="C967" s="28"/>
      <c r="D967" s="28"/>
      <c r="E967" s="28"/>
      <c r="F967" s="28"/>
      <c r="G967" s="28"/>
      <c r="H967" s="28"/>
      <c r="I967" s="28"/>
      <c r="J967" s="143"/>
      <c r="K967" s="28"/>
      <c r="L967" s="28"/>
      <c r="M967" s="28"/>
      <c r="N967" s="28"/>
      <c r="O967" s="28"/>
      <c r="P967" s="28"/>
      <c r="Q967" s="144"/>
      <c r="R967" s="144"/>
      <c r="S967" s="144"/>
      <c r="T967" s="145"/>
      <c r="U967" s="28"/>
      <c r="V967" s="30"/>
      <c r="W967" s="28"/>
      <c r="X967" s="28"/>
      <c r="Y967" s="28"/>
      <c r="Z967" s="28"/>
    </row>
    <row r="968" ht="13.5" customHeight="1">
      <c r="A968" s="28"/>
      <c r="B968" s="28"/>
      <c r="C968" s="28"/>
      <c r="D968" s="28"/>
      <c r="E968" s="28"/>
      <c r="F968" s="28"/>
      <c r="G968" s="28"/>
      <c r="H968" s="28"/>
      <c r="I968" s="28"/>
      <c r="J968" s="143"/>
      <c r="K968" s="28"/>
      <c r="L968" s="28"/>
      <c r="M968" s="28"/>
      <c r="N968" s="28"/>
      <c r="O968" s="28"/>
      <c r="P968" s="28"/>
      <c r="Q968" s="144"/>
      <c r="R968" s="144"/>
      <c r="S968" s="144"/>
      <c r="T968" s="145"/>
      <c r="U968" s="28"/>
      <c r="V968" s="30"/>
      <c r="W968" s="28"/>
      <c r="X968" s="28"/>
      <c r="Y968" s="28"/>
      <c r="Z968" s="28"/>
    </row>
    <row r="969" ht="13.5" customHeight="1">
      <c r="A969" s="28"/>
      <c r="B969" s="28"/>
      <c r="C969" s="28"/>
      <c r="D969" s="28"/>
      <c r="E969" s="28"/>
      <c r="F969" s="28"/>
      <c r="G969" s="28"/>
      <c r="H969" s="28"/>
      <c r="I969" s="28"/>
      <c r="J969" s="143"/>
      <c r="K969" s="28"/>
      <c r="L969" s="28"/>
      <c r="M969" s="28"/>
      <c r="N969" s="28"/>
      <c r="O969" s="28"/>
      <c r="P969" s="28"/>
      <c r="Q969" s="144"/>
      <c r="R969" s="144"/>
      <c r="S969" s="144"/>
      <c r="T969" s="145"/>
      <c r="U969" s="28"/>
      <c r="V969" s="30"/>
      <c r="W969" s="28"/>
      <c r="X969" s="28"/>
      <c r="Y969" s="28"/>
      <c r="Z969" s="28"/>
    </row>
    <row r="970" ht="13.5" customHeight="1">
      <c r="A970" s="28"/>
      <c r="B970" s="28"/>
      <c r="C970" s="28"/>
      <c r="D970" s="28"/>
      <c r="E970" s="28"/>
      <c r="F970" s="28"/>
      <c r="G970" s="28"/>
      <c r="H970" s="28"/>
      <c r="I970" s="28"/>
      <c r="J970" s="143"/>
      <c r="K970" s="28"/>
      <c r="L970" s="28"/>
      <c r="M970" s="28"/>
      <c r="N970" s="28"/>
      <c r="O970" s="28"/>
      <c r="P970" s="28"/>
      <c r="Q970" s="144"/>
      <c r="R970" s="144"/>
      <c r="S970" s="144"/>
      <c r="T970" s="145"/>
      <c r="U970" s="28"/>
      <c r="V970" s="30"/>
      <c r="W970" s="28"/>
      <c r="X970" s="28"/>
      <c r="Y970" s="28"/>
      <c r="Z970" s="28"/>
    </row>
    <row r="971" ht="13.5" customHeight="1">
      <c r="A971" s="28"/>
      <c r="B971" s="28"/>
      <c r="C971" s="28"/>
      <c r="D971" s="28"/>
      <c r="E971" s="28"/>
      <c r="F971" s="28"/>
      <c r="G971" s="28"/>
      <c r="H971" s="28"/>
      <c r="I971" s="28"/>
      <c r="J971" s="143"/>
      <c r="K971" s="28"/>
      <c r="L971" s="28"/>
      <c r="M971" s="28"/>
      <c r="N971" s="28"/>
      <c r="O971" s="28"/>
      <c r="P971" s="28"/>
      <c r="Q971" s="144"/>
      <c r="R971" s="144"/>
      <c r="S971" s="144"/>
      <c r="T971" s="145"/>
      <c r="U971" s="28"/>
      <c r="V971" s="30"/>
      <c r="W971" s="28"/>
      <c r="X971" s="28"/>
      <c r="Y971" s="28"/>
      <c r="Z971" s="28"/>
    </row>
    <row r="972" ht="13.5" customHeight="1">
      <c r="A972" s="28"/>
      <c r="B972" s="28"/>
      <c r="C972" s="28"/>
      <c r="D972" s="28"/>
      <c r="E972" s="28"/>
      <c r="F972" s="28"/>
      <c r="G972" s="28"/>
      <c r="H972" s="28"/>
      <c r="I972" s="28"/>
      <c r="J972" s="143"/>
      <c r="K972" s="28"/>
      <c r="L972" s="28"/>
      <c r="M972" s="28"/>
      <c r="N972" s="28"/>
      <c r="O972" s="28"/>
      <c r="P972" s="28"/>
      <c r="Q972" s="144"/>
      <c r="R972" s="144"/>
      <c r="S972" s="144"/>
      <c r="T972" s="145"/>
      <c r="U972" s="28"/>
      <c r="V972" s="30"/>
      <c r="W972" s="28"/>
      <c r="X972" s="28"/>
      <c r="Y972" s="28"/>
      <c r="Z972" s="28"/>
    </row>
    <row r="973" ht="13.5" customHeight="1">
      <c r="A973" s="28"/>
      <c r="B973" s="28"/>
      <c r="C973" s="28"/>
      <c r="D973" s="28"/>
      <c r="E973" s="28"/>
      <c r="F973" s="28"/>
      <c r="G973" s="28"/>
      <c r="H973" s="28"/>
      <c r="I973" s="28"/>
      <c r="J973" s="143"/>
      <c r="K973" s="28"/>
      <c r="L973" s="28"/>
      <c r="M973" s="28"/>
      <c r="N973" s="28"/>
      <c r="O973" s="28"/>
      <c r="P973" s="28"/>
      <c r="Q973" s="144"/>
      <c r="R973" s="144"/>
      <c r="S973" s="144"/>
      <c r="T973" s="145"/>
      <c r="U973" s="28"/>
      <c r="V973" s="30"/>
      <c r="W973" s="28"/>
      <c r="X973" s="28"/>
      <c r="Y973" s="28"/>
      <c r="Z973" s="28"/>
    </row>
    <row r="974" ht="13.5" customHeight="1">
      <c r="A974" s="28"/>
      <c r="B974" s="28"/>
      <c r="C974" s="28"/>
      <c r="D974" s="28"/>
      <c r="E974" s="28"/>
      <c r="F974" s="28"/>
      <c r="G974" s="28"/>
      <c r="H974" s="28"/>
      <c r="I974" s="28"/>
      <c r="J974" s="143"/>
      <c r="K974" s="28"/>
      <c r="L974" s="28"/>
      <c r="M974" s="28"/>
      <c r="N974" s="28"/>
      <c r="O974" s="28"/>
      <c r="P974" s="28"/>
      <c r="Q974" s="144"/>
      <c r="R974" s="144"/>
      <c r="S974" s="144"/>
      <c r="T974" s="145"/>
      <c r="U974" s="28"/>
      <c r="V974" s="30"/>
      <c r="W974" s="28"/>
      <c r="X974" s="28"/>
      <c r="Y974" s="28"/>
      <c r="Z974" s="28"/>
    </row>
    <row r="975" ht="13.5" customHeight="1">
      <c r="A975" s="28"/>
      <c r="B975" s="28"/>
      <c r="C975" s="28"/>
      <c r="D975" s="28"/>
      <c r="E975" s="28"/>
      <c r="F975" s="28"/>
      <c r="G975" s="28"/>
      <c r="H975" s="28"/>
      <c r="I975" s="28"/>
      <c r="J975" s="143"/>
      <c r="K975" s="28"/>
      <c r="L975" s="28"/>
      <c r="M975" s="28"/>
      <c r="N975" s="28"/>
      <c r="O975" s="28"/>
      <c r="P975" s="28"/>
      <c r="Q975" s="144"/>
      <c r="R975" s="144"/>
      <c r="S975" s="144"/>
      <c r="T975" s="145"/>
      <c r="U975" s="28"/>
      <c r="V975" s="30"/>
      <c r="W975" s="28"/>
      <c r="X975" s="28"/>
      <c r="Y975" s="28"/>
      <c r="Z975" s="28"/>
    </row>
    <row r="976" ht="13.5" customHeight="1">
      <c r="A976" s="28"/>
      <c r="B976" s="28"/>
      <c r="C976" s="28"/>
      <c r="D976" s="28"/>
      <c r="E976" s="28"/>
      <c r="F976" s="28"/>
      <c r="G976" s="28"/>
      <c r="H976" s="28"/>
      <c r="I976" s="28"/>
      <c r="J976" s="143"/>
      <c r="K976" s="28"/>
      <c r="L976" s="28"/>
      <c r="M976" s="28"/>
      <c r="N976" s="28"/>
      <c r="O976" s="28"/>
      <c r="P976" s="28"/>
      <c r="Q976" s="144"/>
      <c r="R976" s="144"/>
      <c r="S976" s="144"/>
      <c r="T976" s="145"/>
      <c r="U976" s="28"/>
      <c r="V976" s="30"/>
      <c r="W976" s="28"/>
      <c r="X976" s="28"/>
      <c r="Y976" s="28"/>
      <c r="Z976" s="28"/>
    </row>
    <row r="977" ht="13.5" customHeight="1">
      <c r="A977" s="28"/>
      <c r="B977" s="28"/>
      <c r="C977" s="28"/>
      <c r="D977" s="28"/>
      <c r="E977" s="28"/>
      <c r="F977" s="28"/>
      <c r="G977" s="28"/>
      <c r="H977" s="28"/>
      <c r="I977" s="28"/>
      <c r="J977" s="143"/>
      <c r="K977" s="28"/>
      <c r="L977" s="28"/>
      <c r="M977" s="28"/>
      <c r="N977" s="28"/>
      <c r="O977" s="28"/>
      <c r="P977" s="28"/>
      <c r="Q977" s="144"/>
      <c r="R977" s="144"/>
      <c r="S977" s="144"/>
      <c r="T977" s="145"/>
      <c r="U977" s="28"/>
      <c r="V977" s="30"/>
      <c r="W977" s="28"/>
      <c r="X977" s="28"/>
      <c r="Y977" s="28"/>
      <c r="Z977" s="28"/>
    </row>
    <row r="978" ht="13.5" customHeight="1">
      <c r="A978" s="28"/>
      <c r="B978" s="28"/>
      <c r="C978" s="28"/>
      <c r="D978" s="28"/>
      <c r="E978" s="28"/>
      <c r="F978" s="28"/>
      <c r="G978" s="28"/>
      <c r="H978" s="28"/>
      <c r="I978" s="28"/>
      <c r="J978" s="143"/>
      <c r="K978" s="28"/>
      <c r="L978" s="28"/>
      <c r="M978" s="28"/>
      <c r="N978" s="28"/>
      <c r="O978" s="28"/>
      <c r="P978" s="28"/>
      <c r="Q978" s="144"/>
      <c r="R978" s="144"/>
      <c r="S978" s="144"/>
      <c r="T978" s="145"/>
      <c r="U978" s="28"/>
      <c r="V978" s="30"/>
      <c r="W978" s="28"/>
      <c r="X978" s="28"/>
      <c r="Y978" s="28"/>
      <c r="Z978" s="28"/>
    </row>
    <row r="979" ht="13.5" customHeight="1">
      <c r="A979" s="28"/>
      <c r="B979" s="28"/>
      <c r="C979" s="28"/>
      <c r="D979" s="28"/>
      <c r="E979" s="28"/>
      <c r="F979" s="28"/>
      <c r="G979" s="28"/>
      <c r="H979" s="28"/>
      <c r="I979" s="28"/>
      <c r="J979" s="143"/>
      <c r="K979" s="28"/>
      <c r="L979" s="28"/>
      <c r="M979" s="28"/>
      <c r="N979" s="28"/>
      <c r="O979" s="28"/>
      <c r="P979" s="28"/>
      <c r="Q979" s="144"/>
      <c r="R979" s="144"/>
      <c r="S979" s="144"/>
      <c r="T979" s="145"/>
      <c r="U979" s="28"/>
      <c r="V979" s="30"/>
      <c r="W979" s="28"/>
      <c r="X979" s="28"/>
      <c r="Y979" s="28"/>
      <c r="Z979" s="28"/>
    </row>
    <row r="980" ht="13.5" customHeight="1">
      <c r="A980" s="28"/>
      <c r="B980" s="28"/>
      <c r="C980" s="28"/>
      <c r="D980" s="28"/>
      <c r="E980" s="28"/>
      <c r="F980" s="28"/>
      <c r="G980" s="28"/>
      <c r="H980" s="28"/>
      <c r="I980" s="28"/>
      <c r="J980" s="143"/>
      <c r="K980" s="28"/>
      <c r="L980" s="28"/>
      <c r="M980" s="28"/>
      <c r="N980" s="28"/>
      <c r="O980" s="28"/>
      <c r="P980" s="28"/>
      <c r="Q980" s="144"/>
      <c r="R980" s="144"/>
      <c r="S980" s="144"/>
      <c r="T980" s="145"/>
      <c r="U980" s="28"/>
      <c r="V980" s="30"/>
      <c r="W980" s="28"/>
      <c r="X980" s="28"/>
      <c r="Y980" s="28"/>
      <c r="Z980" s="28"/>
    </row>
    <row r="981" ht="13.5" customHeight="1">
      <c r="A981" s="28"/>
      <c r="B981" s="28"/>
      <c r="C981" s="28"/>
      <c r="D981" s="28"/>
      <c r="E981" s="28"/>
      <c r="F981" s="28"/>
      <c r="G981" s="28"/>
      <c r="H981" s="28"/>
      <c r="I981" s="28"/>
      <c r="J981" s="143"/>
      <c r="K981" s="28"/>
      <c r="L981" s="28"/>
      <c r="M981" s="28"/>
      <c r="N981" s="28"/>
      <c r="O981" s="28"/>
      <c r="P981" s="28"/>
      <c r="Q981" s="144"/>
      <c r="R981" s="144"/>
      <c r="S981" s="144"/>
      <c r="T981" s="145"/>
      <c r="U981" s="28"/>
      <c r="V981" s="30"/>
      <c r="W981" s="28"/>
      <c r="X981" s="28"/>
      <c r="Y981" s="28"/>
      <c r="Z981" s="28"/>
    </row>
    <row r="982" ht="13.5" customHeight="1">
      <c r="A982" s="28"/>
      <c r="B982" s="28"/>
      <c r="C982" s="28"/>
      <c r="D982" s="28"/>
      <c r="E982" s="28"/>
      <c r="F982" s="28"/>
      <c r="G982" s="28"/>
      <c r="H982" s="28"/>
      <c r="I982" s="28"/>
      <c r="J982" s="143"/>
      <c r="K982" s="28"/>
      <c r="L982" s="28"/>
      <c r="M982" s="28"/>
      <c r="N982" s="28"/>
      <c r="O982" s="28"/>
      <c r="P982" s="28"/>
      <c r="Q982" s="144"/>
      <c r="R982" s="144"/>
      <c r="S982" s="144"/>
      <c r="T982" s="145"/>
      <c r="U982" s="28"/>
      <c r="V982" s="30"/>
      <c r="W982" s="28"/>
      <c r="X982" s="28"/>
      <c r="Y982" s="28"/>
      <c r="Z982" s="28"/>
    </row>
    <row r="983" ht="13.5" customHeight="1">
      <c r="A983" s="28"/>
      <c r="B983" s="28"/>
      <c r="C983" s="28"/>
      <c r="D983" s="28"/>
      <c r="E983" s="28"/>
      <c r="F983" s="28"/>
      <c r="G983" s="28"/>
      <c r="H983" s="28"/>
      <c r="I983" s="28"/>
      <c r="J983" s="143"/>
      <c r="K983" s="28"/>
      <c r="L983" s="28"/>
      <c r="M983" s="28"/>
      <c r="N983" s="28"/>
      <c r="O983" s="28"/>
      <c r="P983" s="28"/>
      <c r="Q983" s="144"/>
      <c r="R983" s="144"/>
      <c r="S983" s="144"/>
      <c r="T983" s="145"/>
      <c r="U983" s="28"/>
      <c r="V983" s="30"/>
      <c r="W983" s="28"/>
      <c r="X983" s="28"/>
      <c r="Y983" s="28"/>
      <c r="Z983" s="28"/>
    </row>
    <row r="984" ht="13.5" customHeight="1">
      <c r="A984" s="28"/>
      <c r="B984" s="28"/>
      <c r="C984" s="28"/>
      <c r="D984" s="28"/>
      <c r="E984" s="28"/>
      <c r="F984" s="28"/>
      <c r="G984" s="28"/>
      <c r="H984" s="28"/>
      <c r="I984" s="28"/>
      <c r="J984" s="143"/>
      <c r="K984" s="28"/>
      <c r="L984" s="28"/>
      <c r="M984" s="28"/>
      <c r="N984" s="28"/>
      <c r="O984" s="28"/>
      <c r="P984" s="28"/>
      <c r="Q984" s="144"/>
      <c r="R984" s="144"/>
      <c r="S984" s="144"/>
      <c r="T984" s="145"/>
      <c r="U984" s="28"/>
      <c r="V984" s="30"/>
      <c r="W984" s="28"/>
      <c r="X984" s="28"/>
      <c r="Y984" s="28"/>
      <c r="Z984" s="28"/>
    </row>
    <row r="985" ht="13.5" customHeight="1">
      <c r="A985" s="28"/>
      <c r="B985" s="28"/>
      <c r="C985" s="28"/>
      <c r="D985" s="28"/>
      <c r="E985" s="28"/>
      <c r="F985" s="28"/>
      <c r="G985" s="28"/>
      <c r="H985" s="28"/>
      <c r="I985" s="28"/>
      <c r="J985" s="143"/>
      <c r="K985" s="28"/>
      <c r="L985" s="28"/>
      <c r="M985" s="28"/>
      <c r="N985" s="28"/>
      <c r="O985" s="28"/>
      <c r="P985" s="28"/>
      <c r="Q985" s="144"/>
      <c r="R985" s="144"/>
      <c r="S985" s="144"/>
      <c r="T985" s="145"/>
      <c r="U985" s="28"/>
      <c r="V985" s="30"/>
      <c r="W985" s="28"/>
      <c r="X985" s="28"/>
      <c r="Y985" s="28"/>
      <c r="Z985" s="28"/>
    </row>
    <row r="986" ht="13.5" customHeight="1">
      <c r="A986" s="28"/>
      <c r="B986" s="28"/>
      <c r="C986" s="28"/>
      <c r="D986" s="28"/>
      <c r="E986" s="28"/>
      <c r="F986" s="28"/>
      <c r="G986" s="28"/>
      <c r="H986" s="28"/>
      <c r="I986" s="28"/>
      <c r="J986" s="143"/>
      <c r="K986" s="28"/>
      <c r="L986" s="28"/>
      <c r="M986" s="28"/>
      <c r="N986" s="28"/>
      <c r="O986" s="28"/>
      <c r="P986" s="28"/>
      <c r="Q986" s="144"/>
      <c r="R986" s="144"/>
      <c r="S986" s="144"/>
      <c r="T986" s="145"/>
      <c r="U986" s="28"/>
      <c r="V986" s="30"/>
      <c r="W986" s="28"/>
      <c r="X986" s="28"/>
      <c r="Y986" s="28"/>
      <c r="Z986" s="28"/>
    </row>
    <row r="987" ht="13.5" customHeight="1">
      <c r="A987" s="28"/>
      <c r="B987" s="28"/>
      <c r="C987" s="28"/>
      <c r="D987" s="28"/>
      <c r="E987" s="28"/>
      <c r="F987" s="28"/>
      <c r="G987" s="28"/>
      <c r="H987" s="28"/>
      <c r="I987" s="28"/>
      <c r="J987" s="143"/>
      <c r="K987" s="28"/>
      <c r="L987" s="28"/>
      <c r="M987" s="28"/>
      <c r="N987" s="28"/>
      <c r="O987" s="28"/>
      <c r="P987" s="28"/>
      <c r="Q987" s="144"/>
      <c r="R987" s="144"/>
      <c r="S987" s="144"/>
      <c r="T987" s="145"/>
      <c r="U987" s="28"/>
      <c r="V987" s="30"/>
      <c r="W987" s="28"/>
      <c r="X987" s="28"/>
      <c r="Y987" s="28"/>
      <c r="Z987" s="28"/>
    </row>
    <row r="988" ht="13.5" customHeight="1">
      <c r="A988" s="28"/>
      <c r="B988" s="28"/>
      <c r="C988" s="28"/>
      <c r="D988" s="28"/>
      <c r="E988" s="28"/>
      <c r="F988" s="28"/>
      <c r="G988" s="28"/>
      <c r="H988" s="28"/>
      <c r="I988" s="28"/>
      <c r="J988" s="143"/>
      <c r="K988" s="28"/>
      <c r="L988" s="28"/>
      <c r="M988" s="28"/>
      <c r="N988" s="28"/>
      <c r="O988" s="28"/>
      <c r="P988" s="28"/>
      <c r="Q988" s="144"/>
      <c r="R988" s="144"/>
      <c r="S988" s="144"/>
      <c r="T988" s="145"/>
      <c r="U988" s="28"/>
      <c r="V988" s="30"/>
      <c r="W988" s="28"/>
      <c r="X988" s="28"/>
      <c r="Y988" s="28"/>
      <c r="Z988" s="28"/>
    </row>
    <row r="989" ht="13.5" customHeight="1">
      <c r="A989" s="28"/>
      <c r="B989" s="28"/>
      <c r="C989" s="28"/>
      <c r="D989" s="28"/>
      <c r="E989" s="28"/>
      <c r="F989" s="28"/>
      <c r="G989" s="28"/>
      <c r="H989" s="28"/>
      <c r="I989" s="28"/>
      <c r="J989" s="143"/>
      <c r="K989" s="28"/>
      <c r="L989" s="28"/>
      <c r="M989" s="28"/>
      <c r="N989" s="28"/>
      <c r="O989" s="28"/>
      <c r="P989" s="28"/>
      <c r="Q989" s="144"/>
      <c r="R989" s="144"/>
      <c r="S989" s="144"/>
      <c r="T989" s="145"/>
      <c r="U989" s="28"/>
      <c r="V989" s="30"/>
      <c r="W989" s="28"/>
      <c r="X989" s="28"/>
      <c r="Y989" s="28"/>
      <c r="Z989" s="28"/>
    </row>
    <row r="990" ht="13.5" customHeight="1">
      <c r="A990" s="28"/>
      <c r="B990" s="28"/>
      <c r="C990" s="28"/>
      <c r="D990" s="28"/>
      <c r="E990" s="28"/>
      <c r="F990" s="28"/>
      <c r="G990" s="28"/>
      <c r="H990" s="28"/>
      <c r="I990" s="28"/>
      <c r="J990" s="143"/>
      <c r="K990" s="28"/>
      <c r="L990" s="28"/>
      <c r="M990" s="28"/>
      <c r="N990" s="28"/>
      <c r="O990" s="28"/>
      <c r="P990" s="28"/>
      <c r="Q990" s="144"/>
      <c r="R990" s="144"/>
      <c r="S990" s="144"/>
      <c r="T990" s="145"/>
      <c r="U990" s="28"/>
      <c r="V990" s="30"/>
      <c r="W990" s="28"/>
      <c r="X990" s="28"/>
      <c r="Y990" s="28"/>
      <c r="Z990" s="28"/>
    </row>
    <row r="991" ht="13.5" customHeight="1">
      <c r="A991" s="28"/>
      <c r="B991" s="28"/>
      <c r="C991" s="28"/>
      <c r="D991" s="28"/>
      <c r="E991" s="28"/>
      <c r="F991" s="28"/>
      <c r="G991" s="28"/>
      <c r="H991" s="28"/>
      <c r="I991" s="28"/>
      <c r="J991" s="143"/>
      <c r="K991" s="28"/>
      <c r="L991" s="28"/>
      <c r="M991" s="28"/>
      <c r="N991" s="28"/>
      <c r="O991" s="28"/>
      <c r="P991" s="28"/>
      <c r="Q991" s="144"/>
      <c r="R991" s="144"/>
      <c r="S991" s="144"/>
      <c r="T991" s="145"/>
      <c r="U991" s="28"/>
      <c r="V991" s="30"/>
      <c r="W991" s="28"/>
      <c r="X991" s="28"/>
      <c r="Y991" s="28"/>
      <c r="Z991" s="28"/>
    </row>
    <row r="992" ht="13.5" customHeight="1">
      <c r="A992" s="28"/>
      <c r="B992" s="28"/>
      <c r="C992" s="28"/>
      <c r="D992" s="28"/>
      <c r="E992" s="28"/>
      <c r="F992" s="28"/>
      <c r="G992" s="28"/>
      <c r="H992" s="28"/>
      <c r="I992" s="28"/>
      <c r="J992" s="143"/>
      <c r="K992" s="28"/>
      <c r="L992" s="28"/>
      <c r="M992" s="28"/>
      <c r="N992" s="28"/>
      <c r="O992" s="28"/>
      <c r="P992" s="28"/>
      <c r="Q992" s="144"/>
      <c r="R992" s="144"/>
      <c r="S992" s="144"/>
      <c r="T992" s="145"/>
      <c r="U992" s="28"/>
      <c r="V992" s="30"/>
      <c r="W992" s="28"/>
      <c r="X992" s="28"/>
      <c r="Y992" s="28"/>
      <c r="Z992" s="28"/>
    </row>
    <row r="993" ht="13.5" customHeight="1">
      <c r="A993" s="28"/>
      <c r="B993" s="28"/>
      <c r="C993" s="28"/>
      <c r="D993" s="28"/>
      <c r="E993" s="28"/>
      <c r="F993" s="28"/>
      <c r="G993" s="28"/>
      <c r="H993" s="28"/>
      <c r="I993" s="28"/>
      <c r="J993" s="143"/>
      <c r="K993" s="28"/>
      <c r="L993" s="28"/>
      <c r="M993" s="28"/>
      <c r="N993" s="28"/>
      <c r="O993" s="28"/>
      <c r="P993" s="28"/>
      <c r="Q993" s="144"/>
      <c r="R993" s="144"/>
      <c r="S993" s="144"/>
      <c r="T993" s="145"/>
      <c r="U993" s="28"/>
      <c r="V993" s="30"/>
      <c r="W993" s="28"/>
      <c r="X993" s="28"/>
      <c r="Y993" s="28"/>
      <c r="Z993" s="28"/>
    </row>
    <row r="994" ht="13.5" customHeight="1">
      <c r="A994" s="28"/>
      <c r="B994" s="28"/>
      <c r="C994" s="28"/>
      <c r="D994" s="28"/>
      <c r="E994" s="28"/>
      <c r="F994" s="28"/>
      <c r="G994" s="28"/>
      <c r="H994" s="28"/>
      <c r="I994" s="28"/>
      <c r="J994" s="143"/>
      <c r="K994" s="28"/>
      <c r="L994" s="28"/>
      <c r="M994" s="28"/>
      <c r="N994" s="28"/>
      <c r="O994" s="28"/>
      <c r="P994" s="28"/>
      <c r="Q994" s="144"/>
      <c r="R994" s="144"/>
      <c r="S994" s="144"/>
      <c r="T994" s="145"/>
      <c r="U994" s="28"/>
      <c r="V994" s="30"/>
      <c r="W994" s="28"/>
      <c r="X994" s="28"/>
      <c r="Y994" s="28"/>
      <c r="Z994" s="28"/>
    </row>
    <row r="995" ht="13.5" customHeight="1">
      <c r="A995" s="28"/>
      <c r="B995" s="28"/>
      <c r="C995" s="28"/>
      <c r="D995" s="28"/>
      <c r="E995" s="28"/>
      <c r="F995" s="28"/>
      <c r="G995" s="28"/>
      <c r="H995" s="28"/>
      <c r="I995" s="28"/>
      <c r="J995" s="143"/>
      <c r="K995" s="28"/>
      <c r="L995" s="28"/>
      <c r="M995" s="28"/>
      <c r="N995" s="28"/>
      <c r="O995" s="28"/>
      <c r="P995" s="28"/>
      <c r="Q995" s="144"/>
      <c r="R995" s="144"/>
      <c r="S995" s="144"/>
      <c r="T995" s="145"/>
      <c r="U995" s="28"/>
      <c r="V995" s="30"/>
      <c r="W995" s="28"/>
      <c r="X995" s="28"/>
      <c r="Y995" s="28"/>
      <c r="Z995" s="28"/>
    </row>
    <row r="996" ht="13.5" customHeight="1">
      <c r="A996" s="28"/>
      <c r="B996" s="28"/>
      <c r="C996" s="28"/>
      <c r="D996" s="28"/>
      <c r="E996" s="28"/>
      <c r="F996" s="28"/>
      <c r="G996" s="28"/>
      <c r="H996" s="28"/>
      <c r="I996" s="28"/>
      <c r="J996" s="143"/>
      <c r="K996" s="28"/>
      <c r="L996" s="28"/>
      <c r="M996" s="28"/>
      <c r="N996" s="28"/>
      <c r="O996" s="28"/>
      <c r="P996" s="28"/>
      <c r="Q996" s="144"/>
      <c r="R996" s="144"/>
      <c r="S996" s="144"/>
      <c r="T996" s="145"/>
      <c r="U996" s="28"/>
      <c r="V996" s="30"/>
      <c r="W996" s="28"/>
      <c r="X996" s="28"/>
      <c r="Y996" s="28"/>
      <c r="Z996" s="28"/>
    </row>
    <row r="997" ht="13.5" customHeight="1">
      <c r="A997" s="28"/>
      <c r="B997" s="28"/>
      <c r="C997" s="28"/>
      <c r="D997" s="28"/>
      <c r="E997" s="28"/>
      <c r="F997" s="28"/>
      <c r="G997" s="28"/>
      <c r="H997" s="28"/>
      <c r="I997" s="28"/>
      <c r="J997" s="143"/>
      <c r="K997" s="28"/>
      <c r="L997" s="28"/>
      <c r="M997" s="28"/>
      <c r="N997" s="28"/>
      <c r="O997" s="28"/>
      <c r="P997" s="28"/>
      <c r="Q997" s="144"/>
      <c r="R997" s="144"/>
      <c r="S997" s="144"/>
      <c r="T997" s="145"/>
      <c r="U997" s="28"/>
      <c r="V997" s="30"/>
      <c r="W997" s="28"/>
      <c r="X997" s="28"/>
      <c r="Y997" s="28"/>
      <c r="Z997" s="28"/>
    </row>
    <row r="998" ht="13.5" customHeight="1">
      <c r="A998" s="28"/>
      <c r="B998" s="28"/>
      <c r="C998" s="28"/>
      <c r="D998" s="28"/>
      <c r="E998" s="28"/>
      <c r="F998" s="28"/>
      <c r="G998" s="28"/>
      <c r="H998" s="28"/>
      <c r="I998" s="28"/>
      <c r="J998" s="143"/>
      <c r="K998" s="28"/>
      <c r="L998" s="28"/>
      <c r="M998" s="28"/>
      <c r="N998" s="28"/>
      <c r="O998" s="28"/>
      <c r="P998" s="28"/>
      <c r="Q998" s="144"/>
      <c r="R998" s="144"/>
      <c r="S998" s="144"/>
      <c r="T998" s="145"/>
      <c r="U998" s="28"/>
      <c r="V998" s="30"/>
      <c r="W998" s="28"/>
      <c r="X998" s="28"/>
      <c r="Y998" s="28"/>
      <c r="Z998" s="28"/>
    </row>
    <row r="999" ht="13.5" customHeight="1">
      <c r="A999" s="28"/>
      <c r="B999" s="28"/>
      <c r="C999" s="28"/>
      <c r="D999" s="28"/>
      <c r="E999" s="28"/>
      <c r="F999" s="28"/>
      <c r="G999" s="28"/>
      <c r="H999" s="28"/>
      <c r="I999" s="28"/>
      <c r="J999" s="143"/>
      <c r="K999" s="28"/>
      <c r="L999" s="28"/>
      <c r="M999" s="28"/>
      <c r="N999" s="28"/>
      <c r="O999" s="28"/>
      <c r="P999" s="28"/>
      <c r="Q999" s="144"/>
      <c r="R999" s="144"/>
      <c r="S999" s="144"/>
      <c r="T999" s="145"/>
      <c r="U999" s="28"/>
      <c r="V999" s="30"/>
      <c r="W999" s="28"/>
      <c r="X999" s="28"/>
      <c r="Y999" s="28"/>
      <c r="Z999" s="28"/>
    </row>
    <row r="1000" ht="13.5" customHeight="1">
      <c r="A1000" s="28"/>
      <c r="B1000" s="28"/>
      <c r="C1000" s="28"/>
      <c r="D1000" s="28"/>
      <c r="E1000" s="28"/>
      <c r="F1000" s="28"/>
      <c r="G1000" s="28"/>
      <c r="H1000" s="28"/>
      <c r="I1000" s="28"/>
      <c r="J1000" s="143"/>
      <c r="K1000" s="28"/>
      <c r="L1000" s="28"/>
      <c r="M1000" s="28"/>
      <c r="N1000" s="28"/>
      <c r="O1000" s="28"/>
      <c r="P1000" s="28"/>
      <c r="Q1000" s="144"/>
      <c r="R1000" s="144"/>
      <c r="S1000" s="144"/>
      <c r="T1000" s="145"/>
      <c r="U1000" s="28"/>
      <c r="V1000" s="30"/>
      <c r="W1000" s="28"/>
      <c r="X1000" s="28"/>
      <c r="Y1000" s="28"/>
      <c r="Z1000" s="28"/>
    </row>
  </sheetData>
  <autoFilter ref="$A$5:$T$451"/>
  <mergeCells count="163">
    <mergeCell ref="K3:O3"/>
    <mergeCell ref="L6:L22"/>
    <mergeCell ref="L23:L50"/>
    <mergeCell ref="L51:L87"/>
    <mergeCell ref="L88:L108"/>
    <mergeCell ref="L109:L121"/>
    <mergeCell ref="L122:L129"/>
    <mergeCell ref="L130:L146"/>
    <mergeCell ref="L147:L165"/>
    <mergeCell ref="L190:L226"/>
    <mergeCell ref="L227:L250"/>
    <mergeCell ref="L251:L266"/>
    <mergeCell ref="L267:L281"/>
    <mergeCell ref="L288:L296"/>
    <mergeCell ref="L365:L374"/>
    <mergeCell ref="L375:L382"/>
    <mergeCell ref="L383:L390"/>
    <mergeCell ref="L391:L398"/>
    <mergeCell ref="L399:L413"/>
    <mergeCell ref="L414:L422"/>
    <mergeCell ref="L423:L438"/>
    <mergeCell ref="L439:L446"/>
    <mergeCell ref="L297:L311"/>
    <mergeCell ref="L312:L319"/>
    <mergeCell ref="L322:L334"/>
    <mergeCell ref="L335:L343"/>
    <mergeCell ref="L344:L351"/>
    <mergeCell ref="L352:L358"/>
    <mergeCell ref="L359:L364"/>
    <mergeCell ref="A1:T1"/>
    <mergeCell ref="A2:C2"/>
    <mergeCell ref="D2:G2"/>
    <mergeCell ref="H2:J2"/>
    <mergeCell ref="K2:O2"/>
    <mergeCell ref="P2:R2"/>
    <mergeCell ref="S2:T2"/>
    <mergeCell ref="A3:C3"/>
    <mergeCell ref="D3:G3"/>
    <mergeCell ref="H3:J3"/>
    <mergeCell ref="P3:R3"/>
    <mergeCell ref="S3:T3"/>
    <mergeCell ref="A6:A22"/>
    <mergeCell ref="D6:D22"/>
    <mergeCell ref="B6:B22"/>
    <mergeCell ref="C6:C22"/>
    <mergeCell ref="A23:A50"/>
    <mergeCell ref="B23:B50"/>
    <mergeCell ref="C23:C50"/>
    <mergeCell ref="D23:D50"/>
    <mergeCell ref="D51:D87"/>
    <mergeCell ref="B51:B87"/>
    <mergeCell ref="C51:C87"/>
    <mergeCell ref="B88:B108"/>
    <mergeCell ref="C88:C108"/>
    <mergeCell ref="D88:D108"/>
    <mergeCell ref="C109:C121"/>
    <mergeCell ref="D109:D121"/>
    <mergeCell ref="B109:B121"/>
    <mergeCell ref="B122:B129"/>
    <mergeCell ref="C122:C129"/>
    <mergeCell ref="D122:D129"/>
    <mergeCell ref="B130:B146"/>
    <mergeCell ref="C130:C146"/>
    <mergeCell ref="D130:D146"/>
    <mergeCell ref="B180:B189"/>
    <mergeCell ref="C180:C189"/>
    <mergeCell ref="D180:D189"/>
    <mergeCell ref="L180:L189"/>
    <mergeCell ref="B147:B165"/>
    <mergeCell ref="C147:C165"/>
    <mergeCell ref="D147:D165"/>
    <mergeCell ref="B166:B179"/>
    <mergeCell ref="C166:C179"/>
    <mergeCell ref="D166:D179"/>
    <mergeCell ref="L166:L179"/>
    <mergeCell ref="A297:A311"/>
    <mergeCell ref="A312:A321"/>
    <mergeCell ref="B312:B321"/>
    <mergeCell ref="C312:C321"/>
    <mergeCell ref="D312:D321"/>
    <mergeCell ref="A322:A334"/>
    <mergeCell ref="B322:B334"/>
    <mergeCell ref="A335:A343"/>
    <mergeCell ref="B335:B343"/>
    <mergeCell ref="C335:C343"/>
    <mergeCell ref="D335:D343"/>
    <mergeCell ref="B344:B351"/>
    <mergeCell ref="C344:C351"/>
    <mergeCell ref="D344:D351"/>
    <mergeCell ref="C359:C364"/>
    <mergeCell ref="D359:D364"/>
    <mergeCell ref="A344:A351"/>
    <mergeCell ref="A352:A358"/>
    <mergeCell ref="B352:B358"/>
    <mergeCell ref="C352:C358"/>
    <mergeCell ref="D352:D358"/>
    <mergeCell ref="A359:A364"/>
    <mergeCell ref="B359:B364"/>
    <mergeCell ref="A365:A374"/>
    <mergeCell ref="B365:B374"/>
    <mergeCell ref="C365:C374"/>
    <mergeCell ref="D365:D374"/>
    <mergeCell ref="B375:B382"/>
    <mergeCell ref="C375:C382"/>
    <mergeCell ref="D375:D382"/>
    <mergeCell ref="A375:A382"/>
    <mergeCell ref="A383:A390"/>
    <mergeCell ref="B383:B390"/>
    <mergeCell ref="C383:C390"/>
    <mergeCell ref="D383:D390"/>
    <mergeCell ref="A391:A398"/>
    <mergeCell ref="B391:B398"/>
    <mergeCell ref="C391:C398"/>
    <mergeCell ref="D391:D398"/>
    <mergeCell ref="A399:A413"/>
    <mergeCell ref="B399:B413"/>
    <mergeCell ref="C399:C413"/>
    <mergeCell ref="D399:D413"/>
    <mergeCell ref="A414:A422"/>
    <mergeCell ref="D414:D422"/>
    <mergeCell ref="B414:B422"/>
    <mergeCell ref="C414:C422"/>
    <mergeCell ref="A423:A438"/>
    <mergeCell ref="B423:B438"/>
    <mergeCell ref="C423:C438"/>
    <mergeCell ref="D423:D438"/>
    <mergeCell ref="A439:A446"/>
    <mergeCell ref="D439:D446"/>
    <mergeCell ref="A180:A189"/>
    <mergeCell ref="A190:A226"/>
    <mergeCell ref="B190:B226"/>
    <mergeCell ref="C190:C226"/>
    <mergeCell ref="D190:D226"/>
    <mergeCell ref="B227:B250"/>
    <mergeCell ref="C227:C250"/>
    <mergeCell ref="D227:D250"/>
    <mergeCell ref="A51:A87"/>
    <mergeCell ref="A88:A108"/>
    <mergeCell ref="A109:A121"/>
    <mergeCell ref="A122:A129"/>
    <mergeCell ref="A130:A146"/>
    <mergeCell ref="A147:A165"/>
    <mergeCell ref="A166:A179"/>
    <mergeCell ref="C267:C281"/>
    <mergeCell ref="D267:D281"/>
    <mergeCell ref="A227:A250"/>
    <mergeCell ref="A251:A266"/>
    <mergeCell ref="B251:B266"/>
    <mergeCell ref="C251:C266"/>
    <mergeCell ref="D251:D266"/>
    <mergeCell ref="A267:A281"/>
    <mergeCell ref="B267:B281"/>
    <mergeCell ref="A288:A296"/>
    <mergeCell ref="B288:B296"/>
    <mergeCell ref="C288:C296"/>
    <mergeCell ref="D288:D296"/>
    <mergeCell ref="B297:B311"/>
    <mergeCell ref="C297:C311"/>
    <mergeCell ref="D297:D311"/>
    <mergeCell ref="C322:C334"/>
    <mergeCell ref="D322:D334"/>
    <mergeCell ref="B439:B446"/>
    <mergeCell ref="C439:C446"/>
  </mergeCells>
  <printOptions/>
  <pageMargins bottom="0.75" footer="0.0" header="0.0" left="0.7" right="0.7" top="0.75"/>
  <pageSetup paperSize="9"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5" width="16.25"/>
    <col customWidth="1" min="6" max="6" width="16.0"/>
    <col customWidth="1" min="7" max="7" width="62.63"/>
    <col customWidth="1" min="8" max="9" width="12.63"/>
    <col customWidth="1" min="10" max="10" width="36.63"/>
    <col customWidth="1" min="11" max="11" width="40.38"/>
    <col customWidth="1" hidden="1" min="12" max="12" width="18.88"/>
    <col customWidth="1" hidden="1" min="13" max="13" width="31.75"/>
    <col customWidth="1" hidden="1" min="14" max="16" width="12.63"/>
    <col customWidth="1" min="17" max="17" width="12.63"/>
    <col customWidth="1" min="18" max="19" width="17.38"/>
    <col customWidth="1" min="20" max="20" width="22.38"/>
    <col customWidth="1" min="21" max="26" width="12.63"/>
  </cols>
  <sheetData>
    <row r="1" ht="30.0" customHeight="1">
      <c r="A1" s="21" t="s">
        <v>1909</v>
      </c>
      <c r="B1" s="24"/>
      <c r="C1" s="24"/>
      <c r="D1" s="24"/>
      <c r="E1" s="24"/>
      <c r="F1" s="24"/>
      <c r="G1" s="24"/>
      <c r="H1" s="24"/>
      <c r="I1" s="24"/>
      <c r="J1" s="24"/>
      <c r="K1" s="24"/>
      <c r="L1" s="24"/>
      <c r="M1" s="24"/>
      <c r="N1" s="24"/>
      <c r="O1" s="24"/>
      <c r="P1" s="24"/>
      <c r="Q1" s="24"/>
      <c r="R1" s="24"/>
      <c r="S1" s="24"/>
      <c r="T1" s="27"/>
      <c r="U1" s="143"/>
      <c r="V1" s="30"/>
      <c r="W1" s="143"/>
      <c r="X1" s="143"/>
      <c r="Y1" s="143"/>
      <c r="Z1" s="143"/>
    </row>
    <row r="2" ht="19.5" customHeight="1">
      <c r="A2" s="35" t="s">
        <v>38</v>
      </c>
      <c r="B2" s="37"/>
      <c r="C2" s="39"/>
      <c r="D2" s="40" t="s">
        <v>47</v>
      </c>
      <c r="E2" s="37"/>
      <c r="F2" s="37"/>
      <c r="G2" s="39"/>
      <c r="H2" s="35" t="s">
        <v>50</v>
      </c>
      <c r="I2" s="37"/>
      <c r="J2" s="39"/>
      <c r="K2" s="40" t="s">
        <v>1910</v>
      </c>
      <c r="L2" s="37"/>
      <c r="M2" s="37"/>
      <c r="N2" s="37"/>
      <c r="O2" s="39"/>
      <c r="P2" s="35" t="s">
        <v>6</v>
      </c>
      <c r="Q2" s="37"/>
      <c r="R2" s="39"/>
      <c r="S2" s="40" t="s">
        <v>33</v>
      </c>
      <c r="T2" s="39"/>
      <c r="U2" s="143"/>
      <c r="V2" s="30"/>
      <c r="W2" s="143"/>
      <c r="X2" s="143"/>
      <c r="Y2" s="143"/>
      <c r="Z2" s="143"/>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30"/>
      <c r="W3" s="143"/>
      <c r="X3" s="143"/>
      <c r="Y3" s="143"/>
      <c r="Z3" s="143"/>
    </row>
    <row r="4" ht="13.5" customHeight="1">
      <c r="A4" s="49"/>
      <c r="B4" s="49"/>
      <c r="C4" s="49"/>
      <c r="D4" s="49"/>
      <c r="E4" s="49"/>
      <c r="F4" s="49"/>
      <c r="G4" s="49"/>
      <c r="H4" s="49"/>
      <c r="I4" s="49"/>
      <c r="J4" s="49"/>
      <c r="K4" s="49"/>
      <c r="L4" s="49"/>
      <c r="M4" s="49"/>
      <c r="N4" s="49"/>
      <c r="O4" s="49"/>
      <c r="P4" s="49"/>
      <c r="Q4" s="51"/>
      <c r="R4" s="51"/>
      <c r="S4" s="51"/>
      <c r="T4" s="52"/>
      <c r="U4" s="143"/>
      <c r="V4" s="30"/>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8" t="s">
        <v>82</v>
      </c>
      <c r="U5" s="143"/>
      <c r="V5" s="30"/>
      <c r="W5" s="143"/>
      <c r="X5" s="143"/>
      <c r="Y5" s="143"/>
      <c r="Z5" s="143"/>
    </row>
    <row r="6" ht="13.5" customHeight="1">
      <c r="A6" s="59" t="s">
        <v>1910</v>
      </c>
      <c r="B6" s="59" t="s">
        <v>322</v>
      </c>
      <c r="C6" s="60" t="s">
        <v>323</v>
      </c>
      <c r="D6" s="60" t="s">
        <v>1912</v>
      </c>
      <c r="E6" s="61" t="s">
        <v>1913</v>
      </c>
      <c r="F6" s="62" t="s">
        <v>1914</v>
      </c>
      <c r="G6" s="63" t="s">
        <v>1915</v>
      </c>
      <c r="H6" s="61" t="s">
        <v>88</v>
      </c>
      <c r="I6" s="61" t="s">
        <v>60</v>
      </c>
      <c r="J6" s="63" t="s">
        <v>1916</v>
      </c>
      <c r="K6" s="90"/>
      <c r="L6" s="60" t="s">
        <v>1917</v>
      </c>
      <c r="M6" s="61"/>
      <c r="N6" s="61"/>
      <c r="O6" s="61"/>
      <c r="P6" s="61"/>
      <c r="Q6" s="61" t="s">
        <v>93</v>
      </c>
      <c r="R6" s="61" t="s">
        <v>94</v>
      </c>
      <c r="S6" s="61" t="s">
        <v>94</v>
      </c>
      <c r="T6" s="66">
        <v>46246.0</v>
      </c>
      <c r="U6" s="143"/>
      <c r="V6" s="30"/>
      <c r="W6" s="143"/>
      <c r="X6" s="143"/>
      <c r="Y6" s="143"/>
      <c r="Z6" s="143"/>
    </row>
    <row r="7" ht="13.5" customHeight="1">
      <c r="A7" s="67"/>
      <c r="B7" s="67"/>
      <c r="C7" s="67"/>
      <c r="D7" s="67"/>
      <c r="E7" s="61" t="s">
        <v>1918</v>
      </c>
      <c r="F7" s="68"/>
      <c r="G7" s="63" t="s">
        <v>1919</v>
      </c>
      <c r="H7" s="61" t="s">
        <v>88</v>
      </c>
      <c r="I7" s="61" t="s">
        <v>60</v>
      </c>
      <c r="J7" s="63" t="s">
        <v>1920</v>
      </c>
      <c r="K7" s="90"/>
      <c r="L7" s="67"/>
      <c r="M7" s="61"/>
      <c r="N7" s="61"/>
      <c r="O7" s="61"/>
      <c r="P7" s="61"/>
      <c r="Q7" s="61" t="s">
        <v>93</v>
      </c>
      <c r="R7" s="61" t="s">
        <v>94</v>
      </c>
      <c r="S7" s="61" t="s">
        <v>94</v>
      </c>
      <c r="T7" s="66">
        <v>46246.0</v>
      </c>
      <c r="U7" s="143"/>
      <c r="V7" s="30"/>
      <c r="W7" s="143"/>
      <c r="X7" s="143"/>
      <c r="Y7" s="143"/>
      <c r="Z7" s="143"/>
    </row>
    <row r="8" ht="13.5" customHeight="1">
      <c r="A8" s="67"/>
      <c r="B8" s="67"/>
      <c r="C8" s="67"/>
      <c r="D8" s="67"/>
      <c r="E8" s="61" t="s">
        <v>1921</v>
      </c>
      <c r="F8" s="68"/>
      <c r="G8" s="63" t="s">
        <v>1922</v>
      </c>
      <c r="H8" s="61" t="s">
        <v>88</v>
      </c>
      <c r="I8" s="61" t="s">
        <v>60</v>
      </c>
      <c r="J8" s="63" t="s">
        <v>1923</v>
      </c>
      <c r="K8" s="90"/>
      <c r="L8" s="67"/>
      <c r="M8" s="61"/>
      <c r="N8" s="61"/>
      <c r="O8" s="61"/>
      <c r="P8" s="61"/>
      <c r="Q8" s="61" t="s">
        <v>93</v>
      </c>
      <c r="R8" s="61" t="s">
        <v>94</v>
      </c>
      <c r="S8" s="61" t="s">
        <v>94</v>
      </c>
      <c r="T8" s="66">
        <v>46246.0</v>
      </c>
      <c r="U8" s="143"/>
      <c r="V8" s="30"/>
      <c r="W8" s="143"/>
      <c r="X8" s="143"/>
      <c r="Y8" s="143"/>
      <c r="Z8" s="143"/>
    </row>
    <row r="9" ht="13.5" customHeight="1">
      <c r="A9" s="67"/>
      <c r="B9" s="67"/>
      <c r="C9" s="67"/>
      <c r="D9" s="67"/>
      <c r="E9" s="61" t="s">
        <v>1924</v>
      </c>
      <c r="F9" s="68"/>
      <c r="G9" s="63" t="s">
        <v>1925</v>
      </c>
      <c r="H9" s="61" t="s">
        <v>88</v>
      </c>
      <c r="I9" s="61" t="s">
        <v>60</v>
      </c>
      <c r="J9" s="63" t="s">
        <v>1926</v>
      </c>
      <c r="K9" s="90"/>
      <c r="L9" s="67"/>
      <c r="M9" s="61"/>
      <c r="N9" s="61"/>
      <c r="O9" s="61"/>
      <c r="P9" s="61"/>
      <c r="Q9" s="61" t="s">
        <v>93</v>
      </c>
      <c r="R9" s="61" t="s">
        <v>94</v>
      </c>
      <c r="S9" s="61" t="s">
        <v>94</v>
      </c>
      <c r="T9" s="66">
        <v>46246.0</v>
      </c>
      <c r="U9" s="143"/>
      <c r="V9" s="30"/>
      <c r="W9" s="143"/>
      <c r="X9" s="143"/>
      <c r="Y9" s="143"/>
      <c r="Z9" s="143"/>
    </row>
    <row r="10" ht="13.5" customHeight="1">
      <c r="A10" s="67"/>
      <c r="B10" s="67"/>
      <c r="C10" s="67"/>
      <c r="D10" s="67"/>
      <c r="E10" s="61" t="s">
        <v>1927</v>
      </c>
      <c r="F10" s="62" t="s">
        <v>1928</v>
      </c>
      <c r="G10" s="63" t="s">
        <v>1929</v>
      </c>
      <c r="H10" s="61" t="s">
        <v>88</v>
      </c>
      <c r="I10" s="61" t="s">
        <v>60</v>
      </c>
      <c r="J10" s="63" t="s">
        <v>1930</v>
      </c>
      <c r="K10" s="90"/>
      <c r="L10" s="67"/>
      <c r="M10" s="61"/>
      <c r="N10" s="61"/>
      <c r="O10" s="61"/>
      <c r="P10" s="61"/>
      <c r="Q10" s="61" t="s">
        <v>93</v>
      </c>
      <c r="R10" s="61" t="s">
        <v>94</v>
      </c>
      <c r="S10" s="61" t="s">
        <v>94</v>
      </c>
      <c r="T10" s="66">
        <v>46246.0</v>
      </c>
      <c r="U10" s="143"/>
      <c r="V10" s="30"/>
      <c r="W10" s="143"/>
      <c r="X10" s="143"/>
      <c r="Y10" s="143"/>
      <c r="Z10" s="143"/>
    </row>
    <row r="11" ht="13.5" customHeight="1">
      <c r="A11" s="67"/>
      <c r="B11" s="67"/>
      <c r="C11" s="67"/>
      <c r="D11" s="67"/>
      <c r="E11" s="61" t="s">
        <v>1931</v>
      </c>
      <c r="F11" s="68"/>
      <c r="G11" s="63" t="s">
        <v>1932</v>
      </c>
      <c r="H11" s="61" t="s">
        <v>88</v>
      </c>
      <c r="I11" s="61" t="s">
        <v>60</v>
      </c>
      <c r="J11" s="63" t="s">
        <v>1933</v>
      </c>
      <c r="K11" s="90"/>
      <c r="L11" s="67"/>
      <c r="M11" s="61"/>
      <c r="N11" s="61"/>
      <c r="O11" s="61"/>
      <c r="P11" s="61"/>
      <c r="Q11" s="61" t="s">
        <v>93</v>
      </c>
      <c r="R11" s="61" t="s">
        <v>94</v>
      </c>
      <c r="S11" s="61" t="s">
        <v>94</v>
      </c>
      <c r="T11" s="66">
        <v>46246.0</v>
      </c>
      <c r="U11" s="143"/>
      <c r="V11" s="30"/>
      <c r="W11" s="143"/>
      <c r="X11" s="143"/>
      <c r="Y11" s="143"/>
      <c r="Z11" s="143"/>
    </row>
    <row r="12" ht="13.5" customHeight="1">
      <c r="A12" s="77"/>
      <c r="B12" s="77"/>
      <c r="C12" s="77"/>
      <c r="D12" s="77"/>
      <c r="E12" s="61" t="s">
        <v>1934</v>
      </c>
      <c r="F12" s="68"/>
      <c r="G12" s="63" t="s">
        <v>1935</v>
      </c>
      <c r="H12" s="61" t="s">
        <v>88</v>
      </c>
      <c r="I12" s="61" t="s">
        <v>60</v>
      </c>
      <c r="J12" s="63" t="s">
        <v>1936</v>
      </c>
      <c r="K12" s="90"/>
      <c r="L12" s="77"/>
      <c r="M12" s="61"/>
      <c r="N12" s="61"/>
      <c r="O12" s="61"/>
      <c r="P12" s="61"/>
      <c r="Q12" s="61" t="s">
        <v>93</v>
      </c>
      <c r="R12" s="61" t="s">
        <v>94</v>
      </c>
      <c r="S12" s="61" t="s">
        <v>94</v>
      </c>
      <c r="T12" s="66">
        <v>46246.0</v>
      </c>
      <c r="U12" s="143"/>
      <c r="V12" s="30"/>
      <c r="W12" s="143"/>
      <c r="X12" s="143"/>
      <c r="Y12" s="143"/>
      <c r="Z12" s="143"/>
    </row>
    <row r="13" ht="13.5" customHeight="1">
      <c r="A13" s="78" t="s">
        <v>1910</v>
      </c>
      <c r="B13" s="78" t="s">
        <v>327</v>
      </c>
      <c r="C13" s="79" t="s">
        <v>1937</v>
      </c>
      <c r="D13" s="79" t="s">
        <v>1938</v>
      </c>
      <c r="E13" s="81" t="s">
        <v>1939</v>
      </c>
      <c r="F13" s="82" t="s">
        <v>1940</v>
      </c>
      <c r="G13" s="83" t="s">
        <v>1941</v>
      </c>
      <c r="H13" s="81" t="s">
        <v>88</v>
      </c>
      <c r="I13" s="89" t="s">
        <v>60</v>
      </c>
      <c r="J13" s="83" t="s">
        <v>1942</v>
      </c>
      <c r="K13" s="90"/>
      <c r="L13" s="79" t="s">
        <v>1943</v>
      </c>
      <c r="M13" s="81"/>
      <c r="N13" s="81"/>
      <c r="O13" s="81"/>
      <c r="P13" s="81"/>
      <c r="Q13" s="147" t="s">
        <v>93</v>
      </c>
      <c r="R13" s="147" t="s">
        <v>94</v>
      </c>
      <c r="S13" s="147" t="s">
        <v>94</v>
      </c>
      <c r="T13" s="84">
        <v>46246.0</v>
      </c>
      <c r="U13" s="143"/>
      <c r="V13" s="30"/>
      <c r="W13" s="143"/>
      <c r="X13" s="143"/>
      <c r="Y13" s="143"/>
      <c r="Z13" s="143"/>
    </row>
    <row r="14" ht="13.5" customHeight="1">
      <c r="A14" s="67"/>
      <c r="B14" s="67"/>
      <c r="C14" s="67"/>
      <c r="D14" s="67"/>
      <c r="E14" s="81" t="s">
        <v>1944</v>
      </c>
      <c r="F14" s="85"/>
      <c r="G14" s="83" t="s">
        <v>1945</v>
      </c>
      <c r="H14" s="81" t="s">
        <v>88</v>
      </c>
      <c r="I14" s="89" t="s">
        <v>60</v>
      </c>
      <c r="J14" s="83" t="s">
        <v>1946</v>
      </c>
      <c r="K14" s="90"/>
      <c r="L14" s="67"/>
      <c r="M14" s="147"/>
      <c r="N14" s="147"/>
      <c r="O14" s="147"/>
      <c r="P14" s="147"/>
      <c r="Q14" s="147" t="s">
        <v>93</v>
      </c>
      <c r="R14" s="147" t="s">
        <v>94</v>
      </c>
      <c r="S14" s="147" t="s">
        <v>94</v>
      </c>
      <c r="T14" s="148">
        <v>46246.0</v>
      </c>
      <c r="U14" s="143"/>
      <c r="V14" s="30"/>
      <c r="W14" s="143"/>
      <c r="X14" s="143"/>
      <c r="Y14" s="143"/>
      <c r="Z14" s="143"/>
    </row>
    <row r="15" ht="13.5" customHeight="1">
      <c r="A15" s="67"/>
      <c r="B15" s="67"/>
      <c r="C15" s="67"/>
      <c r="D15" s="67"/>
      <c r="E15" s="81" t="s">
        <v>1947</v>
      </c>
      <c r="F15" s="82" t="s">
        <v>1948</v>
      </c>
      <c r="G15" s="83" t="s">
        <v>1949</v>
      </c>
      <c r="H15" s="81" t="s">
        <v>88</v>
      </c>
      <c r="I15" s="89" t="s">
        <v>60</v>
      </c>
      <c r="J15" s="83" t="s">
        <v>1950</v>
      </c>
      <c r="K15" s="90"/>
      <c r="L15" s="67"/>
      <c r="M15" s="147"/>
      <c r="N15" s="147"/>
      <c r="O15" s="147"/>
      <c r="P15" s="147"/>
      <c r="Q15" s="147" t="s">
        <v>93</v>
      </c>
      <c r="R15" s="147" t="s">
        <v>94</v>
      </c>
      <c r="S15" s="147" t="s">
        <v>94</v>
      </c>
      <c r="T15" s="148">
        <v>46246.0</v>
      </c>
      <c r="U15" s="143"/>
      <c r="V15" s="30"/>
      <c r="W15" s="143"/>
      <c r="X15" s="143"/>
      <c r="Y15" s="143"/>
      <c r="Z15" s="143"/>
    </row>
    <row r="16" ht="13.5" customHeight="1">
      <c r="A16" s="67"/>
      <c r="B16" s="67"/>
      <c r="C16" s="67"/>
      <c r="D16" s="67"/>
      <c r="E16" s="81" t="s">
        <v>1951</v>
      </c>
      <c r="F16" s="82" t="s">
        <v>1952</v>
      </c>
      <c r="G16" s="83" t="s">
        <v>1953</v>
      </c>
      <c r="H16" s="81" t="s">
        <v>88</v>
      </c>
      <c r="I16" s="89" t="s">
        <v>60</v>
      </c>
      <c r="J16" s="149" t="s">
        <v>1954</v>
      </c>
      <c r="K16" s="150" t="s">
        <v>1955</v>
      </c>
      <c r="L16" s="67"/>
      <c r="M16" s="147"/>
      <c r="N16" s="147"/>
      <c r="O16" s="147"/>
      <c r="P16" s="147"/>
      <c r="Q16" s="147" t="s">
        <v>93</v>
      </c>
      <c r="R16" s="147" t="s">
        <v>94</v>
      </c>
      <c r="S16" s="147" t="s">
        <v>94</v>
      </c>
      <c r="T16" s="148">
        <v>46255.0</v>
      </c>
      <c r="U16" s="143"/>
      <c r="V16" s="30"/>
      <c r="W16" s="143"/>
      <c r="X16" s="143"/>
      <c r="Y16" s="143"/>
      <c r="Z16" s="143"/>
    </row>
    <row r="17" ht="13.5" customHeight="1">
      <c r="A17" s="67"/>
      <c r="B17" s="67"/>
      <c r="C17" s="67"/>
      <c r="D17" s="67"/>
      <c r="E17" s="81" t="s">
        <v>1956</v>
      </c>
      <c r="F17" s="82" t="s">
        <v>1957</v>
      </c>
      <c r="G17" s="83" t="s">
        <v>1958</v>
      </c>
      <c r="H17" s="81" t="s">
        <v>88</v>
      </c>
      <c r="I17" s="89" t="s">
        <v>60</v>
      </c>
      <c r="J17" s="83" t="s">
        <v>1959</v>
      </c>
      <c r="K17" s="90"/>
      <c r="L17" s="67"/>
      <c r="M17" s="147"/>
      <c r="N17" s="147"/>
      <c r="O17" s="147"/>
      <c r="P17" s="147"/>
      <c r="Q17" s="147" t="s">
        <v>93</v>
      </c>
      <c r="R17" s="147" t="s">
        <v>94</v>
      </c>
      <c r="S17" s="147" t="s">
        <v>94</v>
      </c>
      <c r="T17" s="148">
        <v>46246.0</v>
      </c>
      <c r="U17" s="143"/>
      <c r="V17" s="30"/>
      <c r="W17" s="143"/>
      <c r="X17" s="143"/>
      <c r="Y17" s="143"/>
      <c r="Z17" s="143"/>
    </row>
    <row r="18" ht="13.5" customHeight="1">
      <c r="A18" s="77"/>
      <c r="B18" s="77"/>
      <c r="C18" s="77"/>
      <c r="D18" s="77"/>
      <c r="E18" s="81" t="s">
        <v>1960</v>
      </c>
      <c r="F18" s="85"/>
      <c r="G18" s="83" t="s">
        <v>1961</v>
      </c>
      <c r="H18" s="81" t="s">
        <v>88</v>
      </c>
      <c r="I18" s="89" t="s">
        <v>60</v>
      </c>
      <c r="J18" s="83" t="s">
        <v>1962</v>
      </c>
      <c r="K18" s="90"/>
      <c r="L18" s="77"/>
      <c r="M18" s="147"/>
      <c r="N18" s="147"/>
      <c r="O18" s="147"/>
      <c r="P18" s="147"/>
      <c r="Q18" s="147" t="s">
        <v>93</v>
      </c>
      <c r="R18" s="147" t="s">
        <v>94</v>
      </c>
      <c r="S18" s="147" t="s">
        <v>94</v>
      </c>
      <c r="T18" s="148">
        <v>46246.0</v>
      </c>
      <c r="U18" s="143"/>
      <c r="V18" s="30"/>
      <c r="W18" s="143"/>
      <c r="X18" s="143"/>
      <c r="Y18" s="143"/>
      <c r="Z18" s="143"/>
    </row>
    <row r="19" ht="13.5" customHeight="1">
      <c r="A19" s="59" t="s">
        <v>1910</v>
      </c>
      <c r="B19" s="59" t="s">
        <v>330</v>
      </c>
      <c r="C19" s="60" t="s">
        <v>1963</v>
      </c>
      <c r="D19" s="60" t="s">
        <v>1964</v>
      </c>
      <c r="E19" s="61" t="s">
        <v>1965</v>
      </c>
      <c r="F19" s="62" t="s">
        <v>1966</v>
      </c>
      <c r="G19" s="63" t="s">
        <v>1967</v>
      </c>
      <c r="H19" s="61" t="s">
        <v>88</v>
      </c>
      <c r="I19" s="61" t="s">
        <v>167</v>
      </c>
      <c r="J19" s="63" t="s">
        <v>1968</v>
      </c>
      <c r="K19" s="90"/>
      <c r="L19" s="60" t="s">
        <v>1943</v>
      </c>
      <c r="M19" s="61"/>
      <c r="N19" s="61"/>
      <c r="O19" s="61"/>
      <c r="P19" s="61"/>
      <c r="Q19" s="61" t="s">
        <v>93</v>
      </c>
      <c r="R19" s="61" t="s">
        <v>94</v>
      </c>
      <c r="S19" s="61" t="s">
        <v>94</v>
      </c>
      <c r="T19" s="66">
        <v>46246.0</v>
      </c>
      <c r="U19" s="143"/>
      <c r="V19" s="30"/>
      <c r="W19" s="143"/>
      <c r="X19" s="143"/>
      <c r="Y19" s="143"/>
      <c r="Z19" s="143"/>
    </row>
    <row r="20" ht="13.5" customHeight="1">
      <c r="A20" s="67"/>
      <c r="B20" s="67"/>
      <c r="C20" s="67"/>
      <c r="D20" s="67"/>
      <c r="E20" s="61" t="s">
        <v>1969</v>
      </c>
      <c r="F20" s="68"/>
      <c r="G20" s="63" t="s">
        <v>1970</v>
      </c>
      <c r="H20" s="61" t="s">
        <v>88</v>
      </c>
      <c r="I20" s="61" t="s">
        <v>60</v>
      </c>
      <c r="J20" s="63" t="s">
        <v>1971</v>
      </c>
      <c r="K20" s="90"/>
      <c r="L20" s="67"/>
      <c r="M20" s="61"/>
      <c r="N20" s="61"/>
      <c r="O20" s="61"/>
      <c r="P20" s="61"/>
      <c r="Q20" s="61" t="s">
        <v>93</v>
      </c>
      <c r="R20" s="61" t="s">
        <v>94</v>
      </c>
      <c r="S20" s="61" t="s">
        <v>94</v>
      </c>
      <c r="T20" s="66">
        <v>46246.0</v>
      </c>
      <c r="U20" s="143"/>
      <c r="V20" s="30"/>
      <c r="W20" s="143"/>
      <c r="X20" s="143"/>
      <c r="Y20" s="143"/>
      <c r="Z20" s="143"/>
    </row>
    <row r="21" ht="13.5" customHeight="1">
      <c r="A21" s="67"/>
      <c r="B21" s="67"/>
      <c r="C21" s="67"/>
      <c r="D21" s="67"/>
      <c r="E21" s="61" t="s">
        <v>1972</v>
      </c>
      <c r="F21" s="68"/>
      <c r="G21" s="63" t="s">
        <v>1973</v>
      </c>
      <c r="H21" s="61" t="s">
        <v>88</v>
      </c>
      <c r="I21" s="61" t="s">
        <v>60</v>
      </c>
      <c r="J21" s="63" t="s">
        <v>1974</v>
      </c>
      <c r="K21" s="90"/>
      <c r="L21" s="67"/>
      <c r="M21" s="61"/>
      <c r="N21" s="61"/>
      <c r="O21" s="61"/>
      <c r="P21" s="61"/>
      <c r="Q21" s="61" t="s">
        <v>93</v>
      </c>
      <c r="R21" s="61" t="s">
        <v>94</v>
      </c>
      <c r="S21" s="61" t="s">
        <v>94</v>
      </c>
      <c r="T21" s="66">
        <v>46246.0</v>
      </c>
      <c r="U21" s="143"/>
      <c r="V21" s="30"/>
      <c r="W21" s="143"/>
      <c r="X21" s="143"/>
      <c r="Y21" s="143"/>
      <c r="Z21" s="143"/>
    </row>
    <row r="22" ht="13.5" customHeight="1">
      <c r="A22" s="67"/>
      <c r="B22" s="67"/>
      <c r="C22" s="67"/>
      <c r="D22" s="67"/>
      <c r="E22" s="61" t="s">
        <v>1975</v>
      </c>
      <c r="F22" s="62" t="s">
        <v>1976</v>
      </c>
      <c r="G22" s="63" t="s">
        <v>1977</v>
      </c>
      <c r="H22" s="61" t="s">
        <v>88</v>
      </c>
      <c r="I22" s="61" t="s">
        <v>167</v>
      </c>
      <c r="J22" s="63" t="s">
        <v>1978</v>
      </c>
      <c r="K22" s="90"/>
      <c r="L22" s="67"/>
      <c r="M22" s="61"/>
      <c r="N22" s="61"/>
      <c r="O22" s="61"/>
      <c r="P22" s="61"/>
      <c r="Q22" s="61" t="s">
        <v>93</v>
      </c>
      <c r="R22" s="61" t="s">
        <v>94</v>
      </c>
      <c r="S22" s="61" t="s">
        <v>94</v>
      </c>
      <c r="T22" s="66">
        <v>46246.0</v>
      </c>
      <c r="U22" s="143"/>
      <c r="V22" s="30"/>
      <c r="W22" s="143"/>
      <c r="X22" s="143"/>
      <c r="Y22" s="143"/>
      <c r="Z22" s="143"/>
    </row>
    <row r="23" ht="13.5" customHeight="1">
      <c r="A23" s="67"/>
      <c r="B23" s="67"/>
      <c r="C23" s="67"/>
      <c r="D23" s="67"/>
      <c r="E23" s="61" t="s">
        <v>1979</v>
      </c>
      <c r="F23" s="62" t="s">
        <v>1980</v>
      </c>
      <c r="G23" s="63" t="s">
        <v>1981</v>
      </c>
      <c r="H23" s="61" t="s">
        <v>88</v>
      </c>
      <c r="I23" s="61" t="s">
        <v>60</v>
      </c>
      <c r="J23" s="63" t="s">
        <v>1982</v>
      </c>
      <c r="K23" s="90"/>
      <c r="L23" s="67"/>
      <c r="M23" s="61"/>
      <c r="N23" s="61"/>
      <c r="O23" s="61"/>
      <c r="P23" s="61"/>
      <c r="Q23" s="61" t="s">
        <v>93</v>
      </c>
      <c r="R23" s="61" t="s">
        <v>94</v>
      </c>
      <c r="S23" s="61" t="s">
        <v>94</v>
      </c>
      <c r="T23" s="66">
        <v>46246.0</v>
      </c>
      <c r="U23" s="143"/>
      <c r="V23" s="30"/>
      <c r="W23" s="143"/>
      <c r="X23" s="143"/>
      <c r="Y23" s="143"/>
      <c r="Z23" s="143"/>
    </row>
    <row r="24" ht="13.5" customHeight="1">
      <c r="A24" s="67"/>
      <c r="B24" s="67"/>
      <c r="C24" s="67"/>
      <c r="D24" s="67"/>
      <c r="E24" s="61" t="s">
        <v>1983</v>
      </c>
      <c r="F24" s="62" t="s">
        <v>1984</v>
      </c>
      <c r="G24" s="63" t="s">
        <v>1985</v>
      </c>
      <c r="H24" s="61" t="s">
        <v>88</v>
      </c>
      <c r="I24" s="61" t="s">
        <v>60</v>
      </c>
      <c r="J24" s="63" t="s">
        <v>1986</v>
      </c>
      <c r="K24" s="90"/>
      <c r="L24" s="67"/>
      <c r="M24" s="61"/>
      <c r="N24" s="61"/>
      <c r="O24" s="61"/>
      <c r="P24" s="61"/>
      <c r="Q24" s="61" t="s">
        <v>93</v>
      </c>
      <c r="R24" s="61" t="s">
        <v>94</v>
      </c>
      <c r="S24" s="61" t="s">
        <v>94</v>
      </c>
      <c r="T24" s="66">
        <v>46246.0</v>
      </c>
      <c r="U24" s="143"/>
      <c r="V24" s="30"/>
      <c r="W24" s="143"/>
      <c r="X24" s="143"/>
      <c r="Y24" s="143"/>
      <c r="Z24" s="143"/>
    </row>
    <row r="25" ht="13.5" customHeight="1">
      <c r="A25" s="67"/>
      <c r="B25" s="67"/>
      <c r="C25" s="67"/>
      <c r="D25" s="67"/>
      <c r="E25" s="61" t="s">
        <v>1987</v>
      </c>
      <c r="F25" s="68"/>
      <c r="G25" s="63" t="s">
        <v>1988</v>
      </c>
      <c r="H25" s="61" t="s">
        <v>88</v>
      </c>
      <c r="I25" s="61" t="s">
        <v>60</v>
      </c>
      <c r="J25" s="63" t="s">
        <v>1989</v>
      </c>
      <c r="K25" s="90"/>
      <c r="L25" s="67"/>
      <c r="M25" s="61"/>
      <c r="N25" s="61"/>
      <c r="O25" s="61"/>
      <c r="P25" s="61"/>
      <c r="Q25" s="61" t="s">
        <v>93</v>
      </c>
      <c r="R25" s="61" t="s">
        <v>94</v>
      </c>
      <c r="S25" s="61" t="s">
        <v>94</v>
      </c>
      <c r="T25" s="66">
        <v>46259.0</v>
      </c>
      <c r="U25" s="143"/>
      <c r="V25" s="30"/>
      <c r="W25" s="143"/>
      <c r="X25" s="143"/>
      <c r="Y25" s="143"/>
      <c r="Z25" s="143"/>
    </row>
    <row r="26" ht="13.5" customHeight="1">
      <c r="A26" s="67"/>
      <c r="B26" s="67"/>
      <c r="C26" s="67"/>
      <c r="D26" s="67"/>
      <c r="E26" s="61" t="s">
        <v>1991</v>
      </c>
      <c r="F26" s="62" t="s">
        <v>1992</v>
      </c>
      <c r="G26" s="63" t="s">
        <v>1993</v>
      </c>
      <c r="H26" s="61" t="s">
        <v>88</v>
      </c>
      <c r="I26" s="61" t="s">
        <v>60</v>
      </c>
      <c r="J26" s="63" t="s">
        <v>1994</v>
      </c>
      <c r="K26" s="90"/>
      <c r="L26" s="67"/>
      <c r="M26" s="61"/>
      <c r="N26" s="61"/>
      <c r="O26" s="61"/>
      <c r="P26" s="61"/>
      <c r="Q26" s="61" t="s">
        <v>93</v>
      </c>
      <c r="R26" s="61" t="s">
        <v>94</v>
      </c>
      <c r="S26" s="61" t="s">
        <v>94</v>
      </c>
      <c r="T26" s="66">
        <v>46246.0</v>
      </c>
      <c r="U26" s="143"/>
      <c r="V26" s="30"/>
      <c r="W26" s="143"/>
      <c r="X26" s="143"/>
      <c r="Y26" s="143"/>
      <c r="Z26" s="143"/>
    </row>
    <row r="27" ht="13.5" customHeight="1">
      <c r="A27" s="67"/>
      <c r="B27" s="67"/>
      <c r="C27" s="67"/>
      <c r="D27" s="67"/>
      <c r="E27" s="61" t="s">
        <v>1995</v>
      </c>
      <c r="F27" s="68"/>
      <c r="G27" s="63" t="s">
        <v>1996</v>
      </c>
      <c r="H27" s="61" t="s">
        <v>88</v>
      </c>
      <c r="I27" s="61" t="s">
        <v>60</v>
      </c>
      <c r="J27" s="63" t="s">
        <v>1997</v>
      </c>
      <c r="K27" s="90"/>
      <c r="L27" s="67"/>
      <c r="M27" s="61"/>
      <c r="N27" s="61"/>
      <c r="O27" s="61"/>
      <c r="P27" s="61"/>
      <c r="Q27" s="61" t="s">
        <v>93</v>
      </c>
      <c r="R27" s="61" t="s">
        <v>94</v>
      </c>
      <c r="S27" s="61" t="s">
        <v>94</v>
      </c>
      <c r="T27" s="66">
        <v>46246.0</v>
      </c>
      <c r="U27" s="143"/>
      <c r="V27" s="30"/>
      <c r="W27" s="143"/>
      <c r="X27" s="143"/>
      <c r="Y27" s="143"/>
      <c r="Z27" s="143"/>
    </row>
    <row r="28" ht="13.5" customHeight="1">
      <c r="A28" s="67"/>
      <c r="B28" s="67"/>
      <c r="C28" s="67"/>
      <c r="D28" s="67"/>
      <c r="E28" s="61" t="s">
        <v>1998</v>
      </c>
      <c r="F28" s="68"/>
      <c r="G28" s="63" t="s">
        <v>1999</v>
      </c>
      <c r="H28" s="61" t="s">
        <v>88</v>
      </c>
      <c r="I28" s="61" t="s">
        <v>60</v>
      </c>
      <c r="J28" s="63" t="s">
        <v>2000</v>
      </c>
      <c r="K28" s="90"/>
      <c r="L28" s="67"/>
      <c r="M28" s="61"/>
      <c r="N28" s="61"/>
      <c r="O28" s="61"/>
      <c r="P28" s="61"/>
      <c r="Q28" s="61" t="s">
        <v>93</v>
      </c>
      <c r="R28" s="61" t="s">
        <v>94</v>
      </c>
      <c r="S28" s="61" t="s">
        <v>94</v>
      </c>
      <c r="T28" s="66">
        <v>46246.0</v>
      </c>
      <c r="U28" s="143"/>
      <c r="V28" s="30"/>
      <c r="W28" s="143"/>
      <c r="X28" s="143"/>
      <c r="Y28" s="143"/>
      <c r="Z28" s="143"/>
    </row>
    <row r="29" ht="13.5" customHeight="1">
      <c r="A29" s="67"/>
      <c r="B29" s="67"/>
      <c r="C29" s="67"/>
      <c r="D29" s="67"/>
      <c r="E29" s="61" t="s">
        <v>2001</v>
      </c>
      <c r="F29" s="68"/>
      <c r="G29" s="63" t="s">
        <v>2002</v>
      </c>
      <c r="H29" s="61" t="s">
        <v>88</v>
      </c>
      <c r="I29" s="61" t="s">
        <v>60</v>
      </c>
      <c r="J29" s="63" t="s">
        <v>2003</v>
      </c>
      <c r="K29" s="90"/>
      <c r="L29" s="67"/>
      <c r="M29" s="61"/>
      <c r="N29" s="61"/>
      <c r="O29" s="61"/>
      <c r="P29" s="61"/>
      <c r="Q29" s="61" t="s">
        <v>93</v>
      </c>
      <c r="R29" s="61" t="s">
        <v>94</v>
      </c>
      <c r="S29" s="61" t="s">
        <v>94</v>
      </c>
      <c r="T29" s="66">
        <v>46246.0</v>
      </c>
      <c r="U29" s="143"/>
      <c r="V29" s="30"/>
      <c r="W29" s="143"/>
      <c r="X29" s="143"/>
      <c r="Y29" s="143"/>
      <c r="Z29" s="143"/>
    </row>
    <row r="30" ht="13.5" customHeight="1">
      <c r="A30" s="77"/>
      <c r="B30" s="77"/>
      <c r="C30" s="77"/>
      <c r="D30" s="77"/>
      <c r="E30" s="61" t="s">
        <v>2004</v>
      </c>
      <c r="F30" s="68"/>
      <c r="G30" s="63" t="s">
        <v>2005</v>
      </c>
      <c r="H30" s="61" t="s">
        <v>88</v>
      </c>
      <c r="I30" s="61" t="s">
        <v>60</v>
      </c>
      <c r="J30" s="63" t="s">
        <v>2006</v>
      </c>
      <c r="K30" s="90"/>
      <c r="L30" s="77"/>
      <c r="M30" s="61"/>
      <c r="N30" s="61"/>
      <c r="O30" s="61"/>
      <c r="P30" s="61"/>
      <c r="Q30" s="61" t="s">
        <v>93</v>
      </c>
      <c r="R30" s="61" t="s">
        <v>94</v>
      </c>
      <c r="S30" s="61" t="s">
        <v>94</v>
      </c>
      <c r="T30" s="66">
        <v>46246.0</v>
      </c>
      <c r="U30" s="143"/>
      <c r="V30" s="30"/>
      <c r="W30" s="143"/>
      <c r="X30" s="143"/>
      <c r="Y30" s="143"/>
      <c r="Z30" s="143"/>
    </row>
    <row r="31" ht="13.5" customHeight="1">
      <c r="A31" s="78" t="s">
        <v>1910</v>
      </c>
      <c r="B31" s="78" t="s">
        <v>337</v>
      </c>
      <c r="C31" s="79" t="s">
        <v>2009</v>
      </c>
      <c r="D31" s="79" t="s">
        <v>2010</v>
      </c>
      <c r="E31" s="81" t="s">
        <v>2012</v>
      </c>
      <c r="F31" s="82" t="s">
        <v>2014</v>
      </c>
      <c r="G31" s="83" t="s">
        <v>2016</v>
      </c>
      <c r="H31" s="81" t="s">
        <v>88</v>
      </c>
      <c r="I31" s="89" t="s">
        <v>60</v>
      </c>
      <c r="J31" s="83" t="s">
        <v>2017</v>
      </c>
      <c r="K31" s="90"/>
      <c r="L31" s="79" t="s">
        <v>2019</v>
      </c>
      <c r="M31" s="81"/>
      <c r="N31" s="81"/>
      <c r="O31" s="81"/>
      <c r="P31" s="81"/>
      <c r="Q31" s="81" t="s">
        <v>93</v>
      </c>
      <c r="R31" s="81" t="s">
        <v>94</v>
      </c>
      <c r="S31" s="81" t="s">
        <v>94</v>
      </c>
      <c r="T31" s="84">
        <v>46246.0</v>
      </c>
      <c r="U31" s="143"/>
      <c r="V31" s="30"/>
      <c r="W31" s="143"/>
      <c r="X31" s="143"/>
      <c r="Y31" s="143"/>
      <c r="Z31" s="143"/>
    </row>
    <row r="32" ht="13.5" customHeight="1">
      <c r="A32" s="67"/>
      <c r="B32" s="67"/>
      <c r="C32" s="67"/>
      <c r="D32" s="67"/>
      <c r="E32" s="81" t="s">
        <v>2021</v>
      </c>
      <c r="F32" s="82" t="s">
        <v>2022</v>
      </c>
      <c r="G32" s="83" t="s">
        <v>2023</v>
      </c>
      <c r="H32" s="81" t="s">
        <v>88</v>
      </c>
      <c r="I32" s="89" t="s">
        <v>60</v>
      </c>
      <c r="J32" s="83" t="s">
        <v>2024</v>
      </c>
      <c r="K32" s="90"/>
      <c r="L32" s="67"/>
      <c r="M32" s="147"/>
      <c r="N32" s="147"/>
      <c r="O32" s="147"/>
      <c r="P32" s="147"/>
      <c r="Q32" s="81" t="s">
        <v>93</v>
      </c>
      <c r="R32" s="81" t="s">
        <v>94</v>
      </c>
      <c r="S32" s="81" t="s">
        <v>94</v>
      </c>
      <c r="T32" s="148">
        <v>46246.0</v>
      </c>
      <c r="U32" s="143"/>
      <c r="V32" s="30"/>
      <c r="W32" s="143"/>
      <c r="X32" s="143"/>
      <c r="Y32" s="143"/>
      <c r="Z32" s="143"/>
    </row>
    <row r="33" ht="13.5" customHeight="1">
      <c r="A33" s="67"/>
      <c r="B33" s="67"/>
      <c r="C33" s="67"/>
      <c r="D33" s="67"/>
      <c r="E33" s="81" t="s">
        <v>2028</v>
      </c>
      <c r="F33" s="82" t="s">
        <v>2029</v>
      </c>
      <c r="G33" s="83" t="s">
        <v>2030</v>
      </c>
      <c r="H33" s="81" t="s">
        <v>88</v>
      </c>
      <c r="I33" s="89" t="s">
        <v>60</v>
      </c>
      <c r="J33" s="83" t="s">
        <v>2031</v>
      </c>
      <c r="K33" s="90"/>
      <c r="L33" s="67"/>
      <c r="M33" s="147"/>
      <c r="N33" s="147"/>
      <c r="O33" s="147"/>
      <c r="P33" s="147"/>
      <c r="Q33" s="81" t="s">
        <v>93</v>
      </c>
      <c r="R33" s="81" t="s">
        <v>94</v>
      </c>
      <c r="S33" s="81" t="s">
        <v>94</v>
      </c>
      <c r="T33" s="148">
        <v>46246.0</v>
      </c>
      <c r="U33" s="143"/>
      <c r="V33" s="30"/>
      <c r="W33" s="143"/>
      <c r="X33" s="143"/>
      <c r="Y33" s="143"/>
      <c r="Z33" s="143"/>
    </row>
    <row r="34" ht="13.5" customHeight="1">
      <c r="A34" s="67"/>
      <c r="B34" s="67"/>
      <c r="C34" s="67"/>
      <c r="D34" s="67"/>
      <c r="E34" s="81" t="s">
        <v>2032</v>
      </c>
      <c r="F34" s="82" t="s">
        <v>2034</v>
      </c>
      <c r="G34" s="83" t="s">
        <v>2035</v>
      </c>
      <c r="H34" s="81" t="s">
        <v>88</v>
      </c>
      <c r="I34" s="89" t="s">
        <v>60</v>
      </c>
      <c r="J34" s="83" t="s">
        <v>2037</v>
      </c>
      <c r="K34" s="90"/>
      <c r="L34" s="67"/>
      <c r="M34" s="147"/>
      <c r="N34" s="147"/>
      <c r="O34" s="147"/>
      <c r="P34" s="147"/>
      <c r="Q34" s="81" t="s">
        <v>93</v>
      </c>
      <c r="R34" s="81" t="s">
        <v>94</v>
      </c>
      <c r="S34" s="81" t="s">
        <v>94</v>
      </c>
      <c r="T34" s="148">
        <v>46246.0</v>
      </c>
      <c r="U34" s="143"/>
      <c r="V34" s="30"/>
      <c r="W34" s="143"/>
      <c r="X34" s="143"/>
      <c r="Y34" s="143"/>
      <c r="Z34" s="143"/>
    </row>
    <row r="35" ht="13.5" customHeight="1">
      <c r="A35" s="67"/>
      <c r="B35" s="67"/>
      <c r="C35" s="67"/>
      <c r="D35" s="67"/>
      <c r="E35" s="81" t="s">
        <v>2039</v>
      </c>
      <c r="F35" s="82" t="s">
        <v>2040</v>
      </c>
      <c r="G35" s="83" t="s">
        <v>2041</v>
      </c>
      <c r="H35" s="81" t="s">
        <v>88</v>
      </c>
      <c r="I35" s="89" t="s">
        <v>60</v>
      </c>
      <c r="J35" s="83" t="s">
        <v>2042</v>
      </c>
      <c r="K35" s="90"/>
      <c r="L35" s="67"/>
      <c r="M35" s="147"/>
      <c r="N35" s="147"/>
      <c r="O35" s="147"/>
      <c r="P35" s="147"/>
      <c r="Q35" s="81" t="s">
        <v>93</v>
      </c>
      <c r="R35" s="81" t="s">
        <v>94</v>
      </c>
      <c r="S35" s="81" t="s">
        <v>94</v>
      </c>
      <c r="T35" s="148">
        <v>46246.0</v>
      </c>
      <c r="U35" s="143"/>
      <c r="V35" s="30"/>
      <c r="W35" s="143"/>
      <c r="X35" s="143"/>
      <c r="Y35" s="143"/>
      <c r="Z35" s="143"/>
    </row>
    <row r="36" ht="13.5" customHeight="1">
      <c r="A36" s="67"/>
      <c r="B36" s="67"/>
      <c r="C36" s="67"/>
      <c r="D36" s="67"/>
      <c r="E36" s="81" t="s">
        <v>2046</v>
      </c>
      <c r="F36" s="82" t="s">
        <v>2047</v>
      </c>
      <c r="G36" s="83" t="s">
        <v>2035</v>
      </c>
      <c r="H36" s="81" t="s">
        <v>88</v>
      </c>
      <c r="I36" s="89" t="s">
        <v>60</v>
      </c>
      <c r="J36" s="83" t="s">
        <v>2048</v>
      </c>
      <c r="K36" s="90"/>
      <c r="L36" s="67"/>
      <c r="M36" s="147"/>
      <c r="N36" s="147"/>
      <c r="O36" s="147"/>
      <c r="P36" s="147"/>
      <c r="Q36" s="81" t="s">
        <v>93</v>
      </c>
      <c r="R36" s="81" t="s">
        <v>94</v>
      </c>
      <c r="S36" s="81" t="s">
        <v>94</v>
      </c>
      <c r="T36" s="148">
        <v>46246.0</v>
      </c>
      <c r="U36" s="143"/>
      <c r="V36" s="30"/>
      <c r="W36" s="143"/>
      <c r="X36" s="143"/>
      <c r="Y36" s="143"/>
      <c r="Z36" s="143"/>
    </row>
    <row r="37" ht="13.5" customHeight="1">
      <c r="A37" s="77"/>
      <c r="B37" s="77"/>
      <c r="C37" s="77"/>
      <c r="D37" s="77"/>
      <c r="E37" s="81" t="s">
        <v>2052</v>
      </c>
      <c r="F37" s="82" t="s">
        <v>2053</v>
      </c>
      <c r="G37" s="83" t="s">
        <v>2054</v>
      </c>
      <c r="H37" s="81" t="s">
        <v>88</v>
      </c>
      <c r="I37" s="89" t="s">
        <v>60</v>
      </c>
      <c r="J37" s="83" t="s">
        <v>2055</v>
      </c>
      <c r="K37" s="90"/>
      <c r="L37" s="77"/>
      <c r="M37" s="147"/>
      <c r="N37" s="147"/>
      <c r="O37" s="147"/>
      <c r="P37" s="147"/>
      <c r="Q37" s="81" t="s">
        <v>93</v>
      </c>
      <c r="R37" s="81" t="s">
        <v>94</v>
      </c>
      <c r="S37" s="81" t="s">
        <v>94</v>
      </c>
      <c r="T37" s="148">
        <v>46246.0</v>
      </c>
      <c r="U37" s="143"/>
      <c r="V37" s="30"/>
      <c r="W37" s="143"/>
      <c r="X37" s="143"/>
      <c r="Y37" s="143"/>
      <c r="Z37" s="143"/>
    </row>
    <row r="38" ht="13.5" customHeight="1">
      <c r="A38" s="59" t="s">
        <v>1910</v>
      </c>
      <c r="B38" s="59" t="s">
        <v>345</v>
      </c>
      <c r="C38" s="60" t="s">
        <v>2058</v>
      </c>
      <c r="D38" s="60" t="s">
        <v>2060</v>
      </c>
      <c r="E38" s="61" t="s">
        <v>2061</v>
      </c>
      <c r="F38" s="62" t="s">
        <v>2062</v>
      </c>
      <c r="G38" s="63" t="s">
        <v>2063</v>
      </c>
      <c r="H38" s="61" t="s">
        <v>88</v>
      </c>
      <c r="I38" s="61" t="s">
        <v>60</v>
      </c>
      <c r="J38" s="63" t="s">
        <v>2064</v>
      </c>
      <c r="K38" s="90"/>
      <c r="L38" s="60" t="s">
        <v>1943</v>
      </c>
      <c r="M38" s="61"/>
      <c r="N38" s="61"/>
      <c r="O38" s="61"/>
      <c r="P38" s="61"/>
      <c r="Q38" s="61" t="s">
        <v>93</v>
      </c>
      <c r="R38" s="61" t="s">
        <v>94</v>
      </c>
      <c r="S38" s="61" t="s">
        <v>94</v>
      </c>
      <c r="T38" s="66">
        <v>46246.0</v>
      </c>
      <c r="U38" s="143"/>
      <c r="V38" s="30"/>
      <c r="W38" s="143"/>
      <c r="X38" s="143"/>
      <c r="Y38" s="143"/>
      <c r="Z38" s="143"/>
    </row>
    <row r="39" ht="13.5" customHeight="1">
      <c r="A39" s="67"/>
      <c r="B39" s="67"/>
      <c r="C39" s="67"/>
      <c r="D39" s="67"/>
      <c r="E39" s="61" t="s">
        <v>2068</v>
      </c>
      <c r="F39" s="68"/>
      <c r="G39" s="63" t="s">
        <v>2069</v>
      </c>
      <c r="H39" s="61" t="s">
        <v>88</v>
      </c>
      <c r="I39" s="61" t="s">
        <v>60</v>
      </c>
      <c r="J39" s="63" t="s">
        <v>2070</v>
      </c>
      <c r="K39" s="90"/>
      <c r="L39" s="67"/>
      <c r="M39" s="61"/>
      <c r="N39" s="61"/>
      <c r="O39" s="61"/>
      <c r="P39" s="61"/>
      <c r="Q39" s="61" t="s">
        <v>93</v>
      </c>
      <c r="R39" s="61" t="s">
        <v>94</v>
      </c>
      <c r="S39" s="61" t="s">
        <v>94</v>
      </c>
      <c r="T39" s="66">
        <v>46246.0</v>
      </c>
      <c r="U39" s="143"/>
      <c r="V39" s="30"/>
      <c r="W39" s="143"/>
      <c r="X39" s="143"/>
      <c r="Y39" s="143"/>
      <c r="Z39" s="143"/>
    </row>
    <row r="40" ht="13.5" customHeight="1">
      <c r="A40" s="67"/>
      <c r="B40" s="67"/>
      <c r="C40" s="67"/>
      <c r="D40" s="67"/>
      <c r="E40" s="61" t="s">
        <v>2074</v>
      </c>
      <c r="F40" s="62" t="s">
        <v>2075</v>
      </c>
      <c r="G40" s="63" t="s">
        <v>2076</v>
      </c>
      <c r="H40" s="61" t="s">
        <v>88</v>
      </c>
      <c r="I40" s="61" t="s">
        <v>60</v>
      </c>
      <c r="J40" s="63" t="s">
        <v>2077</v>
      </c>
      <c r="K40" s="90"/>
      <c r="L40" s="67"/>
      <c r="M40" s="61"/>
      <c r="N40" s="61"/>
      <c r="O40" s="61"/>
      <c r="P40" s="61"/>
      <c r="Q40" s="61" t="s">
        <v>93</v>
      </c>
      <c r="R40" s="61" t="s">
        <v>94</v>
      </c>
      <c r="S40" s="61" t="s">
        <v>94</v>
      </c>
      <c r="T40" s="66">
        <v>46246.0</v>
      </c>
      <c r="U40" s="143"/>
      <c r="V40" s="30"/>
      <c r="W40" s="143"/>
      <c r="X40" s="143"/>
      <c r="Y40" s="143"/>
      <c r="Z40" s="143"/>
    </row>
    <row r="41" ht="13.5" customHeight="1">
      <c r="A41" s="67"/>
      <c r="B41" s="67"/>
      <c r="C41" s="67"/>
      <c r="D41" s="67"/>
      <c r="E41" s="61" t="s">
        <v>2081</v>
      </c>
      <c r="F41" s="68"/>
      <c r="G41" s="63" t="s">
        <v>2082</v>
      </c>
      <c r="H41" s="61" t="s">
        <v>88</v>
      </c>
      <c r="I41" s="61" t="s">
        <v>60</v>
      </c>
      <c r="J41" s="63" t="s">
        <v>2083</v>
      </c>
      <c r="K41" s="90"/>
      <c r="L41" s="67"/>
      <c r="M41" s="61"/>
      <c r="N41" s="61"/>
      <c r="O41" s="61"/>
      <c r="P41" s="61"/>
      <c r="Q41" s="61" t="s">
        <v>93</v>
      </c>
      <c r="R41" s="61" t="s">
        <v>94</v>
      </c>
      <c r="S41" s="61" t="s">
        <v>94</v>
      </c>
      <c r="T41" s="66">
        <v>46246.0</v>
      </c>
      <c r="U41" s="143"/>
      <c r="V41" s="30"/>
      <c r="W41" s="143"/>
      <c r="X41" s="143"/>
      <c r="Y41" s="143"/>
      <c r="Z41" s="143"/>
    </row>
    <row r="42" ht="13.5" customHeight="1">
      <c r="A42" s="77"/>
      <c r="B42" s="77"/>
      <c r="C42" s="77"/>
      <c r="D42" s="77"/>
      <c r="E42" s="61" t="s">
        <v>2086</v>
      </c>
      <c r="F42" s="62" t="s">
        <v>2087</v>
      </c>
      <c r="G42" s="63" t="s">
        <v>2089</v>
      </c>
      <c r="H42" s="61" t="s">
        <v>88</v>
      </c>
      <c r="I42" s="61" t="s">
        <v>60</v>
      </c>
      <c r="J42" s="63" t="s">
        <v>2090</v>
      </c>
      <c r="K42" s="90"/>
      <c r="L42" s="77"/>
      <c r="M42" s="61"/>
      <c r="N42" s="61"/>
      <c r="O42" s="61"/>
      <c r="P42" s="61"/>
      <c r="Q42" s="61" t="s">
        <v>93</v>
      </c>
      <c r="R42" s="61" t="s">
        <v>94</v>
      </c>
      <c r="S42" s="61" t="s">
        <v>94</v>
      </c>
      <c r="T42" s="66">
        <v>46246.0</v>
      </c>
      <c r="U42" s="143"/>
      <c r="V42" s="30"/>
      <c r="W42" s="143"/>
      <c r="X42" s="143"/>
      <c r="Y42" s="143"/>
      <c r="Z42" s="143"/>
    </row>
    <row r="43" ht="13.5" customHeight="1">
      <c r="A43" s="138" t="s">
        <v>1910</v>
      </c>
      <c r="B43" s="138" t="s">
        <v>350</v>
      </c>
      <c r="C43" s="138" t="s">
        <v>2091</v>
      </c>
      <c r="D43" s="138" t="s">
        <v>2091</v>
      </c>
      <c r="E43" s="138" t="s">
        <v>2092</v>
      </c>
      <c r="F43" s="138" t="s">
        <v>2091</v>
      </c>
      <c r="G43" s="138" t="s">
        <v>2093</v>
      </c>
      <c r="H43" s="152" t="s">
        <v>1890</v>
      </c>
      <c r="I43" s="152" t="s">
        <v>60</v>
      </c>
      <c r="J43" s="142" t="s">
        <v>2095</v>
      </c>
      <c r="K43" s="153" t="s">
        <v>2096</v>
      </c>
      <c r="L43" s="154"/>
      <c r="M43" s="154"/>
      <c r="N43" s="154"/>
      <c r="O43" s="154"/>
      <c r="P43" s="154"/>
      <c r="Q43" s="152" t="s">
        <v>93</v>
      </c>
      <c r="R43" s="152" t="s">
        <v>94</v>
      </c>
      <c r="S43" s="152" t="s">
        <v>94</v>
      </c>
      <c r="T43" s="155">
        <v>46255.0</v>
      </c>
      <c r="U43" s="143"/>
      <c r="V43" s="30"/>
      <c r="W43" s="143"/>
      <c r="X43" s="143"/>
      <c r="Y43" s="143"/>
      <c r="Z43" s="143"/>
    </row>
    <row r="44" ht="13.5" customHeight="1">
      <c r="A44" s="138" t="s">
        <v>1910</v>
      </c>
      <c r="B44" s="138" t="s">
        <v>357</v>
      </c>
      <c r="C44" s="138" t="s">
        <v>2101</v>
      </c>
      <c r="D44" s="138" t="s">
        <v>2101</v>
      </c>
      <c r="E44" s="138" t="s">
        <v>2103</v>
      </c>
      <c r="F44" s="138" t="s">
        <v>2101</v>
      </c>
      <c r="G44" s="138" t="s">
        <v>2104</v>
      </c>
      <c r="H44" s="152" t="s">
        <v>1890</v>
      </c>
      <c r="I44" s="152" t="s">
        <v>60</v>
      </c>
      <c r="J44" s="138" t="s">
        <v>2105</v>
      </c>
      <c r="K44" s="90"/>
      <c r="L44" s="154"/>
      <c r="M44" s="154"/>
      <c r="N44" s="154"/>
      <c r="O44" s="154"/>
      <c r="P44" s="154"/>
      <c r="Q44" s="152" t="s">
        <v>93</v>
      </c>
      <c r="R44" s="152" t="s">
        <v>94</v>
      </c>
      <c r="S44" s="152" t="s">
        <v>94</v>
      </c>
      <c r="T44" s="155">
        <v>46246.0</v>
      </c>
      <c r="U44" s="143"/>
      <c r="V44" s="30"/>
      <c r="W44" s="143"/>
      <c r="X44" s="143"/>
      <c r="Y44" s="143"/>
      <c r="Z44" s="143"/>
    </row>
    <row r="45" ht="13.5" customHeight="1">
      <c r="A45" s="138" t="s">
        <v>1910</v>
      </c>
      <c r="B45" s="138" t="s">
        <v>363</v>
      </c>
      <c r="C45" s="138" t="s">
        <v>2108</v>
      </c>
      <c r="D45" s="138" t="s">
        <v>2108</v>
      </c>
      <c r="E45" s="138" t="s">
        <v>2110</v>
      </c>
      <c r="F45" s="138" t="s">
        <v>2111</v>
      </c>
      <c r="G45" s="138" t="s">
        <v>2111</v>
      </c>
      <c r="H45" s="152" t="s">
        <v>1890</v>
      </c>
      <c r="I45" s="152" t="s">
        <v>60</v>
      </c>
      <c r="J45" s="138" t="s">
        <v>2113</v>
      </c>
      <c r="K45" s="90"/>
      <c r="L45" s="154"/>
      <c r="M45" s="154"/>
      <c r="N45" s="154"/>
      <c r="O45" s="154"/>
      <c r="P45" s="154"/>
      <c r="Q45" s="152" t="s">
        <v>93</v>
      </c>
      <c r="R45" s="152" t="s">
        <v>94</v>
      </c>
      <c r="S45" s="152" t="s">
        <v>94</v>
      </c>
      <c r="T45" s="155">
        <v>46246.0</v>
      </c>
      <c r="U45" s="143"/>
      <c r="V45" s="30"/>
      <c r="W45" s="143"/>
      <c r="X45" s="143"/>
      <c r="Y45" s="143"/>
      <c r="Z45" s="143"/>
    </row>
    <row r="46" ht="13.5" customHeight="1">
      <c r="A46" s="2"/>
      <c r="B46" s="2"/>
      <c r="C46" s="2"/>
      <c r="D46" s="2"/>
      <c r="E46" s="2"/>
      <c r="F46" s="2"/>
      <c r="G46" s="2"/>
      <c r="H46" s="2"/>
      <c r="I46" s="2"/>
      <c r="J46" s="156"/>
      <c r="K46" s="2"/>
      <c r="L46" s="2"/>
      <c r="M46" s="2"/>
      <c r="N46" s="2"/>
      <c r="O46" s="2"/>
      <c r="P46" s="2"/>
      <c r="Q46" s="157"/>
      <c r="R46" s="157"/>
      <c r="S46" s="157"/>
      <c r="T46" s="158"/>
      <c r="U46" s="2"/>
      <c r="V46" s="30"/>
      <c r="W46" s="2"/>
      <c r="X46" s="2"/>
      <c r="Y46" s="2"/>
      <c r="Z46" s="2"/>
    </row>
    <row r="47" ht="13.5" customHeight="1">
      <c r="A47" s="143"/>
      <c r="B47" s="143"/>
      <c r="C47" s="143"/>
      <c r="D47" s="143"/>
      <c r="E47" s="143"/>
      <c r="F47" s="143"/>
      <c r="G47" s="143"/>
      <c r="H47" s="143"/>
      <c r="I47" s="143"/>
      <c r="J47" s="143"/>
      <c r="K47" s="143"/>
      <c r="L47" s="143"/>
      <c r="M47" s="143"/>
      <c r="N47" s="143"/>
      <c r="O47" s="143"/>
      <c r="P47" s="143"/>
      <c r="Q47" s="159"/>
      <c r="R47" s="159"/>
      <c r="S47" s="159"/>
      <c r="T47" s="160"/>
      <c r="U47" s="143"/>
      <c r="V47" s="30"/>
      <c r="W47" s="143"/>
      <c r="X47" s="143"/>
      <c r="Y47" s="143"/>
      <c r="Z47" s="143"/>
    </row>
    <row r="48" ht="13.5" customHeight="1">
      <c r="A48" s="143"/>
      <c r="B48" s="143"/>
      <c r="C48" s="143"/>
      <c r="D48" s="143"/>
      <c r="E48" s="143"/>
      <c r="F48" s="143"/>
      <c r="G48" s="143"/>
      <c r="H48" s="143"/>
      <c r="I48" s="143"/>
      <c r="J48" s="143"/>
      <c r="K48" s="143"/>
      <c r="L48" s="143"/>
      <c r="M48" s="143"/>
      <c r="N48" s="143"/>
      <c r="O48" s="143"/>
      <c r="P48" s="143"/>
      <c r="Q48" s="159"/>
      <c r="R48" s="159"/>
      <c r="S48" s="159"/>
      <c r="T48" s="160"/>
      <c r="U48" s="143"/>
      <c r="V48" s="30"/>
      <c r="W48" s="143"/>
      <c r="X48" s="143"/>
      <c r="Y48" s="143"/>
      <c r="Z48" s="143"/>
    </row>
    <row r="49" ht="13.5" customHeight="1">
      <c r="A49" s="143"/>
      <c r="B49" s="143"/>
      <c r="C49" s="143"/>
      <c r="D49" s="143"/>
      <c r="E49" s="143"/>
      <c r="F49" s="143"/>
      <c r="G49" s="143"/>
      <c r="H49" s="143"/>
      <c r="I49" s="143"/>
      <c r="J49" s="143"/>
      <c r="K49" s="143"/>
      <c r="L49" s="143"/>
      <c r="M49" s="143"/>
      <c r="N49" s="143"/>
      <c r="O49" s="143"/>
      <c r="P49" s="143"/>
      <c r="Q49" s="159"/>
      <c r="R49" s="159"/>
      <c r="S49" s="159"/>
      <c r="T49" s="160"/>
      <c r="U49" s="143"/>
      <c r="V49" s="30"/>
      <c r="W49" s="143"/>
      <c r="X49" s="143"/>
      <c r="Y49" s="143"/>
      <c r="Z49" s="143"/>
    </row>
    <row r="50" ht="13.5" customHeight="1">
      <c r="A50" s="143"/>
      <c r="B50" s="143"/>
      <c r="C50" s="143"/>
      <c r="D50" s="143"/>
      <c r="E50" s="143"/>
      <c r="F50" s="143"/>
      <c r="G50" s="143"/>
      <c r="H50" s="143"/>
      <c r="I50" s="143"/>
      <c r="J50" s="143"/>
      <c r="K50" s="143"/>
      <c r="L50" s="143"/>
      <c r="M50" s="143"/>
      <c r="N50" s="143"/>
      <c r="O50" s="143"/>
      <c r="P50" s="143"/>
      <c r="Q50" s="159"/>
      <c r="R50" s="159"/>
      <c r="S50" s="159"/>
      <c r="T50" s="160"/>
      <c r="U50" s="143"/>
      <c r="V50" s="30"/>
      <c r="W50" s="143"/>
      <c r="X50" s="143"/>
      <c r="Y50" s="143"/>
      <c r="Z50" s="143"/>
    </row>
    <row r="51" ht="13.5" customHeight="1">
      <c r="A51" s="143"/>
      <c r="B51" s="143"/>
      <c r="C51" s="143"/>
      <c r="D51" s="143"/>
      <c r="E51" s="143"/>
      <c r="F51" s="143"/>
      <c r="G51" s="143"/>
      <c r="H51" s="143"/>
      <c r="I51" s="143"/>
      <c r="J51" s="143"/>
      <c r="K51" s="143"/>
      <c r="L51" s="143"/>
      <c r="M51" s="143"/>
      <c r="N51" s="143"/>
      <c r="O51" s="143"/>
      <c r="P51" s="143"/>
      <c r="Q51" s="159"/>
      <c r="R51" s="159"/>
      <c r="S51" s="159"/>
      <c r="T51" s="160"/>
      <c r="U51" s="143"/>
      <c r="V51" s="30"/>
      <c r="W51" s="143"/>
      <c r="X51" s="143"/>
      <c r="Y51" s="143"/>
      <c r="Z51" s="143"/>
    </row>
    <row r="52" ht="13.5" customHeight="1">
      <c r="A52" s="143"/>
      <c r="B52" s="143"/>
      <c r="C52" s="143"/>
      <c r="D52" s="143"/>
      <c r="E52" s="143"/>
      <c r="F52" s="143"/>
      <c r="G52" s="143"/>
      <c r="H52" s="143"/>
      <c r="I52" s="143"/>
      <c r="J52" s="143"/>
      <c r="K52" s="143"/>
      <c r="L52" s="143"/>
      <c r="M52" s="143"/>
      <c r="N52" s="143"/>
      <c r="O52" s="143"/>
      <c r="P52" s="143"/>
      <c r="Q52" s="159"/>
      <c r="R52" s="159"/>
      <c r="S52" s="159"/>
      <c r="T52" s="160"/>
      <c r="U52" s="143"/>
      <c r="V52" s="30"/>
      <c r="W52" s="143"/>
      <c r="X52" s="143"/>
      <c r="Y52" s="143"/>
      <c r="Z52" s="143"/>
    </row>
    <row r="53" ht="13.5" customHeight="1">
      <c r="A53" s="143"/>
      <c r="B53" s="143"/>
      <c r="C53" s="143"/>
      <c r="D53" s="143"/>
      <c r="E53" s="143"/>
      <c r="F53" s="143"/>
      <c r="G53" s="143"/>
      <c r="H53" s="143"/>
      <c r="I53" s="143"/>
      <c r="J53" s="143"/>
      <c r="K53" s="143"/>
      <c r="L53" s="143"/>
      <c r="M53" s="143"/>
      <c r="N53" s="143"/>
      <c r="O53" s="143"/>
      <c r="P53" s="143"/>
      <c r="Q53" s="159"/>
      <c r="R53" s="159"/>
      <c r="S53" s="159"/>
      <c r="T53" s="160"/>
      <c r="U53" s="143"/>
      <c r="V53" s="30"/>
      <c r="W53" s="143"/>
      <c r="X53" s="143"/>
      <c r="Y53" s="143"/>
      <c r="Z53" s="143"/>
    </row>
    <row r="54" ht="13.5" customHeight="1">
      <c r="A54" s="143"/>
      <c r="B54" s="143"/>
      <c r="C54" s="143"/>
      <c r="D54" s="143"/>
      <c r="E54" s="143"/>
      <c r="F54" s="143"/>
      <c r="G54" s="143"/>
      <c r="H54" s="143"/>
      <c r="I54" s="143"/>
      <c r="J54" s="143"/>
      <c r="K54" s="143"/>
      <c r="L54" s="143"/>
      <c r="M54" s="143"/>
      <c r="N54" s="143"/>
      <c r="O54" s="143"/>
      <c r="P54" s="143"/>
      <c r="Q54" s="159"/>
      <c r="R54" s="159"/>
      <c r="S54" s="159"/>
      <c r="T54" s="160"/>
      <c r="U54" s="143"/>
      <c r="V54" s="30"/>
      <c r="W54" s="143"/>
      <c r="X54" s="143"/>
      <c r="Y54" s="143"/>
      <c r="Z54" s="143"/>
    </row>
    <row r="55" ht="13.5" customHeight="1">
      <c r="A55" s="143"/>
      <c r="B55" s="143"/>
      <c r="C55" s="143"/>
      <c r="D55" s="143"/>
      <c r="E55" s="143"/>
      <c r="F55" s="143"/>
      <c r="G55" s="143"/>
      <c r="H55" s="143"/>
      <c r="I55" s="143"/>
      <c r="J55" s="143"/>
      <c r="K55" s="143"/>
      <c r="L55" s="143"/>
      <c r="M55" s="143"/>
      <c r="N55" s="143"/>
      <c r="O55" s="143"/>
      <c r="P55" s="143"/>
      <c r="Q55" s="159"/>
      <c r="R55" s="159"/>
      <c r="S55" s="159"/>
      <c r="T55" s="160"/>
      <c r="U55" s="143"/>
      <c r="V55" s="30"/>
      <c r="W55" s="143"/>
      <c r="X55" s="143"/>
      <c r="Y55" s="143"/>
      <c r="Z55" s="143"/>
    </row>
    <row r="56" ht="13.5" customHeight="1">
      <c r="A56" s="143"/>
      <c r="B56" s="143"/>
      <c r="C56" s="143"/>
      <c r="D56" s="143"/>
      <c r="E56" s="143"/>
      <c r="F56" s="143"/>
      <c r="G56" s="143"/>
      <c r="H56" s="143"/>
      <c r="I56" s="143"/>
      <c r="J56" s="143"/>
      <c r="K56" s="143"/>
      <c r="L56" s="143"/>
      <c r="M56" s="143"/>
      <c r="N56" s="143"/>
      <c r="O56" s="143"/>
      <c r="P56" s="143"/>
      <c r="Q56" s="159"/>
      <c r="R56" s="159"/>
      <c r="S56" s="159"/>
      <c r="T56" s="160"/>
      <c r="U56" s="143"/>
      <c r="V56" s="30"/>
      <c r="W56" s="143"/>
      <c r="X56" s="143"/>
      <c r="Y56" s="143"/>
      <c r="Z56" s="143"/>
    </row>
    <row r="57" ht="13.5" customHeight="1">
      <c r="A57" s="143"/>
      <c r="B57" s="143"/>
      <c r="C57" s="143"/>
      <c r="D57" s="143"/>
      <c r="E57" s="143"/>
      <c r="F57" s="143"/>
      <c r="G57" s="143"/>
      <c r="H57" s="143"/>
      <c r="I57" s="143"/>
      <c r="J57" s="143"/>
      <c r="K57" s="143"/>
      <c r="L57" s="143"/>
      <c r="M57" s="143"/>
      <c r="N57" s="143"/>
      <c r="O57" s="143"/>
      <c r="P57" s="143"/>
      <c r="Q57" s="159"/>
      <c r="R57" s="159"/>
      <c r="S57" s="159"/>
      <c r="T57" s="160"/>
      <c r="U57" s="143"/>
      <c r="V57" s="30"/>
      <c r="W57" s="143"/>
      <c r="X57" s="143"/>
      <c r="Y57" s="143"/>
      <c r="Z57" s="143"/>
    </row>
    <row r="58" ht="13.5" customHeight="1">
      <c r="A58" s="143"/>
      <c r="B58" s="143"/>
      <c r="C58" s="143"/>
      <c r="D58" s="143"/>
      <c r="E58" s="143"/>
      <c r="F58" s="143"/>
      <c r="G58" s="143"/>
      <c r="H58" s="143"/>
      <c r="I58" s="143"/>
      <c r="J58" s="143"/>
      <c r="K58" s="143"/>
      <c r="L58" s="143"/>
      <c r="M58" s="143"/>
      <c r="N58" s="143"/>
      <c r="O58" s="143"/>
      <c r="P58" s="143"/>
      <c r="Q58" s="159"/>
      <c r="R58" s="159"/>
      <c r="S58" s="159"/>
      <c r="T58" s="160"/>
      <c r="U58" s="143"/>
      <c r="V58" s="30"/>
      <c r="W58" s="143"/>
      <c r="X58" s="143"/>
      <c r="Y58" s="143"/>
      <c r="Z58" s="143"/>
    </row>
    <row r="59" ht="13.5" customHeight="1">
      <c r="A59" s="143"/>
      <c r="B59" s="143"/>
      <c r="C59" s="143"/>
      <c r="D59" s="143"/>
      <c r="E59" s="143"/>
      <c r="F59" s="143"/>
      <c r="G59" s="143"/>
      <c r="H59" s="143"/>
      <c r="I59" s="143"/>
      <c r="J59" s="143"/>
      <c r="K59" s="143"/>
      <c r="L59" s="143"/>
      <c r="M59" s="143"/>
      <c r="N59" s="143"/>
      <c r="O59" s="143"/>
      <c r="P59" s="143"/>
      <c r="Q59" s="159"/>
      <c r="R59" s="159"/>
      <c r="S59" s="159"/>
      <c r="T59" s="160"/>
      <c r="U59" s="143"/>
      <c r="V59" s="30"/>
      <c r="W59" s="143"/>
      <c r="X59" s="143"/>
      <c r="Y59" s="143"/>
      <c r="Z59" s="143"/>
    </row>
    <row r="60" ht="13.5" customHeight="1">
      <c r="A60" s="143"/>
      <c r="B60" s="143"/>
      <c r="C60" s="143"/>
      <c r="D60" s="143"/>
      <c r="E60" s="143"/>
      <c r="F60" s="143"/>
      <c r="G60" s="143"/>
      <c r="H60" s="143"/>
      <c r="I60" s="143"/>
      <c r="J60" s="143"/>
      <c r="K60" s="143"/>
      <c r="L60" s="143"/>
      <c r="M60" s="143"/>
      <c r="N60" s="143"/>
      <c r="O60" s="143"/>
      <c r="P60" s="143"/>
      <c r="Q60" s="159"/>
      <c r="R60" s="159"/>
      <c r="S60" s="159"/>
      <c r="T60" s="160"/>
      <c r="U60" s="143"/>
      <c r="V60" s="30"/>
      <c r="W60" s="143"/>
      <c r="X60" s="143"/>
      <c r="Y60" s="143"/>
      <c r="Z60" s="143"/>
    </row>
    <row r="61" ht="13.5" customHeight="1">
      <c r="A61" s="143"/>
      <c r="B61" s="143"/>
      <c r="C61" s="143"/>
      <c r="D61" s="143"/>
      <c r="E61" s="143"/>
      <c r="F61" s="143"/>
      <c r="G61" s="143"/>
      <c r="H61" s="143"/>
      <c r="I61" s="143"/>
      <c r="J61" s="143"/>
      <c r="K61" s="143"/>
      <c r="L61" s="143"/>
      <c r="M61" s="143"/>
      <c r="N61" s="143"/>
      <c r="O61" s="143"/>
      <c r="P61" s="143"/>
      <c r="Q61" s="159"/>
      <c r="R61" s="159"/>
      <c r="S61" s="159"/>
      <c r="T61" s="160"/>
      <c r="U61" s="143"/>
      <c r="V61" s="30"/>
      <c r="W61" s="143"/>
      <c r="X61" s="143"/>
      <c r="Y61" s="143"/>
      <c r="Z61" s="143"/>
    </row>
    <row r="62" ht="13.5" customHeight="1">
      <c r="A62" s="143"/>
      <c r="B62" s="143"/>
      <c r="C62" s="143"/>
      <c r="D62" s="143"/>
      <c r="E62" s="143"/>
      <c r="F62" s="143"/>
      <c r="G62" s="143"/>
      <c r="H62" s="143"/>
      <c r="I62" s="143"/>
      <c r="J62" s="143"/>
      <c r="K62" s="143"/>
      <c r="L62" s="143"/>
      <c r="M62" s="143"/>
      <c r="N62" s="143"/>
      <c r="O62" s="143"/>
      <c r="P62" s="143"/>
      <c r="Q62" s="159"/>
      <c r="R62" s="159"/>
      <c r="S62" s="159"/>
      <c r="T62" s="160"/>
      <c r="U62" s="143"/>
      <c r="V62" s="30"/>
      <c r="W62" s="143"/>
      <c r="X62" s="143"/>
      <c r="Y62" s="143"/>
      <c r="Z62" s="143"/>
    </row>
    <row r="63" ht="13.5" customHeight="1">
      <c r="A63" s="143"/>
      <c r="B63" s="143"/>
      <c r="C63" s="143"/>
      <c r="D63" s="143"/>
      <c r="E63" s="143"/>
      <c r="F63" s="143"/>
      <c r="G63" s="143"/>
      <c r="H63" s="143"/>
      <c r="I63" s="143"/>
      <c r="J63" s="143"/>
      <c r="K63" s="143"/>
      <c r="L63" s="143"/>
      <c r="M63" s="143"/>
      <c r="N63" s="143"/>
      <c r="O63" s="143"/>
      <c r="P63" s="143"/>
      <c r="Q63" s="159"/>
      <c r="R63" s="159"/>
      <c r="S63" s="159"/>
      <c r="T63" s="160"/>
      <c r="U63" s="143"/>
      <c r="V63" s="30"/>
      <c r="W63" s="143"/>
      <c r="X63" s="143"/>
      <c r="Y63" s="143"/>
      <c r="Z63" s="143"/>
    </row>
    <row r="64" ht="13.5" customHeight="1">
      <c r="A64" s="143"/>
      <c r="B64" s="143"/>
      <c r="C64" s="143"/>
      <c r="D64" s="143"/>
      <c r="E64" s="143"/>
      <c r="F64" s="143"/>
      <c r="G64" s="143"/>
      <c r="H64" s="143"/>
      <c r="I64" s="143"/>
      <c r="J64" s="143"/>
      <c r="K64" s="143"/>
      <c r="L64" s="143"/>
      <c r="M64" s="143"/>
      <c r="N64" s="143"/>
      <c r="O64" s="143"/>
      <c r="P64" s="143"/>
      <c r="Q64" s="159"/>
      <c r="R64" s="159"/>
      <c r="S64" s="159"/>
      <c r="T64" s="160"/>
      <c r="U64" s="143"/>
      <c r="V64" s="30"/>
      <c r="W64" s="143"/>
      <c r="X64" s="143"/>
      <c r="Y64" s="143"/>
      <c r="Z64" s="143"/>
    </row>
    <row r="65" ht="13.5" customHeight="1">
      <c r="A65" s="143"/>
      <c r="B65" s="143"/>
      <c r="C65" s="143"/>
      <c r="D65" s="143"/>
      <c r="E65" s="143"/>
      <c r="F65" s="143"/>
      <c r="G65" s="143"/>
      <c r="H65" s="143"/>
      <c r="I65" s="143"/>
      <c r="J65" s="143"/>
      <c r="K65" s="143"/>
      <c r="L65" s="143"/>
      <c r="M65" s="143"/>
      <c r="N65" s="143"/>
      <c r="O65" s="143"/>
      <c r="P65" s="143"/>
      <c r="Q65" s="159"/>
      <c r="R65" s="159"/>
      <c r="S65" s="159"/>
      <c r="T65" s="160"/>
      <c r="U65" s="143"/>
      <c r="V65" s="30"/>
      <c r="W65" s="143"/>
      <c r="X65" s="143"/>
      <c r="Y65" s="143"/>
      <c r="Z65" s="143"/>
    </row>
    <row r="66" ht="13.5" customHeight="1">
      <c r="A66" s="143"/>
      <c r="B66" s="143"/>
      <c r="C66" s="143"/>
      <c r="D66" s="143"/>
      <c r="E66" s="143"/>
      <c r="F66" s="143"/>
      <c r="G66" s="143"/>
      <c r="H66" s="143"/>
      <c r="I66" s="143"/>
      <c r="J66" s="143"/>
      <c r="K66" s="143"/>
      <c r="L66" s="143"/>
      <c r="M66" s="143"/>
      <c r="N66" s="143"/>
      <c r="O66" s="143"/>
      <c r="P66" s="143"/>
      <c r="Q66" s="159"/>
      <c r="R66" s="159"/>
      <c r="S66" s="159"/>
      <c r="T66" s="160"/>
      <c r="U66" s="143"/>
      <c r="V66" s="30"/>
      <c r="W66" s="143"/>
      <c r="X66" s="143"/>
      <c r="Y66" s="143"/>
      <c r="Z66" s="143"/>
    </row>
    <row r="67" ht="13.5" customHeight="1">
      <c r="A67" s="143"/>
      <c r="B67" s="143"/>
      <c r="C67" s="143"/>
      <c r="D67" s="143"/>
      <c r="E67" s="143"/>
      <c r="F67" s="143"/>
      <c r="G67" s="143"/>
      <c r="H67" s="143"/>
      <c r="I67" s="143"/>
      <c r="J67" s="143"/>
      <c r="K67" s="143"/>
      <c r="L67" s="143"/>
      <c r="M67" s="143"/>
      <c r="N67" s="143"/>
      <c r="O67" s="143"/>
      <c r="P67" s="143"/>
      <c r="Q67" s="159"/>
      <c r="R67" s="159"/>
      <c r="S67" s="159"/>
      <c r="T67" s="160"/>
      <c r="U67" s="143"/>
      <c r="V67" s="30"/>
      <c r="W67" s="143"/>
      <c r="X67" s="143"/>
      <c r="Y67" s="143"/>
      <c r="Z67" s="143"/>
    </row>
    <row r="68" ht="13.5" customHeight="1">
      <c r="A68" s="143"/>
      <c r="B68" s="143"/>
      <c r="C68" s="143"/>
      <c r="D68" s="143"/>
      <c r="E68" s="143"/>
      <c r="F68" s="143"/>
      <c r="G68" s="143"/>
      <c r="H68" s="143"/>
      <c r="I68" s="143"/>
      <c r="J68" s="143"/>
      <c r="K68" s="143"/>
      <c r="L68" s="143"/>
      <c r="M68" s="143"/>
      <c r="N68" s="143"/>
      <c r="O68" s="143"/>
      <c r="P68" s="143"/>
      <c r="Q68" s="159"/>
      <c r="R68" s="159"/>
      <c r="S68" s="159"/>
      <c r="T68" s="160"/>
      <c r="U68" s="143"/>
      <c r="V68" s="30"/>
      <c r="W68" s="143"/>
      <c r="X68" s="143"/>
      <c r="Y68" s="143"/>
      <c r="Z68" s="143"/>
    </row>
    <row r="69" ht="13.5" customHeight="1">
      <c r="A69" s="143"/>
      <c r="B69" s="143"/>
      <c r="C69" s="143"/>
      <c r="D69" s="143"/>
      <c r="E69" s="143"/>
      <c r="F69" s="143"/>
      <c r="G69" s="143"/>
      <c r="H69" s="143"/>
      <c r="I69" s="143"/>
      <c r="J69" s="143"/>
      <c r="K69" s="143"/>
      <c r="L69" s="143"/>
      <c r="M69" s="143"/>
      <c r="N69" s="143"/>
      <c r="O69" s="143"/>
      <c r="P69" s="143"/>
      <c r="Q69" s="159"/>
      <c r="R69" s="159"/>
      <c r="S69" s="159"/>
      <c r="T69" s="160"/>
      <c r="U69" s="143"/>
      <c r="V69" s="30"/>
      <c r="W69" s="143"/>
      <c r="X69" s="143"/>
      <c r="Y69" s="143"/>
      <c r="Z69" s="143"/>
    </row>
    <row r="70" ht="13.5" customHeight="1">
      <c r="A70" s="143"/>
      <c r="B70" s="143"/>
      <c r="C70" s="143"/>
      <c r="D70" s="143"/>
      <c r="E70" s="143"/>
      <c r="F70" s="143"/>
      <c r="G70" s="143"/>
      <c r="H70" s="143"/>
      <c r="I70" s="143"/>
      <c r="J70" s="143"/>
      <c r="K70" s="143"/>
      <c r="L70" s="143"/>
      <c r="M70" s="143"/>
      <c r="N70" s="143"/>
      <c r="O70" s="143"/>
      <c r="P70" s="143"/>
      <c r="Q70" s="159"/>
      <c r="R70" s="159"/>
      <c r="S70" s="159"/>
      <c r="T70" s="160"/>
      <c r="U70" s="143"/>
      <c r="V70" s="30"/>
      <c r="W70" s="143"/>
      <c r="X70" s="143"/>
      <c r="Y70" s="143"/>
      <c r="Z70" s="143"/>
    </row>
    <row r="71" ht="13.5" customHeight="1">
      <c r="A71" s="143"/>
      <c r="B71" s="143"/>
      <c r="C71" s="143"/>
      <c r="D71" s="143"/>
      <c r="E71" s="143"/>
      <c r="F71" s="143"/>
      <c r="G71" s="143"/>
      <c r="H71" s="143"/>
      <c r="I71" s="143"/>
      <c r="J71" s="143"/>
      <c r="K71" s="143"/>
      <c r="L71" s="143"/>
      <c r="M71" s="143"/>
      <c r="N71" s="143"/>
      <c r="O71" s="143"/>
      <c r="P71" s="143"/>
      <c r="Q71" s="159"/>
      <c r="R71" s="159"/>
      <c r="S71" s="159"/>
      <c r="T71" s="160"/>
      <c r="U71" s="143"/>
      <c r="V71" s="30"/>
      <c r="W71" s="143"/>
      <c r="X71" s="143"/>
      <c r="Y71" s="143"/>
      <c r="Z71" s="143"/>
    </row>
    <row r="72" ht="13.5" customHeight="1">
      <c r="A72" s="143"/>
      <c r="B72" s="143"/>
      <c r="C72" s="143"/>
      <c r="D72" s="143"/>
      <c r="E72" s="143"/>
      <c r="F72" s="143"/>
      <c r="G72" s="143"/>
      <c r="H72" s="143"/>
      <c r="I72" s="143"/>
      <c r="J72" s="143"/>
      <c r="K72" s="143"/>
      <c r="L72" s="143"/>
      <c r="M72" s="143"/>
      <c r="N72" s="143"/>
      <c r="O72" s="143"/>
      <c r="P72" s="143"/>
      <c r="Q72" s="159"/>
      <c r="R72" s="159"/>
      <c r="S72" s="159"/>
      <c r="T72" s="160"/>
      <c r="U72" s="143"/>
      <c r="V72" s="30"/>
      <c r="W72" s="143"/>
      <c r="X72" s="143"/>
      <c r="Y72" s="143"/>
      <c r="Z72" s="143"/>
    </row>
    <row r="73" ht="13.5" customHeight="1">
      <c r="A73" s="143"/>
      <c r="B73" s="143"/>
      <c r="C73" s="143"/>
      <c r="D73" s="143"/>
      <c r="E73" s="143"/>
      <c r="F73" s="143"/>
      <c r="G73" s="143"/>
      <c r="H73" s="143"/>
      <c r="I73" s="143"/>
      <c r="J73" s="143"/>
      <c r="K73" s="143"/>
      <c r="L73" s="143"/>
      <c r="M73" s="143"/>
      <c r="N73" s="143"/>
      <c r="O73" s="143"/>
      <c r="P73" s="143"/>
      <c r="Q73" s="159"/>
      <c r="R73" s="159"/>
      <c r="S73" s="159"/>
      <c r="T73" s="160"/>
      <c r="U73" s="143"/>
      <c r="V73" s="30"/>
      <c r="W73" s="143"/>
      <c r="X73" s="143"/>
      <c r="Y73" s="143"/>
      <c r="Z73" s="143"/>
    </row>
    <row r="74" ht="13.5" customHeight="1">
      <c r="A74" s="143"/>
      <c r="B74" s="143"/>
      <c r="C74" s="143"/>
      <c r="D74" s="143"/>
      <c r="E74" s="143"/>
      <c r="F74" s="143"/>
      <c r="G74" s="143"/>
      <c r="H74" s="143"/>
      <c r="I74" s="143"/>
      <c r="J74" s="143"/>
      <c r="K74" s="143"/>
      <c r="L74" s="143"/>
      <c r="M74" s="143"/>
      <c r="N74" s="143"/>
      <c r="O74" s="143"/>
      <c r="P74" s="143"/>
      <c r="Q74" s="159"/>
      <c r="R74" s="159"/>
      <c r="S74" s="159"/>
      <c r="T74" s="160"/>
      <c r="U74" s="143"/>
      <c r="V74" s="30"/>
      <c r="W74" s="143"/>
      <c r="X74" s="143"/>
      <c r="Y74" s="143"/>
      <c r="Z74" s="143"/>
    </row>
    <row r="75" ht="13.5" customHeight="1">
      <c r="A75" s="143"/>
      <c r="B75" s="143"/>
      <c r="C75" s="143"/>
      <c r="D75" s="143"/>
      <c r="E75" s="143"/>
      <c r="F75" s="143"/>
      <c r="G75" s="143"/>
      <c r="H75" s="143"/>
      <c r="I75" s="143"/>
      <c r="J75" s="143"/>
      <c r="K75" s="143"/>
      <c r="L75" s="143"/>
      <c r="M75" s="143"/>
      <c r="N75" s="143"/>
      <c r="O75" s="143"/>
      <c r="P75" s="143"/>
      <c r="Q75" s="159"/>
      <c r="R75" s="159"/>
      <c r="S75" s="159"/>
      <c r="T75" s="160"/>
      <c r="U75" s="143"/>
      <c r="V75" s="30"/>
      <c r="W75" s="143"/>
      <c r="X75" s="143"/>
      <c r="Y75" s="143"/>
      <c r="Z75" s="143"/>
    </row>
    <row r="76" ht="13.5" customHeight="1">
      <c r="A76" s="143"/>
      <c r="B76" s="143"/>
      <c r="C76" s="143"/>
      <c r="D76" s="143"/>
      <c r="E76" s="143"/>
      <c r="F76" s="143"/>
      <c r="G76" s="143"/>
      <c r="H76" s="143"/>
      <c r="I76" s="143"/>
      <c r="J76" s="143"/>
      <c r="K76" s="143"/>
      <c r="L76" s="143"/>
      <c r="M76" s="143"/>
      <c r="N76" s="143"/>
      <c r="O76" s="143"/>
      <c r="P76" s="143"/>
      <c r="Q76" s="159"/>
      <c r="R76" s="159"/>
      <c r="S76" s="159"/>
      <c r="T76" s="160"/>
      <c r="U76" s="143"/>
      <c r="V76" s="30"/>
      <c r="W76" s="143"/>
      <c r="X76" s="143"/>
      <c r="Y76" s="143"/>
      <c r="Z76" s="143"/>
    </row>
    <row r="77" ht="13.5" customHeight="1">
      <c r="A77" s="143"/>
      <c r="B77" s="143"/>
      <c r="C77" s="143"/>
      <c r="D77" s="143"/>
      <c r="E77" s="143"/>
      <c r="F77" s="143"/>
      <c r="G77" s="143"/>
      <c r="H77" s="143"/>
      <c r="I77" s="143"/>
      <c r="J77" s="143"/>
      <c r="K77" s="143"/>
      <c r="L77" s="143"/>
      <c r="M77" s="143"/>
      <c r="N77" s="143"/>
      <c r="O77" s="143"/>
      <c r="P77" s="143"/>
      <c r="Q77" s="159"/>
      <c r="R77" s="159"/>
      <c r="S77" s="159"/>
      <c r="T77" s="160"/>
      <c r="U77" s="143"/>
      <c r="V77" s="30"/>
      <c r="W77" s="143"/>
      <c r="X77" s="143"/>
      <c r="Y77" s="143"/>
      <c r="Z77" s="143"/>
    </row>
    <row r="78" ht="13.5" customHeight="1">
      <c r="A78" s="143"/>
      <c r="B78" s="143"/>
      <c r="C78" s="143"/>
      <c r="D78" s="143"/>
      <c r="E78" s="143"/>
      <c r="F78" s="143"/>
      <c r="G78" s="143"/>
      <c r="H78" s="143"/>
      <c r="I78" s="143"/>
      <c r="J78" s="143"/>
      <c r="K78" s="143"/>
      <c r="L78" s="143"/>
      <c r="M78" s="143"/>
      <c r="N78" s="143"/>
      <c r="O78" s="143"/>
      <c r="P78" s="143"/>
      <c r="Q78" s="159"/>
      <c r="R78" s="159"/>
      <c r="S78" s="159"/>
      <c r="T78" s="160"/>
      <c r="U78" s="143"/>
      <c r="V78" s="30"/>
      <c r="W78" s="143"/>
      <c r="X78" s="143"/>
      <c r="Y78" s="143"/>
      <c r="Z78" s="143"/>
    </row>
    <row r="79" ht="13.5" customHeight="1">
      <c r="A79" s="143"/>
      <c r="B79" s="143"/>
      <c r="C79" s="143"/>
      <c r="D79" s="143"/>
      <c r="E79" s="143"/>
      <c r="F79" s="143"/>
      <c r="G79" s="143"/>
      <c r="H79" s="143"/>
      <c r="I79" s="143"/>
      <c r="J79" s="143"/>
      <c r="K79" s="143"/>
      <c r="L79" s="143"/>
      <c r="M79" s="143"/>
      <c r="N79" s="143"/>
      <c r="O79" s="143"/>
      <c r="P79" s="143"/>
      <c r="Q79" s="159"/>
      <c r="R79" s="159"/>
      <c r="S79" s="159"/>
      <c r="T79" s="160"/>
      <c r="U79" s="143"/>
      <c r="V79" s="30"/>
      <c r="W79" s="143"/>
      <c r="X79" s="143"/>
      <c r="Y79" s="143"/>
      <c r="Z79" s="143"/>
    </row>
    <row r="80" ht="13.5" customHeight="1">
      <c r="A80" s="143"/>
      <c r="B80" s="143"/>
      <c r="C80" s="143"/>
      <c r="D80" s="143"/>
      <c r="E80" s="143"/>
      <c r="F80" s="143"/>
      <c r="G80" s="143"/>
      <c r="H80" s="143"/>
      <c r="I80" s="143"/>
      <c r="J80" s="143"/>
      <c r="K80" s="143"/>
      <c r="L80" s="143"/>
      <c r="M80" s="143"/>
      <c r="N80" s="143"/>
      <c r="O80" s="143"/>
      <c r="P80" s="143"/>
      <c r="Q80" s="159"/>
      <c r="R80" s="159"/>
      <c r="S80" s="159"/>
      <c r="T80" s="160"/>
      <c r="U80" s="143"/>
      <c r="V80" s="30"/>
      <c r="W80" s="143"/>
      <c r="X80" s="143"/>
      <c r="Y80" s="143"/>
      <c r="Z80" s="143"/>
    </row>
    <row r="81" ht="13.5" customHeight="1">
      <c r="A81" s="143"/>
      <c r="B81" s="143"/>
      <c r="C81" s="143"/>
      <c r="D81" s="143"/>
      <c r="E81" s="143"/>
      <c r="F81" s="143"/>
      <c r="G81" s="143"/>
      <c r="H81" s="143"/>
      <c r="I81" s="143"/>
      <c r="J81" s="143"/>
      <c r="K81" s="143"/>
      <c r="L81" s="143"/>
      <c r="M81" s="143"/>
      <c r="N81" s="143"/>
      <c r="O81" s="143"/>
      <c r="P81" s="143"/>
      <c r="Q81" s="159"/>
      <c r="R81" s="159"/>
      <c r="S81" s="159"/>
      <c r="T81" s="160"/>
      <c r="U81" s="143"/>
      <c r="V81" s="30"/>
      <c r="W81" s="143"/>
      <c r="X81" s="143"/>
      <c r="Y81" s="143"/>
      <c r="Z81" s="143"/>
    </row>
    <row r="82" ht="13.5" customHeight="1">
      <c r="A82" s="143"/>
      <c r="B82" s="143"/>
      <c r="C82" s="143"/>
      <c r="D82" s="143"/>
      <c r="E82" s="143"/>
      <c r="F82" s="143"/>
      <c r="G82" s="143"/>
      <c r="H82" s="143"/>
      <c r="I82" s="143"/>
      <c r="J82" s="143"/>
      <c r="K82" s="143"/>
      <c r="L82" s="143"/>
      <c r="M82" s="143"/>
      <c r="N82" s="143"/>
      <c r="O82" s="143"/>
      <c r="P82" s="143"/>
      <c r="Q82" s="159"/>
      <c r="R82" s="159"/>
      <c r="S82" s="159"/>
      <c r="T82" s="160"/>
      <c r="U82" s="143"/>
      <c r="V82" s="30"/>
      <c r="W82" s="143"/>
      <c r="X82" s="143"/>
      <c r="Y82" s="143"/>
      <c r="Z82" s="143"/>
    </row>
    <row r="83" ht="13.5" customHeight="1">
      <c r="A83" s="143"/>
      <c r="B83" s="143"/>
      <c r="C83" s="143"/>
      <c r="D83" s="143"/>
      <c r="E83" s="143"/>
      <c r="F83" s="143"/>
      <c r="G83" s="143"/>
      <c r="H83" s="143"/>
      <c r="I83" s="143"/>
      <c r="J83" s="143"/>
      <c r="K83" s="143"/>
      <c r="L83" s="143"/>
      <c r="M83" s="143"/>
      <c r="N83" s="143"/>
      <c r="O83" s="143"/>
      <c r="P83" s="143"/>
      <c r="Q83" s="159"/>
      <c r="R83" s="159"/>
      <c r="S83" s="159"/>
      <c r="T83" s="160"/>
      <c r="U83" s="143"/>
      <c r="V83" s="30"/>
      <c r="W83" s="143"/>
      <c r="X83" s="143"/>
      <c r="Y83" s="143"/>
      <c r="Z83" s="143"/>
    </row>
    <row r="84" ht="13.5" customHeight="1">
      <c r="A84" s="143"/>
      <c r="B84" s="143"/>
      <c r="C84" s="143"/>
      <c r="D84" s="143"/>
      <c r="E84" s="143"/>
      <c r="F84" s="143"/>
      <c r="G84" s="143"/>
      <c r="H84" s="143"/>
      <c r="I84" s="143"/>
      <c r="J84" s="143"/>
      <c r="K84" s="143"/>
      <c r="L84" s="143"/>
      <c r="M84" s="143"/>
      <c r="N84" s="143"/>
      <c r="O84" s="143"/>
      <c r="P84" s="143"/>
      <c r="Q84" s="159"/>
      <c r="R84" s="159"/>
      <c r="S84" s="159"/>
      <c r="T84" s="160"/>
      <c r="U84" s="143"/>
      <c r="V84" s="30"/>
      <c r="W84" s="143"/>
      <c r="X84" s="143"/>
      <c r="Y84" s="143"/>
      <c r="Z84" s="143"/>
    </row>
    <row r="85" ht="13.5" customHeight="1">
      <c r="A85" s="143"/>
      <c r="B85" s="143"/>
      <c r="C85" s="143"/>
      <c r="D85" s="143"/>
      <c r="E85" s="143"/>
      <c r="F85" s="143"/>
      <c r="G85" s="143"/>
      <c r="H85" s="143"/>
      <c r="I85" s="143"/>
      <c r="J85" s="143"/>
      <c r="K85" s="143"/>
      <c r="L85" s="143"/>
      <c r="M85" s="143"/>
      <c r="N85" s="143"/>
      <c r="O85" s="143"/>
      <c r="P85" s="143"/>
      <c r="Q85" s="159"/>
      <c r="R85" s="159"/>
      <c r="S85" s="159"/>
      <c r="T85" s="160"/>
      <c r="U85" s="143"/>
      <c r="V85" s="30"/>
      <c r="W85" s="143"/>
      <c r="X85" s="143"/>
      <c r="Y85" s="143"/>
      <c r="Z85" s="143"/>
    </row>
    <row r="86" ht="13.5" customHeight="1">
      <c r="A86" s="143"/>
      <c r="B86" s="143"/>
      <c r="C86" s="143"/>
      <c r="D86" s="143"/>
      <c r="E86" s="143"/>
      <c r="F86" s="143"/>
      <c r="G86" s="143"/>
      <c r="H86" s="143"/>
      <c r="I86" s="143"/>
      <c r="J86" s="143"/>
      <c r="K86" s="143"/>
      <c r="L86" s="143"/>
      <c r="M86" s="143"/>
      <c r="N86" s="143"/>
      <c r="O86" s="143"/>
      <c r="P86" s="143"/>
      <c r="Q86" s="159"/>
      <c r="R86" s="159"/>
      <c r="S86" s="159"/>
      <c r="T86" s="160"/>
      <c r="U86" s="143"/>
      <c r="V86" s="30"/>
      <c r="W86" s="143"/>
      <c r="X86" s="143"/>
      <c r="Y86" s="143"/>
      <c r="Z86" s="143"/>
    </row>
    <row r="87" ht="13.5" customHeight="1">
      <c r="A87" s="143"/>
      <c r="B87" s="143"/>
      <c r="C87" s="143"/>
      <c r="D87" s="143"/>
      <c r="E87" s="143"/>
      <c r="F87" s="143"/>
      <c r="G87" s="143"/>
      <c r="H87" s="143"/>
      <c r="I87" s="143"/>
      <c r="J87" s="143"/>
      <c r="K87" s="143"/>
      <c r="L87" s="143"/>
      <c r="M87" s="143"/>
      <c r="N87" s="143"/>
      <c r="O87" s="143"/>
      <c r="P87" s="143"/>
      <c r="Q87" s="159"/>
      <c r="R87" s="159"/>
      <c r="S87" s="159"/>
      <c r="T87" s="160"/>
      <c r="U87" s="143"/>
      <c r="V87" s="30"/>
      <c r="W87" s="143"/>
      <c r="X87" s="143"/>
      <c r="Y87" s="143"/>
      <c r="Z87" s="143"/>
    </row>
    <row r="88" ht="13.5" customHeight="1">
      <c r="A88" s="143"/>
      <c r="B88" s="143"/>
      <c r="C88" s="143"/>
      <c r="D88" s="143"/>
      <c r="E88" s="143"/>
      <c r="F88" s="143"/>
      <c r="G88" s="143"/>
      <c r="H88" s="143"/>
      <c r="I88" s="143"/>
      <c r="J88" s="143"/>
      <c r="K88" s="143"/>
      <c r="L88" s="143"/>
      <c r="M88" s="143"/>
      <c r="N88" s="143"/>
      <c r="O88" s="143"/>
      <c r="P88" s="143"/>
      <c r="Q88" s="159"/>
      <c r="R88" s="159"/>
      <c r="S88" s="159"/>
      <c r="T88" s="160"/>
      <c r="U88" s="143"/>
      <c r="V88" s="30"/>
      <c r="W88" s="143"/>
      <c r="X88" s="143"/>
      <c r="Y88" s="143"/>
      <c r="Z88" s="143"/>
    </row>
    <row r="89" ht="13.5" customHeight="1">
      <c r="A89" s="143"/>
      <c r="B89" s="143"/>
      <c r="C89" s="143"/>
      <c r="D89" s="143"/>
      <c r="E89" s="143"/>
      <c r="F89" s="143"/>
      <c r="G89" s="143"/>
      <c r="H89" s="143"/>
      <c r="I89" s="143"/>
      <c r="J89" s="143"/>
      <c r="K89" s="143"/>
      <c r="L89" s="143"/>
      <c r="M89" s="143"/>
      <c r="N89" s="143"/>
      <c r="O89" s="143"/>
      <c r="P89" s="143"/>
      <c r="Q89" s="159"/>
      <c r="R89" s="159"/>
      <c r="S89" s="159"/>
      <c r="T89" s="160"/>
      <c r="U89" s="143"/>
      <c r="V89" s="30"/>
      <c r="W89" s="143"/>
      <c r="X89" s="143"/>
      <c r="Y89" s="143"/>
      <c r="Z89" s="143"/>
    </row>
    <row r="90" ht="13.5" customHeight="1">
      <c r="A90" s="143"/>
      <c r="B90" s="143"/>
      <c r="C90" s="143"/>
      <c r="D90" s="143"/>
      <c r="E90" s="143"/>
      <c r="F90" s="143"/>
      <c r="G90" s="143"/>
      <c r="H90" s="143"/>
      <c r="I90" s="143"/>
      <c r="J90" s="143"/>
      <c r="K90" s="143"/>
      <c r="L90" s="143"/>
      <c r="M90" s="143"/>
      <c r="N90" s="143"/>
      <c r="O90" s="143"/>
      <c r="P90" s="143"/>
      <c r="Q90" s="159"/>
      <c r="R90" s="159"/>
      <c r="S90" s="159"/>
      <c r="T90" s="160"/>
      <c r="U90" s="143"/>
      <c r="V90" s="30"/>
      <c r="W90" s="143"/>
      <c r="X90" s="143"/>
      <c r="Y90" s="143"/>
      <c r="Z90" s="143"/>
    </row>
    <row r="91" ht="13.5" customHeight="1">
      <c r="A91" s="143"/>
      <c r="B91" s="143"/>
      <c r="C91" s="143"/>
      <c r="D91" s="143"/>
      <c r="E91" s="143"/>
      <c r="F91" s="143"/>
      <c r="G91" s="143"/>
      <c r="H91" s="143"/>
      <c r="I91" s="143"/>
      <c r="J91" s="143"/>
      <c r="K91" s="143"/>
      <c r="L91" s="143"/>
      <c r="M91" s="143"/>
      <c r="N91" s="143"/>
      <c r="O91" s="143"/>
      <c r="P91" s="143"/>
      <c r="Q91" s="159"/>
      <c r="R91" s="159"/>
      <c r="S91" s="159"/>
      <c r="T91" s="160"/>
      <c r="U91" s="143"/>
      <c r="V91" s="30"/>
      <c r="W91" s="143"/>
      <c r="X91" s="143"/>
      <c r="Y91" s="143"/>
      <c r="Z91" s="143"/>
    </row>
    <row r="92" ht="13.5" customHeight="1">
      <c r="A92" s="143"/>
      <c r="B92" s="143"/>
      <c r="C92" s="143"/>
      <c r="D92" s="143"/>
      <c r="E92" s="143"/>
      <c r="F92" s="143"/>
      <c r="G92" s="143"/>
      <c r="H92" s="143"/>
      <c r="I92" s="143"/>
      <c r="J92" s="143"/>
      <c r="K92" s="143"/>
      <c r="L92" s="143"/>
      <c r="M92" s="143"/>
      <c r="N92" s="143"/>
      <c r="O92" s="143"/>
      <c r="P92" s="143"/>
      <c r="Q92" s="159"/>
      <c r="R92" s="159"/>
      <c r="S92" s="159"/>
      <c r="T92" s="160"/>
      <c r="U92" s="143"/>
      <c r="V92" s="30"/>
      <c r="W92" s="143"/>
      <c r="X92" s="143"/>
      <c r="Y92" s="143"/>
      <c r="Z92" s="143"/>
    </row>
    <row r="93" ht="13.5" customHeight="1">
      <c r="A93" s="143"/>
      <c r="B93" s="143"/>
      <c r="C93" s="143"/>
      <c r="D93" s="143"/>
      <c r="E93" s="143"/>
      <c r="F93" s="143"/>
      <c r="G93" s="143"/>
      <c r="H93" s="143"/>
      <c r="I93" s="143"/>
      <c r="J93" s="143"/>
      <c r="K93" s="143"/>
      <c r="L93" s="143"/>
      <c r="M93" s="143"/>
      <c r="N93" s="143"/>
      <c r="O93" s="143"/>
      <c r="P93" s="143"/>
      <c r="Q93" s="159"/>
      <c r="R93" s="159"/>
      <c r="S93" s="159"/>
      <c r="T93" s="160"/>
      <c r="U93" s="143"/>
      <c r="V93" s="30"/>
      <c r="W93" s="143"/>
      <c r="X93" s="143"/>
      <c r="Y93" s="143"/>
      <c r="Z93" s="143"/>
    </row>
    <row r="94" ht="13.5" customHeight="1">
      <c r="A94" s="143"/>
      <c r="B94" s="143"/>
      <c r="C94" s="143"/>
      <c r="D94" s="143"/>
      <c r="E94" s="143"/>
      <c r="F94" s="143"/>
      <c r="G94" s="143"/>
      <c r="H94" s="143"/>
      <c r="I94" s="143"/>
      <c r="J94" s="143"/>
      <c r="K94" s="143"/>
      <c r="L94" s="143"/>
      <c r="M94" s="143"/>
      <c r="N94" s="143"/>
      <c r="O94" s="143"/>
      <c r="P94" s="143"/>
      <c r="Q94" s="159"/>
      <c r="R94" s="159"/>
      <c r="S94" s="159"/>
      <c r="T94" s="160"/>
      <c r="U94" s="143"/>
      <c r="V94" s="30"/>
      <c r="W94" s="143"/>
      <c r="X94" s="143"/>
      <c r="Y94" s="143"/>
      <c r="Z94" s="143"/>
    </row>
    <row r="95" ht="13.5" customHeight="1">
      <c r="A95" s="143"/>
      <c r="B95" s="143"/>
      <c r="C95" s="143"/>
      <c r="D95" s="143"/>
      <c r="E95" s="143"/>
      <c r="F95" s="143"/>
      <c r="G95" s="143"/>
      <c r="H95" s="143"/>
      <c r="I95" s="143"/>
      <c r="J95" s="143"/>
      <c r="K95" s="143"/>
      <c r="L95" s="143"/>
      <c r="M95" s="143"/>
      <c r="N95" s="143"/>
      <c r="O95" s="143"/>
      <c r="P95" s="143"/>
      <c r="Q95" s="159"/>
      <c r="R95" s="159"/>
      <c r="S95" s="159"/>
      <c r="T95" s="160"/>
      <c r="U95" s="143"/>
      <c r="V95" s="30"/>
      <c r="W95" s="143"/>
      <c r="X95" s="143"/>
      <c r="Y95" s="143"/>
      <c r="Z95" s="143"/>
    </row>
    <row r="96" ht="13.5" customHeight="1">
      <c r="A96" s="143"/>
      <c r="B96" s="143"/>
      <c r="C96" s="143"/>
      <c r="D96" s="143"/>
      <c r="E96" s="143"/>
      <c r="F96" s="143"/>
      <c r="G96" s="143"/>
      <c r="H96" s="143"/>
      <c r="I96" s="143"/>
      <c r="J96" s="143"/>
      <c r="K96" s="143"/>
      <c r="L96" s="143"/>
      <c r="M96" s="143"/>
      <c r="N96" s="143"/>
      <c r="O96" s="143"/>
      <c r="P96" s="143"/>
      <c r="Q96" s="159"/>
      <c r="R96" s="159"/>
      <c r="S96" s="159"/>
      <c r="T96" s="160"/>
      <c r="U96" s="143"/>
      <c r="V96" s="30"/>
      <c r="W96" s="143"/>
      <c r="X96" s="143"/>
      <c r="Y96" s="143"/>
      <c r="Z96" s="143"/>
    </row>
    <row r="97" ht="13.5" customHeight="1">
      <c r="A97" s="143"/>
      <c r="B97" s="143"/>
      <c r="C97" s="143"/>
      <c r="D97" s="143"/>
      <c r="E97" s="143"/>
      <c r="F97" s="143"/>
      <c r="G97" s="143"/>
      <c r="H97" s="143"/>
      <c r="I97" s="143"/>
      <c r="J97" s="143"/>
      <c r="K97" s="143"/>
      <c r="L97" s="143"/>
      <c r="M97" s="143"/>
      <c r="N97" s="143"/>
      <c r="O97" s="143"/>
      <c r="P97" s="143"/>
      <c r="Q97" s="159"/>
      <c r="R97" s="159"/>
      <c r="S97" s="159"/>
      <c r="T97" s="160"/>
      <c r="U97" s="143"/>
      <c r="V97" s="30"/>
      <c r="W97" s="143"/>
      <c r="X97" s="143"/>
      <c r="Y97" s="143"/>
      <c r="Z97" s="143"/>
    </row>
    <row r="98" ht="13.5" customHeight="1">
      <c r="A98" s="143"/>
      <c r="B98" s="143"/>
      <c r="C98" s="143"/>
      <c r="D98" s="143"/>
      <c r="E98" s="143"/>
      <c r="F98" s="143"/>
      <c r="G98" s="143"/>
      <c r="H98" s="143"/>
      <c r="I98" s="143"/>
      <c r="J98" s="143"/>
      <c r="K98" s="143"/>
      <c r="L98" s="143"/>
      <c r="M98" s="143"/>
      <c r="N98" s="143"/>
      <c r="O98" s="143"/>
      <c r="P98" s="143"/>
      <c r="Q98" s="159"/>
      <c r="R98" s="159"/>
      <c r="S98" s="159"/>
      <c r="T98" s="160"/>
      <c r="U98" s="143"/>
      <c r="V98" s="30"/>
      <c r="W98" s="143"/>
      <c r="X98" s="143"/>
      <c r="Y98" s="143"/>
      <c r="Z98" s="143"/>
    </row>
    <row r="99" ht="13.5" customHeight="1">
      <c r="A99" s="143"/>
      <c r="B99" s="143"/>
      <c r="C99" s="143"/>
      <c r="D99" s="143"/>
      <c r="E99" s="143"/>
      <c r="F99" s="143"/>
      <c r="G99" s="143"/>
      <c r="H99" s="143"/>
      <c r="I99" s="143"/>
      <c r="J99" s="143"/>
      <c r="K99" s="143"/>
      <c r="L99" s="143"/>
      <c r="M99" s="143"/>
      <c r="N99" s="143"/>
      <c r="O99" s="143"/>
      <c r="P99" s="143"/>
      <c r="Q99" s="159"/>
      <c r="R99" s="159"/>
      <c r="S99" s="159"/>
      <c r="T99" s="160"/>
      <c r="U99" s="143"/>
      <c r="V99" s="30"/>
      <c r="W99" s="143"/>
      <c r="X99" s="143"/>
      <c r="Y99" s="143"/>
      <c r="Z99" s="143"/>
    </row>
    <row r="100" ht="13.5" customHeight="1">
      <c r="A100" s="143"/>
      <c r="B100" s="143"/>
      <c r="C100" s="143"/>
      <c r="D100" s="143"/>
      <c r="E100" s="143"/>
      <c r="F100" s="143"/>
      <c r="G100" s="143"/>
      <c r="H100" s="143"/>
      <c r="I100" s="143"/>
      <c r="J100" s="143"/>
      <c r="K100" s="143"/>
      <c r="L100" s="143"/>
      <c r="M100" s="143"/>
      <c r="N100" s="143"/>
      <c r="O100" s="143"/>
      <c r="P100" s="143"/>
      <c r="Q100" s="159"/>
      <c r="R100" s="159"/>
      <c r="S100" s="159"/>
      <c r="T100" s="160"/>
      <c r="U100" s="143"/>
      <c r="V100" s="30"/>
      <c r="W100" s="143"/>
      <c r="X100" s="143"/>
      <c r="Y100" s="143"/>
      <c r="Z100" s="143"/>
    </row>
    <row r="101" ht="13.5" customHeight="1">
      <c r="A101" s="143"/>
      <c r="B101" s="143"/>
      <c r="C101" s="143"/>
      <c r="D101" s="143"/>
      <c r="E101" s="143"/>
      <c r="F101" s="143"/>
      <c r="G101" s="143"/>
      <c r="H101" s="143"/>
      <c r="I101" s="143"/>
      <c r="J101" s="143"/>
      <c r="K101" s="143"/>
      <c r="L101" s="143"/>
      <c r="M101" s="143"/>
      <c r="N101" s="143"/>
      <c r="O101" s="143"/>
      <c r="P101" s="143"/>
      <c r="Q101" s="159"/>
      <c r="R101" s="159"/>
      <c r="S101" s="159"/>
      <c r="T101" s="160"/>
      <c r="U101" s="143"/>
      <c r="V101" s="30"/>
      <c r="W101" s="143"/>
      <c r="X101" s="143"/>
      <c r="Y101" s="143"/>
      <c r="Z101" s="143"/>
    </row>
    <row r="102" ht="13.5" customHeight="1">
      <c r="A102" s="143"/>
      <c r="B102" s="143"/>
      <c r="C102" s="143"/>
      <c r="D102" s="143"/>
      <c r="E102" s="143"/>
      <c r="F102" s="143"/>
      <c r="G102" s="143"/>
      <c r="H102" s="143"/>
      <c r="I102" s="143"/>
      <c r="J102" s="143"/>
      <c r="K102" s="143"/>
      <c r="L102" s="143"/>
      <c r="M102" s="143"/>
      <c r="N102" s="143"/>
      <c r="O102" s="143"/>
      <c r="P102" s="143"/>
      <c r="Q102" s="159"/>
      <c r="R102" s="159"/>
      <c r="S102" s="159"/>
      <c r="T102" s="160"/>
      <c r="U102" s="143"/>
      <c r="V102" s="30"/>
      <c r="W102" s="143"/>
      <c r="X102" s="143"/>
      <c r="Y102" s="143"/>
      <c r="Z102" s="143"/>
    </row>
    <row r="103" ht="13.5" customHeight="1">
      <c r="A103" s="143"/>
      <c r="B103" s="143"/>
      <c r="C103" s="143"/>
      <c r="D103" s="143"/>
      <c r="E103" s="143"/>
      <c r="F103" s="143"/>
      <c r="G103" s="143"/>
      <c r="H103" s="143"/>
      <c r="I103" s="143"/>
      <c r="J103" s="143"/>
      <c r="K103" s="143"/>
      <c r="L103" s="143"/>
      <c r="M103" s="143"/>
      <c r="N103" s="143"/>
      <c r="O103" s="143"/>
      <c r="P103" s="143"/>
      <c r="Q103" s="159"/>
      <c r="R103" s="159"/>
      <c r="S103" s="159"/>
      <c r="T103" s="160"/>
      <c r="U103" s="143"/>
      <c r="V103" s="30"/>
      <c r="W103" s="143"/>
      <c r="X103" s="143"/>
      <c r="Y103" s="143"/>
      <c r="Z103" s="143"/>
    </row>
    <row r="104" ht="13.5" customHeight="1">
      <c r="A104" s="143"/>
      <c r="B104" s="143"/>
      <c r="C104" s="143"/>
      <c r="D104" s="143"/>
      <c r="E104" s="143"/>
      <c r="F104" s="143"/>
      <c r="G104" s="143"/>
      <c r="H104" s="143"/>
      <c r="I104" s="143"/>
      <c r="J104" s="143"/>
      <c r="K104" s="143"/>
      <c r="L104" s="143"/>
      <c r="M104" s="143"/>
      <c r="N104" s="143"/>
      <c r="O104" s="143"/>
      <c r="P104" s="143"/>
      <c r="Q104" s="159"/>
      <c r="R104" s="159"/>
      <c r="S104" s="159"/>
      <c r="T104" s="160"/>
      <c r="U104" s="143"/>
      <c r="V104" s="30"/>
      <c r="W104" s="143"/>
      <c r="X104" s="143"/>
      <c r="Y104" s="143"/>
      <c r="Z104" s="143"/>
    </row>
    <row r="105" ht="13.5" customHeight="1">
      <c r="A105" s="143"/>
      <c r="B105" s="143"/>
      <c r="C105" s="143"/>
      <c r="D105" s="143"/>
      <c r="E105" s="143"/>
      <c r="F105" s="143"/>
      <c r="G105" s="143"/>
      <c r="H105" s="143"/>
      <c r="I105" s="143"/>
      <c r="J105" s="143"/>
      <c r="K105" s="143"/>
      <c r="L105" s="143"/>
      <c r="M105" s="143"/>
      <c r="N105" s="143"/>
      <c r="O105" s="143"/>
      <c r="P105" s="143"/>
      <c r="Q105" s="159"/>
      <c r="R105" s="159"/>
      <c r="S105" s="159"/>
      <c r="T105" s="160"/>
      <c r="U105" s="143"/>
      <c r="V105" s="30"/>
      <c r="W105" s="143"/>
      <c r="X105" s="143"/>
      <c r="Y105" s="143"/>
      <c r="Z105" s="143"/>
    </row>
    <row r="106" ht="13.5" customHeight="1">
      <c r="A106" s="143"/>
      <c r="B106" s="143"/>
      <c r="C106" s="143"/>
      <c r="D106" s="143"/>
      <c r="E106" s="143"/>
      <c r="F106" s="143"/>
      <c r="G106" s="143"/>
      <c r="H106" s="143"/>
      <c r="I106" s="143"/>
      <c r="J106" s="143"/>
      <c r="K106" s="143"/>
      <c r="L106" s="143"/>
      <c r="M106" s="143"/>
      <c r="N106" s="143"/>
      <c r="O106" s="143"/>
      <c r="P106" s="143"/>
      <c r="Q106" s="159"/>
      <c r="R106" s="159"/>
      <c r="S106" s="159"/>
      <c r="T106" s="160"/>
      <c r="U106" s="143"/>
      <c r="V106" s="30"/>
      <c r="W106" s="143"/>
      <c r="X106" s="143"/>
      <c r="Y106" s="143"/>
      <c r="Z106" s="143"/>
    </row>
    <row r="107" ht="13.5" customHeight="1">
      <c r="A107" s="143"/>
      <c r="B107" s="143"/>
      <c r="C107" s="143"/>
      <c r="D107" s="143"/>
      <c r="E107" s="143"/>
      <c r="F107" s="143"/>
      <c r="G107" s="143"/>
      <c r="H107" s="143"/>
      <c r="I107" s="143"/>
      <c r="J107" s="143"/>
      <c r="K107" s="143"/>
      <c r="L107" s="143"/>
      <c r="M107" s="143"/>
      <c r="N107" s="143"/>
      <c r="O107" s="143"/>
      <c r="P107" s="143"/>
      <c r="Q107" s="159"/>
      <c r="R107" s="159"/>
      <c r="S107" s="159"/>
      <c r="T107" s="160"/>
      <c r="U107" s="143"/>
      <c r="V107" s="30"/>
      <c r="W107" s="143"/>
      <c r="X107" s="143"/>
      <c r="Y107" s="143"/>
      <c r="Z107" s="143"/>
    </row>
    <row r="108" ht="13.5" customHeight="1">
      <c r="A108" s="143"/>
      <c r="B108" s="143"/>
      <c r="C108" s="143"/>
      <c r="D108" s="143"/>
      <c r="E108" s="143"/>
      <c r="F108" s="143"/>
      <c r="G108" s="143"/>
      <c r="H108" s="143"/>
      <c r="I108" s="143"/>
      <c r="J108" s="143"/>
      <c r="K108" s="143"/>
      <c r="L108" s="143"/>
      <c r="M108" s="143"/>
      <c r="N108" s="143"/>
      <c r="O108" s="143"/>
      <c r="P108" s="143"/>
      <c r="Q108" s="159"/>
      <c r="R108" s="159"/>
      <c r="S108" s="159"/>
      <c r="T108" s="160"/>
      <c r="U108" s="143"/>
      <c r="V108" s="30"/>
      <c r="W108" s="143"/>
      <c r="X108" s="143"/>
      <c r="Y108" s="143"/>
      <c r="Z108" s="143"/>
    </row>
    <row r="109" ht="13.5" customHeight="1">
      <c r="A109" s="143"/>
      <c r="B109" s="143"/>
      <c r="C109" s="143"/>
      <c r="D109" s="143"/>
      <c r="E109" s="143"/>
      <c r="F109" s="143"/>
      <c r="G109" s="143"/>
      <c r="H109" s="143"/>
      <c r="I109" s="143"/>
      <c r="J109" s="143"/>
      <c r="K109" s="143"/>
      <c r="L109" s="143"/>
      <c r="M109" s="143"/>
      <c r="N109" s="143"/>
      <c r="O109" s="143"/>
      <c r="P109" s="143"/>
      <c r="Q109" s="159"/>
      <c r="R109" s="159"/>
      <c r="S109" s="159"/>
      <c r="T109" s="160"/>
      <c r="U109" s="143"/>
      <c r="V109" s="30"/>
      <c r="W109" s="143"/>
      <c r="X109" s="143"/>
      <c r="Y109" s="143"/>
      <c r="Z109" s="143"/>
    </row>
    <row r="110" ht="13.5" customHeight="1">
      <c r="A110" s="143"/>
      <c r="B110" s="143"/>
      <c r="C110" s="143"/>
      <c r="D110" s="143"/>
      <c r="E110" s="143"/>
      <c r="F110" s="143"/>
      <c r="G110" s="143"/>
      <c r="H110" s="143"/>
      <c r="I110" s="143"/>
      <c r="J110" s="143"/>
      <c r="K110" s="143"/>
      <c r="L110" s="143"/>
      <c r="M110" s="143"/>
      <c r="N110" s="143"/>
      <c r="O110" s="143"/>
      <c r="P110" s="143"/>
      <c r="Q110" s="159"/>
      <c r="R110" s="159"/>
      <c r="S110" s="159"/>
      <c r="T110" s="160"/>
      <c r="U110" s="143"/>
      <c r="V110" s="30"/>
      <c r="W110" s="143"/>
      <c r="X110" s="143"/>
      <c r="Y110" s="143"/>
      <c r="Z110" s="143"/>
    </row>
    <row r="111" ht="13.5" customHeight="1">
      <c r="A111" s="143"/>
      <c r="B111" s="143"/>
      <c r="C111" s="143"/>
      <c r="D111" s="143"/>
      <c r="E111" s="143"/>
      <c r="F111" s="143"/>
      <c r="G111" s="143"/>
      <c r="H111" s="143"/>
      <c r="I111" s="143"/>
      <c r="J111" s="143"/>
      <c r="K111" s="143"/>
      <c r="L111" s="143"/>
      <c r="M111" s="143"/>
      <c r="N111" s="143"/>
      <c r="O111" s="143"/>
      <c r="P111" s="143"/>
      <c r="Q111" s="159"/>
      <c r="R111" s="159"/>
      <c r="S111" s="159"/>
      <c r="T111" s="160"/>
      <c r="U111" s="143"/>
      <c r="V111" s="30"/>
      <c r="W111" s="143"/>
      <c r="X111" s="143"/>
      <c r="Y111" s="143"/>
      <c r="Z111" s="143"/>
    </row>
    <row r="112" ht="13.5" customHeight="1">
      <c r="A112" s="143"/>
      <c r="B112" s="143"/>
      <c r="C112" s="143"/>
      <c r="D112" s="143"/>
      <c r="E112" s="143"/>
      <c r="F112" s="143"/>
      <c r="G112" s="143"/>
      <c r="H112" s="143"/>
      <c r="I112" s="143"/>
      <c r="J112" s="143"/>
      <c r="K112" s="143"/>
      <c r="L112" s="143"/>
      <c r="M112" s="143"/>
      <c r="N112" s="143"/>
      <c r="O112" s="143"/>
      <c r="P112" s="143"/>
      <c r="Q112" s="159"/>
      <c r="R112" s="159"/>
      <c r="S112" s="159"/>
      <c r="T112" s="160"/>
      <c r="U112" s="143"/>
      <c r="V112" s="30"/>
      <c r="W112" s="143"/>
      <c r="X112" s="143"/>
      <c r="Y112" s="143"/>
      <c r="Z112" s="143"/>
    </row>
    <row r="113" ht="13.5" customHeight="1">
      <c r="A113" s="143"/>
      <c r="B113" s="143"/>
      <c r="C113" s="143"/>
      <c r="D113" s="143"/>
      <c r="E113" s="143"/>
      <c r="F113" s="143"/>
      <c r="G113" s="143"/>
      <c r="H113" s="143"/>
      <c r="I113" s="143"/>
      <c r="J113" s="143"/>
      <c r="K113" s="143"/>
      <c r="L113" s="143"/>
      <c r="M113" s="143"/>
      <c r="N113" s="143"/>
      <c r="O113" s="143"/>
      <c r="P113" s="143"/>
      <c r="Q113" s="159"/>
      <c r="R113" s="159"/>
      <c r="S113" s="159"/>
      <c r="T113" s="160"/>
      <c r="U113" s="143"/>
      <c r="V113" s="30"/>
      <c r="W113" s="143"/>
      <c r="X113" s="143"/>
      <c r="Y113" s="143"/>
      <c r="Z113" s="143"/>
    </row>
    <row r="114" ht="13.5" customHeight="1">
      <c r="A114" s="143"/>
      <c r="B114" s="143"/>
      <c r="C114" s="143"/>
      <c r="D114" s="143"/>
      <c r="E114" s="143"/>
      <c r="F114" s="143"/>
      <c r="G114" s="143"/>
      <c r="H114" s="143"/>
      <c r="I114" s="143"/>
      <c r="J114" s="143"/>
      <c r="K114" s="143"/>
      <c r="L114" s="143"/>
      <c r="M114" s="143"/>
      <c r="N114" s="143"/>
      <c r="O114" s="143"/>
      <c r="P114" s="143"/>
      <c r="Q114" s="159"/>
      <c r="R114" s="159"/>
      <c r="S114" s="159"/>
      <c r="T114" s="160"/>
      <c r="U114" s="143"/>
      <c r="V114" s="30"/>
      <c r="W114" s="143"/>
      <c r="X114" s="143"/>
      <c r="Y114" s="143"/>
      <c r="Z114" s="143"/>
    </row>
    <row r="115" ht="13.5" customHeight="1">
      <c r="A115" s="143"/>
      <c r="B115" s="143"/>
      <c r="C115" s="143"/>
      <c r="D115" s="143"/>
      <c r="E115" s="143"/>
      <c r="F115" s="143"/>
      <c r="G115" s="143"/>
      <c r="H115" s="143"/>
      <c r="I115" s="143"/>
      <c r="J115" s="143"/>
      <c r="K115" s="143"/>
      <c r="L115" s="143"/>
      <c r="M115" s="143"/>
      <c r="N115" s="143"/>
      <c r="O115" s="143"/>
      <c r="P115" s="143"/>
      <c r="Q115" s="159"/>
      <c r="R115" s="159"/>
      <c r="S115" s="159"/>
      <c r="T115" s="160"/>
      <c r="U115" s="143"/>
      <c r="V115" s="30"/>
      <c r="W115" s="143"/>
      <c r="X115" s="143"/>
      <c r="Y115" s="143"/>
      <c r="Z115" s="143"/>
    </row>
    <row r="116" ht="13.5" customHeight="1">
      <c r="A116" s="143"/>
      <c r="B116" s="143"/>
      <c r="C116" s="143"/>
      <c r="D116" s="143"/>
      <c r="E116" s="143"/>
      <c r="F116" s="143"/>
      <c r="G116" s="143"/>
      <c r="H116" s="143"/>
      <c r="I116" s="143"/>
      <c r="J116" s="143"/>
      <c r="K116" s="143"/>
      <c r="L116" s="143"/>
      <c r="M116" s="143"/>
      <c r="N116" s="143"/>
      <c r="O116" s="143"/>
      <c r="P116" s="143"/>
      <c r="Q116" s="159"/>
      <c r="R116" s="159"/>
      <c r="S116" s="159"/>
      <c r="T116" s="160"/>
      <c r="U116" s="143"/>
      <c r="V116" s="30"/>
      <c r="W116" s="143"/>
      <c r="X116" s="143"/>
      <c r="Y116" s="143"/>
      <c r="Z116" s="143"/>
    </row>
    <row r="117" ht="13.5" customHeight="1">
      <c r="A117" s="143"/>
      <c r="B117" s="143"/>
      <c r="C117" s="143"/>
      <c r="D117" s="143"/>
      <c r="E117" s="143"/>
      <c r="F117" s="143"/>
      <c r="G117" s="143"/>
      <c r="H117" s="143"/>
      <c r="I117" s="143"/>
      <c r="J117" s="143"/>
      <c r="K117" s="143"/>
      <c r="L117" s="143"/>
      <c r="M117" s="143"/>
      <c r="N117" s="143"/>
      <c r="O117" s="143"/>
      <c r="P117" s="143"/>
      <c r="Q117" s="159"/>
      <c r="R117" s="159"/>
      <c r="S117" s="159"/>
      <c r="T117" s="160"/>
      <c r="U117" s="143"/>
      <c r="V117" s="30"/>
      <c r="W117" s="143"/>
      <c r="X117" s="143"/>
      <c r="Y117" s="143"/>
      <c r="Z117" s="143"/>
    </row>
    <row r="118" ht="13.5" customHeight="1">
      <c r="A118" s="143"/>
      <c r="B118" s="143"/>
      <c r="C118" s="143"/>
      <c r="D118" s="143"/>
      <c r="E118" s="143"/>
      <c r="F118" s="143"/>
      <c r="G118" s="143"/>
      <c r="H118" s="143"/>
      <c r="I118" s="143"/>
      <c r="J118" s="143"/>
      <c r="K118" s="143"/>
      <c r="L118" s="143"/>
      <c r="M118" s="143"/>
      <c r="N118" s="143"/>
      <c r="O118" s="143"/>
      <c r="P118" s="143"/>
      <c r="Q118" s="159"/>
      <c r="R118" s="159"/>
      <c r="S118" s="159"/>
      <c r="T118" s="160"/>
      <c r="U118" s="143"/>
      <c r="V118" s="30"/>
      <c r="W118" s="143"/>
      <c r="X118" s="143"/>
      <c r="Y118" s="143"/>
      <c r="Z118" s="143"/>
    </row>
    <row r="119" ht="13.5" customHeight="1">
      <c r="A119" s="143"/>
      <c r="B119" s="143"/>
      <c r="C119" s="143"/>
      <c r="D119" s="143"/>
      <c r="E119" s="143"/>
      <c r="F119" s="143"/>
      <c r="G119" s="143"/>
      <c r="H119" s="143"/>
      <c r="I119" s="143"/>
      <c r="J119" s="143"/>
      <c r="K119" s="143"/>
      <c r="L119" s="143"/>
      <c r="M119" s="143"/>
      <c r="N119" s="143"/>
      <c r="O119" s="143"/>
      <c r="P119" s="143"/>
      <c r="Q119" s="159"/>
      <c r="R119" s="159"/>
      <c r="S119" s="159"/>
      <c r="T119" s="160"/>
      <c r="U119" s="143"/>
      <c r="V119" s="30"/>
      <c r="W119" s="143"/>
      <c r="X119" s="143"/>
      <c r="Y119" s="143"/>
      <c r="Z119" s="143"/>
    </row>
    <row r="120" ht="13.5" customHeight="1">
      <c r="A120" s="143"/>
      <c r="B120" s="143"/>
      <c r="C120" s="143"/>
      <c r="D120" s="143"/>
      <c r="E120" s="143"/>
      <c r="F120" s="143"/>
      <c r="G120" s="143"/>
      <c r="H120" s="143"/>
      <c r="I120" s="143"/>
      <c r="J120" s="143"/>
      <c r="K120" s="143"/>
      <c r="L120" s="143"/>
      <c r="M120" s="143"/>
      <c r="N120" s="143"/>
      <c r="O120" s="143"/>
      <c r="P120" s="143"/>
      <c r="Q120" s="159"/>
      <c r="R120" s="159"/>
      <c r="S120" s="159"/>
      <c r="T120" s="160"/>
      <c r="U120" s="143"/>
      <c r="V120" s="30"/>
      <c r="W120" s="143"/>
      <c r="X120" s="143"/>
      <c r="Y120" s="143"/>
      <c r="Z120" s="143"/>
    </row>
    <row r="121" ht="13.5" customHeight="1">
      <c r="A121" s="143"/>
      <c r="B121" s="143"/>
      <c r="C121" s="143"/>
      <c r="D121" s="143"/>
      <c r="E121" s="143"/>
      <c r="F121" s="143"/>
      <c r="G121" s="143"/>
      <c r="H121" s="143"/>
      <c r="I121" s="143"/>
      <c r="J121" s="143"/>
      <c r="K121" s="143"/>
      <c r="L121" s="143"/>
      <c r="M121" s="143"/>
      <c r="N121" s="143"/>
      <c r="O121" s="143"/>
      <c r="P121" s="143"/>
      <c r="Q121" s="159"/>
      <c r="R121" s="159"/>
      <c r="S121" s="159"/>
      <c r="T121" s="160"/>
      <c r="U121" s="143"/>
      <c r="V121" s="30"/>
      <c r="W121" s="143"/>
      <c r="X121" s="143"/>
      <c r="Y121" s="143"/>
      <c r="Z121" s="143"/>
    </row>
    <row r="122" ht="13.5" customHeight="1">
      <c r="A122" s="143"/>
      <c r="B122" s="143"/>
      <c r="C122" s="143"/>
      <c r="D122" s="143"/>
      <c r="E122" s="143"/>
      <c r="F122" s="143"/>
      <c r="G122" s="143"/>
      <c r="H122" s="143"/>
      <c r="I122" s="143"/>
      <c r="J122" s="143"/>
      <c r="K122" s="143"/>
      <c r="L122" s="143"/>
      <c r="M122" s="143"/>
      <c r="N122" s="143"/>
      <c r="O122" s="143"/>
      <c r="P122" s="143"/>
      <c r="Q122" s="159"/>
      <c r="R122" s="159"/>
      <c r="S122" s="159"/>
      <c r="T122" s="160"/>
      <c r="U122" s="143"/>
      <c r="V122" s="30"/>
      <c r="W122" s="143"/>
      <c r="X122" s="143"/>
      <c r="Y122" s="143"/>
      <c r="Z122" s="143"/>
    </row>
    <row r="123" ht="13.5" customHeight="1">
      <c r="A123" s="143"/>
      <c r="B123" s="143"/>
      <c r="C123" s="143"/>
      <c r="D123" s="143"/>
      <c r="E123" s="143"/>
      <c r="F123" s="143"/>
      <c r="G123" s="143"/>
      <c r="H123" s="143"/>
      <c r="I123" s="143"/>
      <c r="J123" s="143"/>
      <c r="K123" s="143"/>
      <c r="L123" s="143"/>
      <c r="M123" s="143"/>
      <c r="N123" s="143"/>
      <c r="O123" s="143"/>
      <c r="P123" s="143"/>
      <c r="Q123" s="159"/>
      <c r="R123" s="159"/>
      <c r="S123" s="159"/>
      <c r="T123" s="160"/>
      <c r="U123" s="143"/>
      <c r="V123" s="30"/>
      <c r="W123" s="143"/>
      <c r="X123" s="143"/>
      <c r="Y123" s="143"/>
      <c r="Z123" s="143"/>
    </row>
    <row r="124" ht="13.5" customHeight="1">
      <c r="A124" s="143"/>
      <c r="B124" s="143"/>
      <c r="C124" s="143"/>
      <c r="D124" s="143"/>
      <c r="E124" s="143"/>
      <c r="F124" s="143"/>
      <c r="G124" s="143"/>
      <c r="H124" s="143"/>
      <c r="I124" s="143"/>
      <c r="J124" s="143"/>
      <c r="K124" s="143"/>
      <c r="L124" s="143"/>
      <c r="M124" s="143"/>
      <c r="N124" s="143"/>
      <c r="O124" s="143"/>
      <c r="P124" s="143"/>
      <c r="Q124" s="159"/>
      <c r="R124" s="159"/>
      <c r="S124" s="159"/>
      <c r="T124" s="160"/>
      <c r="U124" s="143"/>
      <c r="V124" s="30"/>
      <c r="W124" s="143"/>
      <c r="X124" s="143"/>
      <c r="Y124" s="143"/>
      <c r="Z124" s="143"/>
    </row>
    <row r="125" ht="13.5" customHeight="1">
      <c r="A125" s="143"/>
      <c r="B125" s="143"/>
      <c r="C125" s="143"/>
      <c r="D125" s="143"/>
      <c r="E125" s="143"/>
      <c r="F125" s="143"/>
      <c r="G125" s="143"/>
      <c r="H125" s="143"/>
      <c r="I125" s="143"/>
      <c r="J125" s="143"/>
      <c r="K125" s="143"/>
      <c r="L125" s="143"/>
      <c r="M125" s="143"/>
      <c r="N125" s="143"/>
      <c r="O125" s="143"/>
      <c r="P125" s="143"/>
      <c r="Q125" s="159"/>
      <c r="R125" s="159"/>
      <c r="S125" s="159"/>
      <c r="T125" s="160"/>
      <c r="U125" s="143"/>
      <c r="V125" s="30"/>
      <c r="W125" s="143"/>
      <c r="X125" s="143"/>
      <c r="Y125" s="143"/>
      <c r="Z125" s="143"/>
    </row>
    <row r="126" ht="13.5" customHeight="1">
      <c r="A126" s="143"/>
      <c r="B126" s="143"/>
      <c r="C126" s="143"/>
      <c r="D126" s="143"/>
      <c r="E126" s="143"/>
      <c r="F126" s="143"/>
      <c r="G126" s="143"/>
      <c r="H126" s="143"/>
      <c r="I126" s="143"/>
      <c r="J126" s="143"/>
      <c r="K126" s="143"/>
      <c r="L126" s="143"/>
      <c r="M126" s="143"/>
      <c r="N126" s="143"/>
      <c r="O126" s="143"/>
      <c r="P126" s="143"/>
      <c r="Q126" s="159"/>
      <c r="R126" s="159"/>
      <c r="S126" s="159"/>
      <c r="T126" s="160"/>
      <c r="U126" s="143"/>
      <c r="V126" s="30"/>
      <c r="W126" s="143"/>
      <c r="X126" s="143"/>
      <c r="Y126" s="143"/>
      <c r="Z126" s="143"/>
    </row>
    <row r="127" ht="13.5" customHeight="1">
      <c r="A127" s="143"/>
      <c r="B127" s="143"/>
      <c r="C127" s="143"/>
      <c r="D127" s="143"/>
      <c r="E127" s="143"/>
      <c r="F127" s="143"/>
      <c r="G127" s="143"/>
      <c r="H127" s="143"/>
      <c r="I127" s="143"/>
      <c r="J127" s="143"/>
      <c r="K127" s="143"/>
      <c r="L127" s="143"/>
      <c r="M127" s="143"/>
      <c r="N127" s="143"/>
      <c r="O127" s="143"/>
      <c r="P127" s="143"/>
      <c r="Q127" s="159"/>
      <c r="R127" s="159"/>
      <c r="S127" s="159"/>
      <c r="T127" s="160"/>
      <c r="U127" s="143"/>
      <c r="V127" s="30"/>
      <c r="W127" s="143"/>
      <c r="X127" s="143"/>
      <c r="Y127" s="143"/>
      <c r="Z127" s="143"/>
    </row>
    <row r="128" ht="13.5" customHeight="1">
      <c r="A128" s="143"/>
      <c r="B128" s="143"/>
      <c r="C128" s="143"/>
      <c r="D128" s="143"/>
      <c r="E128" s="143"/>
      <c r="F128" s="143"/>
      <c r="G128" s="143"/>
      <c r="H128" s="143"/>
      <c r="I128" s="143"/>
      <c r="J128" s="143"/>
      <c r="K128" s="143"/>
      <c r="L128" s="143"/>
      <c r="M128" s="143"/>
      <c r="N128" s="143"/>
      <c r="O128" s="143"/>
      <c r="P128" s="143"/>
      <c r="Q128" s="159"/>
      <c r="R128" s="159"/>
      <c r="S128" s="159"/>
      <c r="T128" s="160"/>
      <c r="U128" s="143"/>
      <c r="V128" s="30"/>
      <c r="W128" s="143"/>
      <c r="X128" s="143"/>
      <c r="Y128" s="143"/>
      <c r="Z128" s="143"/>
    </row>
    <row r="129" ht="13.5" customHeight="1">
      <c r="A129" s="143"/>
      <c r="B129" s="143"/>
      <c r="C129" s="143"/>
      <c r="D129" s="143"/>
      <c r="E129" s="143"/>
      <c r="F129" s="143"/>
      <c r="G129" s="143"/>
      <c r="H129" s="143"/>
      <c r="I129" s="143"/>
      <c r="J129" s="143"/>
      <c r="K129" s="143"/>
      <c r="L129" s="143"/>
      <c r="M129" s="143"/>
      <c r="N129" s="143"/>
      <c r="O129" s="143"/>
      <c r="P129" s="143"/>
      <c r="Q129" s="159"/>
      <c r="R129" s="159"/>
      <c r="S129" s="159"/>
      <c r="T129" s="160"/>
      <c r="U129" s="143"/>
      <c r="V129" s="30"/>
      <c r="W129" s="143"/>
      <c r="X129" s="143"/>
      <c r="Y129" s="143"/>
      <c r="Z129" s="143"/>
    </row>
    <row r="130" ht="13.5" customHeight="1">
      <c r="A130" s="143"/>
      <c r="B130" s="143"/>
      <c r="C130" s="143"/>
      <c r="D130" s="143"/>
      <c r="E130" s="143"/>
      <c r="F130" s="143"/>
      <c r="G130" s="143"/>
      <c r="H130" s="143"/>
      <c r="I130" s="143"/>
      <c r="J130" s="143"/>
      <c r="K130" s="143"/>
      <c r="L130" s="143"/>
      <c r="M130" s="143"/>
      <c r="N130" s="143"/>
      <c r="O130" s="143"/>
      <c r="P130" s="143"/>
      <c r="Q130" s="159"/>
      <c r="R130" s="159"/>
      <c r="S130" s="159"/>
      <c r="T130" s="160"/>
      <c r="U130" s="143"/>
      <c r="V130" s="30"/>
      <c r="W130" s="143"/>
      <c r="X130" s="143"/>
      <c r="Y130" s="143"/>
      <c r="Z130" s="143"/>
    </row>
    <row r="131" ht="13.5" customHeight="1">
      <c r="A131" s="143"/>
      <c r="B131" s="143"/>
      <c r="C131" s="143"/>
      <c r="D131" s="143"/>
      <c r="E131" s="143"/>
      <c r="F131" s="143"/>
      <c r="G131" s="143"/>
      <c r="H131" s="143"/>
      <c r="I131" s="143"/>
      <c r="J131" s="143"/>
      <c r="K131" s="143"/>
      <c r="L131" s="143"/>
      <c r="M131" s="143"/>
      <c r="N131" s="143"/>
      <c r="O131" s="143"/>
      <c r="P131" s="143"/>
      <c r="Q131" s="159"/>
      <c r="R131" s="159"/>
      <c r="S131" s="159"/>
      <c r="T131" s="160"/>
      <c r="U131" s="143"/>
      <c r="V131" s="30"/>
      <c r="W131" s="143"/>
      <c r="X131" s="143"/>
      <c r="Y131" s="143"/>
      <c r="Z131" s="143"/>
    </row>
    <row r="132" ht="13.5" customHeight="1">
      <c r="A132" s="143"/>
      <c r="B132" s="143"/>
      <c r="C132" s="143"/>
      <c r="D132" s="143"/>
      <c r="E132" s="143"/>
      <c r="F132" s="143"/>
      <c r="G132" s="143"/>
      <c r="H132" s="143"/>
      <c r="I132" s="143"/>
      <c r="J132" s="143"/>
      <c r="K132" s="143"/>
      <c r="L132" s="143"/>
      <c r="M132" s="143"/>
      <c r="N132" s="143"/>
      <c r="O132" s="143"/>
      <c r="P132" s="143"/>
      <c r="Q132" s="159"/>
      <c r="R132" s="159"/>
      <c r="S132" s="159"/>
      <c r="T132" s="160"/>
      <c r="U132" s="143"/>
      <c r="V132" s="30"/>
      <c r="W132" s="143"/>
      <c r="X132" s="143"/>
      <c r="Y132" s="143"/>
      <c r="Z132" s="143"/>
    </row>
    <row r="133" ht="13.5" customHeight="1">
      <c r="A133" s="143"/>
      <c r="B133" s="143"/>
      <c r="C133" s="143"/>
      <c r="D133" s="143"/>
      <c r="E133" s="143"/>
      <c r="F133" s="143"/>
      <c r="G133" s="143"/>
      <c r="H133" s="143"/>
      <c r="I133" s="143"/>
      <c r="J133" s="143"/>
      <c r="K133" s="143"/>
      <c r="L133" s="143"/>
      <c r="M133" s="143"/>
      <c r="N133" s="143"/>
      <c r="O133" s="143"/>
      <c r="P133" s="143"/>
      <c r="Q133" s="159"/>
      <c r="R133" s="159"/>
      <c r="S133" s="159"/>
      <c r="T133" s="160"/>
      <c r="U133" s="143"/>
      <c r="V133" s="30"/>
      <c r="W133" s="143"/>
      <c r="X133" s="143"/>
      <c r="Y133" s="143"/>
      <c r="Z133" s="143"/>
    </row>
    <row r="134" ht="13.5" customHeight="1">
      <c r="A134" s="143"/>
      <c r="B134" s="143"/>
      <c r="C134" s="143"/>
      <c r="D134" s="143"/>
      <c r="E134" s="143"/>
      <c r="F134" s="143"/>
      <c r="G134" s="143"/>
      <c r="H134" s="143"/>
      <c r="I134" s="143"/>
      <c r="J134" s="143"/>
      <c r="K134" s="143"/>
      <c r="L134" s="143"/>
      <c r="M134" s="143"/>
      <c r="N134" s="143"/>
      <c r="O134" s="143"/>
      <c r="P134" s="143"/>
      <c r="Q134" s="159"/>
      <c r="R134" s="159"/>
      <c r="S134" s="159"/>
      <c r="T134" s="160"/>
      <c r="U134" s="143"/>
      <c r="V134" s="30"/>
      <c r="W134" s="143"/>
      <c r="X134" s="143"/>
      <c r="Y134" s="143"/>
      <c r="Z134" s="143"/>
    </row>
    <row r="135" ht="13.5" customHeight="1">
      <c r="A135" s="143"/>
      <c r="B135" s="143"/>
      <c r="C135" s="143"/>
      <c r="D135" s="143"/>
      <c r="E135" s="143"/>
      <c r="F135" s="143"/>
      <c r="G135" s="143"/>
      <c r="H135" s="143"/>
      <c r="I135" s="143"/>
      <c r="J135" s="143"/>
      <c r="K135" s="143"/>
      <c r="L135" s="143"/>
      <c r="M135" s="143"/>
      <c r="N135" s="143"/>
      <c r="O135" s="143"/>
      <c r="P135" s="143"/>
      <c r="Q135" s="159"/>
      <c r="R135" s="159"/>
      <c r="S135" s="159"/>
      <c r="T135" s="160"/>
      <c r="U135" s="143"/>
      <c r="V135" s="30"/>
      <c r="W135" s="143"/>
      <c r="X135" s="143"/>
      <c r="Y135" s="143"/>
      <c r="Z135" s="143"/>
    </row>
    <row r="136" ht="13.5" customHeight="1">
      <c r="A136" s="143"/>
      <c r="B136" s="143"/>
      <c r="C136" s="143"/>
      <c r="D136" s="143"/>
      <c r="E136" s="143"/>
      <c r="F136" s="143"/>
      <c r="G136" s="143"/>
      <c r="H136" s="143"/>
      <c r="I136" s="143"/>
      <c r="J136" s="143"/>
      <c r="K136" s="143"/>
      <c r="L136" s="143"/>
      <c r="M136" s="143"/>
      <c r="N136" s="143"/>
      <c r="O136" s="143"/>
      <c r="P136" s="143"/>
      <c r="Q136" s="159"/>
      <c r="R136" s="159"/>
      <c r="S136" s="159"/>
      <c r="T136" s="160"/>
      <c r="U136" s="143"/>
      <c r="V136" s="30"/>
      <c r="W136" s="143"/>
      <c r="X136" s="143"/>
      <c r="Y136" s="143"/>
      <c r="Z136" s="143"/>
    </row>
    <row r="137" ht="13.5" customHeight="1">
      <c r="A137" s="143"/>
      <c r="B137" s="143"/>
      <c r="C137" s="143"/>
      <c r="D137" s="143"/>
      <c r="E137" s="143"/>
      <c r="F137" s="143"/>
      <c r="G137" s="143"/>
      <c r="H137" s="143"/>
      <c r="I137" s="143"/>
      <c r="J137" s="143"/>
      <c r="K137" s="143"/>
      <c r="L137" s="143"/>
      <c r="M137" s="143"/>
      <c r="N137" s="143"/>
      <c r="O137" s="143"/>
      <c r="P137" s="143"/>
      <c r="Q137" s="159"/>
      <c r="R137" s="159"/>
      <c r="S137" s="159"/>
      <c r="T137" s="160"/>
      <c r="U137" s="143"/>
      <c r="V137" s="30"/>
      <c r="W137" s="143"/>
      <c r="X137" s="143"/>
      <c r="Y137" s="143"/>
      <c r="Z137" s="143"/>
    </row>
    <row r="138" ht="13.5" customHeight="1">
      <c r="A138" s="143"/>
      <c r="B138" s="143"/>
      <c r="C138" s="143"/>
      <c r="D138" s="143"/>
      <c r="E138" s="143"/>
      <c r="F138" s="143"/>
      <c r="G138" s="143"/>
      <c r="H138" s="143"/>
      <c r="I138" s="143"/>
      <c r="J138" s="143"/>
      <c r="K138" s="143"/>
      <c r="L138" s="143"/>
      <c r="M138" s="143"/>
      <c r="N138" s="143"/>
      <c r="O138" s="143"/>
      <c r="P138" s="143"/>
      <c r="Q138" s="159"/>
      <c r="R138" s="159"/>
      <c r="S138" s="159"/>
      <c r="T138" s="160"/>
      <c r="U138" s="143"/>
      <c r="V138" s="30"/>
      <c r="W138" s="143"/>
      <c r="X138" s="143"/>
      <c r="Y138" s="143"/>
      <c r="Z138" s="143"/>
    </row>
    <row r="139" ht="13.5" customHeight="1">
      <c r="A139" s="143"/>
      <c r="B139" s="143"/>
      <c r="C139" s="143"/>
      <c r="D139" s="143"/>
      <c r="E139" s="143"/>
      <c r="F139" s="143"/>
      <c r="G139" s="143"/>
      <c r="H139" s="143"/>
      <c r="I139" s="143"/>
      <c r="J139" s="143"/>
      <c r="K139" s="143"/>
      <c r="L139" s="143"/>
      <c r="M139" s="143"/>
      <c r="N139" s="143"/>
      <c r="O139" s="143"/>
      <c r="P139" s="143"/>
      <c r="Q139" s="159"/>
      <c r="R139" s="159"/>
      <c r="S139" s="159"/>
      <c r="T139" s="160"/>
      <c r="U139" s="143"/>
      <c r="V139" s="30"/>
      <c r="W139" s="143"/>
      <c r="X139" s="143"/>
      <c r="Y139" s="143"/>
      <c r="Z139" s="143"/>
    </row>
    <row r="140" ht="13.5" customHeight="1">
      <c r="A140" s="143"/>
      <c r="B140" s="143"/>
      <c r="C140" s="143"/>
      <c r="D140" s="143"/>
      <c r="E140" s="143"/>
      <c r="F140" s="143"/>
      <c r="G140" s="143"/>
      <c r="H140" s="143"/>
      <c r="I140" s="143"/>
      <c r="J140" s="143"/>
      <c r="K140" s="143"/>
      <c r="L140" s="143"/>
      <c r="M140" s="143"/>
      <c r="N140" s="143"/>
      <c r="O140" s="143"/>
      <c r="P140" s="143"/>
      <c r="Q140" s="159"/>
      <c r="R140" s="159"/>
      <c r="S140" s="159"/>
      <c r="T140" s="160"/>
      <c r="U140" s="143"/>
      <c r="V140" s="30"/>
      <c r="W140" s="143"/>
      <c r="X140" s="143"/>
      <c r="Y140" s="143"/>
      <c r="Z140" s="143"/>
    </row>
    <row r="141" ht="13.5" customHeight="1">
      <c r="A141" s="143"/>
      <c r="B141" s="143"/>
      <c r="C141" s="143"/>
      <c r="D141" s="143"/>
      <c r="E141" s="143"/>
      <c r="F141" s="143"/>
      <c r="G141" s="143"/>
      <c r="H141" s="143"/>
      <c r="I141" s="143"/>
      <c r="J141" s="143"/>
      <c r="K141" s="143"/>
      <c r="L141" s="143"/>
      <c r="M141" s="143"/>
      <c r="N141" s="143"/>
      <c r="O141" s="143"/>
      <c r="P141" s="143"/>
      <c r="Q141" s="159"/>
      <c r="R141" s="159"/>
      <c r="S141" s="159"/>
      <c r="T141" s="160"/>
      <c r="U141" s="143"/>
      <c r="V141" s="30"/>
      <c r="W141" s="143"/>
      <c r="X141" s="143"/>
      <c r="Y141" s="143"/>
      <c r="Z141" s="143"/>
    </row>
    <row r="142" ht="13.5" customHeight="1">
      <c r="A142" s="143"/>
      <c r="B142" s="143"/>
      <c r="C142" s="143"/>
      <c r="D142" s="143"/>
      <c r="E142" s="143"/>
      <c r="F142" s="143"/>
      <c r="G142" s="143"/>
      <c r="H142" s="143"/>
      <c r="I142" s="143"/>
      <c r="J142" s="143"/>
      <c r="K142" s="143"/>
      <c r="L142" s="143"/>
      <c r="M142" s="143"/>
      <c r="N142" s="143"/>
      <c r="O142" s="143"/>
      <c r="P142" s="143"/>
      <c r="Q142" s="159"/>
      <c r="R142" s="159"/>
      <c r="S142" s="159"/>
      <c r="T142" s="160"/>
      <c r="U142" s="143"/>
      <c r="V142" s="30"/>
      <c r="W142" s="143"/>
      <c r="X142" s="143"/>
      <c r="Y142" s="143"/>
      <c r="Z142" s="143"/>
    </row>
    <row r="143" ht="13.5" customHeight="1">
      <c r="A143" s="143"/>
      <c r="B143" s="143"/>
      <c r="C143" s="143"/>
      <c r="D143" s="143"/>
      <c r="E143" s="143"/>
      <c r="F143" s="143"/>
      <c r="G143" s="143"/>
      <c r="H143" s="143"/>
      <c r="I143" s="143"/>
      <c r="J143" s="143"/>
      <c r="K143" s="143"/>
      <c r="L143" s="143"/>
      <c r="M143" s="143"/>
      <c r="N143" s="143"/>
      <c r="O143" s="143"/>
      <c r="P143" s="143"/>
      <c r="Q143" s="159"/>
      <c r="R143" s="159"/>
      <c r="S143" s="159"/>
      <c r="T143" s="160"/>
      <c r="U143" s="143"/>
      <c r="V143" s="30"/>
      <c r="W143" s="143"/>
      <c r="X143" s="143"/>
      <c r="Y143" s="143"/>
      <c r="Z143" s="143"/>
    </row>
    <row r="144" ht="13.5" customHeight="1">
      <c r="A144" s="143"/>
      <c r="B144" s="143"/>
      <c r="C144" s="143"/>
      <c r="D144" s="143"/>
      <c r="E144" s="143"/>
      <c r="F144" s="143"/>
      <c r="G144" s="143"/>
      <c r="H144" s="143"/>
      <c r="I144" s="143"/>
      <c r="J144" s="143"/>
      <c r="K144" s="143"/>
      <c r="L144" s="143"/>
      <c r="M144" s="143"/>
      <c r="N144" s="143"/>
      <c r="O144" s="143"/>
      <c r="P144" s="143"/>
      <c r="Q144" s="159"/>
      <c r="R144" s="159"/>
      <c r="S144" s="159"/>
      <c r="T144" s="160"/>
      <c r="U144" s="143"/>
      <c r="V144" s="30"/>
      <c r="W144" s="143"/>
      <c r="X144" s="143"/>
      <c r="Y144" s="143"/>
      <c r="Z144" s="143"/>
    </row>
    <row r="145" ht="13.5" customHeight="1">
      <c r="A145" s="143"/>
      <c r="B145" s="143"/>
      <c r="C145" s="143"/>
      <c r="D145" s="143"/>
      <c r="E145" s="143"/>
      <c r="F145" s="143"/>
      <c r="G145" s="143"/>
      <c r="H145" s="143"/>
      <c r="I145" s="143"/>
      <c r="J145" s="143"/>
      <c r="K145" s="143"/>
      <c r="L145" s="143"/>
      <c r="M145" s="143"/>
      <c r="N145" s="143"/>
      <c r="O145" s="143"/>
      <c r="P145" s="143"/>
      <c r="Q145" s="159"/>
      <c r="R145" s="159"/>
      <c r="S145" s="159"/>
      <c r="T145" s="160"/>
      <c r="U145" s="143"/>
      <c r="V145" s="30"/>
      <c r="W145" s="143"/>
      <c r="X145" s="143"/>
      <c r="Y145" s="143"/>
      <c r="Z145" s="143"/>
    </row>
    <row r="146" ht="13.5" customHeight="1">
      <c r="A146" s="143"/>
      <c r="B146" s="143"/>
      <c r="C146" s="143"/>
      <c r="D146" s="143"/>
      <c r="E146" s="143"/>
      <c r="F146" s="143"/>
      <c r="G146" s="143"/>
      <c r="H146" s="143"/>
      <c r="I146" s="143"/>
      <c r="J146" s="143"/>
      <c r="K146" s="143"/>
      <c r="L146" s="143"/>
      <c r="M146" s="143"/>
      <c r="N146" s="143"/>
      <c r="O146" s="143"/>
      <c r="P146" s="143"/>
      <c r="Q146" s="159"/>
      <c r="R146" s="159"/>
      <c r="S146" s="159"/>
      <c r="T146" s="160"/>
      <c r="U146" s="143"/>
      <c r="V146" s="30"/>
      <c r="W146" s="143"/>
      <c r="X146" s="143"/>
      <c r="Y146" s="143"/>
      <c r="Z146" s="143"/>
    </row>
    <row r="147" ht="13.5" customHeight="1">
      <c r="A147" s="143"/>
      <c r="B147" s="143"/>
      <c r="C147" s="143"/>
      <c r="D147" s="143"/>
      <c r="E147" s="143"/>
      <c r="F147" s="143"/>
      <c r="G147" s="143"/>
      <c r="H147" s="143"/>
      <c r="I147" s="143"/>
      <c r="J147" s="143"/>
      <c r="K147" s="143"/>
      <c r="L147" s="143"/>
      <c r="M147" s="143"/>
      <c r="N147" s="143"/>
      <c r="O147" s="143"/>
      <c r="P147" s="143"/>
      <c r="Q147" s="159"/>
      <c r="R147" s="159"/>
      <c r="S147" s="159"/>
      <c r="T147" s="160"/>
      <c r="U147" s="143"/>
      <c r="V147" s="30"/>
      <c r="W147" s="143"/>
      <c r="X147" s="143"/>
      <c r="Y147" s="143"/>
      <c r="Z147" s="143"/>
    </row>
    <row r="148" ht="13.5" customHeight="1">
      <c r="A148" s="143"/>
      <c r="B148" s="143"/>
      <c r="C148" s="143"/>
      <c r="D148" s="143"/>
      <c r="E148" s="143"/>
      <c r="F148" s="143"/>
      <c r="G148" s="143"/>
      <c r="H148" s="143"/>
      <c r="I148" s="143"/>
      <c r="J148" s="143"/>
      <c r="K148" s="143"/>
      <c r="L148" s="143"/>
      <c r="M148" s="143"/>
      <c r="N148" s="143"/>
      <c r="O148" s="143"/>
      <c r="P148" s="143"/>
      <c r="Q148" s="159"/>
      <c r="R148" s="159"/>
      <c r="S148" s="159"/>
      <c r="T148" s="160"/>
      <c r="U148" s="143"/>
      <c r="V148" s="30"/>
      <c r="W148" s="143"/>
      <c r="X148" s="143"/>
      <c r="Y148" s="143"/>
      <c r="Z148" s="143"/>
    </row>
    <row r="149" ht="13.5" customHeight="1">
      <c r="A149" s="143"/>
      <c r="B149" s="143"/>
      <c r="C149" s="143"/>
      <c r="D149" s="143"/>
      <c r="E149" s="143"/>
      <c r="F149" s="143"/>
      <c r="G149" s="143"/>
      <c r="H149" s="143"/>
      <c r="I149" s="143"/>
      <c r="J149" s="143"/>
      <c r="K149" s="143"/>
      <c r="L149" s="143"/>
      <c r="M149" s="143"/>
      <c r="N149" s="143"/>
      <c r="O149" s="143"/>
      <c r="P149" s="143"/>
      <c r="Q149" s="159"/>
      <c r="R149" s="159"/>
      <c r="S149" s="159"/>
      <c r="T149" s="160"/>
      <c r="U149" s="143"/>
      <c r="V149" s="30"/>
      <c r="W149" s="143"/>
      <c r="X149" s="143"/>
      <c r="Y149" s="143"/>
      <c r="Z149" s="143"/>
    </row>
    <row r="150" ht="13.5" customHeight="1">
      <c r="A150" s="143"/>
      <c r="B150" s="143"/>
      <c r="C150" s="143"/>
      <c r="D150" s="143"/>
      <c r="E150" s="143"/>
      <c r="F150" s="143"/>
      <c r="G150" s="143"/>
      <c r="H150" s="143"/>
      <c r="I150" s="143"/>
      <c r="J150" s="143"/>
      <c r="K150" s="143"/>
      <c r="L150" s="143"/>
      <c r="M150" s="143"/>
      <c r="N150" s="143"/>
      <c r="O150" s="143"/>
      <c r="P150" s="143"/>
      <c r="Q150" s="159"/>
      <c r="R150" s="159"/>
      <c r="S150" s="159"/>
      <c r="T150" s="160"/>
      <c r="U150" s="143"/>
      <c r="V150" s="30"/>
      <c r="W150" s="143"/>
      <c r="X150" s="143"/>
      <c r="Y150" s="143"/>
      <c r="Z150" s="143"/>
    </row>
    <row r="151" ht="13.5" customHeight="1">
      <c r="A151" s="143"/>
      <c r="B151" s="143"/>
      <c r="C151" s="143"/>
      <c r="D151" s="143"/>
      <c r="E151" s="143"/>
      <c r="F151" s="143"/>
      <c r="G151" s="143"/>
      <c r="H151" s="143"/>
      <c r="I151" s="143"/>
      <c r="J151" s="143"/>
      <c r="K151" s="143"/>
      <c r="L151" s="143"/>
      <c r="M151" s="143"/>
      <c r="N151" s="143"/>
      <c r="O151" s="143"/>
      <c r="P151" s="143"/>
      <c r="Q151" s="159"/>
      <c r="R151" s="159"/>
      <c r="S151" s="159"/>
      <c r="T151" s="160"/>
      <c r="U151" s="143"/>
      <c r="V151" s="30"/>
      <c r="W151" s="143"/>
      <c r="X151" s="143"/>
      <c r="Y151" s="143"/>
      <c r="Z151" s="143"/>
    </row>
    <row r="152" ht="13.5" customHeight="1">
      <c r="A152" s="143"/>
      <c r="B152" s="143"/>
      <c r="C152" s="143"/>
      <c r="D152" s="143"/>
      <c r="E152" s="143"/>
      <c r="F152" s="143"/>
      <c r="G152" s="143"/>
      <c r="H152" s="143"/>
      <c r="I152" s="143"/>
      <c r="J152" s="143"/>
      <c r="K152" s="143"/>
      <c r="L152" s="143"/>
      <c r="M152" s="143"/>
      <c r="N152" s="143"/>
      <c r="O152" s="143"/>
      <c r="P152" s="143"/>
      <c r="Q152" s="159"/>
      <c r="R152" s="159"/>
      <c r="S152" s="159"/>
      <c r="T152" s="160"/>
      <c r="U152" s="143"/>
      <c r="V152" s="30"/>
      <c r="W152" s="143"/>
      <c r="X152" s="143"/>
      <c r="Y152" s="143"/>
      <c r="Z152" s="143"/>
    </row>
    <row r="153" ht="13.5" customHeight="1">
      <c r="A153" s="143"/>
      <c r="B153" s="143"/>
      <c r="C153" s="143"/>
      <c r="D153" s="143"/>
      <c r="E153" s="143"/>
      <c r="F153" s="143"/>
      <c r="G153" s="143"/>
      <c r="H153" s="143"/>
      <c r="I153" s="143"/>
      <c r="J153" s="143"/>
      <c r="K153" s="143"/>
      <c r="L153" s="143"/>
      <c r="M153" s="143"/>
      <c r="N153" s="143"/>
      <c r="O153" s="143"/>
      <c r="P153" s="143"/>
      <c r="Q153" s="159"/>
      <c r="R153" s="159"/>
      <c r="S153" s="159"/>
      <c r="T153" s="160"/>
      <c r="U153" s="143"/>
      <c r="V153" s="30"/>
      <c r="W153" s="143"/>
      <c r="X153" s="143"/>
      <c r="Y153" s="143"/>
      <c r="Z153" s="143"/>
    </row>
    <row r="154" ht="13.5" customHeight="1">
      <c r="A154" s="143"/>
      <c r="B154" s="143"/>
      <c r="C154" s="143"/>
      <c r="D154" s="143"/>
      <c r="E154" s="143"/>
      <c r="F154" s="143"/>
      <c r="G154" s="143"/>
      <c r="H154" s="143"/>
      <c r="I154" s="143"/>
      <c r="J154" s="143"/>
      <c r="K154" s="143"/>
      <c r="L154" s="143"/>
      <c r="M154" s="143"/>
      <c r="N154" s="143"/>
      <c r="O154" s="143"/>
      <c r="P154" s="143"/>
      <c r="Q154" s="159"/>
      <c r="R154" s="159"/>
      <c r="S154" s="159"/>
      <c r="T154" s="160"/>
      <c r="U154" s="143"/>
      <c r="V154" s="30"/>
      <c r="W154" s="143"/>
      <c r="X154" s="143"/>
      <c r="Y154" s="143"/>
      <c r="Z154" s="143"/>
    </row>
    <row r="155" ht="13.5" customHeight="1">
      <c r="A155" s="143"/>
      <c r="B155" s="143"/>
      <c r="C155" s="143"/>
      <c r="D155" s="143"/>
      <c r="E155" s="143"/>
      <c r="F155" s="143"/>
      <c r="G155" s="143"/>
      <c r="H155" s="143"/>
      <c r="I155" s="143"/>
      <c r="J155" s="143"/>
      <c r="K155" s="143"/>
      <c r="L155" s="143"/>
      <c r="M155" s="143"/>
      <c r="N155" s="143"/>
      <c r="O155" s="143"/>
      <c r="P155" s="143"/>
      <c r="Q155" s="159"/>
      <c r="R155" s="159"/>
      <c r="S155" s="159"/>
      <c r="T155" s="160"/>
      <c r="U155" s="143"/>
      <c r="V155" s="30"/>
      <c r="W155" s="143"/>
      <c r="X155" s="143"/>
      <c r="Y155" s="143"/>
      <c r="Z155" s="143"/>
    </row>
    <row r="156" ht="13.5" customHeight="1">
      <c r="A156" s="143"/>
      <c r="B156" s="143"/>
      <c r="C156" s="143"/>
      <c r="D156" s="143"/>
      <c r="E156" s="143"/>
      <c r="F156" s="143"/>
      <c r="G156" s="143"/>
      <c r="H156" s="143"/>
      <c r="I156" s="143"/>
      <c r="J156" s="143"/>
      <c r="K156" s="143"/>
      <c r="L156" s="143"/>
      <c r="M156" s="143"/>
      <c r="N156" s="143"/>
      <c r="O156" s="143"/>
      <c r="P156" s="143"/>
      <c r="Q156" s="159"/>
      <c r="R156" s="159"/>
      <c r="S156" s="159"/>
      <c r="T156" s="160"/>
      <c r="U156" s="143"/>
      <c r="V156" s="30"/>
      <c r="W156" s="143"/>
      <c r="X156" s="143"/>
      <c r="Y156" s="143"/>
      <c r="Z156" s="143"/>
    </row>
    <row r="157" ht="13.5" customHeight="1">
      <c r="A157" s="143"/>
      <c r="B157" s="143"/>
      <c r="C157" s="143"/>
      <c r="D157" s="143"/>
      <c r="E157" s="143"/>
      <c r="F157" s="143"/>
      <c r="G157" s="143"/>
      <c r="H157" s="143"/>
      <c r="I157" s="143"/>
      <c r="J157" s="143"/>
      <c r="K157" s="143"/>
      <c r="L157" s="143"/>
      <c r="M157" s="143"/>
      <c r="N157" s="143"/>
      <c r="O157" s="143"/>
      <c r="P157" s="143"/>
      <c r="Q157" s="159"/>
      <c r="R157" s="159"/>
      <c r="S157" s="159"/>
      <c r="T157" s="160"/>
      <c r="U157" s="143"/>
      <c r="V157" s="30"/>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59"/>
      <c r="R158" s="159"/>
      <c r="S158" s="159"/>
      <c r="T158" s="160"/>
      <c r="U158" s="143"/>
      <c r="V158" s="30"/>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59"/>
      <c r="R159" s="159"/>
      <c r="S159" s="159"/>
      <c r="T159" s="160"/>
      <c r="U159" s="143"/>
      <c r="V159" s="30"/>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59"/>
      <c r="R160" s="159"/>
      <c r="S160" s="159"/>
      <c r="T160" s="160"/>
      <c r="U160" s="143"/>
      <c r="V160" s="30"/>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59"/>
      <c r="R161" s="159"/>
      <c r="S161" s="159"/>
      <c r="T161" s="160"/>
      <c r="U161" s="143"/>
      <c r="V161" s="30"/>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59"/>
      <c r="R162" s="159"/>
      <c r="S162" s="159"/>
      <c r="T162" s="160"/>
      <c r="U162" s="143"/>
      <c r="V162" s="30"/>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59"/>
      <c r="R163" s="159"/>
      <c r="S163" s="159"/>
      <c r="T163" s="160"/>
      <c r="U163" s="143"/>
      <c r="V163" s="30"/>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59"/>
      <c r="R164" s="159"/>
      <c r="S164" s="159"/>
      <c r="T164" s="160"/>
      <c r="U164" s="143"/>
      <c r="V164" s="30"/>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59"/>
      <c r="R165" s="159"/>
      <c r="S165" s="159"/>
      <c r="T165" s="160"/>
      <c r="U165" s="143"/>
      <c r="V165" s="30"/>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59"/>
      <c r="R166" s="159"/>
      <c r="S166" s="159"/>
      <c r="T166" s="160"/>
      <c r="U166" s="143"/>
      <c r="V166" s="30"/>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59"/>
      <c r="R167" s="159"/>
      <c r="S167" s="159"/>
      <c r="T167" s="160"/>
      <c r="U167" s="143"/>
      <c r="V167" s="30"/>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59"/>
      <c r="R168" s="159"/>
      <c r="S168" s="159"/>
      <c r="T168" s="160"/>
      <c r="U168" s="143"/>
      <c r="V168" s="30"/>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59"/>
      <c r="R169" s="159"/>
      <c r="S169" s="159"/>
      <c r="T169" s="160"/>
      <c r="U169" s="143"/>
      <c r="V169" s="30"/>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59"/>
      <c r="R170" s="159"/>
      <c r="S170" s="159"/>
      <c r="T170" s="160"/>
      <c r="U170" s="143"/>
      <c r="V170" s="30"/>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59"/>
      <c r="R171" s="159"/>
      <c r="S171" s="159"/>
      <c r="T171" s="160"/>
      <c r="U171" s="143"/>
      <c r="V171" s="30"/>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59"/>
      <c r="R172" s="159"/>
      <c r="S172" s="159"/>
      <c r="T172" s="160"/>
      <c r="U172" s="143"/>
      <c r="V172" s="30"/>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59"/>
      <c r="R173" s="159"/>
      <c r="S173" s="159"/>
      <c r="T173" s="160"/>
      <c r="U173" s="143"/>
      <c r="V173" s="30"/>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59"/>
      <c r="R174" s="159"/>
      <c r="S174" s="159"/>
      <c r="T174" s="160"/>
      <c r="U174" s="143"/>
      <c r="V174" s="30"/>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59"/>
      <c r="R175" s="159"/>
      <c r="S175" s="159"/>
      <c r="T175" s="160"/>
      <c r="U175" s="143"/>
      <c r="V175" s="30"/>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59"/>
      <c r="R176" s="159"/>
      <c r="S176" s="159"/>
      <c r="T176" s="160"/>
      <c r="U176" s="143"/>
      <c r="V176" s="30"/>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59"/>
      <c r="R177" s="159"/>
      <c r="S177" s="159"/>
      <c r="T177" s="160"/>
      <c r="U177" s="143"/>
      <c r="V177" s="30"/>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59"/>
      <c r="R178" s="159"/>
      <c r="S178" s="159"/>
      <c r="T178" s="160"/>
      <c r="U178" s="143"/>
      <c r="V178" s="30"/>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59"/>
      <c r="R179" s="159"/>
      <c r="S179" s="159"/>
      <c r="T179" s="160"/>
      <c r="U179" s="143"/>
      <c r="V179" s="30"/>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59"/>
      <c r="R180" s="159"/>
      <c r="S180" s="159"/>
      <c r="T180" s="160"/>
      <c r="U180" s="143"/>
      <c r="V180" s="30"/>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59"/>
      <c r="R181" s="159"/>
      <c r="S181" s="159"/>
      <c r="T181" s="160"/>
      <c r="U181" s="143"/>
      <c r="V181" s="30"/>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59"/>
      <c r="R182" s="159"/>
      <c r="S182" s="159"/>
      <c r="T182" s="160"/>
      <c r="U182" s="143"/>
      <c r="V182" s="30"/>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59"/>
      <c r="R183" s="159"/>
      <c r="S183" s="159"/>
      <c r="T183" s="160"/>
      <c r="U183" s="143"/>
      <c r="V183" s="30"/>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59"/>
      <c r="R184" s="159"/>
      <c r="S184" s="159"/>
      <c r="T184" s="160"/>
      <c r="U184" s="143"/>
      <c r="V184" s="30"/>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59"/>
      <c r="R185" s="159"/>
      <c r="S185" s="159"/>
      <c r="T185" s="160"/>
      <c r="U185" s="143"/>
      <c r="V185" s="30"/>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59"/>
      <c r="R186" s="159"/>
      <c r="S186" s="159"/>
      <c r="T186" s="160"/>
      <c r="U186" s="143"/>
      <c r="V186" s="30"/>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59"/>
      <c r="R187" s="159"/>
      <c r="S187" s="159"/>
      <c r="T187" s="160"/>
      <c r="U187" s="143"/>
      <c r="V187" s="30"/>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59"/>
      <c r="R188" s="159"/>
      <c r="S188" s="159"/>
      <c r="T188" s="160"/>
      <c r="U188" s="143"/>
      <c r="V188" s="30"/>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59"/>
      <c r="R189" s="159"/>
      <c r="S189" s="159"/>
      <c r="T189" s="160"/>
      <c r="U189" s="143"/>
      <c r="V189" s="30"/>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59"/>
      <c r="R190" s="159"/>
      <c r="S190" s="159"/>
      <c r="T190" s="160"/>
      <c r="U190" s="143"/>
      <c r="V190" s="30"/>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59"/>
      <c r="R191" s="159"/>
      <c r="S191" s="159"/>
      <c r="T191" s="160"/>
      <c r="U191" s="143"/>
      <c r="V191" s="30"/>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59"/>
      <c r="R192" s="159"/>
      <c r="S192" s="159"/>
      <c r="T192" s="160"/>
      <c r="U192" s="143"/>
      <c r="V192" s="30"/>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59"/>
      <c r="R193" s="159"/>
      <c r="S193" s="159"/>
      <c r="T193" s="160"/>
      <c r="U193" s="143"/>
      <c r="V193" s="30"/>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59"/>
      <c r="R194" s="159"/>
      <c r="S194" s="159"/>
      <c r="T194" s="160"/>
      <c r="U194" s="143"/>
      <c r="V194" s="30"/>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59"/>
      <c r="R195" s="159"/>
      <c r="S195" s="159"/>
      <c r="T195" s="160"/>
      <c r="U195" s="143"/>
      <c r="V195" s="30"/>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59"/>
      <c r="R196" s="159"/>
      <c r="S196" s="159"/>
      <c r="T196" s="160"/>
      <c r="U196" s="143"/>
      <c r="V196" s="30"/>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59"/>
      <c r="R197" s="159"/>
      <c r="S197" s="159"/>
      <c r="T197" s="160"/>
      <c r="U197" s="143"/>
      <c r="V197" s="30"/>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59"/>
      <c r="R198" s="159"/>
      <c r="S198" s="159"/>
      <c r="T198" s="160"/>
      <c r="U198" s="143"/>
      <c r="V198" s="30"/>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59"/>
      <c r="R199" s="159"/>
      <c r="S199" s="159"/>
      <c r="T199" s="160"/>
      <c r="U199" s="143"/>
      <c r="V199" s="30"/>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59"/>
      <c r="R200" s="159"/>
      <c r="S200" s="159"/>
      <c r="T200" s="160"/>
      <c r="U200" s="143"/>
      <c r="V200" s="30"/>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59"/>
      <c r="R201" s="159"/>
      <c r="S201" s="159"/>
      <c r="T201" s="160"/>
      <c r="U201" s="143"/>
      <c r="V201" s="30"/>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59"/>
      <c r="R202" s="159"/>
      <c r="S202" s="159"/>
      <c r="T202" s="160"/>
      <c r="U202" s="143"/>
      <c r="V202" s="30"/>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59"/>
      <c r="R203" s="159"/>
      <c r="S203" s="159"/>
      <c r="T203" s="160"/>
      <c r="U203" s="143"/>
      <c r="V203" s="30"/>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59"/>
      <c r="R204" s="159"/>
      <c r="S204" s="159"/>
      <c r="T204" s="160"/>
      <c r="U204" s="143"/>
      <c r="V204" s="30"/>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59"/>
      <c r="R205" s="159"/>
      <c r="S205" s="159"/>
      <c r="T205" s="160"/>
      <c r="U205" s="143"/>
      <c r="V205" s="30"/>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59"/>
      <c r="R206" s="159"/>
      <c r="S206" s="159"/>
      <c r="T206" s="160"/>
      <c r="U206" s="143"/>
      <c r="V206" s="30"/>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59"/>
      <c r="R207" s="159"/>
      <c r="S207" s="159"/>
      <c r="T207" s="160"/>
      <c r="U207" s="143"/>
      <c r="V207" s="30"/>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59"/>
      <c r="R208" s="159"/>
      <c r="S208" s="159"/>
      <c r="T208" s="160"/>
      <c r="U208" s="143"/>
      <c r="V208" s="30"/>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59"/>
      <c r="R209" s="159"/>
      <c r="S209" s="159"/>
      <c r="T209" s="160"/>
      <c r="U209" s="143"/>
      <c r="V209" s="30"/>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59"/>
      <c r="R210" s="159"/>
      <c r="S210" s="159"/>
      <c r="T210" s="160"/>
      <c r="U210" s="143"/>
      <c r="V210" s="30"/>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59"/>
      <c r="R211" s="159"/>
      <c r="S211" s="159"/>
      <c r="T211" s="160"/>
      <c r="U211" s="143"/>
      <c r="V211" s="30"/>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59"/>
      <c r="R212" s="159"/>
      <c r="S212" s="159"/>
      <c r="T212" s="160"/>
      <c r="U212" s="143"/>
      <c r="V212" s="30"/>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59"/>
      <c r="R213" s="159"/>
      <c r="S213" s="159"/>
      <c r="T213" s="160"/>
      <c r="U213" s="143"/>
      <c r="V213" s="30"/>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59"/>
      <c r="R214" s="159"/>
      <c r="S214" s="159"/>
      <c r="T214" s="160"/>
      <c r="U214" s="143"/>
      <c r="V214" s="30"/>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59"/>
      <c r="R215" s="159"/>
      <c r="S215" s="159"/>
      <c r="T215" s="160"/>
      <c r="U215" s="143"/>
      <c r="V215" s="30"/>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59"/>
      <c r="R216" s="159"/>
      <c r="S216" s="159"/>
      <c r="T216" s="160"/>
      <c r="U216" s="143"/>
      <c r="V216" s="30"/>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59"/>
      <c r="R217" s="159"/>
      <c r="S217" s="159"/>
      <c r="T217" s="160"/>
      <c r="U217" s="143"/>
      <c r="V217" s="30"/>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59"/>
      <c r="R218" s="159"/>
      <c r="S218" s="159"/>
      <c r="T218" s="160"/>
      <c r="U218" s="143"/>
      <c r="V218" s="30"/>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59"/>
      <c r="R219" s="159"/>
      <c r="S219" s="159"/>
      <c r="T219" s="160"/>
      <c r="U219" s="143"/>
      <c r="V219" s="30"/>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59"/>
      <c r="R220" s="159"/>
      <c r="S220" s="159"/>
      <c r="T220" s="160"/>
      <c r="U220" s="143"/>
      <c r="V220" s="30"/>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59"/>
      <c r="R221" s="159"/>
      <c r="S221" s="159"/>
      <c r="T221" s="160"/>
      <c r="U221" s="143"/>
      <c r="V221" s="30"/>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59"/>
      <c r="R222" s="159"/>
      <c r="S222" s="159"/>
      <c r="T222" s="160"/>
      <c r="U222" s="143"/>
      <c r="V222" s="30"/>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59"/>
      <c r="R223" s="159"/>
      <c r="S223" s="159"/>
      <c r="T223" s="160"/>
      <c r="U223" s="143"/>
      <c r="V223" s="30"/>
      <c r="W223" s="143"/>
      <c r="X223" s="143"/>
      <c r="Y223" s="143"/>
      <c r="Z223" s="143"/>
    </row>
    <row r="224" ht="13.5" customHeight="1">
      <c r="A224" s="143"/>
      <c r="B224" s="143"/>
      <c r="C224" s="143"/>
      <c r="D224" s="143"/>
      <c r="E224" s="143"/>
      <c r="F224" s="143"/>
      <c r="G224" s="143"/>
      <c r="H224" s="143"/>
      <c r="I224" s="143"/>
      <c r="J224" s="143"/>
      <c r="K224" s="143"/>
      <c r="L224" s="143"/>
      <c r="M224" s="143"/>
      <c r="N224" s="143"/>
      <c r="O224" s="143"/>
      <c r="P224" s="143"/>
      <c r="Q224" s="159"/>
      <c r="R224" s="159"/>
      <c r="S224" s="159"/>
      <c r="T224" s="160"/>
      <c r="U224" s="143"/>
      <c r="V224" s="30"/>
      <c r="W224" s="143"/>
      <c r="X224" s="143"/>
      <c r="Y224" s="143"/>
      <c r="Z224" s="143"/>
    </row>
    <row r="225" ht="13.5" customHeight="1">
      <c r="A225" s="143"/>
      <c r="B225" s="143"/>
      <c r="C225" s="143"/>
      <c r="D225" s="143"/>
      <c r="E225" s="143"/>
      <c r="F225" s="143"/>
      <c r="G225" s="143"/>
      <c r="H225" s="143"/>
      <c r="I225" s="143"/>
      <c r="J225" s="143"/>
      <c r="K225" s="143"/>
      <c r="L225" s="143"/>
      <c r="M225" s="143"/>
      <c r="N225" s="143"/>
      <c r="O225" s="143"/>
      <c r="P225" s="143"/>
      <c r="Q225" s="159"/>
      <c r="R225" s="159"/>
      <c r="S225" s="159"/>
      <c r="T225" s="160"/>
      <c r="U225" s="143"/>
      <c r="V225" s="30"/>
      <c r="W225" s="143"/>
      <c r="X225" s="143"/>
      <c r="Y225" s="143"/>
      <c r="Z225" s="143"/>
    </row>
    <row r="226" ht="13.5" customHeight="1">
      <c r="A226" s="143"/>
      <c r="B226" s="143"/>
      <c r="C226" s="143"/>
      <c r="D226" s="143"/>
      <c r="E226" s="143"/>
      <c r="F226" s="143"/>
      <c r="G226" s="143"/>
      <c r="H226" s="143"/>
      <c r="I226" s="143"/>
      <c r="J226" s="143"/>
      <c r="K226" s="143"/>
      <c r="L226" s="143"/>
      <c r="M226" s="143"/>
      <c r="N226" s="143"/>
      <c r="O226" s="143"/>
      <c r="P226" s="143"/>
      <c r="Q226" s="159"/>
      <c r="R226" s="159"/>
      <c r="S226" s="159"/>
      <c r="T226" s="160"/>
      <c r="U226" s="143"/>
      <c r="V226" s="30"/>
      <c r="W226" s="143"/>
      <c r="X226" s="143"/>
      <c r="Y226" s="143"/>
      <c r="Z226" s="143"/>
    </row>
    <row r="227" ht="13.5" customHeight="1">
      <c r="A227" s="143"/>
      <c r="B227" s="143"/>
      <c r="C227" s="143"/>
      <c r="D227" s="143"/>
      <c r="E227" s="143"/>
      <c r="F227" s="143"/>
      <c r="G227" s="143"/>
      <c r="H227" s="143"/>
      <c r="I227" s="143"/>
      <c r="J227" s="143"/>
      <c r="K227" s="143"/>
      <c r="L227" s="143"/>
      <c r="M227" s="143"/>
      <c r="N227" s="143"/>
      <c r="O227" s="143"/>
      <c r="P227" s="143"/>
      <c r="Q227" s="159"/>
      <c r="R227" s="159"/>
      <c r="S227" s="159"/>
      <c r="T227" s="160"/>
      <c r="U227" s="143"/>
      <c r="V227" s="30"/>
      <c r="W227" s="143"/>
      <c r="X227" s="143"/>
      <c r="Y227" s="143"/>
      <c r="Z227" s="143"/>
    </row>
    <row r="228" ht="13.5" customHeight="1">
      <c r="A228" s="143"/>
      <c r="B228" s="143"/>
      <c r="C228" s="143"/>
      <c r="D228" s="143"/>
      <c r="E228" s="143"/>
      <c r="F228" s="143"/>
      <c r="G228" s="143"/>
      <c r="H228" s="143"/>
      <c r="I228" s="143"/>
      <c r="J228" s="143"/>
      <c r="K228" s="143"/>
      <c r="L228" s="143"/>
      <c r="M228" s="143"/>
      <c r="N228" s="143"/>
      <c r="O228" s="143"/>
      <c r="P228" s="143"/>
      <c r="Q228" s="159"/>
      <c r="R228" s="159"/>
      <c r="S228" s="159"/>
      <c r="T228" s="160"/>
      <c r="U228" s="143"/>
      <c r="V228" s="30"/>
      <c r="W228" s="143"/>
      <c r="X228" s="143"/>
      <c r="Y228" s="143"/>
      <c r="Z228" s="143"/>
    </row>
    <row r="229" ht="13.5" customHeight="1">
      <c r="A229" s="143"/>
      <c r="B229" s="143"/>
      <c r="C229" s="143"/>
      <c r="D229" s="143"/>
      <c r="E229" s="143"/>
      <c r="F229" s="143"/>
      <c r="G229" s="143"/>
      <c r="H229" s="143"/>
      <c r="I229" s="143"/>
      <c r="J229" s="143"/>
      <c r="K229" s="143"/>
      <c r="L229" s="143"/>
      <c r="M229" s="143"/>
      <c r="N229" s="143"/>
      <c r="O229" s="143"/>
      <c r="P229" s="143"/>
      <c r="Q229" s="159"/>
      <c r="R229" s="159"/>
      <c r="S229" s="159"/>
      <c r="T229" s="160"/>
      <c r="U229" s="143"/>
      <c r="V229" s="30"/>
      <c r="W229" s="143"/>
      <c r="X229" s="143"/>
      <c r="Y229" s="143"/>
      <c r="Z229" s="143"/>
    </row>
    <row r="230" ht="13.5" customHeight="1">
      <c r="A230" s="143"/>
      <c r="B230" s="143"/>
      <c r="C230" s="143"/>
      <c r="D230" s="143"/>
      <c r="E230" s="143"/>
      <c r="F230" s="143"/>
      <c r="G230" s="143"/>
      <c r="H230" s="143"/>
      <c r="I230" s="143"/>
      <c r="J230" s="143"/>
      <c r="K230" s="143"/>
      <c r="L230" s="143"/>
      <c r="M230" s="143"/>
      <c r="N230" s="143"/>
      <c r="O230" s="143"/>
      <c r="P230" s="143"/>
      <c r="Q230" s="159"/>
      <c r="R230" s="159"/>
      <c r="S230" s="159"/>
      <c r="T230" s="160"/>
      <c r="U230" s="143"/>
      <c r="V230" s="30"/>
      <c r="W230" s="143"/>
      <c r="X230" s="143"/>
      <c r="Y230" s="143"/>
      <c r="Z230" s="143"/>
    </row>
    <row r="231" ht="13.5" customHeight="1">
      <c r="A231" s="143"/>
      <c r="B231" s="143"/>
      <c r="C231" s="143"/>
      <c r="D231" s="143"/>
      <c r="E231" s="143"/>
      <c r="F231" s="143"/>
      <c r="G231" s="143"/>
      <c r="H231" s="143"/>
      <c r="I231" s="143"/>
      <c r="J231" s="143"/>
      <c r="K231" s="143"/>
      <c r="L231" s="143"/>
      <c r="M231" s="143"/>
      <c r="N231" s="143"/>
      <c r="O231" s="143"/>
      <c r="P231" s="143"/>
      <c r="Q231" s="159"/>
      <c r="R231" s="159"/>
      <c r="S231" s="159"/>
      <c r="T231" s="160"/>
      <c r="U231" s="143"/>
      <c r="V231" s="30"/>
      <c r="W231" s="143"/>
      <c r="X231" s="143"/>
      <c r="Y231" s="143"/>
      <c r="Z231" s="143"/>
    </row>
    <row r="232" ht="13.5" customHeight="1">
      <c r="A232" s="143"/>
      <c r="B232" s="143"/>
      <c r="C232" s="143"/>
      <c r="D232" s="143"/>
      <c r="E232" s="143"/>
      <c r="F232" s="143"/>
      <c r="G232" s="143"/>
      <c r="H232" s="143"/>
      <c r="I232" s="143"/>
      <c r="J232" s="143"/>
      <c r="K232" s="143"/>
      <c r="L232" s="143"/>
      <c r="M232" s="143"/>
      <c r="N232" s="143"/>
      <c r="O232" s="143"/>
      <c r="P232" s="143"/>
      <c r="Q232" s="159"/>
      <c r="R232" s="159"/>
      <c r="S232" s="159"/>
      <c r="T232" s="160"/>
      <c r="U232" s="143"/>
      <c r="V232" s="30"/>
      <c r="W232" s="143"/>
      <c r="X232" s="143"/>
      <c r="Y232" s="143"/>
      <c r="Z232" s="143"/>
    </row>
    <row r="233" ht="13.5" customHeight="1">
      <c r="A233" s="143"/>
      <c r="B233" s="143"/>
      <c r="C233" s="143"/>
      <c r="D233" s="143"/>
      <c r="E233" s="143"/>
      <c r="F233" s="143"/>
      <c r="G233" s="143"/>
      <c r="H233" s="143"/>
      <c r="I233" s="143"/>
      <c r="J233" s="143"/>
      <c r="K233" s="143"/>
      <c r="L233" s="143"/>
      <c r="M233" s="143"/>
      <c r="N233" s="143"/>
      <c r="O233" s="143"/>
      <c r="P233" s="143"/>
      <c r="Q233" s="159"/>
      <c r="R233" s="159"/>
      <c r="S233" s="159"/>
      <c r="T233" s="160"/>
      <c r="U233" s="143"/>
      <c r="V233" s="30"/>
      <c r="W233" s="143"/>
      <c r="X233" s="143"/>
      <c r="Y233" s="143"/>
      <c r="Z233" s="143"/>
    </row>
    <row r="234" ht="13.5" customHeight="1">
      <c r="A234" s="143"/>
      <c r="B234" s="143"/>
      <c r="C234" s="143"/>
      <c r="D234" s="143"/>
      <c r="E234" s="143"/>
      <c r="F234" s="143"/>
      <c r="G234" s="143"/>
      <c r="H234" s="143"/>
      <c r="I234" s="143"/>
      <c r="J234" s="143"/>
      <c r="K234" s="143"/>
      <c r="L234" s="143"/>
      <c r="M234" s="143"/>
      <c r="N234" s="143"/>
      <c r="O234" s="143"/>
      <c r="P234" s="143"/>
      <c r="Q234" s="159"/>
      <c r="R234" s="159"/>
      <c r="S234" s="159"/>
      <c r="T234" s="160"/>
      <c r="U234" s="143"/>
      <c r="V234" s="30"/>
      <c r="W234" s="143"/>
      <c r="X234" s="143"/>
      <c r="Y234" s="143"/>
      <c r="Z234" s="143"/>
    </row>
    <row r="235" ht="13.5" customHeight="1">
      <c r="A235" s="143"/>
      <c r="B235" s="143"/>
      <c r="C235" s="143"/>
      <c r="D235" s="143"/>
      <c r="E235" s="143"/>
      <c r="F235" s="143"/>
      <c r="G235" s="143"/>
      <c r="H235" s="143"/>
      <c r="I235" s="143"/>
      <c r="J235" s="143"/>
      <c r="K235" s="143"/>
      <c r="L235" s="143"/>
      <c r="M235" s="143"/>
      <c r="N235" s="143"/>
      <c r="O235" s="143"/>
      <c r="P235" s="143"/>
      <c r="Q235" s="159"/>
      <c r="R235" s="159"/>
      <c r="S235" s="159"/>
      <c r="T235" s="160"/>
      <c r="U235" s="143"/>
      <c r="V235" s="30"/>
      <c r="W235" s="143"/>
      <c r="X235" s="143"/>
      <c r="Y235" s="143"/>
      <c r="Z235" s="143"/>
    </row>
    <row r="236" ht="13.5" customHeight="1">
      <c r="A236" s="143"/>
      <c r="B236" s="143"/>
      <c r="C236" s="143"/>
      <c r="D236" s="143"/>
      <c r="E236" s="143"/>
      <c r="F236" s="143"/>
      <c r="G236" s="143"/>
      <c r="H236" s="143"/>
      <c r="I236" s="143"/>
      <c r="J236" s="143"/>
      <c r="K236" s="143"/>
      <c r="L236" s="143"/>
      <c r="M236" s="143"/>
      <c r="N236" s="143"/>
      <c r="O236" s="143"/>
      <c r="P236" s="143"/>
      <c r="Q236" s="159"/>
      <c r="R236" s="159"/>
      <c r="S236" s="159"/>
      <c r="T236" s="160"/>
      <c r="U236" s="143"/>
      <c r="V236" s="30"/>
      <c r="W236" s="143"/>
      <c r="X236" s="143"/>
      <c r="Y236" s="143"/>
      <c r="Z236" s="143"/>
    </row>
    <row r="237" ht="13.5" customHeight="1">
      <c r="A237" s="143"/>
      <c r="B237" s="143"/>
      <c r="C237" s="143"/>
      <c r="D237" s="143"/>
      <c r="E237" s="143"/>
      <c r="F237" s="143"/>
      <c r="G237" s="143"/>
      <c r="H237" s="143"/>
      <c r="I237" s="143"/>
      <c r="J237" s="143"/>
      <c r="K237" s="143"/>
      <c r="L237" s="143"/>
      <c r="M237" s="143"/>
      <c r="N237" s="143"/>
      <c r="O237" s="143"/>
      <c r="P237" s="143"/>
      <c r="Q237" s="159"/>
      <c r="R237" s="159"/>
      <c r="S237" s="159"/>
      <c r="T237" s="160"/>
      <c r="U237" s="143"/>
      <c r="V237" s="30"/>
      <c r="W237" s="143"/>
      <c r="X237" s="143"/>
      <c r="Y237" s="143"/>
      <c r="Z237" s="143"/>
    </row>
    <row r="238" ht="13.5" customHeight="1">
      <c r="A238" s="143"/>
      <c r="B238" s="143"/>
      <c r="C238" s="143"/>
      <c r="D238" s="143"/>
      <c r="E238" s="143"/>
      <c r="F238" s="143"/>
      <c r="G238" s="143"/>
      <c r="H238" s="143"/>
      <c r="I238" s="143"/>
      <c r="J238" s="143"/>
      <c r="K238" s="143"/>
      <c r="L238" s="143"/>
      <c r="M238" s="143"/>
      <c r="N238" s="143"/>
      <c r="O238" s="143"/>
      <c r="P238" s="143"/>
      <c r="Q238" s="159"/>
      <c r="R238" s="159"/>
      <c r="S238" s="159"/>
      <c r="T238" s="160"/>
      <c r="U238" s="143"/>
      <c r="V238" s="30"/>
      <c r="W238" s="143"/>
      <c r="X238" s="143"/>
      <c r="Y238" s="143"/>
      <c r="Z238" s="143"/>
    </row>
    <row r="239" ht="13.5" customHeight="1">
      <c r="A239" s="143"/>
      <c r="B239" s="143"/>
      <c r="C239" s="143"/>
      <c r="D239" s="143"/>
      <c r="E239" s="143"/>
      <c r="F239" s="143"/>
      <c r="G239" s="143"/>
      <c r="H239" s="143"/>
      <c r="I239" s="143"/>
      <c r="J239" s="143"/>
      <c r="K239" s="143"/>
      <c r="L239" s="143"/>
      <c r="M239" s="143"/>
      <c r="N239" s="143"/>
      <c r="O239" s="143"/>
      <c r="P239" s="143"/>
      <c r="Q239" s="159"/>
      <c r="R239" s="159"/>
      <c r="S239" s="159"/>
      <c r="T239" s="160"/>
      <c r="U239" s="143"/>
      <c r="V239" s="30"/>
      <c r="W239" s="143"/>
      <c r="X239" s="143"/>
      <c r="Y239" s="143"/>
      <c r="Z239" s="143"/>
    </row>
    <row r="240" ht="13.5" customHeight="1">
      <c r="A240" s="143"/>
      <c r="B240" s="143"/>
      <c r="C240" s="143"/>
      <c r="D240" s="143"/>
      <c r="E240" s="143"/>
      <c r="F240" s="143"/>
      <c r="G240" s="143"/>
      <c r="H240" s="143"/>
      <c r="I240" s="143"/>
      <c r="J240" s="143"/>
      <c r="K240" s="143"/>
      <c r="L240" s="143"/>
      <c r="M240" s="143"/>
      <c r="N240" s="143"/>
      <c r="O240" s="143"/>
      <c r="P240" s="143"/>
      <c r="Q240" s="159"/>
      <c r="R240" s="159"/>
      <c r="S240" s="159"/>
      <c r="T240" s="160"/>
      <c r="U240" s="143"/>
      <c r="V240" s="30"/>
      <c r="W240" s="143"/>
      <c r="X240" s="143"/>
      <c r="Y240" s="143"/>
      <c r="Z240" s="143"/>
    </row>
    <row r="241" ht="13.5" customHeight="1">
      <c r="A241" s="143"/>
      <c r="B241" s="143"/>
      <c r="C241" s="143"/>
      <c r="D241" s="143"/>
      <c r="E241" s="143"/>
      <c r="F241" s="143"/>
      <c r="G241" s="143"/>
      <c r="H241" s="143"/>
      <c r="I241" s="143"/>
      <c r="J241" s="143"/>
      <c r="K241" s="143"/>
      <c r="L241" s="143"/>
      <c r="M241" s="143"/>
      <c r="N241" s="143"/>
      <c r="O241" s="143"/>
      <c r="P241" s="143"/>
      <c r="Q241" s="159"/>
      <c r="R241" s="159"/>
      <c r="S241" s="159"/>
      <c r="T241" s="160"/>
      <c r="U241" s="143"/>
      <c r="V241" s="30"/>
      <c r="W241" s="143"/>
      <c r="X241" s="143"/>
      <c r="Y241" s="143"/>
      <c r="Z241" s="143"/>
    </row>
    <row r="242" ht="13.5" customHeight="1">
      <c r="A242" s="143"/>
      <c r="B242" s="143"/>
      <c r="C242" s="143"/>
      <c r="D242" s="143"/>
      <c r="E242" s="143"/>
      <c r="F242" s="143"/>
      <c r="G242" s="143"/>
      <c r="H242" s="143"/>
      <c r="I242" s="143"/>
      <c r="J242" s="143"/>
      <c r="K242" s="143"/>
      <c r="L242" s="143"/>
      <c r="M242" s="143"/>
      <c r="N242" s="143"/>
      <c r="O242" s="143"/>
      <c r="P242" s="143"/>
      <c r="Q242" s="159"/>
      <c r="R242" s="159"/>
      <c r="S242" s="159"/>
      <c r="T242" s="160"/>
      <c r="U242" s="143"/>
      <c r="V242" s="30"/>
      <c r="W242" s="143"/>
      <c r="X242" s="143"/>
      <c r="Y242" s="143"/>
      <c r="Z242" s="143"/>
    </row>
    <row r="243" ht="13.5" customHeight="1">
      <c r="A243" s="143"/>
      <c r="B243" s="143"/>
      <c r="C243" s="143"/>
      <c r="D243" s="143"/>
      <c r="E243" s="143"/>
      <c r="F243" s="143"/>
      <c r="G243" s="143"/>
      <c r="H243" s="143"/>
      <c r="I243" s="143"/>
      <c r="J243" s="143"/>
      <c r="K243" s="143"/>
      <c r="L243" s="143"/>
      <c r="M243" s="143"/>
      <c r="N243" s="143"/>
      <c r="O243" s="143"/>
      <c r="P243" s="143"/>
      <c r="Q243" s="159"/>
      <c r="R243" s="159"/>
      <c r="S243" s="159"/>
      <c r="T243" s="160"/>
      <c r="U243" s="143"/>
      <c r="V243" s="30"/>
      <c r="W243" s="143"/>
      <c r="X243" s="143"/>
      <c r="Y243" s="143"/>
      <c r="Z243" s="143"/>
    </row>
    <row r="244" ht="13.5" customHeight="1">
      <c r="A244" s="143"/>
      <c r="B244" s="143"/>
      <c r="C244" s="143"/>
      <c r="D244" s="143"/>
      <c r="E244" s="143"/>
      <c r="F244" s="143"/>
      <c r="G244" s="143"/>
      <c r="H244" s="143"/>
      <c r="I244" s="143"/>
      <c r="J244" s="143"/>
      <c r="K244" s="143"/>
      <c r="L244" s="143"/>
      <c r="M244" s="143"/>
      <c r="N244" s="143"/>
      <c r="O244" s="143"/>
      <c r="P244" s="143"/>
      <c r="Q244" s="159"/>
      <c r="R244" s="159"/>
      <c r="S244" s="159"/>
      <c r="T244" s="160"/>
      <c r="U244" s="143"/>
      <c r="V244" s="30"/>
      <c r="W244" s="143"/>
      <c r="X244" s="143"/>
      <c r="Y244" s="143"/>
      <c r="Z244" s="143"/>
    </row>
    <row r="245" ht="13.5" customHeight="1">
      <c r="A245" s="143"/>
      <c r="B245" s="143"/>
      <c r="C245" s="143"/>
      <c r="D245" s="143"/>
      <c r="E245" s="143"/>
      <c r="F245" s="143"/>
      <c r="G245" s="143"/>
      <c r="H245" s="143"/>
      <c r="I245" s="143"/>
      <c r="J245" s="143"/>
      <c r="K245" s="143"/>
      <c r="L245" s="143"/>
      <c r="M245" s="143"/>
      <c r="N245" s="143"/>
      <c r="O245" s="143"/>
      <c r="P245" s="143"/>
      <c r="Q245" s="159"/>
      <c r="R245" s="159"/>
      <c r="S245" s="159"/>
      <c r="T245" s="160"/>
      <c r="U245" s="143"/>
      <c r="V245" s="30"/>
      <c r="W245" s="143"/>
      <c r="X245" s="143"/>
      <c r="Y245" s="143"/>
      <c r="Z245" s="143"/>
    </row>
    <row r="246" ht="13.5" customHeight="1">
      <c r="A246" s="2"/>
      <c r="B246" s="2"/>
      <c r="C246" s="2"/>
      <c r="D246" s="2"/>
      <c r="E246" s="2"/>
      <c r="F246" s="2"/>
      <c r="G246" s="2"/>
      <c r="H246" s="2"/>
      <c r="I246" s="2"/>
      <c r="J246" s="156"/>
      <c r="K246" s="2"/>
      <c r="L246" s="2"/>
      <c r="M246" s="2"/>
      <c r="N246" s="2"/>
      <c r="O246" s="2"/>
      <c r="P246" s="2"/>
      <c r="Q246" s="157"/>
      <c r="R246" s="157"/>
      <c r="S246" s="157"/>
      <c r="T246" s="158"/>
      <c r="U246" s="2"/>
      <c r="V246" s="30"/>
      <c r="W246" s="2"/>
      <c r="X246" s="2"/>
      <c r="Y246" s="2"/>
      <c r="Z246" s="2"/>
    </row>
    <row r="247" ht="13.5" customHeight="1">
      <c r="A247" s="2"/>
      <c r="B247" s="2"/>
      <c r="C247" s="2"/>
      <c r="D247" s="2"/>
      <c r="E247" s="2"/>
      <c r="F247" s="2"/>
      <c r="G247" s="2"/>
      <c r="H247" s="2"/>
      <c r="I247" s="2"/>
      <c r="J247" s="156"/>
      <c r="K247" s="2"/>
      <c r="L247" s="2"/>
      <c r="M247" s="2"/>
      <c r="N247" s="2"/>
      <c r="O247" s="2"/>
      <c r="P247" s="2"/>
      <c r="Q247" s="157"/>
      <c r="R247" s="157"/>
      <c r="S247" s="157"/>
      <c r="T247" s="158"/>
      <c r="U247" s="2"/>
      <c r="V247" s="30"/>
      <c r="W247" s="2"/>
      <c r="X247" s="2"/>
      <c r="Y247" s="2"/>
      <c r="Z247" s="2"/>
    </row>
    <row r="248" ht="13.5" customHeight="1">
      <c r="A248" s="2"/>
      <c r="B248" s="2"/>
      <c r="C248" s="2"/>
      <c r="D248" s="2"/>
      <c r="E248" s="2"/>
      <c r="F248" s="2"/>
      <c r="G248" s="2"/>
      <c r="H248" s="2"/>
      <c r="I248" s="2"/>
      <c r="J248" s="156"/>
      <c r="K248" s="2"/>
      <c r="L248" s="2"/>
      <c r="M248" s="2"/>
      <c r="N248" s="2"/>
      <c r="O248" s="2"/>
      <c r="P248" s="2"/>
      <c r="Q248" s="157"/>
      <c r="R248" s="157"/>
      <c r="S248" s="157"/>
      <c r="T248" s="158"/>
      <c r="U248" s="2"/>
      <c r="V248" s="30"/>
      <c r="W248" s="2"/>
      <c r="X248" s="2"/>
      <c r="Y248" s="2"/>
      <c r="Z248" s="2"/>
    </row>
    <row r="249" ht="13.5" customHeight="1">
      <c r="A249" s="2"/>
      <c r="B249" s="2"/>
      <c r="C249" s="2"/>
      <c r="D249" s="2"/>
      <c r="E249" s="2"/>
      <c r="F249" s="2"/>
      <c r="G249" s="2"/>
      <c r="H249" s="2"/>
      <c r="I249" s="2"/>
      <c r="J249" s="156"/>
      <c r="K249" s="2"/>
      <c r="L249" s="2"/>
      <c r="M249" s="2"/>
      <c r="N249" s="2"/>
      <c r="O249" s="2"/>
      <c r="P249" s="2"/>
      <c r="Q249" s="157"/>
      <c r="R249" s="157"/>
      <c r="S249" s="157"/>
      <c r="T249" s="158"/>
      <c r="U249" s="2"/>
      <c r="V249" s="30"/>
      <c r="W249" s="2"/>
      <c r="X249" s="2"/>
      <c r="Y249" s="2"/>
      <c r="Z249" s="2"/>
    </row>
    <row r="250" ht="13.5" customHeight="1">
      <c r="A250" s="2"/>
      <c r="B250" s="2"/>
      <c r="C250" s="2"/>
      <c r="D250" s="2"/>
      <c r="E250" s="2"/>
      <c r="F250" s="2"/>
      <c r="G250" s="2"/>
      <c r="H250" s="2"/>
      <c r="I250" s="2"/>
      <c r="J250" s="156"/>
      <c r="K250" s="2"/>
      <c r="L250" s="2"/>
      <c r="M250" s="2"/>
      <c r="N250" s="2"/>
      <c r="O250" s="2"/>
      <c r="P250" s="2"/>
      <c r="Q250" s="157"/>
      <c r="R250" s="157"/>
      <c r="S250" s="157"/>
      <c r="T250" s="158"/>
      <c r="U250" s="2"/>
      <c r="V250" s="30"/>
      <c r="W250" s="2"/>
      <c r="X250" s="2"/>
      <c r="Y250" s="2"/>
      <c r="Z250" s="2"/>
    </row>
    <row r="251" ht="13.5" customHeight="1">
      <c r="A251" s="2"/>
      <c r="B251" s="2"/>
      <c r="C251" s="2"/>
      <c r="D251" s="2"/>
      <c r="E251" s="2"/>
      <c r="F251" s="2"/>
      <c r="G251" s="2"/>
      <c r="H251" s="2"/>
      <c r="I251" s="2"/>
      <c r="J251" s="156"/>
      <c r="K251" s="2"/>
      <c r="L251" s="2"/>
      <c r="M251" s="2"/>
      <c r="N251" s="2"/>
      <c r="O251" s="2"/>
      <c r="P251" s="2"/>
      <c r="Q251" s="157"/>
      <c r="R251" s="157"/>
      <c r="S251" s="157"/>
      <c r="T251" s="158"/>
      <c r="U251" s="2"/>
      <c r="V251" s="30"/>
      <c r="W251" s="2"/>
      <c r="X251" s="2"/>
      <c r="Y251" s="2"/>
      <c r="Z251" s="2"/>
    </row>
    <row r="252" ht="13.5" customHeight="1">
      <c r="A252" s="2"/>
      <c r="B252" s="2"/>
      <c r="C252" s="2"/>
      <c r="D252" s="2"/>
      <c r="E252" s="2"/>
      <c r="F252" s="2"/>
      <c r="G252" s="2"/>
      <c r="H252" s="2"/>
      <c r="I252" s="2"/>
      <c r="J252" s="156"/>
      <c r="K252" s="2"/>
      <c r="L252" s="2"/>
      <c r="M252" s="2"/>
      <c r="N252" s="2"/>
      <c r="O252" s="2"/>
      <c r="P252" s="2"/>
      <c r="Q252" s="157"/>
      <c r="R252" s="157"/>
      <c r="S252" s="157"/>
      <c r="T252" s="158"/>
      <c r="U252" s="2"/>
      <c r="V252" s="30"/>
      <c r="W252" s="2"/>
      <c r="X252" s="2"/>
      <c r="Y252" s="2"/>
      <c r="Z252" s="2"/>
    </row>
    <row r="253" ht="13.5" customHeight="1">
      <c r="A253" s="2"/>
      <c r="B253" s="2"/>
      <c r="C253" s="2"/>
      <c r="D253" s="2"/>
      <c r="E253" s="2"/>
      <c r="F253" s="2"/>
      <c r="G253" s="2"/>
      <c r="H253" s="2"/>
      <c r="I253" s="2"/>
      <c r="J253" s="156"/>
      <c r="K253" s="2"/>
      <c r="L253" s="2"/>
      <c r="M253" s="2"/>
      <c r="N253" s="2"/>
      <c r="O253" s="2"/>
      <c r="P253" s="2"/>
      <c r="Q253" s="157"/>
      <c r="R253" s="157"/>
      <c r="S253" s="157"/>
      <c r="T253" s="158"/>
      <c r="U253" s="2"/>
      <c r="V253" s="30"/>
      <c r="W253" s="2"/>
      <c r="X253" s="2"/>
      <c r="Y253" s="2"/>
      <c r="Z253" s="2"/>
    </row>
    <row r="254" ht="13.5" customHeight="1">
      <c r="A254" s="2"/>
      <c r="B254" s="2"/>
      <c r="C254" s="2"/>
      <c r="D254" s="2"/>
      <c r="E254" s="2"/>
      <c r="F254" s="2"/>
      <c r="G254" s="2"/>
      <c r="H254" s="2"/>
      <c r="I254" s="2"/>
      <c r="J254" s="156"/>
      <c r="K254" s="2"/>
      <c r="L254" s="2"/>
      <c r="M254" s="2"/>
      <c r="N254" s="2"/>
      <c r="O254" s="2"/>
      <c r="P254" s="2"/>
      <c r="Q254" s="157"/>
      <c r="R254" s="157"/>
      <c r="S254" s="157"/>
      <c r="T254" s="158"/>
      <c r="U254" s="2"/>
      <c r="V254" s="30"/>
      <c r="W254" s="2"/>
      <c r="X254" s="2"/>
      <c r="Y254" s="2"/>
      <c r="Z254" s="2"/>
    </row>
    <row r="255" ht="13.5" customHeight="1">
      <c r="A255" s="2"/>
      <c r="B255" s="2"/>
      <c r="C255" s="2"/>
      <c r="D255" s="2"/>
      <c r="E255" s="2"/>
      <c r="F255" s="2"/>
      <c r="G255" s="2"/>
      <c r="H255" s="2"/>
      <c r="I255" s="2"/>
      <c r="J255" s="156"/>
      <c r="K255" s="2"/>
      <c r="L255" s="2"/>
      <c r="M255" s="2"/>
      <c r="N255" s="2"/>
      <c r="O255" s="2"/>
      <c r="P255" s="2"/>
      <c r="Q255" s="157"/>
      <c r="R255" s="157"/>
      <c r="S255" s="157"/>
      <c r="T255" s="158"/>
      <c r="U255" s="2"/>
      <c r="V255" s="30"/>
      <c r="W255" s="2"/>
      <c r="X255" s="2"/>
      <c r="Y255" s="2"/>
      <c r="Z255" s="2"/>
    </row>
    <row r="256" ht="13.5" customHeight="1">
      <c r="A256" s="2"/>
      <c r="B256" s="2"/>
      <c r="C256" s="2"/>
      <c r="D256" s="2"/>
      <c r="E256" s="2"/>
      <c r="F256" s="2"/>
      <c r="G256" s="2"/>
      <c r="H256" s="2"/>
      <c r="I256" s="2"/>
      <c r="J256" s="156"/>
      <c r="K256" s="2"/>
      <c r="L256" s="2"/>
      <c r="M256" s="2"/>
      <c r="N256" s="2"/>
      <c r="O256" s="2"/>
      <c r="P256" s="2"/>
      <c r="Q256" s="157"/>
      <c r="R256" s="157"/>
      <c r="S256" s="157"/>
      <c r="T256" s="158"/>
      <c r="U256" s="2"/>
      <c r="V256" s="30"/>
      <c r="W256" s="2"/>
      <c r="X256" s="2"/>
      <c r="Y256" s="2"/>
      <c r="Z256" s="2"/>
    </row>
    <row r="257" ht="13.5" customHeight="1">
      <c r="A257" s="2"/>
      <c r="B257" s="2"/>
      <c r="C257" s="2"/>
      <c r="D257" s="2"/>
      <c r="E257" s="2"/>
      <c r="F257" s="2"/>
      <c r="G257" s="2"/>
      <c r="H257" s="2"/>
      <c r="I257" s="2"/>
      <c r="J257" s="156"/>
      <c r="K257" s="2"/>
      <c r="L257" s="2"/>
      <c r="M257" s="2"/>
      <c r="N257" s="2"/>
      <c r="O257" s="2"/>
      <c r="P257" s="2"/>
      <c r="Q257" s="157"/>
      <c r="R257" s="157"/>
      <c r="S257" s="157"/>
      <c r="T257" s="158"/>
      <c r="U257" s="2"/>
      <c r="V257" s="30"/>
      <c r="W257" s="2"/>
      <c r="X257" s="2"/>
      <c r="Y257" s="2"/>
      <c r="Z257" s="2"/>
    </row>
    <row r="258" ht="13.5" customHeight="1">
      <c r="A258" s="2"/>
      <c r="B258" s="2"/>
      <c r="C258" s="2"/>
      <c r="D258" s="2"/>
      <c r="E258" s="2"/>
      <c r="F258" s="2"/>
      <c r="G258" s="2"/>
      <c r="H258" s="2"/>
      <c r="I258" s="2"/>
      <c r="J258" s="156"/>
      <c r="K258" s="2"/>
      <c r="L258" s="2"/>
      <c r="M258" s="2"/>
      <c r="N258" s="2"/>
      <c r="O258" s="2"/>
      <c r="P258" s="2"/>
      <c r="Q258" s="157"/>
      <c r="R258" s="157"/>
      <c r="S258" s="157"/>
      <c r="T258" s="158"/>
      <c r="U258" s="2"/>
      <c r="V258" s="30"/>
      <c r="W258" s="2"/>
      <c r="X258" s="2"/>
      <c r="Y258" s="2"/>
      <c r="Z258" s="2"/>
    </row>
    <row r="259" ht="13.5" customHeight="1">
      <c r="A259" s="2"/>
      <c r="B259" s="2"/>
      <c r="C259" s="2"/>
      <c r="D259" s="2"/>
      <c r="E259" s="2"/>
      <c r="F259" s="2"/>
      <c r="G259" s="2"/>
      <c r="H259" s="2"/>
      <c r="I259" s="2"/>
      <c r="J259" s="156"/>
      <c r="K259" s="2"/>
      <c r="L259" s="2"/>
      <c r="M259" s="2"/>
      <c r="N259" s="2"/>
      <c r="O259" s="2"/>
      <c r="P259" s="2"/>
      <c r="Q259" s="157"/>
      <c r="R259" s="157"/>
      <c r="S259" s="157"/>
      <c r="T259" s="158"/>
      <c r="U259" s="2"/>
      <c r="V259" s="30"/>
      <c r="W259" s="2"/>
      <c r="X259" s="2"/>
      <c r="Y259" s="2"/>
      <c r="Z259" s="2"/>
    </row>
    <row r="260" ht="13.5" customHeight="1">
      <c r="A260" s="2"/>
      <c r="B260" s="2"/>
      <c r="C260" s="2"/>
      <c r="D260" s="2"/>
      <c r="E260" s="2"/>
      <c r="F260" s="2"/>
      <c r="G260" s="2"/>
      <c r="H260" s="2"/>
      <c r="I260" s="2"/>
      <c r="J260" s="156"/>
      <c r="K260" s="2"/>
      <c r="L260" s="2"/>
      <c r="M260" s="2"/>
      <c r="N260" s="2"/>
      <c r="O260" s="2"/>
      <c r="P260" s="2"/>
      <c r="Q260" s="157"/>
      <c r="R260" s="157"/>
      <c r="S260" s="157"/>
      <c r="T260" s="158"/>
      <c r="U260" s="2"/>
      <c r="V260" s="30"/>
      <c r="W260" s="2"/>
      <c r="X260" s="2"/>
      <c r="Y260" s="2"/>
      <c r="Z260" s="2"/>
    </row>
    <row r="261" ht="13.5" customHeight="1">
      <c r="A261" s="2"/>
      <c r="B261" s="2"/>
      <c r="C261" s="2"/>
      <c r="D261" s="2"/>
      <c r="E261" s="2"/>
      <c r="F261" s="2"/>
      <c r="G261" s="2"/>
      <c r="H261" s="2"/>
      <c r="I261" s="2"/>
      <c r="J261" s="156"/>
      <c r="K261" s="2"/>
      <c r="L261" s="2"/>
      <c r="M261" s="2"/>
      <c r="N261" s="2"/>
      <c r="O261" s="2"/>
      <c r="P261" s="2"/>
      <c r="Q261" s="157"/>
      <c r="R261" s="157"/>
      <c r="S261" s="157"/>
      <c r="T261" s="158"/>
      <c r="U261" s="2"/>
      <c r="V261" s="30"/>
      <c r="W261" s="2"/>
      <c r="X261" s="2"/>
      <c r="Y261" s="2"/>
      <c r="Z261" s="2"/>
    </row>
    <row r="262" ht="13.5" customHeight="1">
      <c r="A262" s="2"/>
      <c r="B262" s="2"/>
      <c r="C262" s="2"/>
      <c r="D262" s="2"/>
      <c r="E262" s="2"/>
      <c r="F262" s="2"/>
      <c r="G262" s="2"/>
      <c r="H262" s="2"/>
      <c r="I262" s="2"/>
      <c r="J262" s="156"/>
      <c r="K262" s="2"/>
      <c r="L262" s="2"/>
      <c r="M262" s="2"/>
      <c r="N262" s="2"/>
      <c r="O262" s="2"/>
      <c r="P262" s="2"/>
      <c r="Q262" s="157"/>
      <c r="R262" s="157"/>
      <c r="S262" s="157"/>
      <c r="T262" s="158"/>
      <c r="U262" s="2"/>
      <c r="V262" s="30"/>
      <c r="W262" s="2"/>
      <c r="X262" s="2"/>
      <c r="Y262" s="2"/>
      <c r="Z262" s="2"/>
    </row>
    <row r="263" ht="13.5" customHeight="1">
      <c r="A263" s="2"/>
      <c r="B263" s="2"/>
      <c r="C263" s="2"/>
      <c r="D263" s="2"/>
      <c r="E263" s="2"/>
      <c r="F263" s="2"/>
      <c r="G263" s="2"/>
      <c r="H263" s="2"/>
      <c r="I263" s="2"/>
      <c r="J263" s="156"/>
      <c r="K263" s="2"/>
      <c r="L263" s="2"/>
      <c r="M263" s="2"/>
      <c r="N263" s="2"/>
      <c r="O263" s="2"/>
      <c r="P263" s="2"/>
      <c r="Q263" s="157"/>
      <c r="R263" s="157"/>
      <c r="S263" s="157"/>
      <c r="T263" s="158"/>
      <c r="U263" s="2"/>
      <c r="V263" s="30"/>
      <c r="W263" s="2"/>
      <c r="X263" s="2"/>
      <c r="Y263" s="2"/>
      <c r="Z263" s="2"/>
    </row>
    <row r="264" ht="13.5" customHeight="1">
      <c r="A264" s="2"/>
      <c r="B264" s="2"/>
      <c r="C264" s="2"/>
      <c r="D264" s="2"/>
      <c r="E264" s="2"/>
      <c r="F264" s="2"/>
      <c r="G264" s="2"/>
      <c r="H264" s="2"/>
      <c r="I264" s="2"/>
      <c r="J264" s="156"/>
      <c r="K264" s="2"/>
      <c r="L264" s="2"/>
      <c r="M264" s="2"/>
      <c r="N264" s="2"/>
      <c r="O264" s="2"/>
      <c r="P264" s="2"/>
      <c r="Q264" s="157"/>
      <c r="R264" s="157"/>
      <c r="S264" s="157"/>
      <c r="T264" s="158"/>
      <c r="U264" s="2"/>
      <c r="V264" s="30"/>
      <c r="W264" s="2"/>
      <c r="X264" s="2"/>
      <c r="Y264" s="2"/>
      <c r="Z264" s="2"/>
    </row>
    <row r="265" ht="13.5" customHeight="1">
      <c r="A265" s="2"/>
      <c r="B265" s="2"/>
      <c r="C265" s="2"/>
      <c r="D265" s="2"/>
      <c r="E265" s="2"/>
      <c r="F265" s="2"/>
      <c r="G265" s="2"/>
      <c r="H265" s="2"/>
      <c r="I265" s="2"/>
      <c r="J265" s="156"/>
      <c r="K265" s="2"/>
      <c r="L265" s="2"/>
      <c r="M265" s="2"/>
      <c r="N265" s="2"/>
      <c r="O265" s="2"/>
      <c r="P265" s="2"/>
      <c r="Q265" s="157"/>
      <c r="R265" s="157"/>
      <c r="S265" s="157"/>
      <c r="T265" s="158"/>
      <c r="U265" s="2"/>
      <c r="V265" s="30"/>
      <c r="W265" s="2"/>
      <c r="X265" s="2"/>
      <c r="Y265" s="2"/>
      <c r="Z265" s="2"/>
    </row>
    <row r="266" ht="13.5" customHeight="1">
      <c r="A266" s="2"/>
      <c r="B266" s="2"/>
      <c r="C266" s="2"/>
      <c r="D266" s="2"/>
      <c r="E266" s="2"/>
      <c r="F266" s="2"/>
      <c r="G266" s="2"/>
      <c r="H266" s="2"/>
      <c r="I266" s="2"/>
      <c r="J266" s="156"/>
      <c r="K266" s="2"/>
      <c r="L266" s="2"/>
      <c r="M266" s="2"/>
      <c r="N266" s="2"/>
      <c r="O266" s="2"/>
      <c r="P266" s="2"/>
      <c r="Q266" s="157"/>
      <c r="R266" s="157"/>
      <c r="S266" s="157"/>
      <c r="T266" s="158"/>
      <c r="U266" s="2"/>
      <c r="V266" s="30"/>
      <c r="W266" s="2"/>
      <c r="X266" s="2"/>
      <c r="Y266" s="2"/>
      <c r="Z266" s="2"/>
    </row>
    <row r="267" ht="13.5" customHeight="1">
      <c r="A267" s="2"/>
      <c r="B267" s="2"/>
      <c r="C267" s="2"/>
      <c r="D267" s="2"/>
      <c r="E267" s="2"/>
      <c r="F267" s="2"/>
      <c r="G267" s="2"/>
      <c r="H267" s="2"/>
      <c r="I267" s="2"/>
      <c r="J267" s="156"/>
      <c r="K267" s="2"/>
      <c r="L267" s="2"/>
      <c r="M267" s="2"/>
      <c r="N267" s="2"/>
      <c r="O267" s="2"/>
      <c r="P267" s="2"/>
      <c r="Q267" s="157"/>
      <c r="R267" s="157"/>
      <c r="S267" s="157"/>
      <c r="T267" s="158"/>
      <c r="U267" s="2"/>
      <c r="V267" s="30"/>
      <c r="W267" s="2"/>
      <c r="X267" s="2"/>
      <c r="Y267" s="2"/>
      <c r="Z267" s="2"/>
    </row>
    <row r="268" ht="13.5" customHeight="1">
      <c r="A268" s="2"/>
      <c r="B268" s="2"/>
      <c r="C268" s="2"/>
      <c r="D268" s="2"/>
      <c r="E268" s="2"/>
      <c r="F268" s="2"/>
      <c r="G268" s="2"/>
      <c r="H268" s="2"/>
      <c r="I268" s="2"/>
      <c r="J268" s="156"/>
      <c r="K268" s="2"/>
      <c r="L268" s="2"/>
      <c r="M268" s="2"/>
      <c r="N268" s="2"/>
      <c r="O268" s="2"/>
      <c r="P268" s="2"/>
      <c r="Q268" s="157"/>
      <c r="R268" s="157"/>
      <c r="S268" s="157"/>
      <c r="T268" s="158"/>
      <c r="U268" s="2"/>
      <c r="V268" s="30"/>
      <c r="W268" s="2"/>
      <c r="X268" s="2"/>
      <c r="Y268" s="2"/>
      <c r="Z268" s="2"/>
    </row>
    <row r="269" ht="13.5" customHeight="1">
      <c r="A269" s="2"/>
      <c r="B269" s="2"/>
      <c r="C269" s="2"/>
      <c r="D269" s="2"/>
      <c r="E269" s="2"/>
      <c r="F269" s="2"/>
      <c r="G269" s="2"/>
      <c r="H269" s="2"/>
      <c r="I269" s="2"/>
      <c r="J269" s="156"/>
      <c r="K269" s="2"/>
      <c r="L269" s="2"/>
      <c r="M269" s="2"/>
      <c r="N269" s="2"/>
      <c r="O269" s="2"/>
      <c r="P269" s="2"/>
      <c r="Q269" s="157"/>
      <c r="R269" s="157"/>
      <c r="S269" s="157"/>
      <c r="T269" s="158"/>
      <c r="U269" s="2"/>
      <c r="V269" s="30"/>
      <c r="W269" s="2"/>
      <c r="X269" s="2"/>
      <c r="Y269" s="2"/>
      <c r="Z269" s="2"/>
    </row>
    <row r="270" ht="13.5" customHeight="1">
      <c r="A270" s="2"/>
      <c r="B270" s="2"/>
      <c r="C270" s="2"/>
      <c r="D270" s="2"/>
      <c r="E270" s="2"/>
      <c r="F270" s="2"/>
      <c r="G270" s="2"/>
      <c r="H270" s="2"/>
      <c r="I270" s="2"/>
      <c r="J270" s="156"/>
      <c r="K270" s="2"/>
      <c r="L270" s="2"/>
      <c r="M270" s="2"/>
      <c r="N270" s="2"/>
      <c r="O270" s="2"/>
      <c r="P270" s="2"/>
      <c r="Q270" s="157"/>
      <c r="R270" s="157"/>
      <c r="S270" s="157"/>
      <c r="T270" s="158"/>
      <c r="U270" s="2"/>
      <c r="V270" s="30"/>
      <c r="W270" s="2"/>
      <c r="X270" s="2"/>
      <c r="Y270" s="2"/>
      <c r="Z270" s="2"/>
    </row>
    <row r="271" ht="13.5" customHeight="1">
      <c r="A271" s="2"/>
      <c r="B271" s="2"/>
      <c r="C271" s="2"/>
      <c r="D271" s="2"/>
      <c r="E271" s="2"/>
      <c r="F271" s="2"/>
      <c r="G271" s="2"/>
      <c r="H271" s="2"/>
      <c r="I271" s="2"/>
      <c r="J271" s="156"/>
      <c r="K271" s="2"/>
      <c r="L271" s="2"/>
      <c r="M271" s="2"/>
      <c r="N271" s="2"/>
      <c r="O271" s="2"/>
      <c r="P271" s="2"/>
      <c r="Q271" s="157"/>
      <c r="R271" s="157"/>
      <c r="S271" s="157"/>
      <c r="T271" s="158"/>
      <c r="U271" s="2"/>
      <c r="V271" s="30"/>
      <c r="W271" s="2"/>
      <c r="X271" s="2"/>
      <c r="Y271" s="2"/>
      <c r="Z271" s="2"/>
    </row>
    <row r="272" ht="13.5" customHeight="1">
      <c r="A272" s="2"/>
      <c r="B272" s="2"/>
      <c r="C272" s="2"/>
      <c r="D272" s="2"/>
      <c r="E272" s="2"/>
      <c r="F272" s="2"/>
      <c r="G272" s="2"/>
      <c r="H272" s="2"/>
      <c r="I272" s="2"/>
      <c r="J272" s="156"/>
      <c r="K272" s="2"/>
      <c r="L272" s="2"/>
      <c r="M272" s="2"/>
      <c r="N272" s="2"/>
      <c r="O272" s="2"/>
      <c r="P272" s="2"/>
      <c r="Q272" s="157"/>
      <c r="R272" s="157"/>
      <c r="S272" s="157"/>
      <c r="T272" s="158"/>
      <c r="U272" s="2"/>
      <c r="V272" s="30"/>
      <c r="W272" s="2"/>
      <c r="X272" s="2"/>
      <c r="Y272" s="2"/>
      <c r="Z272" s="2"/>
    </row>
    <row r="273" ht="13.5" customHeight="1">
      <c r="A273" s="2"/>
      <c r="B273" s="2"/>
      <c r="C273" s="2"/>
      <c r="D273" s="2"/>
      <c r="E273" s="2"/>
      <c r="F273" s="2"/>
      <c r="G273" s="2"/>
      <c r="H273" s="2"/>
      <c r="I273" s="2"/>
      <c r="J273" s="156"/>
      <c r="K273" s="2"/>
      <c r="L273" s="2"/>
      <c r="M273" s="2"/>
      <c r="N273" s="2"/>
      <c r="O273" s="2"/>
      <c r="P273" s="2"/>
      <c r="Q273" s="157"/>
      <c r="R273" s="157"/>
      <c r="S273" s="157"/>
      <c r="T273" s="158"/>
      <c r="U273" s="2"/>
      <c r="V273" s="30"/>
      <c r="W273" s="2"/>
      <c r="X273" s="2"/>
      <c r="Y273" s="2"/>
      <c r="Z273" s="2"/>
    </row>
    <row r="274" ht="13.5" customHeight="1">
      <c r="A274" s="2"/>
      <c r="B274" s="2"/>
      <c r="C274" s="2"/>
      <c r="D274" s="2"/>
      <c r="E274" s="2"/>
      <c r="F274" s="2"/>
      <c r="G274" s="2"/>
      <c r="H274" s="2"/>
      <c r="I274" s="2"/>
      <c r="J274" s="156"/>
      <c r="K274" s="2"/>
      <c r="L274" s="2"/>
      <c r="M274" s="2"/>
      <c r="N274" s="2"/>
      <c r="O274" s="2"/>
      <c r="P274" s="2"/>
      <c r="Q274" s="157"/>
      <c r="R274" s="157"/>
      <c r="S274" s="157"/>
      <c r="T274" s="158"/>
      <c r="U274" s="2"/>
      <c r="V274" s="30"/>
      <c r="W274" s="2"/>
      <c r="X274" s="2"/>
      <c r="Y274" s="2"/>
      <c r="Z274" s="2"/>
    </row>
    <row r="275" ht="13.5" customHeight="1">
      <c r="A275" s="2"/>
      <c r="B275" s="2"/>
      <c r="C275" s="2"/>
      <c r="D275" s="2"/>
      <c r="E275" s="2"/>
      <c r="F275" s="2"/>
      <c r="G275" s="2"/>
      <c r="H275" s="2"/>
      <c r="I275" s="2"/>
      <c r="J275" s="156"/>
      <c r="K275" s="2"/>
      <c r="L275" s="2"/>
      <c r="M275" s="2"/>
      <c r="N275" s="2"/>
      <c r="O275" s="2"/>
      <c r="P275" s="2"/>
      <c r="Q275" s="157"/>
      <c r="R275" s="157"/>
      <c r="S275" s="157"/>
      <c r="T275" s="158"/>
      <c r="U275" s="2"/>
      <c r="V275" s="30"/>
      <c r="W275" s="2"/>
      <c r="X275" s="2"/>
      <c r="Y275" s="2"/>
      <c r="Z275" s="2"/>
    </row>
    <row r="276" ht="13.5" customHeight="1">
      <c r="A276" s="2"/>
      <c r="B276" s="2"/>
      <c r="C276" s="2"/>
      <c r="D276" s="2"/>
      <c r="E276" s="2"/>
      <c r="F276" s="2"/>
      <c r="G276" s="2"/>
      <c r="H276" s="2"/>
      <c r="I276" s="2"/>
      <c r="J276" s="156"/>
      <c r="K276" s="2"/>
      <c r="L276" s="2"/>
      <c r="M276" s="2"/>
      <c r="N276" s="2"/>
      <c r="O276" s="2"/>
      <c r="P276" s="2"/>
      <c r="Q276" s="157"/>
      <c r="R276" s="157"/>
      <c r="S276" s="157"/>
      <c r="T276" s="158"/>
      <c r="U276" s="2"/>
      <c r="V276" s="30"/>
      <c r="W276" s="2"/>
      <c r="X276" s="2"/>
      <c r="Y276" s="2"/>
      <c r="Z276" s="2"/>
    </row>
    <row r="277" ht="13.5" customHeight="1">
      <c r="A277" s="2"/>
      <c r="B277" s="2"/>
      <c r="C277" s="2"/>
      <c r="D277" s="2"/>
      <c r="E277" s="2"/>
      <c r="F277" s="2"/>
      <c r="G277" s="2"/>
      <c r="H277" s="2"/>
      <c r="I277" s="2"/>
      <c r="J277" s="156"/>
      <c r="K277" s="2"/>
      <c r="L277" s="2"/>
      <c r="M277" s="2"/>
      <c r="N277" s="2"/>
      <c r="O277" s="2"/>
      <c r="P277" s="2"/>
      <c r="Q277" s="157"/>
      <c r="R277" s="157"/>
      <c r="S277" s="157"/>
      <c r="T277" s="158"/>
      <c r="U277" s="2"/>
      <c r="V277" s="30"/>
      <c r="W277" s="2"/>
      <c r="X277" s="2"/>
      <c r="Y277" s="2"/>
      <c r="Z277" s="2"/>
    </row>
    <row r="278" ht="13.5" customHeight="1">
      <c r="A278" s="2"/>
      <c r="B278" s="2"/>
      <c r="C278" s="2"/>
      <c r="D278" s="2"/>
      <c r="E278" s="2"/>
      <c r="F278" s="2"/>
      <c r="G278" s="2"/>
      <c r="H278" s="2"/>
      <c r="I278" s="2"/>
      <c r="J278" s="156"/>
      <c r="K278" s="2"/>
      <c r="L278" s="2"/>
      <c r="M278" s="2"/>
      <c r="N278" s="2"/>
      <c r="O278" s="2"/>
      <c r="P278" s="2"/>
      <c r="Q278" s="157"/>
      <c r="R278" s="157"/>
      <c r="S278" s="157"/>
      <c r="T278" s="158"/>
      <c r="U278" s="2"/>
      <c r="V278" s="30"/>
      <c r="W278" s="2"/>
      <c r="X278" s="2"/>
      <c r="Y278" s="2"/>
      <c r="Z278" s="2"/>
    </row>
    <row r="279" ht="13.5" customHeight="1">
      <c r="A279" s="2"/>
      <c r="B279" s="2"/>
      <c r="C279" s="2"/>
      <c r="D279" s="2"/>
      <c r="E279" s="2"/>
      <c r="F279" s="2"/>
      <c r="G279" s="2"/>
      <c r="H279" s="2"/>
      <c r="I279" s="2"/>
      <c r="J279" s="156"/>
      <c r="K279" s="2"/>
      <c r="L279" s="2"/>
      <c r="M279" s="2"/>
      <c r="N279" s="2"/>
      <c r="O279" s="2"/>
      <c r="P279" s="2"/>
      <c r="Q279" s="157"/>
      <c r="R279" s="157"/>
      <c r="S279" s="157"/>
      <c r="T279" s="158"/>
      <c r="U279" s="2"/>
      <c r="V279" s="30"/>
      <c r="W279" s="2"/>
      <c r="X279" s="2"/>
      <c r="Y279" s="2"/>
      <c r="Z279" s="2"/>
    </row>
    <row r="280" ht="13.5" customHeight="1">
      <c r="A280" s="2"/>
      <c r="B280" s="2"/>
      <c r="C280" s="2"/>
      <c r="D280" s="2"/>
      <c r="E280" s="2"/>
      <c r="F280" s="2"/>
      <c r="G280" s="2"/>
      <c r="H280" s="2"/>
      <c r="I280" s="2"/>
      <c r="J280" s="156"/>
      <c r="K280" s="2"/>
      <c r="L280" s="2"/>
      <c r="M280" s="2"/>
      <c r="N280" s="2"/>
      <c r="O280" s="2"/>
      <c r="P280" s="2"/>
      <c r="Q280" s="157"/>
      <c r="R280" s="157"/>
      <c r="S280" s="157"/>
      <c r="T280" s="158"/>
      <c r="U280" s="2"/>
      <c r="V280" s="30"/>
      <c r="W280" s="2"/>
      <c r="X280" s="2"/>
      <c r="Y280" s="2"/>
      <c r="Z280" s="2"/>
    </row>
    <row r="281" ht="13.5" customHeight="1">
      <c r="A281" s="2"/>
      <c r="B281" s="2"/>
      <c r="C281" s="2"/>
      <c r="D281" s="2"/>
      <c r="E281" s="2"/>
      <c r="F281" s="2"/>
      <c r="G281" s="2"/>
      <c r="H281" s="2"/>
      <c r="I281" s="2"/>
      <c r="J281" s="156"/>
      <c r="K281" s="2"/>
      <c r="L281" s="2"/>
      <c r="M281" s="2"/>
      <c r="N281" s="2"/>
      <c r="O281" s="2"/>
      <c r="P281" s="2"/>
      <c r="Q281" s="157"/>
      <c r="R281" s="157"/>
      <c r="S281" s="157"/>
      <c r="T281" s="158"/>
      <c r="U281" s="2"/>
      <c r="V281" s="30"/>
      <c r="W281" s="2"/>
      <c r="X281" s="2"/>
      <c r="Y281" s="2"/>
      <c r="Z281" s="2"/>
    </row>
    <row r="282" ht="13.5" customHeight="1">
      <c r="A282" s="2"/>
      <c r="B282" s="2"/>
      <c r="C282" s="2"/>
      <c r="D282" s="2"/>
      <c r="E282" s="2"/>
      <c r="F282" s="2"/>
      <c r="G282" s="2"/>
      <c r="H282" s="2"/>
      <c r="I282" s="2"/>
      <c r="J282" s="156"/>
      <c r="K282" s="2"/>
      <c r="L282" s="2"/>
      <c r="M282" s="2"/>
      <c r="N282" s="2"/>
      <c r="O282" s="2"/>
      <c r="P282" s="2"/>
      <c r="Q282" s="157"/>
      <c r="R282" s="157"/>
      <c r="S282" s="157"/>
      <c r="T282" s="158"/>
      <c r="U282" s="2"/>
      <c r="V282" s="30"/>
      <c r="W282" s="2"/>
      <c r="X282" s="2"/>
      <c r="Y282" s="2"/>
      <c r="Z282" s="2"/>
    </row>
    <row r="283" ht="13.5" customHeight="1">
      <c r="A283" s="2"/>
      <c r="B283" s="2"/>
      <c r="C283" s="2"/>
      <c r="D283" s="2"/>
      <c r="E283" s="2"/>
      <c r="F283" s="2"/>
      <c r="G283" s="2"/>
      <c r="H283" s="2"/>
      <c r="I283" s="2"/>
      <c r="J283" s="156"/>
      <c r="K283" s="2"/>
      <c r="L283" s="2"/>
      <c r="M283" s="2"/>
      <c r="N283" s="2"/>
      <c r="O283" s="2"/>
      <c r="P283" s="2"/>
      <c r="Q283" s="157"/>
      <c r="R283" s="157"/>
      <c r="S283" s="157"/>
      <c r="T283" s="158"/>
      <c r="U283" s="2"/>
      <c r="V283" s="30"/>
      <c r="W283" s="2"/>
      <c r="X283" s="2"/>
      <c r="Y283" s="2"/>
      <c r="Z283" s="2"/>
    </row>
    <row r="284" ht="13.5" customHeight="1">
      <c r="A284" s="2"/>
      <c r="B284" s="2"/>
      <c r="C284" s="2"/>
      <c r="D284" s="2"/>
      <c r="E284" s="2"/>
      <c r="F284" s="2"/>
      <c r="G284" s="2"/>
      <c r="H284" s="2"/>
      <c r="I284" s="2"/>
      <c r="J284" s="156"/>
      <c r="K284" s="2"/>
      <c r="L284" s="2"/>
      <c r="M284" s="2"/>
      <c r="N284" s="2"/>
      <c r="O284" s="2"/>
      <c r="P284" s="2"/>
      <c r="Q284" s="157"/>
      <c r="R284" s="157"/>
      <c r="S284" s="157"/>
      <c r="T284" s="158"/>
      <c r="U284" s="2"/>
      <c r="V284" s="30"/>
      <c r="W284" s="2"/>
      <c r="X284" s="2"/>
      <c r="Y284" s="2"/>
      <c r="Z284" s="2"/>
    </row>
    <row r="285" ht="13.5" customHeight="1">
      <c r="A285" s="2"/>
      <c r="B285" s="2"/>
      <c r="C285" s="2"/>
      <c r="D285" s="2"/>
      <c r="E285" s="2"/>
      <c r="F285" s="2"/>
      <c r="G285" s="2"/>
      <c r="H285" s="2"/>
      <c r="I285" s="2"/>
      <c r="J285" s="156"/>
      <c r="K285" s="2"/>
      <c r="L285" s="2"/>
      <c r="M285" s="2"/>
      <c r="N285" s="2"/>
      <c r="O285" s="2"/>
      <c r="P285" s="2"/>
      <c r="Q285" s="157"/>
      <c r="R285" s="157"/>
      <c r="S285" s="157"/>
      <c r="T285" s="158"/>
      <c r="U285" s="2"/>
      <c r="V285" s="30"/>
      <c r="W285" s="2"/>
      <c r="X285" s="2"/>
      <c r="Y285" s="2"/>
      <c r="Z285" s="2"/>
    </row>
    <row r="286" ht="13.5" customHeight="1">
      <c r="A286" s="2"/>
      <c r="B286" s="2"/>
      <c r="C286" s="2"/>
      <c r="D286" s="2"/>
      <c r="E286" s="2"/>
      <c r="F286" s="2"/>
      <c r="G286" s="2"/>
      <c r="H286" s="2"/>
      <c r="I286" s="2"/>
      <c r="J286" s="156"/>
      <c r="K286" s="2"/>
      <c r="L286" s="2"/>
      <c r="M286" s="2"/>
      <c r="N286" s="2"/>
      <c r="O286" s="2"/>
      <c r="P286" s="2"/>
      <c r="Q286" s="157"/>
      <c r="R286" s="157"/>
      <c r="S286" s="157"/>
      <c r="T286" s="158"/>
      <c r="U286" s="2"/>
      <c r="V286" s="30"/>
      <c r="W286" s="2"/>
      <c r="X286" s="2"/>
      <c r="Y286" s="2"/>
      <c r="Z286" s="2"/>
    </row>
    <row r="287" ht="13.5" customHeight="1">
      <c r="A287" s="2"/>
      <c r="B287" s="2"/>
      <c r="C287" s="2"/>
      <c r="D287" s="2"/>
      <c r="E287" s="2"/>
      <c r="F287" s="2"/>
      <c r="G287" s="2"/>
      <c r="H287" s="2"/>
      <c r="I287" s="2"/>
      <c r="J287" s="156"/>
      <c r="K287" s="2"/>
      <c r="L287" s="2"/>
      <c r="M287" s="2"/>
      <c r="N287" s="2"/>
      <c r="O287" s="2"/>
      <c r="P287" s="2"/>
      <c r="Q287" s="157"/>
      <c r="R287" s="157"/>
      <c r="S287" s="157"/>
      <c r="T287" s="158"/>
      <c r="U287" s="2"/>
      <c r="V287" s="30"/>
      <c r="W287" s="2"/>
      <c r="X287" s="2"/>
      <c r="Y287" s="2"/>
      <c r="Z287" s="2"/>
    </row>
    <row r="288" ht="13.5" customHeight="1">
      <c r="A288" s="2"/>
      <c r="B288" s="2"/>
      <c r="C288" s="2"/>
      <c r="D288" s="2"/>
      <c r="E288" s="2"/>
      <c r="F288" s="2"/>
      <c r="G288" s="2"/>
      <c r="H288" s="2"/>
      <c r="I288" s="2"/>
      <c r="J288" s="156"/>
      <c r="K288" s="2"/>
      <c r="L288" s="2"/>
      <c r="M288" s="2"/>
      <c r="N288" s="2"/>
      <c r="O288" s="2"/>
      <c r="P288" s="2"/>
      <c r="Q288" s="157"/>
      <c r="R288" s="157"/>
      <c r="S288" s="157"/>
      <c r="T288" s="158"/>
      <c r="U288" s="2"/>
      <c r="V288" s="30"/>
      <c r="W288" s="2"/>
      <c r="X288" s="2"/>
      <c r="Y288" s="2"/>
      <c r="Z288" s="2"/>
    </row>
    <row r="289" ht="13.5" customHeight="1">
      <c r="A289" s="2"/>
      <c r="B289" s="2"/>
      <c r="C289" s="2"/>
      <c r="D289" s="2"/>
      <c r="E289" s="2"/>
      <c r="F289" s="2"/>
      <c r="G289" s="2"/>
      <c r="H289" s="2"/>
      <c r="I289" s="2"/>
      <c r="J289" s="156"/>
      <c r="K289" s="2"/>
      <c r="L289" s="2"/>
      <c r="M289" s="2"/>
      <c r="N289" s="2"/>
      <c r="O289" s="2"/>
      <c r="P289" s="2"/>
      <c r="Q289" s="157"/>
      <c r="R289" s="157"/>
      <c r="S289" s="157"/>
      <c r="T289" s="158"/>
      <c r="U289" s="2"/>
      <c r="V289" s="30"/>
      <c r="W289" s="2"/>
      <c r="X289" s="2"/>
      <c r="Y289" s="2"/>
      <c r="Z289" s="2"/>
    </row>
    <row r="290" ht="13.5" customHeight="1">
      <c r="A290" s="2"/>
      <c r="B290" s="2"/>
      <c r="C290" s="2"/>
      <c r="D290" s="2"/>
      <c r="E290" s="2"/>
      <c r="F290" s="2"/>
      <c r="G290" s="2"/>
      <c r="H290" s="2"/>
      <c r="I290" s="2"/>
      <c r="J290" s="156"/>
      <c r="K290" s="2"/>
      <c r="L290" s="2"/>
      <c r="M290" s="2"/>
      <c r="N290" s="2"/>
      <c r="O290" s="2"/>
      <c r="P290" s="2"/>
      <c r="Q290" s="157"/>
      <c r="R290" s="157"/>
      <c r="S290" s="157"/>
      <c r="T290" s="158"/>
      <c r="U290" s="2"/>
      <c r="V290" s="30"/>
      <c r="W290" s="2"/>
      <c r="X290" s="2"/>
      <c r="Y290" s="2"/>
      <c r="Z290" s="2"/>
    </row>
    <row r="291" ht="13.5" customHeight="1">
      <c r="A291" s="2"/>
      <c r="B291" s="2"/>
      <c r="C291" s="2"/>
      <c r="D291" s="2"/>
      <c r="E291" s="2"/>
      <c r="F291" s="2"/>
      <c r="G291" s="2"/>
      <c r="H291" s="2"/>
      <c r="I291" s="2"/>
      <c r="J291" s="156"/>
      <c r="K291" s="2"/>
      <c r="L291" s="2"/>
      <c r="M291" s="2"/>
      <c r="N291" s="2"/>
      <c r="O291" s="2"/>
      <c r="P291" s="2"/>
      <c r="Q291" s="157"/>
      <c r="R291" s="157"/>
      <c r="S291" s="157"/>
      <c r="T291" s="158"/>
      <c r="U291" s="2"/>
      <c r="V291" s="30"/>
      <c r="W291" s="2"/>
      <c r="X291" s="2"/>
      <c r="Y291" s="2"/>
      <c r="Z291" s="2"/>
    </row>
    <row r="292" ht="13.5" customHeight="1">
      <c r="A292" s="2"/>
      <c r="B292" s="2"/>
      <c r="C292" s="2"/>
      <c r="D292" s="2"/>
      <c r="E292" s="2"/>
      <c r="F292" s="2"/>
      <c r="G292" s="2"/>
      <c r="H292" s="2"/>
      <c r="I292" s="2"/>
      <c r="J292" s="156"/>
      <c r="K292" s="2"/>
      <c r="L292" s="2"/>
      <c r="M292" s="2"/>
      <c r="N292" s="2"/>
      <c r="O292" s="2"/>
      <c r="P292" s="2"/>
      <c r="Q292" s="157"/>
      <c r="R292" s="157"/>
      <c r="S292" s="157"/>
      <c r="T292" s="158"/>
      <c r="U292" s="2"/>
      <c r="V292" s="30"/>
      <c r="W292" s="2"/>
      <c r="X292" s="2"/>
      <c r="Y292" s="2"/>
      <c r="Z292" s="2"/>
    </row>
    <row r="293" ht="13.5" customHeight="1">
      <c r="A293" s="2"/>
      <c r="B293" s="2"/>
      <c r="C293" s="2"/>
      <c r="D293" s="2"/>
      <c r="E293" s="2"/>
      <c r="F293" s="2"/>
      <c r="G293" s="2"/>
      <c r="H293" s="2"/>
      <c r="I293" s="2"/>
      <c r="J293" s="156"/>
      <c r="K293" s="2"/>
      <c r="L293" s="2"/>
      <c r="M293" s="2"/>
      <c r="N293" s="2"/>
      <c r="O293" s="2"/>
      <c r="P293" s="2"/>
      <c r="Q293" s="157"/>
      <c r="R293" s="157"/>
      <c r="S293" s="157"/>
      <c r="T293" s="158"/>
      <c r="U293" s="2"/>
      <c r="V293" s="30"/>
      <c r="W293" s="2"/>
      <c r="X293" s="2"/>
      <c r="Y293" s="2"/>
      <c r="Z293" s="2"/>
    </row>
    <row r="294" ht="13.5" customHeight="1">
      <c r="A294" s="2"/>
      <c r="B294" s="2"/>
      <c r="C294" s="2"/>
      <c r="D294" s="2"/>
      <c r="E294" s="2"/>
      <c r="F294" s="2"/>
      <c r="G294" s="2"/>
      <c r="H294" s="2"/>
      <c r="I294" s="2"/>
      <c r="J294" s="156"/>
      <c r="K294" s="2"/>
      <c r="L294" s="2"/>
      <c r="M294" s="2"/>
      <c r="N294" s="2"/>
      <c r="O294" s="2"/>
      <c r="P294" s="2"/>
      <c r="Q294" s="157"/>
      <c r="R294" s="157"/>
      <c r="S294" s="157"/>
      <c r="T294" s="158"/>
      <c r="U294" s="2"/>
      <c r="V294" s="30"/>
      <c r="W294" s="2"/>
      <c r="X294" s="2"/>
      <c r="Y294" s="2"/>
      <c r="Z294" s="2"/>
    </row>
    <row r="295" ht="13.5" customHeight="1">
      <c r="A295" s="2"/>
      <c r="B295" s="2"/>
      <c r="C295" s="2"/>
      <c r="D295" s="2"/>
      <c r="E295" s="2"/>
      <c r="F295" s="2"/>
      <c r="G295" s="2"/>
      <c r="H295" s="2"/>
      <c r="I295" s="2"/>
      <c r="J295" s="156"/>
      <c r="K295" s="2"/>
      <c r="L295" s="2"/>
      <c r="M295" s="2"/>
      <c r="N295" s="2"/>
      <c r="O295" s="2"/>
      <c r="P295" s="2"/>
      <c r="Q295" s="157"/>
      <c r="R295" s="157"/>
      <c r="S295" s="157"/>
      <c r="T295" s="158"/>
      <c r="U295" s="2"/>
      <c r="V295" s="30"/>
      <c r="W295" s="2"/>
      <c r="X295" s="2"/>
      <c r="Y295" s="2"/>
      <c r="Z295" s="2"/>
    </row>
    <row r="296" ht="13.5" customHeight="1">
      <c r="A296" s="2"/>
      <c r="B296" s="2"/>
      <c r="C296" s="2"/>
      <c r="D296" s="2"/>
      <c r="E296" s="2"/>
      <c r="F296" s="2"/>
      <c r="G296" s="2"/>
      <c r="H296" s="2"/>
      <c r="I296" s="2"/>
      <c r="J296" s="156"/>
      <c r="K296" s="2"/>
      <c r="L296" s="2"/>
      <c r="M296" s="2"/>
      <c r="N296" s="2"/>
      <c r="O296" s="2"/>
      <c r="P296" s="2"/>
      <c r="Q296" s="157"/>
      <c r="R296" s="157"/>
      <c r="S296" s="157"/>
      <c r="T296" s="158"/>
      <c r="U296" s="2"/>
      <c r="V296" s="30"/>
      <c r="W296" s="2"/>
      <c r="X296" s="2"/>
      <c r="Y296" s="2"/>
      <c r="Z296" s="2"/>
    </row>
    <row r="297" ht="13.5" customHeight="1">
      <c r="A297" s="2"/>
      <c r="B297" s="2"/>
      <c r="C297" s="2"/>
      <c r="D297" s="2"/>
      <c r="E297" s="2"/>
      <c r="F297" s="2"/>
      <c r="G297" s="2"/>
      <c r="H297" s="2"/>
      <c r="I297" s="2"/>
      <c r="J297" s="156"/>
      <c r="K297" s="2"/>
      <c r="L297" s="2"/>
      <c r="M297" s="2"/>
      <c r="N297" s="2"/>
      <c r="O297" s="2"/>
      <c r="P297" s="2"/>
      <c r="Q297" s="157"/>
      <c r="R297" s="157"/>
      <c r="S297" s="157"/>
      <c r="T297" s="158"/>
      <c r="U297" s="2"/>
      <c r="V297" s="30"/>
      <c r="W297" s="2"/>
      <c r="X297" s="2"/>
      <c r="Y297" s="2"/>
      <c r="Z297" s="2"/>
    </row>
    <row r="298" ht="13.5" customHeight="1">
      <c r="A298" s="2"/>
      <c r="B298" s="2"/>
      <c r="C298" s="2"/>
      <c r="D298" s="2"/>
      <c r="E298" s="2"/>
      <c r="F298" s="2"/>
      <c r="G298" s="2"/>
      <c r="H298" s="2"/>
      <c r="I298" s="2"/>
      <c r="J298" s="156"/>
      <c r="K298" s="2"/>
      <c r="L298" s="2"/>
      <c r="M298" s="2"/>
      <c r="N298" s="2"/>
      <c r="O298" s="2"/>
      <c r="P298" s="2"/>
      <c r="Q298" s="157"/>
      <c r="R298" s="157"/>
      <c r="S298" s="157"/>
      <c r="T298" s="158"/>
      <c r="U298" s="2"/>
      <c r="V298" s="30"/>
      <c r="W298" s="2"/>
      <c r="X298" s="2"/>
      <c r="Y298" s="2"/>
      <c r="Z298" s="2"/>
    </row>
    <row r="299" ht="13.5" customHeight="1">
      <c r="A299" s="2"/>
      <c r="B299" s="2"/>
      <c r="C299" s="2"/>
      <c r="D299" s="2"/>
      <c r="E299" s="2"/>
      <c r="F299" s="2"/>
      <c r="G299" s="2"/>
      <c r="H299" s="2"/>
      <c r="I299" s="2"/>
      <c r="J299" s="156"/>
      <c r="K299" s="2"/>
      <c r="L299" s="2"/>
      <c r="M299" s="2"/>
      <c r="N299" s="2"/>
      <c r="O299" s="2"/>
      <c r="P299" s="2"/>
      <c r="Q299" s="157"/>
      <c r="R299" s="157"/>
      <c r="S299" s="157"/>
      <c r="T299" s="158"/>
      <c r="U299" s="2"/>
      <c r="V299" s="30"/>
      <c r="W299" s="2"/>
      <c r="X299" s="2"/>
      <c r="Y299" s="2"/>
      <c r="Z299" s="2"/>
    </row>
    <row r="300" ht="13.5" customHeight="1">
      <c r="A300" s="2"/>
      <c r="B300" s="2"/>
      <c r="C300" s="2"/>
      <c r="D300" s="2"/>
      <c r="E300" s="2"/>
      <c r="F300" s="2"/>
      <c r="G300" s="2"/>
      <c r="H300" s="2"/>
      <c r="I300" s="2"/>
      <c r="J300" s="156"/>
      <c r="K300" s="2"/>
      <c r="L300" s="2"/>
      <c r="M300" s="2"/>
      <c r="N300" s="2"/>
      <c r="O300" s="2"/>
      <c r="P300" s="2"/>
      <c r="Q300" s="157"/>
      <c r="R300" s="157"/>
      <c r="S300" s="157"/>
      <c r="T300" s="158"/>
      <c r="U300" s="2"/>
      <c r="V300" s="30"/>
      <c r="W300" s="2"/>
      <c r="X300" s="2"/>
      <c r="Y300" s="2"/>
      <c r="Z300" s="2"/>
    </row>
    <row r="301" ht="13.5" customHeight="1">
      <c r="A301" s="2"/>
      <c r="B301" s="2"/>
      <c r="C301" s="2"/>
      <c r="D301" s="2"/>
      <c r="E301" s="2"/>
      <c r="F301" s="2"/>
      <c r="G301" s="2"/>
      <c r="H301" s="2"/>
      <c r="I301" s="2"/>
      <c r="J301" s="156"/>
      <c r="K301" s="2"/>
      <c r="L301" s="2"/>
      <c r="M301" s="2"/>
      <c r="N301" s="2"/>
      <c r="O301" s="2"/>
      <c r="P301" s="2"/>
      <c r="Q301" s="157"/>
      <c r="R301" s="157"/>
      <c r="S301" s="157"/>
      <c r="T301" s="158"/>
      <c r="U301" s="2"/>
      <c r="V301" s="30"/>
      <c r="W301" s="2"/>
      <c r="X301" s="2"/>
      <c r="Y301" s="2"/>
      <c r="Z301" s="2"/>
    </row>
    <row r="302" ht="13.5" customHeight="1">
      <c r="A302" s="2"/>
      <c r="B302" s="2"/>
      <c r="C302" s="2"/>
      <c r="D302" s="2"/>
      <c r="E302" s="2"/>
      <c r="F302" s="2"/>
      <c r="G302" s="2"/>
      <c r="H302" s="2"/>
      <c r="I302" s="2"/>
      <c r="J302" s="156"/>
      <c r="K302" s="2"/>
      <c r="L302" s="2"/>
      <c r="M302" s="2"/>
      <c r="N302" s="2"/>
      <c r="O302" s="2"/>
      <c r="P302" s="2"/>
      <c r="Q302" s="157"/>
      <c r="R302" s="157"/>
      <c r="S302" s="157"/>
      <c r="T302" s="158"/>
      <c r="U302" s="2"/>
      <c r="V302" s="30"/>
      <c r="W302" s="2"/>
      <c r="X302" s="2"/>
      <c r="Y302" s="2"/>
      <c r="Z302" s="2"/>
    </row>
    <row r="303" ht="13.5" customHeight="1">
      <c r="A303" s="2"/>
      <c r="B303" s="2"/>
      <c r="C303" s="2"/>
      <c r="D303" s="2"/>
      <c r="E303" s="2"/>
      <c r="F303" s="2"/>
      <c r="G303" s="2"/>
      <c r="H303" s="2"/>
      <c r="I303" s="2"/>
      <c r="J303" s="156"/>
      <c r="K303" s="2"/>
      <c r="L303" s="2"/>
      <c r="M303" s="2"/>
      <c r="N303" s="2"/>
      <c r="O303" s="2"/>
      <c r="P303" s="2"/>
      <c r="Q303" s="157"/>
      <c r="R303" s="157"/>
      <c r="S303" s="157"/>
      <c r="T303" s="158"/>
      <c r="U303" s="2"/>
      <c r="V303" s="30"/>
      <c r="W303" s="2"/>
      <c r="X303" s="2"/>
      <c r="Y303" s="2"/>
      <c r="Z303" s="2"/>
    </row>
    <row r="304" ht="13.5" customHeight="1">
      <c r="A304" s="2"/>
      <c r="B304" s="2"/>
      <c r="C304" s="2"/>
      <c r="D304" s="2"/>
      <c r="E304" s="2"/>
      <c r="F304" s="2"/>
      <c r="G304" s="2"/>
      <c r="H304" s="2"/>
      <c r="I304" s="2"/>
      <c r="J304" s="156"/>
      <c r="K304" s="2"/>
      <c r="L304" s="2"/>
      <c r="M304" s="2"/>
      <c r="N304" s="2"/>
      <c r="O304" s="2"/>
      <c r="P304" s="2"/>
      <c r="Q304" s="157"/>
      <c r="R304" s="157"/>
      <c r="S304" s="157"/>
      <c r="T304" s="158"/>
      <c r="U304" s="2"/>
      <c r="V304" s="30"/>
      <c r="W304" s="2"/>
      <c r="X304" s="2"/>
      <c r="Y304" s="2"/>
      <c r="Z304" s="2"/>
    </row>
    <row r="305" ht="13.5" customHeight="1">
      <c r="A305" s="2"/>
      <c r="B305" s="2"/>
      <c r="C305" s="2"/>
      <c r="D305" s="2"/>
      <c r="E305" s="2"/>
      <c r="F305" s="2"/>
      <c r="G305" s="2"/>
      <c r="H305" s="2"/>
      <c r="I305" s="2"/>
      <c r="J305" s="156"/>
      <c r="K305" s="2"/>
      <c r="L305" s="2"/>
      <c r="M305" s="2"/>
      <c r="N305" s="2"/>
      <c r="O305" s="2"/>
      <c r="P305" s="2"/>
      <c r="Q305" s="157"/>
      <c r="R305" s="157"/>
      <c r="S305" s="157"/>
      <c r="T305" s="158"/>
      <c r="U305" s="2"/>
      <c r="V305" s="30"/>
      <c r="W305" s="2"/>
      <c r="X305" s="2"/>
      <c r="Y305" s="2"/>
      <c r="Z305" s="2"/>
    </row>
    <row r="306" ht="13.5" customHeight="1">
      <c r="A306" s="2"/>
      <c r="B306" s="2"/>
      <c r="C306" s="2"/>
      <c r="D306" s="2"/>
      <c r="E306" s="2"/>
      <c r="F306" s="2"/>
      <c r="G306" s="2"/>
      <c r="H306" s="2"/>
      <c r="I306" s="2"/>
      <c r="J306" s="156"/>
      <c r="K306" s="2"/>
      <c r="L306" s="2"/>
      <c r="M306" s="2"/>
      <c r="N306" s="2"/>
      <c r="O306" s="2"/>
      <c r="P306" s="2"/>
      <c r="Q306" s="157"/>
      <c r="R306" s="157"/>
      <c r="S306" s="157"/>
      <c r="T306" s="158"/>
      <c r="U306" s="2"/>
      <c r="V306" s="30"/>
      <c r="W306" s="2"/>
      <c r="X306" s="2"/>
      <c r="Y306" s="2"/>
      <c r="Z306" s="2"/>
    </row>
    <row r="307" ht="13.5" customHeight="1">
      <c r="A307" s="2"/>
      <c r="B307" s="2"/>
      <c r="C307" s="2"/>
      <c r="D307" s="2"/>
      <c r="E307" s="2"/>
      <c r="F307" s="2"/>
      <c r="G307" s="2"/>
      <c r="H307" s="2"/>
      <c r="I307" s="2"/>
      <c r="J307" s="156"/>
      <c r="K307" s="2"/>
      <c r="L307" s="2"/>
      <c r="M307" s="2"/>
      <c r="N307" s="2"/>
      <c r="O307" s="2"/>
      <c r="P307" s="2"/>
      <c r="Q307" s="157"/>
      <c r="R307" s="157"/>
      <c r="S307" s="157"/>
      <c r="T307" s="158"/>
      <c r="U307" s="2"/>
      <c r="V307" s="30"/>
      <c r="W307" s="2"/>
      <c r="X307" s="2"/>
      <c r="Y307" s="2"/>
      <c r="Z307" s="2"/>
    </row>
    <row r="308" ht="13.5" customHeight="1">
      <c r="A308" s="2"/>
      <c r="B308" s="2"/>
      <c r="C308" s="2"/>
      <c r="D308" s="2"/>
      <c r="E308" s="2"/>
      <c r="F308" s="2"/>
      <c r="G308" s="2"/>
      <c r="H308" s="2"/>
      <c r="I308" s="2"/>
      <c r="J308" s="156"/>
      <c r="K308" s="2"/>
      <c r="L308" s="2"/>
      <c r="M308" s="2"/>
      <c r="N308" s="2"/>
      <c r="O308" s="2"/>
      <c r="P308" s="2"/>
      <c r="Q308" s="157"/>
      <c r="R308" s="157"/>
      <c r="S308" s="157"/>
      <c r="T308" s="158"/>
      <c r="U308" s="2"/>
      <c r="V308" s="30"/>
      <c r="W308" s="2"/>
      <c r="X308" s="2"/>
      <c r="Y308" s="2"/>
      <c r="Z308" s="2"/>
    </row>
    <row r="309" ht="13.5" customHeight="1">
      <c r="A309" s="2"/>
      <c r="B309" s="2"/>
      <c r="C309" s="2"/>
      <c r="D309" s="2"/>
      <c r="E309" s="2"/>
      <c r="F309" s="2"/>
      <c r="G309" s="2"/>
      <c r="H309" s="2"/>
      <c r="I309" s="2"/>
      <c r="J309" s="156"/>
      <c r="K309" s="2"/>
      <c r="L309" s="2"/>
      <c r="M309" s="2"/>
      <c r="N309" s="2"/>
      <c r="O309" s="2"/>
      <c r="P309" s="2"/>
      <c r="Q309" s="157"/>
      <c r="R309" s="157"/>
      <c r="S309" s="157"/>
      <c r="T309" s="158"/>
      <c r="U309" s="2"/>
      <c r="V309" s="30"/>
      <c r="W309" s="2"/>
      <c r="X309" s="2"/>
      <c r="Y309" s="2"/>
      <c r="Z309" s="2"/>
    </row>
    <row r="310" ht="13.5" customHeight="1">
      <c r="A310" s="2"/>
      <c r="B310" s="2"/>
      <c r="C310" s="2"/>
      <c r="D310" s="2"/>
      <c r="E310" s="2"/>
      <c r="F310" s="2"/>
      <c r="G310" s="2"/>
      <c r="H310" s="2"/>
      <c r="I310" s="2"/>
      <c r="J310" s="156"/>
      <c r="K310" s="2"/>
      <c r="L310" s="2"/>
      <c r="M310" s="2"/>
      <c r="N310" s="2"/>
      <c r="O310" s="2"/>
      <c r="P310" s="2"/>
      <c r="Q310" s="157"/>
      <c r="R310" s="157"/>
      <c r="S310" s="157"/>
      <c r="T310" s="158"/>
      <c r="U310" s="2"/>
      <c r="V310" s="30"/>
      <c r="W310" s="2"/>
      <c r="X310" s="2"/>
      <c r="Y310" s="2"/>
      <c r="Z310" s="2"/>
    </row>
    <row r="311" ht="13.5" customHeight="1">
      <c r="A311" s="2"/>
      <c r="B311" s="2"/>
      <c r="C311" s="2"/>
      <c r="D311" s="2"/>
      <c r="E311" s="2"/>
      <c r="F311" s="2"/>
      <c r="G311" s="2"/>
      <c r="H311" s="2"/>
      <c r="I311" s="2"/>
      <c r="J311" s="156"/>
      <c r="K311" s="2"/>
      <c r="L311" s="2"/>
      <c r="M311" s="2"/>
      <c r="N311" s="2"/>
      <c r="O311" s="2"/>
      <c r="P311" s="2"/>
      <c r="Q311" s="157"/>
      <c r="R311" s="157"/>
      <c r="S311" s="157"/>
      <c r="T311" s="158"/>
      <c r="U311" s="2"/>
      <c r="V311" s="30"/>
      <c r="W311" s="2"/>
      <c r="X311" s="2"/>
      <c r="Y311" s="2"/>
      <c r="Z311" s="2"/>
    </row>
    <row r="312" ht="13.5" customHeight="1">
      <c r="A312" s="2"/>
      <c r="B312" s="2"/>
      <c r="C312" s="2"/>
      <c r="D312" s="2"/>
      <c r="E312" s="2"/>
      <c r="F312" s="2"/>
      <c r="G312" s="2"/>
      <c r="H312" s="2"/>
      <c r="I312" s="2"/>
      <c r="J312" s="156"/>
      <c r="K312" s="2"/>
      <c r="L312" s="2"/>
      <c r="M312" s="2"/>
      <c r="N312" s="2"/>
      <c r="O312" s="2"/>
      <c r="P312" s="2"/>
      <c r="Q312" s="157"/>
      <c r="R312" s="157"/>
      <c r="S312" s="157"/>
      <c r="T312" s="158"/>
      <c r="U312" s="2"/>
      <c r="V312" s="30"/>
      <c r="W312" s="2"/>
      <c r="X312" s="2"/>
      <c r="Y312" s="2"/>
      <c r="Z312" s="2"/>
    </row>
    <row r="313" ht="13.5" customHeight="1">
      <c r="A313" s="2"/>
      <c r="B313" s="2"/>
      <c r="C313" s="2"/>
      <c r="D313" s="2"/>
      <c r="E313" s="2"/>
      <c r="F313" s="2"/>
      <c r="G313" s="2"/>
      <c r="H313" s="2"/>
      <c r="I313" s="2"/>
      <c r="J313" s="156"/>
      <c r="K313" s="2"/>
      <c r="L313" s="2"/>
      <c r="M313" s="2"/>
      <c r="N313" s="2"/>
      <c r="O313" s="2"/>
      <c r="P313" s="2"/>
      <c r="Q313" s="157"/>
      <c r="R313" s="157"/>
      <c r="S313" s="157"/>
      <c r="T313" s="158"/>
      <c r="U313" s="2"/>
      <c r="V313" s="30"/>
      <c r="W313" s="2"/>
      <c r="X313" s="2"/>
      <c r="Y313" s="2"/>
      <c r="Z313" s="2"/>
    </row>
    <row r="314" ht="13.5" customHeight="1">
      <c r="A314" s="2"/>
      <c r="B314" s="2"/>
      <c r="C314" s="2"/>
      <c r="D314" s="2"/>
      <c r="E314" s="2"/>
      <c r="F314" s="2"/>
      <c r="G314" s="2"/>
      <c r="H314" s="2"/>
      <c r="I314" s="2"/>
      <c r="J314" s="156"/>
      <c r="K314" s="2"/>
      <c r="L314" s="2"/>
      <c r="M314" s="2"/>
      <c r="N314" s="2"/>
      <c r="O314" s="2"/>
      <c r="P314" s="2"/>
      <c r="Q314" s="157"/>
      <c r="R314" s="157"/>
      <c r="S314" s="157"/>
      <c r="T314" s="158"/>
      <c r="U314" s="2"/>
      <c r="V314" s="30"/>
      <c r="W314" s="2"/>
      <c r="X314" s="2"/>
      <c r="Y314" s="2"/>
      <c r="Z314" s="2"/>
    </row>
    <row r="315" ht="13.5" customHeight="1">
      <c r="A315" s="2"/>
      <c r="B315" s="2"/>
      <c r="C315" s="2"/>
      <c r="D315" s="2"/>
      <c r="E315" s="2"/>
      <c r="F315" s="2"/>
      <c r="G315" s="2"/>
      <c r="H315" s="2"/>
      <c r="I315" s="2"/>
      <c r="J315" s="156"/>
      <c r="K315" s="2"/>
      <c r="L315" s="2"/>
      <c r="M315" s="2"/>
      <c r="N315" s="2"/>
      <c r="O315" s="2"/>
      <c r="P315" s="2"/>
      <c r="Q315" s="157"/>
      <c r="R315" s="157"/>
      <c r="S315" s="157"/>
      <c r="T315" s="158"/>
      <c r="U315" s="2"/>
      <c r="V315" s="30"/>
      <c r="W315" s="2"/>
      <c r="X315" s="2"/>
      <c r="Y315" s="2"/>
      <c r="Z315" s="2"/>
    </row>
    <row r="316" ht="13.5" customHeight="1">
      <c r="A316" s="2"/>
      <c r="B316" s="2"/>
      <c r="C316" s="2"/>
      <c r="D316" s="2"/>
      <c r="E316" s="2"/>
      <c r="F316" s="2"/>
      <c r="G316" s="2"/>
      <c r="H316" s="2"/>
      <c r="I316" s="2"/>
      <c r="J316" s="156"/>
      <c r="K316" s="2"/>
      <c r="L316" s="2"/>
      <c r="M316" s="2"/>
      <c r="N316" s="2"/>
      <c r="O316" s="2"/>
      <c r="P316" s="2"/>
      <c r="Q316" s="157"/>
      <c r="R316" s="157"/>
      <c r="S316" s="157"/>
      <c r="T316" s="158"/>
      <c r="U316" s="2"/>
      <c r="V316" s="30"/>
      <c r="W316" s="2"/>
      <c r="X316" s="2"/>
      <c r="Y316" s="2"/>
      <c r="Z316" s="2"/>
    </row>
    <row r="317" ht="13.5" customHeight="1">
      <c r="A317" s="2"/>
      <c r="B317" s="2"/>
      <c r="C317" s="2"/>
      <c r="D317" s="2"/>
      <c r="E317" s="2"/>
      <c r="F317" s="2"/>
      <c r="G317" s="2"/>
      <c r="H317" s="2"/>
      <c r="I317" s="2"/>
      <c r="J317" s="156"/>
      <c r="K317" s="2"/>
      <c r="L317" s="2"/>
      <c r="M317" s="2"/>
      <c r="N317" s="2"/>
      <c r="O317" s="2"/>
      <c r="P317" s="2"/>
      <c r="Q317" s="157"/>
      <c r="R317" s="157"/>
      <c r="S317" s="157"/>
      <c r="T317" s="158"/>
      <c r="U317" s="2"/>
      <c r="V317" s="30"/>
      <c r="W317" s="2"/>
      <c r="X317" s="2"/>
      <c r="Y317" s="2"/>
      <c r="Z317" s="2"/>
    </row>
    <row r="318" ht="13.5" customHeight="1">
      <c r="A318" s="2"/>
      <c r="B318" s="2"/>
      <c r="C318" s="2"/>
      <c r="D318" s="2"/>
      <c r="E318" s="2"/>
      <c r="F318" s="2"/>
      <c r="G318" s="2"/>
      <c r="H318" s="2"/>
      <c r="I318" s="2"/>
      <c r="J318" s="156"/>
      <c r="K318" s="2"/>
      <c r="L318" s="2"/>
      <c r="M318" s="2"/>
      <c r="N318" s="2"/>
      <c r="O318" s="2"/>
      <c r="P318" s="2"/>
      <c r="Q318" s="157"/>
      <c r="R318" s="157"/>
      <c r="S318" s="157"/>
      <c r="T318" s="158"/>
      <c r="U318" s="2"/>
      <c r="V318" s="30"/>
      <c r="W318" s="2"/>
      <c r="X318" s="2"/>
      <c r="Y318" s="2"/>
      <c r="Z318" s="2"/>
    </row>
    <row r="319" ht="13.5" customHeight="1">
      <c r="A319" s="2"/>
      <c r="B319" s="2"/>
      <c r="C319" s="2"/>
      <c r="D319" s="2"/>
      <c r="E319" s="2"/>
      <c r="F319" s="2"/>
      <c r="G319" s="2"/>
      <c r="H319" s="2"/>
      <c r="I319" s="2"/>
      <c r="J319" s="156"/>
      <c r="K319" s="2"/>
      <c r="L319" s="2"/>
      <c r="M319" s="2"/>
      <c r="N319" s="2"/>
      <c r="O319" s="2"/>
      <c r="P319" s="2"/>
      <c r="Q319" s="157"/>
      <c r="R319" s="157"/>
      <c r="S319" s="157"/>
      <c r="T319" s="158"/>
      <c r="U319" s="2"/>
      <c r="V319" s="30"/>
      <c r="W319" s="2"/>
      <c r="X319" s="2"/>
      <c r="Y319" s="2"/>
      <c r="Z319" s="2"/>
    </row>
    <row r="320" ht="13.5" customHeight="1">
      <c r="A320" s="2"/>
      <c r="B320" s="2"/>
      <c r="C320" s="2"/>
      <c r="D320" s="2"/>
      <c r="E320" s="2"/>
      <c r="F320" s="2"/>
      <c r="G320" s="2"/>
      <c r="H320" s="2"/>
      <c r="I320" s="2"/>
      <c r="J320" s="156"/>
      <c r="K320" s="2"/>
      <c r="L320" s="2"/>
      <c r="M320" s="2"/>
      <c r="N320" s="2"/>
      <c r="O320" s="2"/>
      <c r="P320" s="2"/>
      <c r="Q320" s="157"/>
      <c r="R320" s="157"/>
      <c r="S320" s="157"/>
      <c r="T320" s="158"/>
      <c r="U320" s="2"/>
      <c r="V320" s="30"/>
      <c r="W320" s="2"/>
      <c r="X320" s="2"/>
      <c r="Y320" s="2"/>
      <c r="Z320" s="2"/>
    </row>
    <row r="321" ht="13.5" customHeight="1">
      <c r="A321" s="2"/>
      <c r="B321" s="2"/>
      <c r="C321" s="2"/>
      <c r="D321" s="2"/>
      <c r="E321" s="2"/>
      <c r="F321" s="2"/>
      <c r="G321" s="2"/>
      <c r="H321" s="2"/>
      <c r="I321" s="2"/>
      <c r="J321" s="156"/>
      <c r="K321" s="2"/>
      <c r="L321" s="2"/>
      <c r="M321" s="2"/>
      <c r="N321" s="2"/>
      <c r="O321" s="2"/>
      <c r="P321" s="2"/>
      <c r="Q321" s="157"/>
      <c r="R321" s="157"/>
      <c r="S321" s="157"/>
      <c r="T321" s="158"/>
      <c r="U321" s="2"/>
      <c r="V321" s="30"/>
      <c r="W321" s="2"/>
      <c r="X321" s="2"/>
      <c r="Y321" s="2"/>
      <c r="Z321" s="2"/>
    </row>
    <row r="322" ht="13.5" customHeight="1">
      <c r="A322" s="2"/>
      <c r="B322" s="2"/>
      <c r="C322" s="2"/>
      <c r="D322" s="2"/>
      <c r="E322" s="2"/>
      <c r="F322" s="2"/>
      <c r="G322" s="2"/>
      <c r="H322" s="2"/>
      <c r="I322" s="2"/>
      <c r="J322" s="156"/>
      <c r="K322" s="2"/>
      <c r="L322" s="2"/>
      <c r="M322" s="2"/>
      <c r="N322" s="2"/>
      <c r="O322" s="2"/>
      <c r="P322" s="2"/>
      <c r="Q322" s="157"/>
      <c r="R322" s="157"/>
      <c r="S322" s="157"/>
      <c r="T322" s="158"/>
      <c r="U322" s="2"/>
      <c r="V322" s="30"/>
      <c r="W322" s="2"/>
      <c r="X322" s="2"/>
      <c r="Y322" s="2"/>
      <c r="Z322" s="2"/>
    </row>
    <row r="323" ht="13.5" customHeight="1">
      <c r="A323" s="2"/>
      <c r="B323" s="2"/>
      <c r="C323" s="2"/>
      <c r="D323" s="2"/>
      <c r="E323" s="2"/>
      <c r="F323" s="2"/>
      <c r="G323" s="2"/>
      <c r="H323" s="2"/>
      <c r="I323" s="2"/>
      <c r="J323" s="156"/>
      <c r="K323" s="2"/>
      <c r="L323" s="2"/>
      <c r="M323" s="2"/>
      <c r="N323" s="2"/>
      <c r="O323" s="2"/>
      <c r="P323" s="2"/>
      <c r="Q323" s="157"/>
      <c r="R323" s="157"/>
      <c r="S323" s="157"/>
      <c r="T323" s="158"/>
      <c r="U323" s="2"/>
      <c r="V323" s="30"/>
      <c r="W323" s="2"/>
      <c r="X323" s="2"/>
      <c r="Y323" s="2"/>
      <c r="Z323" s="2"/>
    </row>
    <row r="324" ht="13.5" customHeight="1">
      <c r="A324" s="2"/>
      <c r="B324" s="2"/>
      <c r="C324" s="2"/>
      <c r="D324" s="2"/>
      <c r="E324" s="2"/>
      <c r="F324" s="2"/>
      <c r="G324" s="2"/>
      <c r="H324" s="2"/>
      <c r="I324" s="2"/>
      <c r="J324" s="156"/>
      <c r="K324" s="2"/>
      <c r="L324" s="2"/>
      <c r="M324" s="2"/>
      <c r="N324" s="2"/>
      <c r="O324" s="2"/>
      <c r="P324" s="2"/>
      <c r="Q324" s="157"/>
      <c r="R324" s="157"/>
      <c r="S324" s="157"/>
      <c r="T324" s="158"/>
      <c r="U324" s="2"/>
      <c r="V324" s="30"/>
      <c r="W324" s="2"/>
      <c r="X324" s="2"/>
      <c r="Y324" s="2"/>
      <c r="Z324" s="2"/>
    </row>
    <row r="325" ht="13.5" customHeight="1">
      <c r="A325" s="2"/>
      <c r="B325" s="2"/>
      <c r="C325" s="2"/>
      <c r="D325" s="2"/>
      <c r="E325" s="2"/>
      <c r="F325" s="2"/>
      <c r="G325" s="2"/>
      <c r="H325" s="2"/>
      <c r="I325" s="2"/>
      <c r="J325" s="156"/>
      <c r="K325" s="2"/>
      <c r="L325" s="2"/>
      <c r="M325" s="2"/>
      <c r="N325" s="2"/>
      <c r="O325" s="2"/>
      <c r="P325" s="2"/>
      <c r="Q325" s="157"/>
      <c r="R325" s="157"/>
      <c r="S325" s="157"/>
      <c r="T325" s="158"/>
      <c r="U325" s="2"/>
      <c r="V325" s="30"/>
      <c r="W325" s="2"/>
      <c r="X325" s="2"/>
      <c r="Y325" s="2"/>
      <c r="Z325" s="2"/>
    </row>
    <row r="326" ht="13.5" customHeight="1">
      <c r="A326" s="2"/>
      <c r="B326" s="2"/>
      <c r="C326" s="2"/>
      <c r="D326" s="2"/>
      <c r="E326" s="2"/>
      <c r="F326" s="2"/>
      <c r="G326" s="2"/>
      <c r="H326" s="2"/>
      <c r="I326" s="2"/>
      <c r="J326" s="156"/>
      <c r="K326" s="2"/>
      <c r="L326" s="2"/>
      <c r="M326" s="2"/>
      <c r="N326" s="2"/>
      <c r="O326" s="2"/>
      <c r="P326" s="2"/>
      <c r="Q326" s="157"/>
      <c r="R326" s="157"/>
      <c r="S326" s="157"/>
      <c r="T326" s="158"/>
      <c r="U326" s="2"/>
      <c r="V326" s="30"/>
      <c r="W326" s="2"/>
      <c r="X326" s="2"/>
      <c r="Y326" s="2"/>
      <c r="Z326" s="2"/>
    </row>
    <row r="327" ht="13.5" customHeight="1">
      <c r="A327" s="2"/>
      <c r="B327" s="2"/>
      <c r="C327" s="2"/>
      <c r="D327" s="2"/>
      <c r="E327" s="2"/>
      <c r="F327" s="2"/>
      <c r="G327" s="2"/>
      <c r="H327" s="2"/>
      <c r="I327" s="2"/>
      <c r="J327" s="156"/>
      <c r="K327" s="2"/>
      <c r="L327" s="2"/>
      <c r="M327" s="2"/>
      <c r="N327" s="2"/>
      <c r="O327" s="2"/>
      <c r="P327" s="2"/>
      <c r="Q327" s="157"/>
      <c r="R327" s="157"/>
      <c r="S327" s="157"/>
      <c r="T327" s="158"/>
      <c r="U327" s="2"/>
      <c r="V327" s="30"/>
      <c r="W327" s="2"/>
      <c r="X327" s="2"/>
      <c r="Y327" s="2"/>
      <c r="Z327" s="2"/>
    </row>
    <row r="328" ht="13.5" customHeight="1">
      <c r="A328" s="2"/>
      <c r="B328" s="2"/>
      <c r="C328" s="2"/>
      <c r="D328" s="2"/>
      <c r="E328" s="2"/>
      <c r="F328" s="2"/>
      <c r="G328" s="2"/>
      <c r="H328" s="2"/>
      <c r="I328" s="2"/>
      <c r="J328" s="156"/>
      <c r="K328" s="2"/>
      <c r="L328" s="2"/>
      <c r="M328" s="2"/>
      <c r="N328" s="2"/>
      <c r="O328" s="2"/>
      <c r="P328" s="2"/>
      <c r="Q328" s="157"/>
      <c r="R328" s="157"/>
      <c r="S328" s="157"/>
      <c r="T328" s="158"/>
      <c r="U328" s="2"/>
      <c r="V328" s="30"/>
      <c r="W328" s="2"/>
      <c r="X328" s="2"/>
      <c r="Y328" s="2"/>
      <c r="Z328" s="2"/>
    </row>
    <row r="329" ht="13.5" customHeight="1">
      <c r="A329" s="2"/>
      <c r="B329" s="2"/>
      <c r="C329" s="2"/>
      <c r="D329" s="2"/>
      <c r="E329" s="2"/>
      <c r="F329" s="2"/>
      <c r="G329" s="2"/>
      <c r="H329" s="2"/>
      <c r="I329" s="2"/>
      <c r="J329" s="156"/>
      <c r="K329" s="2"/>
      <c r="L329" s="2"/>
      <c r="M329" s="2"/>
      <c r="N329" s="2"/>
      <c r="O329" s="2"/>
      <c r="P329" s="2"/>
      <c r="Q329" s="157"/>
      <c r="R329" s="157"/>
      <c r="S329" s="157"/>
      <c r="T329" s="158"/>
      <c r="U329" s="2"/>
      <c r="V329" s="30"/>
      <c r="W329" s="2"/>
      <c r="X329" s="2"/>
      <c r="Y329" s="2"/>
      <c r="Z329" s="2"/>
    </row>
    <row r="330" ht="13.5" customHeight="1">
      <c r="A330" s="2"/>
      <c r="B330" s="2"/>
      <c r="C330" s="2"/>
      <c r="D330" s="2"/>
      <c r="E330" s="2"/>
      <c r="F330" s="2"/>
      <c r="G330" s="2"/>
      <c r="H330" s="2"/>
      <c r="I330" s="2"/>
      <c r="J330" s="156"/>
      <c r="K330" s="2"/>
      <c r="L330" s="2"/>
      <c r="M330" s="2"/>
      <c r="N330" s="2"/>
      <c r="O330" s="2"/>
      <c r="P330" s="2"/>
      <c r="Q330" s="157"/>
      <c r="R330" s="157"/>
      <c r="S330" s="157"/>
      <c r="T330" s="158"/>
      <c r="U330" s="2"/>
      <c r="V330" s="30"/>
      <c r="W330" s="2"/>
      <c r="X330" s="2"/>
      <c r="Y330" s="2"/>
      <c r="Z330" s="2"/>
    </row>
    <row r="331" ht="13.5" customHeight="1">
      <c r="A331" s="2"/>
      <c r="B331" s="2"/>
      <c r="C331" s="2"/>
      <c r="D331" s="2"/>
      <c r="E331" s="2"/>
      <c r="F331" s="2"/>
      <c r="G331" s="2"/>
      <c r="H331" s="2"/>
      <c r="I331" s="2"/>
      <c r="J331" s="156"/>
      <c r="K331" s="2"/>
      <c r="L331" s="2"/>
      <c r="M331" s="2"/>
      <c r="N331" s="2"/>
      <c r="O331" s="2"/>
      <c r="P331" s="2"/>
      <c r="Q331" s="157"/>
      <c r="R331" s="157"/>
      <c r="S331" s="157"/>
      <c r="T331" s="158"/>
      <c r="U331" s="2"/>
      <c r="V331" s="30"/>
      <c r="W331" s="2"/>
      <c r="X331" s="2"/>
      <c r="Y331" s="2"/>
      <c r="Z331" s="2"/>
    </row>
    <row r="332" ht="13.5" customHeight="1">
      <c r="A332" s="2"/>
      <c r="B332" s="2"/>
      <c r="C332" s="2"/>
      <c r="D332" s="2"/>
      <c r="E332" s="2"/>
      <c r="F332" s="2"/>
      <c r="G332" s="2"/>
      <c r="H332" s="2"/>
      <c r="I332" s="2"/>
      <c r="J332" s="156"/>
      <c r="K332" s="2"/>
      <c r="L332" s="2"/>
      <c r="M332" s="2"/>
      <c r="N332" s="2"/>
      <c r="O332" s="2"/>
      <c r="P332" s="2"/>
      <c r="Q332" s="157"/>
      <c r="R332" s="157"/>
      <c r="S332" s="157"/>
      <c r="T332" s="158"/>
      <c r="U332" s="2"/>
      <c r="V332" s="30"/>
      <c r="W332" s="2"/>
      <c r="X332" s="2"/>
      <c r="Y332" s="2"/>
      <c r="Z332" s="2"/>
    </row>
    <row r="333" ht="13.5" customHeight="1">
      <c r="A333" s="2"/>
      <c r="B333" s="2"/>
      <c r="C333" s="2"/>
      <c r="D333" s="2"/>
      <c r="E333" s="2"/>
      <c r="F333" s="2"/>
      <c r="G333" s="2"/>
      <c r="H333" s="2"/>
      <c r="I333" s="2"/>
      <c r="J333" s="156"/>
      <c r="K333" s="2"/>
      <c r="L333" s="2"/>
      <c r="M333" s="2"/>
      <c r="N333" s="2"/>
      <c r="O333" s="2"/>
      <c r="P333" s="2"/>
      <c r="Q333" s="157"/>
      <c r="R333" s="157"/>
      <c r="S333" s="157"/>
      <c r="T333" s="158"/>
      <c r="U333" s="2"/>
      <c r="V333" s="30"/>
      <c r="W333" s="2"/>
      <c r="X333" s="2"/>
      <c r="Y333" s="2"/>
      <c r="Z333" s="2"/>
    </row>
    <row r="334" ht="13.5" customHeight="1">
      <c r="A334" s="2"/>
      <c r="B334" s="2"/>
      <c r="C334" s="2"/>
      <c r="D334" s="2"/>
      <c r="E334" s="2"/>
      <c r="F334" s="2"/>
      <c r="G334" s="2"/>
      <c r="H334" s="2"/>
      <c r="I334" s="2"/>
      <c r="J334" s="156"/>
      <c r="K334" s="2"/>
      <c r="L334" s="2"/>
      <c r="M334" s="2"/>
      <c r="N334" s="2"/>
      <c r="O334" s="2"/>
      <c r="P334" s="2"/>
      <c r="Q334" s="157"/>
      <c r="R334" s="157"/>
      <c r="S334" s="157"/>
      <c r="T334" s="158"/>
      <c r="U334" s="2"/>
      <c r="V334" s="30"/>
      <c r="W334" s="2"/>
      <c r="X334" s="2"/>
      <c r="Y334" s="2"/>
      <c r="Z334" s="2"/>
    </row>
    <row r="335" ht="13.5" customHeight="1">
      <c r="A335" s="2"/>
      <c r="B335" s="2"/>
      <c r="C335" s="2"/>
      <c r="D335" s="2"/>
      <c r="E335" s="2"/>
      <c r="F335" s="2"/>
      <c r="G335" s="2"/>
      <c r="H335" s="2"/>
      <c r="I335" s="2"/>
      <c r="J335" s="156"/>
      <c r="K335" s="2"/>
      <c r="L335" s="2"/>
      <c r="M335" s="2"/>
      <c r="N335" s="2"/>
      <c r="O335" s="2"/>
      <c r="P335" s="2"/>
      <c r="Q335" s="157"/>
      <c r="R335" s="157"/>
      <c r="S335" s="157"/>
      <c r="T335" s="158"/>
      <c r="U335" s="2"/>
      <c r="V335" s="30"/>
      <c r="W335" s="2"/>
      <c r="X335" s="2"/>
      <c r="Y335" s="2"/>
      <c r="Z335" s="2"/>
    </row>
    <row r="336" ht="13.5" customHeight="1">
      <c r="A336" s="2"/>
      <c r="B336" s="2"/>
      <c r="C336" s="2"/>
      <c r="D336" s="2"/>
      <c r="E336" s="2"/>
      <c r="F336" s="2"/>
      <c r="G336" s="2"/>
      <c r="H336" s="2"/>
      <c r="I336" s="2"/>
      <c r="J336" s="156"/>
      <c r="K336" s="2"/>
      <c r="L336" s="2"/>
      <c r="M336" s="2"/>
      <c r="N336" s="2"/>
      <c r="O336" s="2"/>
      <c r="P336" s="2"/>
      <c r="Q336" s="157"/>
      <c r="R336" s="157"/>
      <c r="S336" s="157"/>
      <c r="T336" s="158"/>
      <c r="U336" s="2"/>
      <c r="V336" s="30"/>
      <c r="W336" s="2"/>
      <c r="X336" s="2"/>
      <c r="Y336" s="2"/>
      <c r="Z336" s="2"/>
    </row>
    <row r="337" ht="13.5" customHeight="1">
      <c r="A337" s="2"/>
      <c r="B337" s="2"/>
      <c r="C337" s="2"/>
      <c r="D337" s="2"/>
      <c r="E337" s="2"/>
      <c r="F337" s="2"/>
      <c r="G337" s="2"/>
      <c r="H337" s="2"/>
      <c r="I337" s="2"/>
      <c r="J337" s="156"/>
      <c r="K337" s="2"/>
      <c r="L337" s="2"/>
      <c r="M337" s="2"/>
      <c r="N337" s="2"/>
      <c r="O337" s="2"/>
      <c r="P337" s="2"/>
      <c r="Q337" s="157"/>
      <c r="R337" s="157"/>
      <c r="S337" s="157"/>
      <c r="T337" s="158"/>
      <c r="U337" s="2"/>
      <c r="V337" s="30"/>
      <c r="W337" s="2"/>
      <c r="X337" s="2"/>
      <c r="Y337" s="2"/>
      <c r="Z337" s="2"/>
    </row>
    <row r="338" ht="13.5" customHeight="1">
      <c r="A338" s="2"/>
      <c r="B338" s="2"/>
      <c r="C338" s="2"/>
      <c r="D338" s="2"/>
      <c r="E338" s="2"/>
      <c r="F338" s="2"/>
      <c r="G338" s="2"/>
      <c r="H338" s="2"/>
      <c r="I338" s="2"/>
      <c r="J338" s="156"/>
      <c r="K338" s="2"/>
      <c r="L338" s="2"/>
      <c r="M338" s="2"/>
      <c r="N338" s="2"/>
      <c r="O338" s="2"/>
      <c r="P338" s="2"/>
      <c r="Q338" s="157"/>
      <c r="R338" s="157"/>
      <c r="S338" s="157"/>
      <c r="T338" s="158"/>
      <c r="U338" s="2"/>
      <c r="V338" s="30"/>
      <c r="W338" s="2"/>
      <c r="X338" s="2"/>
      <c r="Y338" s="2"/>
      <c r="Z338" s="2"/>
    </row>
    <row r="339" ht="13.5" customHeight="1">
      <c r="A339" s="2"/>
      <c r="B339" s="2"/>
      <c r="C339" s="2"/>
      <c r="D339" s="2"/>
      <c r="E339" s="2"/>
      <c r="F339" s="2"/>
      <c r="G339" s="2"/>
      <c r="H339" s="2"/>
      <c r="I339" s="2"/>
      <c r="J339" s="156"/>
      <c r="K339" s="2"/>
      <c r="L339" s="2"/>
      <c r="M339" s="2"/>
      <c r="N339" s="2"/>
      <c r="O339" s="2"/>
      <c r="P339" s="2"/>
      <c r="Q339" s="157"/>
      <c r="R339" s="157"/>
      <c r="S339" s="157"/>
      <c r="T339" s="158"/>
      <c r="U339" s="2"/>
      <c r="V339" s="30"/>
      <c r="W339" s="2"/>
      <c r="X339" s="2"/>
      <c r="Y339" s="2"/>
      <c r="Z339" s="2"/>
    </row>
    <row r="340" ht="13.5" customHeight="1">
      <c r="A340" s="2"/>
      <c r="B340" s="2"/>
      <c r="C340" s="2"/>
      <c r="D340" s="2"/>
      <c r="E340" s="2"/>
      <c r="F340" s="2"/>
      <c r="G340" s="2"/>
      <c r="H340" s="2"/>
      <c r="I340" s="2"/>
      <c r="J340" s="156"/>
      <c r="K340" s="2"/>
      <c r="L340" s="2"/>
      <c r="M340" s="2"/>
      <c r="N340" s="2"/>
      <c r="O340" s="2"/>
      <c r="P340" s="2"/>
      <c r="Q340" s="157"/>
      <c r="R340" s="157"/>
      <c r="S340" s="157"/>
      <c r="T340" s="158"/>
      <c r="U340" s="2"/>
      <c r="V340" s="30"/>
      <c r="W340" s="2"/>
      <c r="X340" s="2"/>
      <c r="Y340" s="2"/>
      <c r="Z340" s="2"/>
    </row>
    <row r="341" ht="13.5" customHeight="1">
      <c r="A341" s="2"/>
      <c r="B341" s="2"/>
      <c r="C341" s="2"/>
      <c r="D341" s="2"/>
      <c r="E341" s="2"/>
      <c r="F341" s="2"/>
      <c r="G341" s="2"/>
      <c r="H341" s="2"/>
      <c r="I341" s="2"/>
      <c r="J341" s="156"/>
      <c r="K341" s="2"/>
      <c r="L341" s="2"/>
      <c r="M341" s="2"/>
      <c r="N341" s="2"/>
      <c r="O341" s="2"/>
      <c r="P341" s="2"/>
      <c r="Q341" s="157"/>
      <c r="R341" s="157"/>
      <c r="S341" s="157"/>
      <c r="T341" s="158"/>
      <c r="U341" s="2"/>
      <c r="V341" s="30"/>
      <c r="W341" s="2"/>
      <c r="X341" s="2"/>
      <c r="Y341" s="2"/>
      <c r="Z341" s="2"/>
    </row>
    <row r="342" ht="13.5" customHeight="1">
      <c r="A342" s="2"/>
      <c r="B342" s="2"/>
      <c r="C342" s="2"/>
      <c r="D342" s="2"/>
      <c r="E342" s="2"/>
      <c r="F342" s="2"/>
      <c r="G342" s="2"/>
      <c r="H342" s="2"/>
      <c r="I342" s="2"/>
      <c r="J342" s="156"/>
      <c r="K342" s="2"/>
      <c r="L342" s="2"/>
      <c r="M342" s="2"/>
      <c r="N342" s="2"/>
      <c r="O342" s="2"/>
      <c r="P342" s="2"/>
      <c r="Q342" s="157"/>
      <c r="R342" s="157"/>
      <c r="S342" s="157"/>
      <c r="T342" s="158"/>
      <c r="U342" s="2"/>
      <c r="V342" s="30"/>
      <c r="W342" s="2"/>
      <c r="X342" s="2"/>
      <c r="Y342" s="2"/>
      <c r="Z342" s="2"/>
    </row>
    <row r="343" ht="13.5" customHeight="1">
      <c r="A343" s="2"/>
      <c r="B343" s="2"/>
      <c r="C343" s="2"/>
      <c r="D343" s="2"/>
      <c r="E343" s="2"/>
      <c r="F343" s="2"/>
      <c r="G343" s="2"/>
      <c r="H343" s="2"/>
      <c r="I343" s="2"/>
      <c r="J343" s="156"/>
      <c r="K343" s="2"/>
      <c r="L343" s="2"/>
      <c r="M343" s="2"/>
      <c r="N343" s="2"/>
      <c r="O343" s="2"/>
      <c r="P343" s="2"/>
      <c r="Q343" s="157"/>
      <c r="R343" s="157"/>
      <c r="S343" s="157"/>
      <c r="T343" s="158"/>
      <c r="U343" s="2"/>
      <c r="V343" s="30"/>
      <c r="W343" s="2"/>
      <c r="X343" s="2"/>
      <c r="Y343" s="2"/>
      <c r="Z343" s="2"/>
    </row>
    <row r="344" ht="13.5" customHeight="1">
      <c r="A344" s="2"/>
      <c r="B344" s="2"/>
      <c r="C344" s="2"/>
      <c r="D344" s="2"/>
      <c r="E344" s="2"/>
      <c r="F344" s="2"/>
      <c r="G344" s="2"/>
      <c r="H344" s="2"/>
      <c r="I344" s="2"/>
      <c r="J344" s="156"/>
      <c r="K344" s="2"/>
      <c r="L344" s="2"/>
      <c r="M344" s="2"/>
      <c r="N344" s="2"/>
      <c r="O344" s="2"/>
      <c r="P344" s="2"/>
      <c r="Q344" s="157"/>
      <c r="R344" s="157"/>
      <c r="S344" s="157"/>
      <c r="T344" s="158"/>
      <c r="U344" s="2"/>
      <c r="V344" s="30"/>
      <c r="W344" s="2"/>
      <c r="X344" s="2"/>
      <c r="Y344" s="2"/>
      <c r="Z344" s="2"/>
    </row>
    <row r="345" ht="13.5" customHeight="1">
      <c r="A345" s="2"/>
      <c r="B345" s="2"/>
      <c r="C345" s="2"/>
      <c r="D345" s="2"/>
      <c r="E345" s="2"/>
      <c r="F345" s="2"/>
      <c r="G345" s="2"/>
      <c r="H345" s="2"/>
      <c r="I345" s="2"/>
      <c r="J345" s="156"/>
      <c r="K345" s="2"/>
      <c r="L345" s="2"/>
      <c r="M345" s="2"/>
      <c r="N345" s="2"/>
      <c r="O345" s="2"/>
      <c r="P345" s="2"/>
      <c r="Q345" s="157"/>
      <c r="R345" s="157"/>
      <c r="S345" s="157"/>
      <c r="T345" s="158"/>
      <c r="U345" s="2"/>
      <c r="V345" s="30"/>
      <c r="W345" s="2"/>
      <c r="X345" s="2"/>
      <c r="Y345" s="2"/>
      <c r="Z345" s="2"/>
    </row>
    <row r="346" ht="13.5" customHeight="1">
      <c r="A346" s="2"/>
      <c r="B346" s="2"/>
      <c r="C346" s="2"/>
      <c r="D346" s="2"/>
      <c r="E346" s="2"/>
      <c r="F346" s="2"/>
      <c r="G346" s="2"/>
      <c r="H346" s="2"/>
      <c r="I346" s="2"/>
      <c r="J346" s="156"/>
      <c r="K346" s="2"/>
      <c r="L346" s="2"/>
      <c r="M346" s="2"/>
      <c r="N346" s="2"/>
      <c r="O346" s="2"/>
      <c r="P346" s="2"/>
      <c r="Q346" s="157"/>
      <c r="R346" s="157"/>
      <c r="S346" s="157"/>
      <c r="T346" s="158"/>
      <c r="U346" s="2"/>
      <c r="V346" s="30"/>
      <c r="W346" s="2"/>
      <c r="X346" s="2"/>
      <c r="Y346" s="2"/>
      <c r="Z346" s="2"/>
    </row>
    <row r="347" ht="13.5" customHeight="1">
      <c r="A347" s="2"/>
      <c r="B347" s="2"/>
      <c r="C347" s="2"/>
      <c r="D347" s="2"/>
      <c r="E347" s="2"/>
      <c r="F347" s="2"/>
      <c r="G347" s="2"/>
      <c r="H347" s="2"/>
      <c r="I347" s="2"/>
      <c r="J347" s="156"/>
      <c r="K347" s="2"/>
      <c r="L347" s="2"/>
      <c r="M347" s="2"/>
      <c r="N347" s="2"/>
      <c r="O347" s="2"/>
      <c r="P347" s="2"/>
      <c r="Q347" s="157"/>
      <c r="R347" s="157"/>
      <c r="S347" s="157"/>
      <c r="T347" s="158"/>
      <c r="U347" s="2"/>
      <c r="V347" s="30"/>
      <c r="W347" s="2"/>
      <c r="X347" s="2"/>
      <c r="Y347" s="2"/>
      <c r="Z347" s="2"/>
    </row>
    <row r="348" ht="13.5" customHeight="1">
      <c r="A348" s="2"/>
      <c r="B348" s="2"/>
      <c r="C348" s="2"/>
      <c r="D348" s="2"/>
      <c r="E348" s="2"/>
      <c r="F348" s="2"/>
      <c r="G348" s="2"/>
      <c r="H348" s="2"/>
      <c r="I348" s="2"/>
      <c r="J348" s="156"/>
      <c r="K348" s="2"/>
      <c r="L348" s="2"/>
      <c r="M348" s="2"/>
      <c r="N348" s="2"/>
      <c r="O348" s="2"/>
      <c r="P348" s="2"/>
      <c r="Q348" s="157"/>
      <c r="R348" s="157"/>
      <c r="S348" s="157"/>
      <c r="T348" s="158"/>
      <c r="U348" s="2"/>
      <c r="V348" s="30"/>
      <c r="W348" s="2"/>
      <c r="X348" s="2"/>
      <c r="Y348" s="2"/>
      <c r="Z348" s="2"/>
    </row>
    <row r="349" ht="13.5" customHeight="1">
      <c r="A349" s="2"/>
      <c r="B349" s="2"/>
      <c r="C349" s="2"/>
      <c r="D349" s="2"/>
      <c r="E349" s="2"/>
      <c r="F349" s="2"/>
      <c r="G349" s="2"/>
      <c r="H349" s="2"/>
      <c r="I349" s="2"/>
      <c r="J349" s="156"/>
      <c r="K349" s="2"/>
      <c r="L349" s="2"/>
      <c r="M349" s="2"/>
      <c r="N349" s="2"/>
      <c r="O349" s="2"/>
      <c r="P349" s="2"/>
      <c r="Q349" s="157"/>
      <c r="R349" s="157"/>
      <c r="S349" s="157"/>
      <c r="T349" s="158"/>
      <c r="U349" s="2"/>
      <c r="V349" s="30"/>
      <c r="W349" s="2"/>
      <c r="X349" s="2"/>
      <c r="Y349" s="2"/>
      <c r="Z349" s="2"/>
    </row>
    <row r="350" ht="13.5" customHeight="1">
      <c r="A350" s="2"/>
      <c r="B350" s="2"/>
      <c r="C350" s="2"/>
      <c r="D350" s="2"/>
      <c r="E350" s="2"/>
      <c r="F350" s="2"/>
      <c r="G350" s="2"/>
      <c r="H350" s="2"/>
      <c r="I350" s="2"/>
      <c r="J350" s="156"/>
      <c r="K350" s="2"/>
      <c r="L350" s="2"/>
      <c r="M350" s="2"/>
      <c r="N350" s="2"/>
      <c r="O350" s="2"/>
      <c r="P350" s="2"/>
      <c r="Q350" s="157"/>
      <c r="R350" s="157"/>
      <c r="S350" s="157"/>
      <c r="T350" s="158"/>
      <c r="U350" s="2"/>
      <c r="V350" s="30"/>
      <c r="W350" s="2"/>
      <c r="X350" s="2"/>
      <c r="Y350" s="2"/>
      <c r="Z350" s="2"/>
    </row>
    <row r="351" ht="13.5" customHeight="1">
      <c r="A351" s="2"/>
      <c r="B351" s="2"/>
      <c r="C351" s="2"/>
      <c r="D351" s="2"/>
      <c r="E351" s="2"/>
      <c r="F351" s="2"/>
      <c r="G351" s="2"/>
      <c r="H351" s="2"/>
      <c r="I351" s="2"/>
      <c r="J351" s="156"/>
      <c r="K351" s="2"/>
      <c r="L351" s="2"/>
      <c r="M351" s="2"/>
      <c r="N351" s="2"/>
      <c r="O351" s="2"/>
      <c r="P351" s="2"/>
      <c r="Q351" s="157"/>
      <c r="R351" s="157"/>
      <c r="S351" s="157"/>
      <c r="T351" s="158"/>
      <c r="U351" s="2"/>
      <c r="V351" s="30"/>
      <c r="W351" s="2"/>
      <c r="X351" s="2"/>
      <c r="Y351" s="2"/>
      <c r="Z351" s="2"/>
    </row>
    <row r="352" ht="13.5" customHeight="1">
      <c r="A352" s="2"/>
      <c r="B352" s="2"/>
      <c r="C352" s="2"/>
      <c r="D352" s="2"/>
      <c r="E352" s="2"/>
      <c r="F352" s="2"/>
      <c r="G352" s="2"/>
      <c r="H352" s="2"/>
      <c r="I352" s="2"/>
      <c r="J352" s="156"/>
      <c r="K352" s="2"/>
      <c r="L352" s="2"/>
      <c r="M352" s="2"/>
      <c r="N352" s="2"/>
      <c r="O352" s="2"/>
      <c r="P352" s="2"/>
      <c r="Q352" s="157"/>
      <c r="R352" s="157"/>
      <c r="S352" s="157"/>
      <c r="T352" s="158"/>
      <c r="U352" s="2"/>
      <c r="V352" s="30"/>
      <c r="W352" s="2"/>
      <c r="X352" s="2"/>
      <c r="Y352" s="2"/>
      <c r="Z352" s="2"/>
    </row>
    <row r="353" ht="13.5" customHeight="1">
      <c r="A353" s="2"/>
      <c r="B353" s="2"/>
      <c r="C353" s="2"/>
      <c r="D353" s="2"/>
      <c r="E353" s="2"/>
      <c r="F353" s="2"/>
      <c r="G353" s="2"/>
      <c r="H353" s="2"/>
      <c r="I353" s="2"/>
      <c r="J353" s="156"/>
      <c r="K353" s="2"/>
      <c r="L353" s="2"/>
      <c r="M353" s="2"/>
      <c r="N353" s="2"/>
      <c r="O353" s="2"/>
      <c r="P353" s="2"/>
      <c r="Q353" s="157"/>
      <c r="R353" s="157"/>
      <c r="S353" s="157"/>
      <c r="T353" s="158"/>
      <c r="U353" s="2"/>
      <c r="V353" s="30"/>
      <c r="W353" s="2"/>
      <c r="X353" s="2"/>
      <c r="Y353" s="2"/>
      <c r="Z353" s="2"/>
    </row>
    <row r="354" ht="13.5" customHeight="1">
      <c r="A354" s="2"/>
      <c r="B354" s="2"/>
      <c r="C354" s="2"/>
      <c r="D354" s="2"/>
      <c r="E354" s="2"/>
      <c r="F354" s="2"/>
      <c r="G354" s="2"/>
      <c r="H354" s="2"/>
      <c r="I354" s="2"/>
      <c r="J354" s="156"/>
      <c r="K354" s="2"/>
      <c r="L354" s="2"/>
      <c r="M354" s="2"/>
      <c r="N354" s="2"/>
      <c r="O354" s="2"/>
      <c r="P354" s="2"/>
      <c r="Q354" s="157"/>
      <c r="R354" s="157"/>
      <c r="S354" s="157"/>
      <c r="T354" s="158"/>
      <c r="U354" s="2"/>
      <c r="V354" s="30"/>
      <c r="W354" s="2"/>
      <c r="X354" s="2"/>
      <c r="Y354" s="2"/>
      <c r="Z354" s="2"/>
    </row>
    <row r="355" ht="13.5" customHeight="1">
      <c r="A355" s="2"/>
      <c r="B355" s="2"/>
      <c r="C355" s="2"/>
      <c r="D355" s="2"/>
      <c r="E355" s="2"/>
      <c r="F355" s="2"/>
      <c r="G355" s="2"/>
      <c r="H355" s="2"/>
      <c r="I355" s="2"/>
      <c r="J355" s="156"/>
      <c r="K355" s="2"/>
      <c r="L355" s="2"/>
      <c r="M355" s="2"/>
      <c r="N355" s="2"/>
      <c r="O355" s="2"/>
      <c r="P355" s="2"/>
      <c r="Q355" s="157"/>
      <c r="R355" s="157"/>
      <c r="S355" s="157"/>
      <c r="T355" s="158"/>
      <c r="U355" s="2"/>
      <c r="V355" s="30"/>
      <c r="W355" s="2"/>
      <c r="X355" s="2"/>
      <c r="Y355" s="2"/>
      <c r="Z355" s="2"/>
    </row>
    <row r="356" ht="13.5" customHeight="1">
      <c r="A356" s="2"/>
      <c r="B356" s="2"/>
      <c r="C356" s="2"/>
      <c r="D356" s="2"/>
      <c r="E356" s="2"/>
      <c r="F356" s="2"/>
      <c r="G356" s="2"/>
      <c r="H356" s="2"/>
      <c r="I356" s="2"/>
      <c r="J356" s="156"/>
      <c r="K356" s="2"/>
      <c r="L356" s="2"/>
      <c r="M356" s="2"/>
      <c r="N356" s="2"/>
      <c r="O356" s="2"/>
      <c r="P356" s="2"/>
      <c r="Q356" s="157"/>
      <c r="R356" s="157"/>
      <c r="S356" s="157"/>
      <c r="T356" s="158"/>
      <c r="U356" s="2"/>
      <c r="V356" s="30"/>
      <c r="W356" s="2"/>
      <c r="X356" s="2"/>
      <c r="Y356" s="2"/>
      <c r="Z356" s="2"/>
    </row>
    <row r="357" ht="13.5" customHeight="1">
      <c r="A357" s="2"/>
      <c r="B357" s="2"/>
      <c r="C357" s="2"/>
      <c r="D357" s="2"/>
      <c r="E357" s="2"/>
      <c r="F357" s="2"/>
      <c r="G357" s="2"/>
      <c r="H357" s="2"/>
      <c r="I357" s="2"/>
      <c r="J357" s="156"/>
      <c r="K357" s="2"/>
      <c r="L357" s="2"/>
      <c r="M357" s="2"/>
      <c r="N357" s="2"/>
      <c r="O357" s="2"/>
      <c r="P357" s="2"/>
      <c r="Q357" s="157"/>
      <c r="R357" s="157"/>
      <c r="S357" s="157"/>
      <c r="T357" s="158"/>
      <c r="U357" s="2"/>
      <c r="V357" s="30"/>
      <c r="W357" s="2"/>
      <c r="X357" s="2"/>
      <c r="Y357" s="2"/>
      <c r="Z357" s="2"/>
    </row>
    <row r="358" ht="13.5" customHeight="1">
      <c r="A358" s="2"/>
      <c r="B358" s="2"/>
      <c r="C358" s="2"/>
      <c r="D358" s="2"/>
      <c r="E358" s="2"/>
      <c r="F358" s="2"/>
      <c r="G358" s="2"/>
      <c r="H358" s="2"/>
      <c r="I358" s="2"/>
      <c r="J358" s="156"/>
      <c r="K358" s="2"/>
      <c r="L358" s="2"/>
      <c r="M358" s="2"/>
      <c r="N358" s="2"/>
      <c r="O358" s="2"/>
      <c r="P358" s="2"/>
      <c r="Q358" s="157"/>
      <c r="R358" s="157"/>
      <c r="S358" s="157"/>
      <c r="T358" s="158"/>
      <c r="U358" s="2"/>
      <c r="V358" s="30"/>
      <c r="W358" s="2"/>
      <c r="X358" s="2"/>
      <c r="Y358" s="2"/>
      <c r="Z358" s="2"/>
    </row>
    <row r="359" ht="13.5" customHeight="1">
      <c r="A359" s="2"/>
      <c r="B359" s="2"/>
      <c r="C359" s="2"/>
      <c r="D359" s="2"/>
      <c r="E359" s="2"/>
      <c r="F359" s="2"/>
      <c r="G359" s="2"/>
      <c r="H359" s="2"/>
      <c r="I359" s="2"/>
      <c r="J359" s="156"/>
      <c r="K359" s="2"/>
      <c r="L359" s="2"/>
      <c r="M359" s="2"/>
      <c r="N359" s="2"/>
      <c r="O359" s="2"/>
      <c r="P359" s="2"/>
      <c r="Q359" s="157"/>
      <c r="R359" s="157"/>
      <c r="S359" s="157"/>
      <c r="T359" s="158"/>
      <c r="U359" s="2"/>
      <c r="V359" s="30"/>
      <c r="W359" s="2"/>
      <c r="X359" s="2"/>
      <c r="Y359" s="2"/>
      <c r="Z359" s="2"/>
    </row>
    <row r="360" ht="13.5" customHeight="1">
      <c r="A360" s="2"/>
      <c r="B360" s="2"/>
      <c r="C360" s="2"/>
      <c r="D360" s="2"/>
      <c r="E360" s="2"/>
      <c r="F360" s="2"/>
      <c r="G360" s="2"/>
      <c r="H360" s="2"/>
      <c r="I360" s="2"/>
      <c r="J360" s="156"/>
      <c r="K360" s="2"/>
      <c r="L360" s="2"/>
      <c r="M360" s="2"/>
      <c r="N360" s="2"/>
      <c r="O360" s="2"/>
      <c r="P360" s="2"/>
      <c r="Q360" s="157"/>
      <c r="R360" s="157"/>
      <c r="S360" s="157"/>
      <c r="T360" s="158"/>
      <c r="U360" s="2"/>
      <c r="V360" s="30"/>
      <c r="W360" s="2"/>
      <c r="X360" s="2"/>
      <c r="Y360" s="2"/>
      <c r="Z360" s="2"/>
    </row>
    <row r="361" ht="13.5" customHeight="1">
      <c r="A361" s="2"/>
      <c r="B361" s="2"/>
      <c r="C361" s="2"/>
      <c r="D361" s="2"/>
      <c r="E361" s="2"/>
      <c r="F361" s="2"/>
      <c r="G361" s="2"/>
      <c r="H361" s="2"/>
      <c r="I361" s="2"/>
      <c r="J361" s="156"/>
      <c r="K361" s="2"/>
      <c r="L361" s="2"/>
      <c r="M361" s="2"/>
      <c r="N361" s="2"/>
      <c r="O361" s="2"/>
      <c r="P361" s="2"/>
      <c r="Q361" s="157"/>
      <c r="R361" s="157"/>
      <c r="S361" s="157"/>
      <c r="T361" s="158"/>
      <c r="U361" s="2"/>
      <c r="V361" s="30"/>
      <c r="W361" s="2"/>
      <c r="X361" s="2"/>
      <c r="Y361" s="2"/>
      <c r="Z361" s="2"/>
    </row>
    <row r="362" ht="13.5" customHeight="1">
      <c r="A362" s="2"/>
      <c r="B362" s="2"/>
      <c r="C362" s="2"/>
      <c r="D362" s="2"/>
      <c r="E362" s="2"/>
      <c r="F362" s="2"/>
      <c r="G362" s="2"/>
      <c r="H362" s="2"/>
      <c r="I362" s="2"/>
      <c r="J362" s="156"/>
      <c r="K362" s="2"/>
      <c r="L362" s="2"/>
      <c r="M362" s="2"/>
      <c r="N362" s="2"/>
      <c r="O362" s="2"/>
      <c r="P362" s="2"/>
      <c r="Q362" s="157"/>
      <c r="R362" s="157"/>
      <c r="S362" s="157"/>
      <c r="T362" s="158"/>
      <c r="U362" s="2"/>
      <c r="V362" s="30"/>
      <c r="W362" s="2"/>
      <c r="X362" s="2"/>
      <c r="Y362" s="2"/>
      <c r="Z362" s="2"/>
    </row>
    <row r="363" ht="13.5" customHeight="1">
      <c r="A363" s="2"/>
      <c r="B363" s="2"/>
      <c r="C363" s="2"/>
      <c r="D363" s="2"/>
      <c r="E363" s="2"/>
      <c r="F363" s="2"/>
      <c r="G363" s="2"/>
      <c r="H363" s="2"/>
      <c r="I363" s="2"/>
      <c r="J363" s="156"/>
      <c r="K363" s="2"/>
      <c r="L363" s="2"/>
      <c r="M363" s="2"/>
      <c r="N363" s="2"/>
      <c r="O363" s="2"/>
      <c r="P363" s="2"/>
      <c r="Q363" s="157"/>
      <c r="R363" s="157"/>
      <c r="S363" s="157"/>
      <c r="T363" s="158"/>
      <c r="U363" s="2"/>
      <c r="V363" s="30"/>
      <c r="W363" s="2"/>
      <c r="X363" s="2"/>
      <c r="Y363" s="2"/>
      <c r="Z363" s="2"/>
    </row>
    <row r="364" ht="13.5" customHeight="1">
      <c r="A364" s="2"/>
      <c r="B364" s="2"/>
      <c r="C364" s="2"/>
      <c r="D364" s="2"/>
      <c r="E364" s="2"/>
      <c r="F364" s="2"/>
      <c r="G364" s="2"/>
      <c r="H364" s="2"/>
      <c r="I364" s="2"/>
      <c r="J364" s="156"/>
      <c r="K364" s="2"/>
      <c r="L364" s="2"/>
      <c r="M364" s="2"/>
      <c r="N364" s="2"/>
      <c r="O364" s="2"/>
      <c r="P364" s="2"/>
      <c r="Q364" s="157"/>
      <c r="R364" s="157"/>
      <c r="S364" s="157"/>
      <c r="T364" s="158"/>
      <c r="U364" s="2"/>
      <c r="V364" s="30"/>
      <c r="W364" s="2"/>
      <c r="X364" s="2"/>
      <c r="Y364" s="2"/>
      <c r="Z364" s="2"/>
    </row>
    <row r="365" ht="13.5" customHeight="1">
      <c r="A365" s="2"/>
      <c r="B365" s="2"/>
      <c r="C365" s="2"/>
      <c r="D365" s="2"/>
      <c r="E365" s="2"/>
      <c r="F365" s="2"/>
      <c r="G365" s="2"/>
      <c r="H365" s="2"/>
      <c r="I365" s="2"/>
      <c r="J365" s="156"/>
      <c r="K365" s="2"/>
      <c r="L365" s="2"/>
      <c r="M365" s="2"/>
      <c r="N365" s="2"/>
      <c r="O365" s="2"/>
      <c r="P365" s="2"/>
      <c r="Q365" s="157"/>
      <c r="R365" s="157"/>
      <c r="S365" s="157"/>
      <c r="T365" s="158"/>
      <c r="U365" s="2"/>
      <c r="V365" s="30"/>
      <c r="W365" s="2"/>
      <c r="X365" s="2"/>
      <c r="Y365" s="2"/>
      <c r="Z365" s="2"/>
    </row>
    <row r="366" ht="13.5" customHeight="1">
      <c r="A366" s="2"/>
      <c r="B366" s="2"/>
      <c r="C366" s="2"/>
      <c r="D366" s="2"/>
      <c r="E366" s="2"/>
      <c r="F366" s="2"/>
      <c r="G366" s="2"/>
      <c r="H366" s="2"/>
      <c r="I366" s="2"/>
      <c r="J366" s="156"/>
      <c r="K366" s="2"/>
      <c r="L366" s="2"/>
      <c r="M366" s="2"/>
      <c r="N366" s="2"/>
      <c r="O366" s="2"/>
      <c r="P366" s="2"/>
      <c r="Q366" s="157"/>
      <c r="R366" s="157"/>
      <c r="S366" s="157"/>
      <c r="T366" s="158"/>
      <c r="U366" s="2"/>
      <c r="V366" s="30"/>
      <c r="W366" s="2"/>
      <c r="X366" s="2"/>
      <c r="Y366" s="2"/>
      <c r="Z366" s="2"/>
    </row>
    <row r="367" ht="13.5" customHeight="1">
      <c r="A367" s="2"/>
      <c r="B367" s="2"/>
      <c r="C367" s="2"/>
      <c r="D367" s="2"/>
      <c r="E367" s="2"/>
      <c r="F367" s="2"/>
      <c r="G367" s="2"/>
      <c r="H367" s="2"/>
      <c r="I367" s="2"/>
      <c r="J367" s="156"/>
      <c r="K367" s="2"/>
      <c r="L367" s="2"/>
      <c r="M367" s="2"/>
      <c r="N367" s="2"/>
      <c r="O367" s="2"/>
      <c r="P367" s="2"/>
      <c r="Q367" s="157"/>
      <c r="R367" s="157"/>
      <c r="S367" s="157"/>
      <c r="T367" s="158"/>
      <c r="U367" s="2"/>
      <c r="V367" s="30"/>
      <c r="W367" s="2"/>
      <c r="X367" s="2"/>
      <c r="Y367" s="2"/>
      <c r="Z367" s="2"/>
    </row>
    <row r="368" ht="13.5" customHeight="1">
      <c r="A368" s="2"/>
      <c r="B368" s="2"/>
      <c r="C368" s="2"/>
      <c r="D368" s="2"/>
      <c r="E368" s="2"/>
      <c r="F368" s="2"/>
      <c r="G368" s="2"/>
      <c r="H368" s="2"/>
      <c r="I368" s="2"/>
      <c r="J368" s="156"/>
      <c r="K368" s="2"/>
      <c r="L368" s="2"/>
      <c r="M368" s="2"/>
      <c r="N368" s="2"/>
      <c r="O368" s="2"/>
      <c r="P368" s="2"/>
      <c r="Q368" s="157"/>
      <c r="R368" s="157"/>
      <c r="S368" s="157"/>
      <c r="T368" s="158"/>
      <c r="U368" s="2"/>
      <c r="V368" s="30"/>
      <c r="W368" s="2"/>
      <c r="X368" s="2"/>
      <c r="Y368" s="2"/>
      <c r="Z368" s="2"/>
    </row>
    <row r="369" ht="13.5" customHeight="1">
      <c r="A369" s="2"/>
      <c r="B369" s="2"/>
      <c r="C369" s="2"/>
      <c r="D369" s="2"/>
      <c r="E369" s="2"/>
      <c r="F369" s="2"/>
      <c r="G369" s="2"/>
      <c r="H369" s="2"/>
      <c r="I369" s="2"/>
      <c r="J369" s="156"/>
      <c r="K369" s="2"/>
      <c r="L369" s="2"/>
      <c r="M369" s="2"/>
      <c r="N369" s="2"/>
      <c r="O369" s="2"/>
      <c r="P369" s="2"/>
      <c r="Q369" s="157"/>
      <c r="R369" s="157"/>
      <c r="S369" s="157"/>
      <c r="T369" s="158"/>
      <c r="U369" s="2"/>
      <c r="V369" s="30"/>
      <c r="W369" s="2"/>
      <c r="X369" s="2"/>
      <c r="Y369" s="2"/>
      <c r="Z369" s="2"/>
    </row>
    <row r="370" ht="13.5" customHeight="1">
      <c r="A370" s="2"/>
      <c r="B370" s="2"/>
      <c r="C370" s="2"/>
      <c r="D370" s="2"/>
      <c r="E370" s="2"/>
      <c r="F370" s="2"/>
      <c r="G370" s="2"/>
      <c r="H370" s="2"/>
      <c r="I370" s="2"/>
      <c r="J370" s="156"/>
      <c r="K370" s="2"/>
      <c r="L370" s="2"/>
      <c r="M370" s="2"/>
      <c r="N370" s="2"/>
      <c r="O370" s="2"/>
      <c r="P370" s="2"/>
      <c r="Q370" s="157"/>
      <c r="R370" s="157"/>
      <c r="S370" s="157"/>
      <c r="T370" s="158"/>
      <c r="U370" s="2"/>
      <c r="V370" s="30"/>
      <c r="W370" s="2"/>
      <c r="X370" s="2"/>
      <c r="Y370" s="2"/>
      <c r="Z370" s="2"/>
    </row>
    <row r="371" ht="13.5" customHeight="1">
      <c r="A371" s="2"/>
      <c r="B371" s="2"/>
      <c r="C371" s="2"/>
      <c r="D371" s="2"/>
      <c r="E371" s="2"/>
      <c r="F371" s="2"/>
      <c r="G371" s="2"/>
      <c r="H371" s="2"/>
      <c r="I371" s="2"/>
      <c r="J371" s="156"/>
      <c r="K371" s="2"/>
      <c r="L371" s="2"/>
      <c r="M371" s="2"/>
      <c r="N371" s="2"/>
      <c r="O371" s="2"/>
      <c r="P371" s="2"/>
      <c r="Q371" s="157"/>
      <c r="R371" s="157"/>
      <c r="S371" s="157"/>
      <c r="T371" s="158"/>
      <c r="U371" s="2"/>
      <c r="V371" s="30"/>
      <c r="W371" s="2"/>
      <c r="X371" s="2"/>
      <c r="Y371" s="2"/>
      <c r="Z371" s="2"/>
    </row>
    <row r="372" ht="13.5" customHeight="1">
      <c r="A372" s="2"/>
      <c r="B372" s="2"/>
      <c r="C372" s="2"/>
      <c r="D372" s="2"/>
      <c r="E372" s="2"/>
      <c r="F372" s="2"/>
      <c r="G372" s="2"/>
      <c r="H372" s="2"/>
      <c r="I372" s="2"/>
      <c r="J372" s="156"/>
      <c r="K372" s="2"/>
      <c r="L372" s="2"/>
      <c r="M372" s="2"/>
      <c r="N372" s="2"/>
      <c r="O372" s="2"/>
      <c r="P372" s="2"/>
      <c r="Q372" s="157"/>
      <c r="R372" s="157"/>
      <c r="S372" s="157"/>
      <c r="T372" s="158"/>
      <c r="U372" s="2"/>
      <c r="V372" s="30"/>
      <c r="W372" s="2"/>
      <c r="X372" s="2"/>
      <c r="Y372" s="2"/>
      <c r="Z372" s="2"/>
    </row>
    <row r="373" ht="13.5" customHeight="1">
      <c r="A373" s="2"/>
      <c r="B373" s="2"/>
      <c r="C373" s="2"/>
      <c r="D373" s="2"/>
      <c r="E373" s="2"/>
      <c r="F373" s="2"/>
      <c r="G373" s="2"/>
      <c r="H373" s="2"/>
      <c r="I373" s="2"/>
      <c r="J373" s="156"/>
      <c r="K373" s="2"/>
      <c r="L373" s="2"/>
      <c r="M373" s="2"/>
      <c r="N373" s="2"/>
      <c r="O373" s="2"/>
      <c r="P373" s="2"/>
      <c r="Q373" s="157"/>
      <c r="R373" s="157"/>
      <c r="S373" s="157"/>
      <c r="T373" s="158"/>
      <c r="U373" s="2"/>
      <c r="V373" s="30"/>
      <c r="W373" s="2"/>
      <c r="X373" s="2"/>
      <c r="Y373" s="2"/>
      <c r="Z373" s="2"/>
    </row>
    <row r="374" ht="13.5" customHeight="1">
      <c r="A374" s="2"/>
      <c r="B374" s="2"/>
      <c r="C374" s="2"/>
      <c r="D374" s="2"/>
      <c r="E374" s="2"/>
      <c r="F374" s="2"/>
      <c r="G374" s="2"/>
      <c r="H374" s="2"/>
      <c r="I374" s="2"/>
      <c r="J374" s="156"/>
      <c r="K374" s="2"/>
      <c r="L374" s="2"/>
      <c r="M374" s="2"/>
      <c r="N374" s="2"/>
      <c r="O374" s="2"/>
      <c r="P374" s="2"/>
      <c r="Q374" s="157"/>
      <c r="R374" s="157"/>
      <c r="S374" s="157"/>
      <c r="T374" s="158"/>
      <c r="U374" s="2"/>
      <c r="V374" s="30"/>
      <c r="W374" s="2"/>
      <c r="X374" s="2"/>
      <c r="Y374" s="2"/>
      <c r="Z374" s="2"/>
    </row>
    <row r="375" ht="13.5" customHeight="1">
      <c r="A375" s="2"/>
      <c r="B375" s="2"/>
      <c r="C375" s="2"/>
      <c r="D375" s="2"/>
      <c r="E375" s="2"/>
      <c r="F375" s="2"/>
      <c r="G375" s="2"/>
      <c r="H375" s="2"/>
      <c r="I375" s="2"/>
      <c r="J375" s="156"/>
      <c r="K375" s="2"/>
      <c r="L375" s="2"/>
      <c r="M375" s="2"/>
      <c r="N375" s="2"/>
      <c r="O375" s="2"/>
      <c r="P375" s="2"/>
      <c r="Q375" s="157"/>
      <c r="R375" s="157"/>
      <c r="S375" s="157"/>
      <c r="T375" s="158"/>
      <c r="U375" s="2"/>
      <c r="V375" s="30"/>
      <c r="W375" s="2"/>
      <c r="X375" s="2"/>
      <c r="Y375" s="2"/>
      <c r="Z375" s="2"/>
    </row>
    <row r="376" ht="13.5" customHeight="1">
      <c r="A376" s="2"/>
      <c r="B376" s="2"/>
      <c r="C376" s="2"/>
      <c r="D376" s="2"/>
      <c r="E376" s="2"/>
      <c r="F376" s="2"/>
      <c r="G376" s="2"/>
      <c r="H376" s="2"/>
      <c r="I376" s="2"/>
      <c r="J376" s="156"/>
      <c r="K376" s="2"/>
      <c r="L376" s="2"/>
      <c r="M376" s="2"/>
      <c r="N376" s="2"/>
      <c r="O376" s="2"/>
      <c r="P376" s="2"/>
      <c r="Q376" s="157"/>
      <c r="R376" s="157"/>
      <c r="S376" s="157"/>
      <c r="T376" s="158"/>
      <c r="U376" s="2"/>
      <c r="V376" s="30"/>
      <c r="W376" s="2"/>
      <c r="X376" s="2"/>
      <c r="Y376" s="2"/>
      <c r="Z376" s="2"/>
    </row>
    <row r="377" ht="13.5" customHeight="1">
      <c r="A377" s="2"/>
      <c r="B377" s="2"/>
      <c r="C377" s="2"/>
      <c r="D377" s="2"/>
      <c r="E377" s="2"/>
      <c r="F377" s="2"/>
      <c r="G377" s="2"/>
      <c r="H377" s="2"/>
      <c r="I377" s="2"/>
      <c r="J377" s="156"/>
      <c r="K377" s="2"/>
      <c r="L377" s="2"/>
      <c r="M377" s="2"/>
      <c r="N377" s="2"/>
      <c r="O377" s="2"/>
      <c r="P377" s="2"/>
      <c r="Q377" s="157"/>
      <c r="R377" s="157"/>
      <c r="S377" s="157"/>
      <c r="T377" s="158"/>
      <c r="U377" s="2"/>
      <c r="V377" s="30"/>
      <c r="W377" s="2"/>
      <c r="X377" s="2"/>
      <c r="Y377" s="2"/>
      <c r="Z377" s="2"/>
    </row>
    <row r="378" ht="13.5" customHeight="1">
      <c r="A378" s="2"/>
      <c r="B378" s="2"/>
      <c r="C378" s="2"/>
      <c r="D378" s="2"/>
      <c r="E378" s="2"/>
      <c r="F378" s="2"/>
      <c r="G378" s="2"/>
      <c r="H378" s="2"/>
      <c r="I378" s="2"/>
      <c r="J378" s="156"/>
      <c r="K378" s="2"/>
      <c r="L378" s="2"/>
      <c r="M378" s="2"/>
      <c r="N378" s="2"/>
      <c r="O378" s="2"/>
      <c r="P378" s="2"/>
      <c r="Q378" s="157"/>
      <c r="R378" s="157"/>
      <c r="S378" s="157"/>
      <c r="T378" s="158"/>
      <c r="U378" s="2"/>
      <c r="V378" s="30"/>
      <c r="W378" s="2"/>
      <c r="X378" s="2"/>
      <c r="Y378" s="2"/>
      <c r="Z378" s="2"/>
    </row>
    <row r="379" ht="13.5" customHeight="1">
      <c r="A379" s="2"/>
      <c r="B379" s="2"/>
      <c r="C379" s="2"/>
      <c r="D379" s="2"/>
      <c r="E379" s="2"/>
      <c r="F379" s="2"/>
      <c r="G379" s="2"/>
      <c r="H379" s="2"/>
      <c r="I379" s="2"/>
      <c r="J379" s="156"/>
      <c r="K379" s="2"/>
      <c r="L379" s="2"/>
      <c r="M379" s="2"/>
      <c r="N379" s="2"/>
      <c r="O379" s="2"/>
      <c r="P379" s="2"/>
      <c r="Q379" s="157"/>
      <c r="R379" s="157"/>
      <c r="S379" s="157"/>
      <c r="T379" s="158"/>
      <c r="U379" s="2"/>
      <c r="V379" s="30"/>
      <c r="W379" s="2"/>
      <c r="X379" s="2"/>
      <c r="Y379" s="2"/>
      <c r="Z379" s="2"/>
    </row>
    <row r="380" ht="13.5" customHeight="1">
      <c r="A380" s="2"/>
      <c r="B380" s="2"/>
      <c r="C380" s="2"/>
      <c r="D380" s="2"/>
      <c r="E380" s="2"/>
      <c r="F380" s="2"/>
      <c r="G380" s="2"/>
      <c r="H380" s="2"/>
      <c r="I380" s="2"/>
      <c r="J380" s="156"/>
      <c r="K380" s="2"/>
      <c r="L380" s="2"/>
      <c r="M380" s="2"/>
      <c r="N380" s="2"/>
      <c r="O380" s="2"/>
      <c r="P380" s="2"/>
      <c r="Q380" s="157"/>
      <c r="R380" s="157"/>
      <c r="S380" s="157"/>
      <c r="T380" s="158"/>
      <c r="U380" s="2"/>
      <c r="V380" s="30"/>
      <c r="W380" s="2"/>
      <c r="X380" s="2"/>
      <c r="Y380" s="2"/>
      <c r="Z380" s="2"/>
    </row>
    <row r="381" ht="13.5" customHeight="1">
      <c r="A381" s="2"/>
      <c r="B381" s="2"/>
      <c r="C381" s="2"/>
      <c r="D381" s="2"/>
      <c r="E381" s="2"/>
      <c r="F381" s="2"/>
      <c r="G381" s="2"/>
      <c r="H381" s="2"/>
      <c r="I381" s="2"/>
      <c r="J381" s="156"/>
      <c r="K381" s="2"/>
      <c r="L381" s="2"/>
      <c r="M381" s="2"/>
      <c r="N381" s="2"/>
      <c r="O381" s="2"/>
      <c r="P381" s="2"/>
      <c r="Q381" s="157"/>
      <c r="R381" s="157"/>
      <c r="S381" s="157"/>
      <c r="T381" s="158"/>
      <c r="U381" s="2"/>
      <c r="V381" s="30"/>
      <c r="W381" s="2"/>
      <c r="X381" s="2"/>
      <c r="Y381" s="2"/>
      <c r="Z381" s="2"/>
    </row>
    <row r="382" ht="13.5" customHeight="1">
      <c r="A382" s="2"/>
      <c r="B382" s="2"/>
      <c r="C382" s="2"/>
      <c r="D382" s="2"/>
      <c r="E382" s="2"/>
      <c r="F382" s="2"/>
      <c r="G382" s="2"/>
      <c r="H382" s="2"/>
      <c r="I382" s="2"/>
      <c r="J382" s="156"/>
      <c r="K382" s="2"/>
      <c r="L382" s="2"/>
      <c r="M382" s="2"/>
      <c r="N382" s="2"/>
      <c r="O382" s="2"/>
      <c r="P382" s="2"/>
      <c r="Q382" s="157"/>
      <c r="R382" s="157"/>
      <c r="S382" s="157"/>
      <c r="T382" s="158"/>
      <c r="U382" s="2"/>
      <c r="V382" s="30"/>
      <c r="W382" s="2"/>
      <c r="X382" s="2"/>
      <c r="Y382" s="2"/>
      <c r="Z382" s="2"/>
    </row>
    <row r="383" ht="13.5" customHeight="1">
      <c r="A383" s="2"/>
      <c r="B383" s="2"/>
      <c r="C383" s="2"/>
      <c r="D383" s="2"/>
      <c r="E383" s="2"/>
      <c r="F383" s="2"/>
      <c r="G383" s="2"/>
      <c r="H383" s="2"/>
      <c r="I383" s="2"/>
      <c r="J383" s="156"/>
      <c r="K383" s="2"/>
      <c r="L383" s="2"/>
      <c r="M383" s="2"/>
      <c r="N383" s="2"/>
      <c r="O383" s="2"/>
      <c r="P383" s="2"/>
      <c r="Q383" s="157"/>
      <c r="R383" s="157"/>
      <c r="S383" s="157"/>
      <c r="T383" s="158"/>
      <c r="U383" s="2"/>
      <c r="V383" s="30"/>
      <c r="W383" s="2"/>
      <c r="X383" s="2"/>
      <c r="Y383" s="2"/>
      <c r="Z383" s="2"/>
    </row>
    <row r="384" ht="13.5" customHeight="1">
      <c r="A384" s="2"/>
      <c r="B384" s="2"/>
      <c r="C384" s="2"/>
      <c r="D384" s="2"/>
      <c r="E384" s="2"/>
      <c r="F384" s="2"/>
      <c r="G384" s="2"/>
      <c r="H384" s="2"/>
      <c r="I384" s="2"/>
      <c r="J384" s="156"/>
      <c r="K384" s="2"/>
      <c r="L384" s="2"/>
      <c r="M384" s="2"/>
      <c r="N384" s="2"/>
      <c r="O384" s="2"/>
      <c r="P384" s="2"/>
      <c r="Q384" s="157"/>
      <c r="R384" s="157"/>
      <c r="S384" s="157"/>
      <c r="T384" s="158"/>
      <c r="U384" s="2"/>
      <c r="V384" s="30"/>
      <c r="W384" s="2"/>
      <c r="X384" s="2"/>
      <c r="Y384" s="2"/>
      <c r="Z384" s="2"/>
    </row>
    <row r="385" ht="13.5" customHeight="1">
      <c r="A385" s="2"/>
      <c r="B385" s="2"/>
      <c r="C385" s="2"/>
      <c r="D385" s="2"/>
      <c r="E385" s="2"/>
      <c r="F385" s="2"/>
      <c r="G385" s="2"/>
      <c r="H385" s="2"/>
      <c r="I385" s="2"/>
      <c r="J385" s="156"/>
      <c r="K385" s="2"/>
      <c r="L385" s="2"/>
      <c r="M385" s="2"/>
      <c r="N385" s="2"/>
      <c r="O385" s="2"/>
      <c r="P385" s="2"/>
      <c r="Q385" s="157"/>
      <c r="R385" s="157"/>
      <c r="S385" s="157"/>
      <c r="T385" s="158"/>
      <c r="U385" s="2"/>
      <c r="V385" s="30"/>
      <c r="W385" s="2"/>
      <c r="X385" s="2"/>
      <c r="Y385" s="2"/>
      <c r="Z385" s="2"/>
    </row>
    <row r="386" ht="13.5" customHeight="1">
      <c r="A386" s="2"/>
      <c r="B386" s="2"/>
      <c r="C386" s="2"/>
      <c r="D386" s="2"/>
      <c r="E386" s="2"/>
      <c r="F386" s="2"/>
      <c r="G386" s="2"/>
      <c r="H386" s="2"/>
      <c r="I386" s="2"/>
      <c r="J386" s="156"/>
      <c r="K386" s="2"/>
      <c r="L386" s="2"/>
      <c r="M386" s="2"/>
      <c r="N386" s="2"/>
      <c r="O386" s="2"/>
      <c r="P386" s="2"/>
      <c r="Q386" s="157"/>
      <c r="R386" s="157"/>
      <c r="S386" s="157"/>
      <c r="T386" s="158"/>
      <c r="U386" s="2"/>
      <c r="V386" s="30"/>
      <c r="W386" s="2"/>
      <c r="X386" s="2"/>
      <c r="Y386" s="2"/>
      <c r="Z386" s="2"/>
    </row>
    <row r="387" ht="13.5" customHeight="1">
      <c r="A387" s="2"/>
      <c r="B387" s="2"/>
      <c r="C387" s="2"/>
      <c r="D387" s="2"/>
      <c r="E387" s="2"/>
      <c r="F387" s="2"/>
      <c r="G387" s="2"/>
      <c r="H387" s="2"/>
      <c r="I387" s="2"/>
      <c r="J387" s="156"/>
      <c r="K387" s="2"/>
      <c r="L387" s="2"/>
      <c r="M387" s="2"/>
      <c r="N387" s="2"/>
      <c r="O387" s="2"/>
      <c r="P387" s="2"/>
      <c r="Q387" s="157"/>
      <c r="R387" s="157"/>
      <c r="S387" s="157"/>
      <c r="T387" s="158"/>
      <c r="U387" s="2"/>
      <c r="V387" s="30"/>
      <c r="W387" s="2"/>
      <c r="X387" s="2"/>
      <c r="Y387" s="2"/>
      <c r="Z387" s="2"/>
    </row>
    <row r="388" ht="13.5" customHeight="1">
      <c r="A388" s="2"/>
      <c r="B388" s="2"/>
      <c r="C388" s="2"/>
      <c r="D388" s="2"/>
      <c r="E388" s="2"/>
      <c r="F388" s="2"/>
      <c r="G388" s="2"/>
      <c r="H388" s="2"/>
      <c r="I388" s="2"/>
      <c r="J388" s="156"/>
      <c r="K388" s="2"/>
      <c r="L388" s="2"/>
      <c r="M388" s="2"/>
      <c r="N388" s="2"/>
      <c r="O388" s="2"/>
      <c r="P388" s="2"/>
      <c r="Q388" s="157"/>
      <c r="R388" s="157"/>
      <c r="S388" s="157"/>
      <c r="T388" s="158"/>
      <c r="U388" s="2"/>
      <c r="V388" s="30"/>
      <c r="W388" s="2"/>
      <c r="X388" s="2"/>
      <c r="Y388" s="2"/>
      <c r="Z388" s="2"/>
    </row>
    <row r="389" ht="13.5" customHeight="1">
      <c r="A389" s="2"/>
      <c r="B389" s="2"/>
      <c r="C389" s="2"/>
      <c r="D389" s="2"/>
      <c r="E389" s="2"/>
      <c r="F389" s="2"/>
      <c r="G389" s="2"/>
      <c r="H389" s="2"/>
      <c r="I389" s="2"/>
      <c r="J389" s="156"/>
      <c r="K389" s="2"/>
      <c r="L389" s="2"/>
      <c r="M389" s="2"/>
      <c r="N389" s="2"/>
      <c r="O389" s="2"/>
      <c r="P389" s="2"/>
      <c r="Q389" s="157"/>
      <c r="R389" s="157"/>
      <c r="S389" s="157"/>
      <c r="T389" s="158"/>
      <c r="U389" s="2"/>
      <c r="V389" s="30"/>
      <c r="W389" s="2"/>
      <c r="X389" s="2"/>
      <c r="Y389" s="2"/>
      <c r="Z389" s="2"/>
    </row>
    <row r="390" ht="13.5" customHeight="1">
      <c r="A390" s="2"/>
      <c r="B390" s="2"/>
      <c r="C390" s="2"/>
      <c r="D390" s="2"/>
      <c r="E390" s="2"/>
      <c r="F390" s="2"/>
      <c r="G390" s="2"/>
      <c r="H390" s="2"/>
      <c r="I390" s="2"/>
      <c r="J390" s="156"/>
      <c r="K390" s="2"/>
      <c r="L390" s="2"/>
      <c r="M390" s="2"/>
      <c r="N390" s="2"/>
      <c r="O390" s="2"/>
      <c r="P390" s="2"/>
      <c r="Q390" s="157"/>
      <c r="R390" s="157"/>
      <c r="S390" s="157"/>
      <c r="T390" s="158"/>
      <c r="U390" s="2"/>
      <c r="V390" s="30"/>
      <c r="W390" s="2"/>
      <c r="X390" s="2"/>
      <c r="Y390" s="2"/>
      <c r="Z390" s="2"/>
    </row>
    <row r="391" ht="13.5" customHeight="1">
      <c r="A391" s="2"/>
      <c r="B391" s="2"/>
      <c r="C391" s="2"/>
      <c r="D391" s="2"/>
      <c r="E391" s="2"/>
      <c r="F391" s="2"/>
      <c r="G391" s="2"/>
      <c r="H391" s="2"/>
      <c r="I391" s="2"/>
      <c r="J391" s="156"/>
      <c r="K391" s="2"/>
      <c r="L391" s="2"/>
      <c r="M391" s="2"/>
      <c r="N391" s="2"/>
      <c r="O391" s="2"/>
      <c r="P391" s="2"/>
      <c r="Q391" s="157"/>
      <c r="R391" s="157"/>
      <c r="S391" s="157"/>
      <c r="T391" s="158"/>
      <c r="U391" s="2"/>
      <c r="V391" s="30"/>
      <c r="W391" s="2"/>
      <c r="X391" s="2"/>
      <c r="Y391" s="2"/>
      <c r="Z391" s="2"/>
    </row>
    <row r="392" ht="13.5" customHeight="1">
      <c r="A392" s="2"/>
      <c r="B392" s="2"/>
      <c r="C392" s="2"/>
      <c r="D392" s="2"/>
      <c r="E392" s="2"/>
      <c r="F392" s="2"/>
      <c r="G392" s="2"/>
      <c r="H392" s="2"/>
      <c r="I392" s="2"/>
      <c r="J392" s="156"/>
      <c r="K392" s="2"/>
      <c r="L392" s="2"/>
      <c r="M392" s="2"/>
      <c r="N392" s="2"/>
      <c r="O392" s="2"/>
      <c r="P392" s="2"/>
      <c r="Q392" s="157"/>
      <c r="R392" s="157"/>
      <c r="S392" s="157"/>
      <c r="T392" s="158"/>
      <c r="U392" s="2"/>
      <c r="V392" s="30"/>
      <c r="W392" s="2"/>
      <c r="X392" s="2"/>
      <c r="Y392" s="2"/>
      <c r="Z392" s="2"/>
    </row>
    <row r="393" ht="13.5" customHeight="1">
      <c r="A393" s="2"/>
      <c r="B393" s="2"/>
      <c r="C393" s="2"/>
      <c r="D393" s="2"/>
      <c r="E393" s="2"/>
      <c r="F393" s="2"/>
      <c r="G393" s="2"/>
      <c r="H393" s="2"/>
      <c r="I393" s="2"/>
      <c r="J393" s="156"/>
      <c r="K393" s="2"/>
      <c r="L393" s="2"/>
      <c r="M393" s="2"/>
      <c r="N393" s="2"/>
      <c r="O393" s="2"/>
      <c r="P393" s="2"/>
      <c r="Q393" s="157"/>
      <c r="R393" s="157"/>
      <c r="S393" s="157"/>
      <c r="T393" s="158"/>
      <c r="U393" s="2"/>
      <c r="V393" s="30"/>
      <c r="W393" s="2"/>
      <c r="X393" s="2"/>
      <c r="Y393" s="2"/>
      <c r="Z393" s="2"/>
    </row>
    <row r="394" ht="13.5" customHeight="1">
      <c r="A394" s="2"/>
      <c r="B394" s="2"/>
      <c r="C394" s="2"/>
      <c r="D394" s="2"/>
      <c r="E394" s="2"/>
      <c r="F394" s="2"/>
      <c r="G394" s="2"/>
      <c r="H394" s="2"/>
      <c r="I394" s="2"/>
      <c r="J394" s="156"/>
      <c r="K394" s="2"/>
      <c r="L394" s="2"/>
      <c r="M394" s="2"/>
      <c r="N394" s="2"/>
      <c r="O394" s="2"/>
      <c r="P394" s="2"/>
      <c r="Q394" s="157"/>
      <c r="R394" s="157"/>
      <c r="S394" s="157"/>
      <c r="T394" s="158"/>
      <c r="U394" s="2"/>
      <c r="V394" s="30"/>
      <c r="W394" s="2"/>
      <c r="X394" s="2"/>
      <c r="Y394" s="2"/>
      <c r="Z394" s="2"/>
    </row>
    <row r="395" ht="13.5" customHeight="1">
      <c r="A395" s="2"/>
      <c r="B395" s="2"/>
      <c r="C395" s="2"/>
      <c r="D395" s="2"/>
      <c r="E395" s="2"/>
      <c r="F395" s="2"/>
      <c r="G395" s="2"/>
      <c r="H395" s="2"/>
      <c r="I395" s="2"/>
      <c r="J395" s="156"/>
      <c r="K395" s="2"/>
      <c r="L395" s="2"/>
      <c r="M395" s="2"/>
      <c r="N395" s="2"/>
      <c r="O395" s="2"/>
      <c r="P395" s="2"/>
      <c r="Q395" s="157"/>
      <c r="R395" s="157"/>
      <c r="S395" s="157"/>
      <c r="T395" s="158"/>
      <c r="U395" s="2"/>
      <c r="V395" s="30"/>
      <c r="W395" s="2"/>
      <c r="X395" s="2"/>
      <c r="Y395" s="2"/>
      <c r="Z395" s="2"/>
    </row>
    <row r="396" ht="13.5" customHeight="1">
      <c r="A396" s="2"/>
      <c r="B396" s="2"/>
      <c r="C396" s="2"/>
      <c r="D396" s="2"/>
      <c r="E396" s="2"/>
      <c r="F396" s="2"/>
      <c r="G396" s="2"/>
      <c r="H396" s="2"/>
      <c r="I396" s="2"/>
      <c r="J396" s="156"/>
      <c r="K396" s="2"/>
      <c r="L396" s="2"/>
      <c r="M396" s="2"/>
      <c r="N396" s="2"/>
      <c r="O396" s="2"/>
      <c r="P396" s="2"/>
      <c r="Q396" s="157"/>
      <c r="R396" s="157"/>
      <c r="S396" s="157"/>
      <c r="T396" s="158"/>
      <c r="U396" s="2"/>
      <c r="V396" s="30"/>
      <c r="W396" s="2"/>
      <c r="X396" s="2"/>
      <c r="Y396" s="2"/>
      <c r="Z396" s="2"/>
    </row>
    <row r="397" ht="13.5" customHeight="1">
      <c r="A397" s="2"/>
      <c r="B397" s="2"/>
      <c r="C397" s="2"/>
      <c r="D397" s="2"/>
      <c r="E397" s="2"/>
      <c r="F397" s="2"/>
      <c r="G397" s="2"/>
      <c r="H397" s="2"/>
      <c r="I397" s="2"/>
      <c r="J397" s="156"/>
      <c r="K397" s="2"/>
      <c r="L397" s="2"/>
      <c r="M397" s="2"/>
      <c r="N397" s="2"/>
      <c r="O397" s="2"/>
      <c r="P397" s="2"/>
      <c r="Q397" s="157"/>
      <c r="R397" s="157"/>
      <c r="S397" s="157"/>
      <c r="T397" s="158"/>
      <c r="U397" s="2"/>
      <c r="V397" s="30"/>
      <c r="W397" s="2"/>
      <c r="X397" s="2"/>
      <c r="Y397" s="2"/>
      <c r="Z397" s="2"/>
    </row>
    <row r="398" ht="13.5" customHeight="1">
      <c r="A398" s="2"/>
      <c r="B398" s="2"/>
      <c r="C398" s="2"/>
      <c r="D398" s="2"/>
      <c r="E398" s="2"/>
      <c r="F398" s="2"/>
      <c r="G398" s="2"/>
      <c r="H398" s="2"/>
      <c r="I398" s="2"/>
      <c r="J398" s="156"/>
      <c r="K398" s="2"/>
      <c r="L398" s="2"/>
      <c r="M398" s="2"/>
      <c r="N398" s="2"/>
      <c r="O398" s="2"/>
      <c r="P398" s="2"/>
      <c r="Q398" s="157"/>
      <c r="R398" s="157"/>
      <c r="S398" s="157"/>
      <c r="T398" s="158"/>
      <c r="U398" s="2"/>
      <c r="V398" s="30"/>
      <c r="W398" s="2"/>
      <c r="X398" s="2"/>
      <c r="Y398" s="2"/>
      <c r="Z398" s="2"/>
    </row>
    <row r="399" ht="13.5" customHeight="1">
      <c r="A399" s="2"/>
      <c r="B399" s="2"/>
      <c r="C399" s="2"/>
      <c r="D399" s="2"/>
      <c r="E399" s="2"/>
      <c r="F399" s="2"/>
      <c r="G399" s="2"/>
      <c r="H399" s="2"/>
      <c r="I399" s="2"/>
      <c r="J399" s="156"/>
      <c r="K399" s="2"/>
      <c r="L399" s="2"/>
      <c r="M399" s="2"/>
      <c r="N399" s="2"/>
      <c r="O399" s="2"/>
      <c r="P399" s="2"/>
      <c r="Q399" s="157"/>
      <c r="R399" s="157"/>
      <c r="S399" s="157"/>
      <c r="T399" s="158"/>
      <c r="U399" s="2"/>
      <c r="V399" s="30"/>
      <c r="W399" s="2"/>
      <c r="X399" s="2"/>
      <c r="Y399" s="2"/>
      <c r="Z399" s="2"/>
    </row>
    <row r="400" ht="13.5" customHeight="1">
      <c r="A400" s="2"/>
      <c r="B400" s="2"/>
      <c r="C400" s="2"/>
      <c r="D400" s="2"/>
      <c r="E400" s="2"/>
      <c r="F400" s="2"/>
      <c r="G400" s="2"/>
      <c r="H400" s="2"/>
      <c r="I400" s="2"/>
      <c r="J400" s="156"/>
      <c r="K400" s="2"/>
      <c r="L400" s="2"/>
      <c r="M400" s="2"/>
      <c r="N400" s="2"/>
      <c r="O400" s="2"/>
      <c r="P400" s="2"/>
      <c r="Q400" s="157"/>
      <c r="R400" s="157"/>
      <c r="S400" s="157"/>
      <c r="T400" s="158"/>
      <c r="U400" s="2"/>
      <c r="V400" s="30"/>
      <c r="W400" s="2"/>
      <c r="X400" s="2"/>
      <c r="Y400" s="2"/>
      <c r="Z400" s="2"/>
    </row>
    <row r="401" ht="13.5" customHeight="1">
      <c r="A401" s="2"/>
      <c r="B401" s="2"/>
      <c r="C401" s="2"/>
      <c r="D401" s="2"/>
      <c r="E401" s="2"/>
      <c r="F401" s="2"/>
      <c r="G401" s="2"/>
      <c r="H401" s="2"/>
      <c r="I401" s="2"/>
      <c r="J401" s="156"/>
      <c r="K401" s="2"/>
      <c r="L401" s="2"/>
      <c r="M401" s="2"/>
      <c r="N401" s="2"/>
      <c r="O401" s="2"/>
      <c r="P401" s="2"/>
      <c r="Q401" s="157"/>
      <c r="R401" s="157"/>
      <c r="S401" s="157"/>
      <c r="T401" s="158"/>
      <c r="U401" s="2"/>
      <c r="V401" s="30"/>
      <c r="W401" s="2"/>
      <c r="X401" s="2"/>
      <c r="Y401" s="2"/>
      <c r="Z401" s="2"/>
    </row>
    <row r="402" ht="13.5" customHeight="1">
      <c r="A402" s="2"/>
      <c r="B402" s="2"/>
      <c r="C402" s="2"/>
      <c r="D402" s="2"/>
      <c r="E402" s="2"/>
      <c r="F402" s="2"/>
      <c r="G402" s="2"/>
      <c r="H402" s="2"/>
      <c r="I402" s="2"/>
      <c r="J402" s="156"/>
      <c r="K402" s="2"/>
      <c r="L402" s="2"/>
      <c r="M402" s="2"/>
      <c r="N402" s="2"/>
      <c r="O402" s="2"/>
      <c r="P402" s="2"/>
      <c r="Q402" s="157"/>
      <c r="R402" s="157"/>
      <c r="S402" s="157"/>
      <c r="T402" s="158"/>
      <c r="U402" s="2"/>
      <c r="V402" s="30"/>
      <c r="W402" s="2"/>
      <c r="X402" s="2"/>
      <c r="Y402" s="2"/>
      <c r="Z402" s="2"/>
    </row>
    <row r="403" ht="13.5" customHeight="1">
      <c r="A403" s="2"/>
      <c r="B403" s="2"/>
      <c r="C403" s="2"/>
      <c r="D403" s="2"/>
      <c r="E403" s="2"/>
      <c r="F403" s="2"/>
      <c r="G403" s="2"/>
      <c r="H403" s="2"/>
      <c r="I403" s="2"/>
      <c r="J403" s="156"/>
      <c r="K403" s="2"/>
      <c r="L403" s="2"/>
      <c r="M403" s="2"/>
      <c r="N403" s="2"/>
      <c r="O403" s="2"/>
      <c r="P403" s="2"/>
      <c r="Q403" s="157"/>
      <c r="R403" s="157"/>
      <c r="S403" s="157"/>
      <c r="T403" s="158"/>
      <c r="U403" s="2"/>
      <c r="V403" s="30"/>
      <c r="W403" s="2"/>
      <c r="X403" s="2"/>
      <c r="Y403" s="2"/>
      <c r="Z403" s="2"/>
    </row>
    <row r="404" ht="13.5" customHeight="1">
      <c r="A404" s="2"/>
      <c r="B404" s="2"/>
      <c r="C404" s="2"/>
      <c r="D404" s="2"/>
      <c r="E404" s="2"/>
      <c r="F404" s="2"/>
      <c r="G404" s="2"/>
      <c r="H404" s="2"/>
      <c r="I404" s="2"/>
      <c r="J404" s="156"/>
      <c r="K404" s="2"/>
      <c r="L404" s="2"/>
      <c r="M404" s="2"/>
      <c r="N404" s="2"/>
      <c r="O404" s="2"/>
      <c r="P404" s="2"/>
      <c r="Q404" s="157"/>
      <c r="R404" s="157"/>
      <c r="S404" s="157"/>
      <c r="T404" s="158"/>
      <c r="U404" s="2"/>
      <c r="V404" s="30"/>
      <c r="W404" s="2"/>
      <c r="X404" s="2"/>
      <c r="Y404" s="2"/>
      <c r="Z404" s="2"/>
    </row>
    <row r="405" ht="13.5" customHeight="1">
      <c r="A405" s="2"/>
      <c r="B405" s="2"/>
      <c r="C405" s="2"/>
      <c r="D405" s="2"/>
      <c r="E405" s="2"/>
      <c r="F405" s="2"/>
      <c r="G405" s="2"/>
      <c r="H405" s="2"/>
      <c r="I405" s="2"/>
      <c r="J405" s="156"/>
      <c r="K405" s="2"/>
      <c r="L405" s="2"/>
      <c r="M405" s="2"/>
      <c r="N405" s="2"/>
      <c r="O405" s="2"/>
      <c r="P405" s="2"/>
      <c r="Q405" s="157"/>
      <c r="R405" s="157"/>
      <c r="S405" s="157"/>
      <c r="T405" s="158"/>
      <c r="U405" s="2"/>
      <c r="V405" s="30"/>
      <c r="W405" s="2"/>
      <c r="X405" s="2"/>
      <c r="Y405" s="2"/>
      <c r="Z405" s="2"/>
    </row>
    <row r="406" ht="13.5" customHeight="1">
      <c r="A406" s="2"/>
      <c r="B406" s="2"/>
      <c r="C406" s="2"/>
      <c r="D406" s="2"/>
      <c r="E406" s="2"/>
      <c r="F406" s="2"/>
      <c r="G406" s="2"/>
      <c r="H406" s="2"/>
      <c r="I406" s="2"/>
      <c r="J406" s="156"/>
      <c r="K406" s="2"/>
      <c r="L406" s="2"/>
      <c r="M406" s="2"/>
      <c r="N406" s="2"/>
      <c r="O406" s="2"/>
      <c r="P406" s="2"/>
      <c r="Q406" s="157"/>
      <c r="R406" s="157"/>
      <c r="S406" s="157"/>
      <c r="T406" s="158"/>
      <c r="U406" s="2"/>
      <c r="V406" s="30"/>
      <c r="W406" s="2"/>
      <c r="X406" s="2"/>
      <c r="Y406" s="2"/>
      <c r="Z406" s="2"/>
    </row>
    <row r="407" ht="13.5" customHeight="1">
      <c r="A407" s="2"/>
      <c r="B407" s="2"/>
      <c r="C407" s="2"/>
      <c r="D407" s="2"/>
      <c r="E407" s="2"/>
      <c r="F407" s="2"/>
      <c r="G407" s="2"/>
      <c r="H407" s="2"/>
      <c r="I407" s="2"/>
      <c r="J407" s="156"/>
      <c r="K407" s="2"/>
      <c r="L407" s="2"/>
      <c r="M407" s="2"/>
      <c r="N407" s="2"/>
      <c r="O407" s="2"/>
      <c r="P407" s="2"/>
      <c r="Q407" s="157"/>
      <c r="R407" s="157"/>
      <c r="S407" s="157"/>
      <c r="T407" s="158"/>
      <c r="U407" s="2"/>
      <c r="V407" s="30"/>
      <c r="W407" s="2"/>
      <c r="X407" s="2"/>
      <c r="Y407" s="2"/>
      <c r="Z407" s="2"/>
    </row>
    <row r="408" ht="13.5" customHeight="1">
      <c r="A408" s="2"/>
      <c r="B408" s="2"/>
      <c r="C408" s="2"/>
      <c r="D408" s="2"/>
      <c r="E408" s="2"/>
      <c r="F408" s="2"/>
      <c r="G408" s="2"/>
      <c r="H408" s="2"/>
      <c r="I408" s="2"/>
      <c r="J408" s="156"/>
      <c r="K408" s="2"/>
      <c r="L408" s="2"/>
      <c r="M408" s="2"/>
      <c r="N408" s="2"/>
      <c r="O408" s="2"/>
      <c r="P408" s="2"/>
      <c r="Q408" s="157"/>
      <c r="R408" s="157"/>
      <c r="S408" s="157"/>
      <c r="T408" s="158"/>
      <c r="U408" s="2"/>
      <c r="V408" s="30"/>
      <c r="W408" s="2"/>
      <c r="X408" s="2"/>
      <c r="Y408" s="2"/>
      <c r="Z408" s="2"/>
    </row>
    <row r="409" ht="13.5" customHeight="1">
      <c r="A409" s="2"/>
      <c r="B409" s="2"/>
      <c r="C409" s="2"/>
      <c r="D409" s="2"/>
      <c r="E409" s="2"/>
      <c r="F409" s="2"/>
      <c r="G409" s="2"/>
      <c r="H409" s="2"/>
      <c r="I409" s="2"/>
      <c r="J409" s="156"/>
      <c r="K409" s="2"/>
      <c r="L409" s="2"/>
      <c r="M409" s="2"/>
      <c r="N409" s="2"/>
      <c r="O409" s="2"/>
      <c r="P409" s="2"/>
      <c r="Q409" s="157"/>
      <c r="R409" s="157"/>
      <c r="S409" s="157"/>
      <c r="T409" s="158"/>
      <c r="U409" s="2"/>
      <c r="V409" s="30"/>
      <c r="W409" s="2"/>
      <c r="X409" s="2"/>
      <c r="Y409" s="2"/>
      <c r="Z409" s="2"/>
    </row>
    <row r="410" ht="13.5" customHeight="1">
      <c r="A410" s="2"/>
      <c r="B410" s="2"/>
      <c r="C410" s="2"/>
      <c r="D410" s="2"/>
      <c r="E410" s="2"/>
      <c r="F410" s="2"/>
      <c r="G410" s="2"/>
      <c r="H410" s="2"/>
      <c r="I410" s="2"/>
      <c r="J410" s="156"/>
      <c r="K410" s="2"/>
      <c r="L410" s="2"/>
      <c r="M410" s="2"/>
      <c r="N410" s="2"/>
      <c r="O410" s="2"/>
      <c r="P410" s="2"/>
      <c r="Q410" s="157"/>
      <c r="R410" s="157"/>
      <c r="S410" s="157"/>
      <c r="T410" s="158"/>
      <c r="U410" s="2"/>
      <c r="V410" s="30"/>
      <c r="W410" s="2"/>
      <c r="X410" s="2"/>
      <c r="Y410" s="2"/>
      <c r="Z410" s="2"/>
    </row>
    <row r="411" ht="13.5" customHeight="1">
      <c r="A411" s="2"/>
      <c r="B411" s="2"/>
      <c r="C411" s="2"/>
      <c r="D411" s="2"/>
      <c r="E411" s="2"/>
      <c r="F411" s="2"/>
      <c r="G411" s="2"/>
      <c r="H411" s="2"/>
      <c r="I411" s="2"/>
      <c r="J411" s="156"/>
      <c r="K411" s="2"/>
      <c r="L411" s="2"/>
      <c r="M411" s="2"/>
      <c r="N411" s="2"/>
      <c r="O411" s="2"/>
      <c r="P411" s="2"/>
      <c r="Q411" s="157"/>
      <c r="R411" s="157"/>
      <c r="S411" s="157"/>
      <c r="T411" s="158"/>
      <c r="U411" s="2"/>
      <c r="V411" s="30"/>
      <c r="W411" s="2"/>
      <c r="X411" s="2"/>
      <c r="Y411" s="2"/>
      <c r="Z411" s="2"/>
    </row>
    <row r="412" ht="13.5" customHeight="1">
      <c r="A412" s="2"/>
      <c r="B412" s="2"/>
      <c r="C412" s="2"/>
      <c r="D412" s="2"/>
      <c r="E412" s="2"/>
      <c r="F412" s="2"/>
      <c r="G412" s="2"/>
      <c r="H412" s="2"/>
      <c r="I412" s="2"/>
      <c r="J412" s="156"/>
      <c r="K412" s="2"/>
      <c r="L412" s="2"/>
      <c r="M412" s="2"/>
      <c r="N412" s="2"/>
      <c r="O412" s="2"/>
      <c r="P412" s="2"/>
      <c r="Q412" s="157"/>
      <c r="R412" s="157"/>
      <c r="S412" s="157"/>
      <c r="T412" s="158"/>
      <c r="U412" s="2"/>
      <c r="V412" s="30"/>
      <c r="W412" s="2"/>
      <c r="X412" s="2"/>
      <c r="Y412" s="2"/>
      <c r="Z412" s="2"/>
    </row>
    <row r="413" ht="13.5" customHeight="1">
      <c r="A413" s="2"/>
      <c r="B413" s="2"/>
      <c r="C413" s="2"/>
      <c r="D413" s="2"/>
      <c r="E413" s="2"/>
      <c r="F413" s="2"/>
      <c r="G413" s="2"/>
      <c r="H413" s="2"/>
      <c r="I413" s="2"/>
      <c r="J413" s="156"/>
      <c r="K413" s="2"/>
      <c r="L413" s="2"/>
      <c r="M413" s="2"/>
      <c r="N413" s="2"/>
      <c r="O413" s="2"/>
      <c r="P413" s="2"/>
      <c r="Q413" s="157"/>
      <c r="R413" s="157"/>
      <c r="S413" s="157"/>
      <c r="T413" s="158"/>
      <c r="U413" s="2"/>
      <c r="V413" s="30"/>
      <c r="W413" s="2"/>
      <c r="X413" s="2"/>
      <c r="Y413" s="2"/>
      <c r="Z413" s="2"/>
    </row>
    <row r="414" ht="13.5" customHeight="1">
      <c r="A414" s="2"/>
      <c r="B414" s="2"/>
      <c r="C414" s="2"/>
      <c r="D414" s="2"/>
      <c r="E414" s="2"/>
      <c r="F414" s="2"/>
      <c r="G414" s="2"/>
      <c r="H414" s="2"/>
      <c r="I414" s="2"/>
      <c r="J414" s="156"/>
      <c r="K414" s="2"/>
      <c r="L414" s="2"/>
      <c r="M414" s="2"/>
      <c r="N414" s="2"/>
      <c r="O414" s="2"/>
      <c r="P414" s="2"/>
      <c r="Q414" s="157"/>
      <c r="R414" s="157"/>
      <c r="S414" s="157"/>
      <c r="T414" s="158"/>
      <c r="U414" s="2"/>
      <c r="V414" s="30"/>
      <c r="W414" s="2"/>
      <c r="X414" s="2"/>
      <c r="Y414" s="2"/>
      <c r="Z414" s="2"/>
    </row>
    <row r="415" ht="13.5" customHeight="1">
      <c r="A415" s="2"/>
      <c r="B415" s="2"/>
      <c r="C415" s="2"/>
      <c r="D415" s="2"/>
      <c r="E415" s="2"/>
      <c r="F415" s="2"/>
      <c r="G415" s="2"/>
      <c r="H415" s="2"/>
      <c r="I415" s="2"/>
      <c r="J415" s="156"/>
      <c r="K415" s="2"/>
      <c r="L415" s="2"/>
      <c r="M415" s="2"/>
      <c r="N415" s="2"/>
      <c r="O415" s="2"/>
      <c r="P415" s="2"/>
      <c r="Q415" s="157"/>
      <c r="R415" s="157"/>
      <c r="S415" s="157"/>
      <c r="T415" s="158"/>
      <c r="U415" s="2"/>
      <c r="V415" s="30"/>
      <c r="W415" s="2"/>
      <c r="X415" s="2"/>
      <c r="Y415" s="2"/>
      <c r="Z415" s="2"/>
    </row>
    <row r="416" ht="13.5" customHeight="1">
      <c r="A416" s="2"/>
      <c r="B416" s="2"/>
      <c r="C416" s="2"/>
      <c r="D416" s="2"/>
      <c r="E416" s="2"/>
      <c r="F416" s="2"/>
      <c r="G416" s="2"/>
      <c r="H416" s="2"/>
      <c r="I416" s="2"/>
      <c r="J416" s="156"/>
      <c r="K416" s="2"/>
      <c r="L416" s="2"/>
      <c r="M416" s="2"/>
      <c r="N416" s="2"/>
      <c r="O416" s="2"/>
      <c r="P416" s="2"/>
      <c r="Q416" s="157"/>
      <c r="R416" s="157"/>
      <c r="S416" s="157"/>
      <c r="T416" s="158"/>
      <c r="U416" s="2"/>
      <c r="V416" s="30"/>
      <c r="W416" s="2"/>
      <c r="X416" s="2"/>
      <c r="Y416" s="2"/>
      <c r="Z416" s="2"/>
    </row>
    <row r="417" ht="13.5" customHeight="1">
      <c r="A417" s="2"/>
      <c r="B417" s="2"/>
      <c r="C417" s="2"/>
      <c r="D417" s="2"/>
      <c r="E417" s="2"/>
      <c r="F417" s="2"/>
      <c r="G417" s="2"/>
      <c r="H417" s="2"/>
      <c r="I417" s="2"/>
      <c r="J417" s="156"/>
      <c r="K417" s="2"/>
      <c r="L417" s="2"/>
      <c r="M417" s="2"/>
      <c r="N417" s="2"/>
      <c r="O417" s="2"/>
      <c r="P417" s="2"/>
      <c r="Q417" s="157"/>
      <c r="R417" s="157"/>
      <c r="S417" s="157"/>
      <c r="T417" s="158"/>
      <c r="U417" s="2"/>
      <c r="V417" s="30"/>
      <c r="W417" s="2"/>
      <c r="X417" s="2"/>
      <c r="Y417" s="2"/>
      <c r="Z417" s="2"/>
    </row>
    <row r="418" ht="13.5" customHeight="1">
      <c r="A418" s="2"/>
      <c r="B418" s="2"/>
      <c r="C418" s="2"/>
      <c r="D418" s="2"/>
      <c r="E418" s="2"/>
      <c r="F418" s="2"/>
      <c r="G418" s="2"/>
      <c r="H418" s="2"/>
      <c r="I418" s="2"/>
      <c r="J418" s="156"/>
      <c r="K418" s="2"/>
      <c r="L418" s="2"/>
      <c r="M418" s="2"/>
      <c r="N418" s="2"/>
      <c r="O418" s="2"/>
      <c r="P418" s="2"/>
      <c r="Q418" s="157"/>
      <c r="R418" s="157"/>
      <c r="S418" s="157"/>
      <c r="T418" s="158"/>
      <c r="U418" s="2"/>
      <c r="V418" s="30"/>
      <c r="W418" s="2"/>
      <c r="X418" s="2"/>
      <c r="Y418" s="2"/>
      <c r="Z418" s="2"/>
    </row>
    <row r="419" ht="13.5" customHeight="1">
      <c r="A419" s="2"/>
      <c r="B419" s="2"/>
      <c r="C419" s="2"/>
      <c r="D419" s="2"/>
      <c r="E419" s="2"/>
      <c r="F419" s="2"/>
      <c r="G419" s="2"/>
      <c r="H419" s="2"/>
      <c r="I419" s="2"/>
      <c r="J419" s="156"/>
      <c r="K419" s="2"/>
      <c r="L419" s="2"/>
      <c r="M419" s="2"/>
      <c r="N419" s="2"/>
      <c r="O419" s="2"/>
      <c r="P419" s="2"/>
      <c r="Q419" s="157"/>
      <c r="R419" s="157"/>
      <c r="S419" s="157"/>
      <c r="T419" s="158"/>
      <c r="U419" s="2"/>
      <c r="V419" s="30"/>
      <c r="W419" s="2"/>
      <c r="X419" s="2"/>
      <c r="Y419" s="2"/>
      <c r="Z419" s="2"/>
    </row>
    <row r="420" ht="13.5" customHeight="1">
      <c r="A420" s="2"/>
      <c r="B420" s="2"/>
      <c r="C420" s="2"/>
      <c r="D420" s="2"/>
      <c r="E420" s="2"/>
      <c r="F420" s="2"/>
      <c r="G420" s="2"/>
      <c r="H420" s="2"/>
      <c r="I420" s="2"/>
      <c r="J420" s="156"/>
      <c r="K420" s="2"/>
      <c r="L420" s="2"/>
      <c r="M420" s="2"/>
      <c r="N420" s="2"/>
      <c r="O420" s="2"/>
      <c r="P420" s="2"/>
      <c r="Q420" s="157"/>
      <c r="R420" s="157"/>
      <c r="S420" s="157"/>
      <c r="T420" s="158"/>
      <c r="U420" s="2"/>
      <c r="V420" s="30"/>
      <c r="W420" s="2"/>
      <c r="X420" s="2"/>
      <c r="Y420" s="2"/>
      <c r="Z420" s="2"/>
    </row>
    <row r="421" ht="13.5" customHeight="1">
      <c r="A421" s="2"/>
      <c r="B421" s="2"/>
      <c r="C421" s="2"/>
      <c r="D421" s="2"/>
      <c r="E421" s="2"/>
      <c r="F421" s="2"/>
      <c r="G421" s="2"/>
      <c r="H421" s="2"/>
      <c r="I421" s="2"/>
      <c r="J421" s="156"/>
      <c r="K421" s="2"/>
      <c r="L421" s="2"/>
      <c r="M421" s="2"/>
      <c r="N421" s="2"/>
      <c r="O421" s="2"/>
      <c r="P421" s="2"/>
      <c r="Q421" s="157"/>
      <c r="R421" s="157"/>
      <c r="S421" s="157"/>
      <c r="T421" s="158"/>
      <c r="U421" s="2"/>
      <c r="V421" s="30"/>
      <c r="W421" s="2"/>
      <c r="X421" s="2"/>
      <c r="Y421" s="2"/>
      <c r="Z421" s="2"/>
    </row>
    <row r="422" ht="13.5" customHeight="1">
      <c r="A422" s="2"/>
      <c r="B422" s="2"/>
      <c r="C422" s="2"/>
      <c r="D422" s="2"/>
      <c r="E422" s="2"/>
      <c r="F422" s="2"/>
      <c r="G422" s="2"/>
      <c r="H422" s="2"/>
      <c r="I422" s="2"/>
      <c r="J422" s="156"/>
      <c r="K422" s="2"/>
      <c r="L422" s="2"/>
      <c r="M422" s="2"/>
      <c r="N422" s="2"/>
      <c r="O422" s="2"/>
      <c r="P422" s="2"/>
      <c r="Q422" s="157"/>
      <c r="R422" s="157"/>
      <c r="S422" s="157"/>
      <c r="T422" s="158"/>
      <c r="U422" s="2"/>
      <c r="V422" s="30"/>
      <c r="W422" s="2"/>
      <c r="X422" s="2"/>
      <c r="Y422" s="2"/>
      <c r="Z422" s="2"/>
    </row>
    <row r="423" ht="13.5" customHeight="1">
      <c r="A423" s="2"/>
      <c r="B423" s="2"/>
      <c r="C423" s="2"/>
      <c r="D423" s="2"/>
      <c r="E423" s="2"/>
      <c r="F423" s="2"/>
      <c r="G423" s="2"/>
      <c r="H423" s="2"/>
      <c r="I423" s="2"/>
      <c r="J423" s="156"/>
      <c r="K423" s="2"/>
      <c r="L423" s="2"/>
      <c r="M423" s="2"/>
      <c r="N423" s="2"/>
      <c r="O423" s="2"/>
      <c r="P423" s="2"/>
      <c r="Q423" s="157"/>
      <c r="R423" s="157"/>
      <c r="S423" s="157"/>
      <c r="T423" s="158"/>
      <c r="U423" s="2"/>
      <c r="V423" s="30"/>
      <c r="W423" s="2"/>
      <c r="X423" s="2"/>
      <c r="Y423" s="2"/>
      <c r="Z423" s="2"/>
    </row>
    <row r="424" ht="13.5" customHeight="1">
      <c r="A424" s="2"/>
      <c r="B424" s="2"/>
      <c r="C424" s="2"/>
      <c r="D424" s="2"/>
      <c r="E424" s="2"/>
      <c r="F424" s="2"/>
      <c r="G424" s="2"/>
      <c r="H424" s="2"/>
      <c r="I424" s="2"/>
      <c r="J424" s="156"/>
      <c r="K424" s="2"/>
      <c r="L424" s="2"/>
      <c r="M424" s="2"/>
      <c r="N424" s="2"/>
      <c r="O424" s="2"/>
      <c r="P424" s="2"/>
      <c r="Q424" s="157"/>
      <c r="R424" s="157"/>
      <c r="S424" s="157"/>
      <c r="T424" s="158"/>
      <c r="U424" s="2"/>
      <c r="V424" s="30"/>
      <c r="W424" s="2"/>
      <c r="X424" s="2"/>
      <c r="Y424" s="2"/>
      <c r="Z424" s="2"/>
    </row>
    <row r="425" ht="13.5" customHeight="1">
      <c r="A425" s="2"/>
      <c r="B425" s="2"/>
      <c r="C425" s="2"/>
      <c r="D425" s="2"/>
      <c r="E425" s="2"/>
      <c r="F425" s="2"/>
      <c r="G425" s="2"/>
      <c r="H425" s="2"/>
      <c r="I425" s="2"/>
      <c r="J425" s="156"/>
      <c r="K425" s="2"/>
      <c r="L425" s="2"/>
      <c r="M425" s="2"/>
      <c r="N425" s="2"/>
      <c r="O425" s="2"/>
      <c r="P425" s="2"/>
      <c r="Q425" s="157"/>
      <c r="R425" s="157"/>
      <c r="S425" s="157"/>
      <c r="T425" s="158"/>
      <c r="U425" s="2"/>
      <c r="V425" s="30"/>
      <c r="W425" s="2"/>
      <c r="X425" s="2"/>
      <c r="Y425" s="2"/>
      <c r="Z425" s="2"/>
    </row>
    <row r="426" ht="13.5" customHeight="1">
      <c r="A426" s="2"/>
      <c r="B426" s="2"/>
      <c r="C426" s="2"/>
      <c r="D426" s="2"/>
      <c r="E426" s="2"/>
      <c r="F426" s="2"/>
      <c r="G426" s="2"/>
      <c r="H426" s="2"/>
      <c r="I426" s="2"/>
      <c r="J426" s="156"/>
      <c r="K426" s="2"/>
      <c r="L426" s="2"/>
      <c r="M426" s="2"/>
      <c r="N426" s="2"/>
      <c r="O426" s="2"/>
      <c r="P426" s="2"/>
      <c r="Q426" s="157"/>
      <c r="R426" s="157"/>
      <c r="S426" s="157"/>
      <c r="T426" s="158"/>
      <c r="U426" s="2"/>
      <c r="V426" s="30"/>
      <c r="W426" s="2"/>
      <c r="X426" s="2"/>
      <c r="Y426" s="2"/>
      <c r="Z426" s="2"/>
    </row>
    <row r="427" ht="13.5" customHeight="1">
      <c r="A427" s="2"/>
      <c r="B427" s="2"/>
      <c r="C427" s="2"/>
      <c r="D427" s="2"/>
      <c r="E427" s="2"/>
      <c r="F427" s="2"/>
      <c r="G427" s="2"/>
      <c r="H427" s="2"/>
      <c r="I427" s="2"/>
      <c r="J427" s="156"/>
      <c r="K427" s="2"/>
      <c r="L427" s="2"/>
      <c r="M427" s="2"/>
      <c r="N427" s="2"/>
      <c r="O427" s="2"/>
      <c r="P427" s="2"/>
      <c r="Q427" s="157"/>
      <c r="R427" s="157"/>
      <c r="S427" s="157"/>
      <c r="T427" s="158"/>
      <c r="U427" s="2"/>
      <c r="V427" s="30"/>
      <c r="W427" s="2"/>
      <c r="X427" s="2"/>
      <c r="Y427" s="2"/>
      <c r="Z427" s="2"/>
    </row>
    <row r="428" ht="13.5" customHeight="1">
      <c r="A428" s="2"/>
      <c r="B428" s="2"/>
      <c r="C428" s="2"/>
      <c r="D428" s="2"/>
      <c r="E428" s="2"/>
      <c r="F428" s="2"/>
      <c r="G428" s="2"/>
      <c r="H428" s="2"/>
      <c r="I428" s="2"/>
      <c r="J428" s="156"/>
      <c r="K428" s="2"/>
      <c r="L428" s="2"/>
      <c r="M428" s="2"/>
      <c r="N428" s="2"/>
      <c r="O428" s="2"/>
      <c r="P428" s="2"/>
      <c r="Q428" s="157"/>
      <c r="R428" s="157"/>
      <c r="S428" s="157"/>
      <c r="T428" s="158"/>
      <c r="U428" s="2"/>
      <c r="V428" s="30"/>
      <c r="W428" s="2"/>
      <c r="X428" s="2"/>
      <c r="Y428" s="2"/>
      <c r="Z428" s="2"/>
    </row>
    <row r="429" ht="13.5" customHeight="1">
      <c r="A429" s="2"/>
      <c r="B429" s="2"/>
      <c r="C429" s="2"/>
      <c r="D429" s="2"/>
      <c r="E429" s="2"/>
      <c r="F429" s="2"/>
      <c r="G429" s="2"/>
      <c r="H429" s="2"/>
      <c r="I429" s="2"/>
      <c r="J429" s="156"/>
      <c r="K429" s="2"/>
      <c r="L429" s="2"/>
      <c r="M429" s="2"/>
      <c r="N429" s="2"/>
      <c r="O429" s="2"/>
      <c r="P429" s="2"/>
      <c r="Q429" s="157"/>
      <c r="R429" s="157"/>
      <c r="S429" s="157"/>
      <c r="T429" s="158"/>
      <c r="U429" s="2"/>
      <c r="V429" s="30"/>
      <c r="W429" s="2"/>
      <c r="X429" s="2"/>
      <c r="Y429" s="2"/>
      <c r="Z429" s="2"/>
    </row>
    <row r="430" ht="13.5" customHeight="1">
      <c r="A430" s="2"/>
      <c r="B430" s="2"/>
      <c r="C430" s="2"/>
      <c r="D430" s="2"/>
      <c r="E430" s="2"/>
      <c r="F430" s="2"/>
      <c r="G430" s="2"/>
      <c r="H430" s="2"/>
      <c r="I430" s="2"/>
      <c r="J430" s="156"/>
      <c r="K430" s="2"/>
      <c r="L430" s="2"/>
      <c r="M430" s="2"/>
      <c r="N430" s="2"/>
      <c r="O430" s="2"/>
      <c r="P430" s="2"/>
      <c r="Q430" s="157"/>
      <c r="R430" s="157"/>
      <c r="S430" s="157"/>
      <c r="T430" s="158"/>
      <c r="U430" s="2"/>
      <c r="V430" s="30"/>
      <c r="W430" s="2"/>
      <c r="X430" s="2"/>
      <c r="Y430" s="2"/>
      <c r="Z430" s="2"/>
    </row>
    <row r="431" ht="13.5" customHeight="1">
      <c r="A431" s="2"/>
      <c r="B431" s="2"/>
      <c r="C431" s="2"/>
      <c r="D431" s="2"/>
      <c r="E431" s="2"/>
      <c r="F431" s="2"/>
      <c r="G431" s="2"/>
      <c r="H431" s="2"/>
      <c r="I431" s="2"/>
      <c r="J431" s="156"/>
      <c r="K431" s="2"/>
      <c r="L431" s="2"/>
      <c r="M431" s="2"/>
      <c r="N431" s="2"/>
      <c r="O431" s="2"/>
      <c r="P431" s="2"/>
      <c r="Q431" s="157"/>
      <c r="R431" s="157"/>
      <c r="S431" s="157"/>
      <c r="T431" s="158"/>
      <c r="U431" s="2"/>
      <c r="V431" s="30"/>
      <c r="W431" s="2"/>
      <c r="X431" s="2"/>
      <c r="Y431" s="2"/>
      <c r="Z431" s="2"/>
    </row>
    <row r="432" ht="13.5" customHeight="1">
      <c r="A432" s="2"/>
      <c r="B432" s="2"/>
      <c r="C432" s="2"/>
      <c r="D432" s="2"/>
      <c r="E432" s="2"/>
      <c r="F432" s="2"/>
      <c r="G432" s="2"/>
      <c r="H432" s="2"/>
      <c r="I432" s="2"/>
      <c r="J432" s="156"/>
      <c r="K432" s="2"/>
      <c r="L432" s="2"/>
      <c r="M432" s="2"/>
      <c r="N432" s="2"/>
      <c r="O432" s="2"/>
      <c r="P432" s="2"/>
      <c r="Q432" s="157"/>
      <c r="R432" s="157"/>
      <c r="S432" s="157"/>
      <c r="T432" s="158"/>
      <c r="U432" s="2"/>
      <c r="V432" s="30"/>
      <c r="W432" s="2"/>
      <c r="X432" s="2"/>
      <c r="Y432" s="2"/>
      <c r="Z432" s="2"/>
    </row>
    <row r="433" ht="13.5" customHeight="1">
      <c r="A433" s="2"/>
      <c r="B433" s="2"/>
      <c r="C433" s="2"/>
      <c r="D433" s="2"/>
      <c r="E433" s="2"/>
      <c r="F433" s="2"/>
      <c r="G433" s="2"/>
      <c r="H433" s="2"/>
      <c r="I433" s="2"/>
      <c r="J433" s="156"/>
      <c r="K433" s="2"/>
      <c r="L433" s="2"/>
      <c r="M433" s="2"/>
      <c r="N433" s="2"/>
      <c r="O433" s="2"/>
      <c r="P433" s="2"/>
      <c r="Q433" s="157"/>
      <c r="R433" s="157"/>
      <c r="S433" s="157"/>
      <c r="T433" s="158"/>
      <c r="U433" s="2"/>
      <c r="V433" s="30"/>
      <c r="W433" s="2"/>
      <c r="X433" s="2"/>
      <c r="Y433" s="2"/>
      <c r="Z433" s="2"/>
    </row>
    <row r="434" ht="13.5" customHeight="1">
      <c r="A434" s="2"/>
      <c r="B434" s="2"/>
      <c r="C434" s="2"/>
      <c r="D434" s="2"/>
      <c r="E434" s="2"/>
      <c r="F434" s="2"/>
      <c r="G434" s="2"/>
      <c r="H434" s="2"/>
      <c r="I434" s="2"/>
      <c r="J434" s="156"/>
      <c r="K434" s="2"/>
      <c r="L434" s="2"/>
      <c r="M434" s="2"/>
      <c r="N434" s="2"/>
      <c r="O434" s="2"/>
      <c r="P434" s="2"/>
      <c r="Q434" s="157"/>
      <c r="R434" s="157"/>
      <c r="S434" s="157"/>
      <c r="T434" s="158"/>
      <c r="U434" s="2"/>
      <c r="V434" s="30"/>
      <c r="W434" s="2"/>
      <c r="X434" s="2"/>
      <c r="Y434" s="2"/>
      <c r="Z434" s="2"/>
    </row>
    <row r="435" ht="13.5" customHeight="1">
      <c r="A435" s="2"/>
      <c r="B435" s="2"/>
      <c r="C435" s="2"/>
      <c r="D435" s="2"/>
      <c r="E435" s="2"/>
      <c r="F435" s="2"/>
      <c r="G435" s="2"/>
      <c r="H435" s="2"/>
      <c r="I435" s="2"/>
      <c r="J435" s="156"/>
      <c r="K435" s="2"/>
      <c r="L435" s="2"/>
      <c r="M435" s="2"/>
      <c r="N435" s="2"/>
      <c r="O435" s="2"/>
      <c r="P435" s="2"/>
      <c r="Q435" s="157"/>
      <c r="R435" s="157"/>
      <c r="S435" s="157"/>
      <c r="T435" s="158"/>
      <c r="U435" s="2"/>
      <c r="V435" s="30"/>
      <c r="W435" s="2"/>
      <c r="X435" s="2"/>
      <c r="Y435" s="2"/>
      <c r="Z435" s="2"/>
    </row>
    <row r="436" ht="13.5" customHeight="1">
      <c r="A436" s="2"/>
      <c r="B436" s="2"/>
      <c r="C436" s="2"/>
      <c r="D436" s="2"/>
      <c r="E436" s="2"/>
      <c r="F436" s="2"/>
      <c r="G436" s="2"/>
      <c r="H436" s="2"/>
      <c r="I436" s="2"/>
      <c r="J436" s="156"/>
      <c r="K436" s="2"/>
      <c r="L436" s="2"/>
      <c r="M436" s="2"/>
      <c r="N436" s="2"/>
      <c r="O436" s="2"/>
      <c r="P436" s="2"/>
      <c r="Q436" s="157"/>
      <c r="R436" s="157"/>
      <c r="S436" s="157"/>
      <c r="T436" s="158"/>
      <c r="U436" s="2"/>
      <c r="V436" s="30"/>
      <c r="W436" s="2"/>
      <c r="X436" s="2"/>
      <c r="Y436" s="2"/>
      <c r="Z436" s="2"/>
    </row>
    <row r="437" ht="13.5" customHeight="1">
      <c r="A437" s="2"/>
      <c r="B437" s="2"/>
      <c r="C437" s="2"/>
      <c r="D437" s="2"/>
      <c r="E437" s="2"/>
      <c r="F437" s="2"/>
      <c r="G437" s="2"/>
      <c r="H437" s="2"/>
      <c r="I437" s="2"/>
      <c r="J437" s="156"/>
      <c r="K437" s="2"/>
      <c r="L437" s="2"/>
      <c r="M437" s="2"/>
      <c r="N437" s="2"/>
      <c r="O437" s="2"/>
      <c r="P437" s="2"/>
      <c r="Q437" s="157"/>
      <c r="R437" s="157"/>
      <c r="S437" s="157"/>
      <c r="T437" s="158"/>
      <c r="U437" s="2"/>
      <c r="V437" s="30"/>
      <c r="W437" s="2"/>
      <c r="X437" s="2"/>
      <c r="Y437" s="2"/>
      <c r="Z437" s="2"/>
    </row>
    <row r="438" ht="13.5" customHeight="1">
      <c r="A438" s="2"/>
      <c r="B438" s="2"/>
      <c r="C438" s="2"/>
      <c r="D438" s="2"/>
      <c r="E438" s="2"/>
      <c r="F438" s="2"/>
      <c r="G438" s="2"/>
      <c r="H438" s="2"/>
      <c r="I438" s="2"/>
      <c r="J438" s="156"/>
      <c r="K438" s="2"/>
      <c r="L438" s="2"/>
      <c r="M438" s="2"/>
      <c r="N438" s="2"/>
      <c r="O438" s="2"/>
      <c r="P438" s="2"/>
      <c r="Q438" s="157"/>
      <c r="R438" s="157"/>
      <c r="S438" s="157"/>
      <c r="T438" s="158"/>
      <c r="U438" s="2"/>
      <c r="V438" s="30"/>
      <c r="W438" s="2"/>
      <c r="X438" s="2"/>
      <c r="Y438" s="2"/>
      <c r="Z438" s="2"/>
    </row>
    <row r="439" ht="13.5" customHeight="1">
      <c r="A439" s="2"/>
      <c r="B439" s="2"/>
      <c r="C439" s="2"/>
      <c r="D439" s="2"/>
      <c r="E439" s="2"/>
      <c r="F439" s="2"/>
      <c r="G439" s="2"/>
      <c r="H439" s="2"/>
      <c r="I439" s="2"/>
      <c r="J439" s="156"/>
      <c r="K439" s="2"/>
      <c r="L439" s="2"/>
      <c r="M439" s="2"/>
      <c r="N439" s="2"/>
      <c r="O439" s="2"/>
      <c r="P439" s="2"/>
      <c r="Q439" s="157"/>
      <c r="R439" s="157"/>
      <c r="S439" s="157"/>
      <c r="T439" s="158"/>
      <c r="U439" s="2"/>
      <c r="V439" s="30"/>
      <c r="W439" s="2"/>
      <c r="X439" s="2"/>
      <c r="Y439" s="2"/>
      <c r="Z439" s="2"/>
    </row>
    <row r="440" ht="13.5" customHeight="1">
      <c r="A440" s="2"/>
      <c r="B440" s="2"/>
      <c r="C440" s="2"/>
      <c r="D440" s="2"/>
      <c r="E440" s="2"/>
      <c r="F440" s="2"/>
      <c r="G440" s="2"/>
      <c r="H440" s="2"/>
      <c r="I440" s="2"/>
      <c r="J440" s="156"/>
      <c r="K440" s="2"/>
      <c r="L440" s="2"/>
      <c r="M440" s="2"/>
      <c r="N440" s="2"/>
      <c r="O440" s="2"/>
      <c r="P440" s="2"/>
      <c r="Q440" s="157"/>
      <c r="R440" s="157"/>
      <c r="S440" s="157"/>
      <c r="T440" s="158"/>
      <c r="U440" s="2"/>
      <c r="V440" s="30"/>
      <c r="W440" s="2"/>
      <c r="X440" s="2"/>
      <c r="Y440" s="2"/>
      <c r="Z440" s="2"/>
    </row>
    <row r="441" ht="13.5" customHeight="1">
      <c r="A441" s="2"/>
      <c r="B441" s="2"/>
      <c r="C441" s="2"/>
      <c r="D441" s="2"/>
      <c r="E441" s="2"/>
      <c r="F441" s="2"/>
      <c r="G441" s="2"/>
      <c r="H441" s="2"/>
      <c r="I441" s="2"/>
      <c r="J441" s="156"/>
      <c r="K441" s="2"/>
      <c r="L441" s="2"/>
      <c r="M441" s="2"/>
      <c r="N441" s="2"/>
      <c r="O441" s="2"/>
      <c r="P441" s="2"/>
      <c r="Q441" s="157"/>
      <c r="R441" s="157"/>
      <c r="S441" s="157"/>
      <c r="T441" s="158"/>
      <c r="U441" s="2"/>
      <c r="V441" s="30"/>
      <c r="W441" s="2"/>
      <c r="X441" s="2"/>
      <c r="Y441" s="2"/>
      <c r="Z441" s="2"/>
    </row>
    <row r="442" ht="13.5" customHeight="1">
      <c r="A442" s="2"/>
      <c r="B442" s="2"/>
      <c r="C442" s="2"/>
      <c r="D442" s="2"/>
      <c r="E442" s="2"/>
      <c r="F442" s="2"/>
      <c r="G442" s="2"/>
      <c r="H442" s="2"/>
      <c r="I442" s="2"/>
      <c r="J442" s="156"/>
      <c r="K442" s="2"/>
      <c r="L442" s="2"/>
      <c r="M442" s="2"/>
      <c r="N442" s="2"/>
      <c r="O442" s="2"/>
      <c r="P442" s="2"/>
      <c r="Q442" s="157"/>
      <c r="R442" s="157"/>
      <c r="S442" s="157"/>
      <c r="T442" s="158"/>
      <c r="U442" s="2"/>
      <c r="V442" s="30"/>
      <c r="W442" s="2"/>
      <c r="X442" s="2"/>
      <c r="Y442" s="2"/>
      <c r="Z442" s="2"/>
    </row>
    <row r="443" ht="13.5" customHeight="1">
      <c r="A443" s="2"/>
      <c r="B443" s="2"/>
      <c r="C443" s="2"/>
      <c r="D443" s="2"/>
      <c r="E443" s="2"/>
      <c r="F443" s="2"/>
      <c r="G443" s="2"/>
      <c r="H443" s="2"/>
      <c r="I443" s="2"/>
      <c r="J443" s="156"/>
      <c r="K443" s="2"/>
      <c r="L443" s="2"/>
      <c r="M443" s="2"/>
      <c r="N443" s="2"/>
      <c r="O443" s="2"/>
      <c r="P443" s="2"/>
      <c r="Q443" s="157"/>
      <c r="R443" s="157"/>
      <c r="S443" s="157"/>
      <c r="T443" s="158"/>
      <c r="U443" s="2"/>
      <c r="V443" s="30"/>
      <c r="W443" s="2"/>
      <c r="X443" s="2"/>
      <c r="Y443" s="2"/>
      <c r="Z443" s="2"/>
    </row>
    <row r="444" ht="13.5" customHeight="1">
      <c r="A444" s="2"/>
      <c r="B444" s="2"/>
      <c r="C444" s="2"/>
      <c r="D444" s="2"/>
      <c r="E444" s="2"/>
      <c r="F444" s="2"/>
      <c r="G444" s="2"/>
      <c r="H444" s="2"/>
      <c r="I444" s="2"/>
      <c r="J444" s="156"/>
      <c r="K444" s="2"/>
      <c r="L444" s="2"/>
      <c r="M444" s="2"/>
      <c r="N444" s="2"/>
      <c r="O444" s="2"/>
      <c r="P444" s="2"/>
      <c r="Q444" s="157"/>
      <c r="R444" s="157"/>
      <c r="S444" s="157"/>
      <c r="T444" s="158"/>
      <c r="U444" s="2"/>
      <c r="V444" s="30"/>
      <c r="W444" s="2"/>
      <c r="X444" s="2"/>
      <c r="Y444" s="2"/>
      <c r="Z444" s="2"/>
    </row>
    <row r="445" ht="13.5" customHeight="1">
      <c r="A445" s="2"/>
      <c r="B445" s="2"/>
      <c r="C445" s="2"/>
      <c r="D445" s="2"/>
      <c r="E445" s="2"/>
      <c r="F445" s="2"/>
      <c r="G445" s="2"/>
      <c r="H445" s="2"/>
      <c r="I445" s="2"/>
      <c r="J445" s="156"/>
      <c r="K445" s="2"/>
      <c r="L445" s="2"/>
      <c r="M445" s="2"/>
      <c r="N445" s="2"/>
      <c r="O445" s="2"/>
      <c r="P445" s="2"/>
      <c r="Q445" s="157"/>
      <c r="R445" s="157"/>
      <c r="S445" s="157"/>
      <c r="T445" s="158"/>
      <c r="U445" s="2"/>
      <c r="V445" s="30"/>
      <c r="W445" s="2"/>
      <c r="X445" s="2"/>
      <c r="Y445" s="2"/>
      <c r="Z445" s="2"/>
    </row>
    <row r="446" ht="13.5" customHeight="1">
      <c r="A446" s="2"/>
      <c r="B446" s="2"/>
      <c r="C446" s="2"/>
      <c r="D446" s="2"/>
      <c r="E446" s="2"/>
      <c r="F446" s="2"/>
      <c r="G446" s="2"/>
      <c r="H446" s="2"/>
      <c r="I446" s="2"/>
      <c r="J446" s="156"/>
      <c r="K446" s="2"/>
      <c r="L446" s="2"/>
      <c r="M446" s="2"/>
      <c r="N446" s="2"/>
      <c r="O446" s="2"/>
      <c r="P446" s="2"/>
      <c r="Q446" s="157"/>
      <c r="R446" s="157"/>
      <c r="S446" s="157"/>
      <c r="T446" s="158"/>
      <c r="U446" s="2"/>
      <c r="V446" s="30"/>
      <c r="W446" s="2"/>
      <c r="X446" s="2"/>
      <c r="Y446" s="2"/>
      <c r="Z446" s="2"/>
    </row>
    <row r="447" ht="13.5" customHeight="1">
      <c r="A447" s="2"/>
      <c r="B447" s="2"/>
      <c r="C447" s="2"/>
      <c r="D447" s="2"/>
      <c r="E447" s="2"/>
      <c r="F447" s="2"/>
      <c r="G447" s="2"/>
      <c r="H447" s="2"/>
      <c r="I447" s="2"/>
      <c r="J447" s="156"/>
      <c r="K447" s="2"/>
      <c r="L447" s="2"/>
      <c r="M447" s="2"/>
      <c r="N447" s="2"/>
      <c r="O447" s="2"/>
      <c r="P447" s="2"/>
      <c r="Q447" s="157"/>
      <c r="R447" s="157"/>
      <c r="S447" s="157"/>
      <c r="T447" s="158"/>
      <c r="U447" s="2"/>
      <c r="V447" s="30"/>
      <c r="W447" s="2"/>
      <c r="X447" s="2"/>
      <c r="Y447" s="2"/>
      <c r="Z447" s="2"/>
    </row>
    <row r="448" ht="13.5" customHeight="1">
      <c r="A448" s="2"/>
      <c r="B448" s="2"/>
      <c r="C448" s="2"/>
      <c r="D448" s="2"/>
      <c r="E448" s="2"/>
      <c r="F448" s="2"/>
      <c r="G448" s="2"/>
      <c r="H448" s="2"/>
      <c r="I448" s="2"/>
      <c r="J448" s="156"/>
      <c r="K448" s="2"/>
      <c r="L448" s="2"/>
      <c r="M448" s="2"/>
      <c r="N448" s="2"/>
      <c r="O448" s="2"/>
      <c r="P448" s="2"/>
      <c r="Q448" s="157"/>
      <c r="R448" s="157"/>
      <c r="S448" s="157"/>
      <c r="T448" s="158"/>
      <c r="U448" s="2"/>
      <c r="V448" s="30"/>
      <c r="W448" s="2"/>
      <c r="X448" s="2"/>
      <c r="Y448" s="2"/>
      <c r="Z448" s="2"/>
    </row>
    <row r="449" ht="13.5" customHeight="1">
      <c r="A449" s="2"/>
      <c r="B449" s="2"/>
      <c r="C449" s="2"/>
      <c r="D449" s="2"/>
      <c r="E449" s="2"/>
      <c r="F449" s="2"/>
      <c r="G449" s="2"/>
      <c r="H449" s="2"/>
      <c r="I449" s="2"/>
      <c r="J449" s="156"/>
      <c r="K449" s="2"/>
      <c r="L449" s="2"/>
      <c r="M449" s="2"/>
      <c r="N449" s="2"/>
      <c r="O449" s="2"/>
      <c r="P449" s="2"/>
      <c r="Q449" s="157"/>
      <c r="R449" s="157"/>
      <c r="S449" s="157"/>
      <c r="T449" s="158"/>
      <c r="U449" s="2"/>
      <c r="V449" s="30"/>
      <c r="W449" s="2"/>
      <c r="X449" s="2"/>
      <c r="Y449" s="2"/>
      <c r="Z449" s="2"/>
    </row>
    <row r="450" ht="13.5" customHeight="1">
      <c r="A450" s="2"/>
      <c r="B450" s="2"/>
      <c r="C450" s="2"/>
      <c r="D450" s="2"/>
      <c r="E450" s="2"/>
      <c r="F450" s="2"/>
      <c r="G450" s="2"/>
      <c r="H450" s="2"/>
      <c r="I450" s="2"/>
      <c r="J450" s="156"/>
      <c r="K450" s="2"/>
      <c r="L450" s="2"/>
      <c r="M450" s="2"/>
      <c r="N450" s="2"/>
      <c r="O450" s="2"/>
      <c r="P450" s="2"/>
      <c r="Q450" s="157"/>
      <c r="R450" s="157"/>
      <c r="S450" s="157"/>
      <c r="T450" s="158"/>
      <c r="U450" s="2"/>
      <c r="V450" s="30"/>
      <c r="W450" s="2"/>
      <c r="X450" s="2"/>
      <c r="Y450" s="2"/>
      <c r="Z450" s="2"/>
    </row>
    <row r="451" ht="13.5" customHeight="1">
      <c r="A451" s="2"/>
      <c r="B451" s="2"/>
      <c r="C451" s="2"/>
      <c r="D451" s="2"/>
      <c r="E451" s="2"/>
      <c r="F451" s="2"/>
      <c r="G451" s="2"/>
      <c r="H451" s="2"/>
      <c r="I451" s="2"/>
      <c r="J451" s="156"/>
      <c r="K451" s="2"/>
      <c r="L451" s="2"/>
      <c r="M451" s="2"/>
      <c r="N451" s="2"/>
      <c r="O451" s="2"/>
      <c r="P451" s="2"/>
      <c r="Q451" s="157"/>
      <c r="R451" s="157"/>
      <c r="S451" s="157"/>
      <c r="T451" s="158"/>
      <c r="U451" s="2"/>
      <c r="V451" s="30"/>
      <c r="W451" s="2"/>
      <c r="X451" s="2"/>
      <c r="Y451" s="2"/>
      <c r="Z451" s="2"/>
    </row>
    <row r="452" ht="13.5" customHeight="1">
      <c r="A452" s="2"/>
      <c r="B452" s="2"/>
      <c r="C452" s="2"/>
      <c r="D452" s="2"/>
      <c r="E452" s="2"/>
      <c r="F452" s="2"/>
      <c r="G452" s="2"/>
      <c r="H452" s="2"/>
      <c r="I452" s="2"/>
      <c r="J452" s="156"/>
      <c r="K452" s="2"/>
      <c r="L452" s="2"/>
      <c r="M452" s="2"/>
      <c r="N452" s="2"/>
      <c r="O452" s="2"/>
      <c r="P452" s="2"/>
      <c r="Q452" s="157"/>
      <c r="R452" s="157"/>
      <c r="S452" s="157"/>
      <c r="T452" s="158"/>
      <c r="U452" s="2"/>
      <c r="V452" s="30"/>
      <c r="W452" s="2"/>
      <c r="X452" s="2"/>
      <c r="Y452" s="2"/>
      <c r="Z452" s="2"/>
    </row>
    <row r="453" ht="13.5" customHeight="1">
      <c r="A453" s="2"/>
      <c r="B453" s="2"/>
      <c r="C453" s="2"/>
      <c r="D453" s="2"/>
      <c r="E453" s="2"/>
      <c r="F453" s="2"/>
      <c r="G453" s="2"/>
      <c r="H453" s="2"/>
      <c r="I453" s="2"/>
      <c r="J453" s="156"/>
      <c r="K453" s="2"/>
      <c r="L453" s="2"/>
      <c r="M453" s="2"/>
      <c r="N453" s="2"/>
      <c r="O453" s="2"/>
      <c r="P453" s="2"/>
      <c r="Q453" s="157"/>
      <c r="R453" s="157"/>
      <c r="S453" s="157"/>
      <c r="T453" s="158"/>
      <c r="U453" s="2"/>
      <c r="V453" s="30"/>
      <c r="W453" s="2"/>
      <c r="X453" s="2"/>
      <c r="Y453" s="2"/>
      <c r="Z453" s="2"/>
    </row>
    <row r="454" ht="13.5" customHeight="1">
      <c r="A454" s="2"/>
      <c r="B454" s="2"/>
      <c r="C454" s="2"/>
      <c r="D454" s="2"/>
      <c r="E454" s="2"/>
      <c r="F454" s="2"/>
      <c r="G454" s="2"/>
      <c r="H454" s="2"/>
      <c r="I454" s="2"/>
      <c r="J454" s="156"/>
      <c r="K454" s="2"/>
      <c r="L454" s="2"/>
      <c r="M454" s="2"/>
      <c r="N454" s="2"/>
      <c r="O454" s="2"/>
      <c r="P454" s="2"/>
      <c r="Q454" s="157"/>
      <c r="R454" s="157"/>
      <c r="S454" s="157"/>
      <c r="T454" s="158"/>
      <c r="U454" s="2"/>
      <c r="V454" s="30"/>
      <c r="W454" s="2"/>
      <c r="X454" s="2"/>
      <c r="Y454" s="2"/>
      <c r="Z454" s="2"/>
    </row>
    <row r="455" ht="13.5" customHeight="1">
      <c r="A455" s="2"/>
      <c r="B455" s="2"/>
      <c r="C455" s="2"/>
      <c r="D455" s="2"/>
      <c r="E455" s="2"/>
      <c r="F455" s="2"/>
      <c r="G455" s="2"/>
      <c r="H455" s="2"/>
      <c r="I455" s="2"/>
      <c r="J455" s="156"/>
      <c r="K455" s="2"/>
      <c r="L455" s="2"/>
      <c r="M455" s="2"/>
      <c r="N455" s="2"/>
      <c r="O455" s="2"/>
      <c r="P455" s="2"/>
      <c r="Q455" s="157"/>
      <c r="R455" s="157"/>
      <c r="S455" s="157"/>
      <c r="T455" s="158"/>
      <c r="U455" s="2"/>
      <c r="V455" s="30"/>
      <c r="W455" s="2"/>
      <c r="X455" s="2"/>
      <c r="Y455" s="2"/>
      <c r="Z455" s="2"/>
    </row>
    <row r="456" ht="13.5" customHeight="1">
      <c r="A456" s="2"/>
      <c r="B456" s="2"/>
      <c r="C456" s="2"/>
      <c r="D456" s="2"/>
      <c r="E456" s="2"/>
      <c r="F456" s="2"/>
      <c r="G456" s="2"/>
      <c r="H456" s="2"/>
      <c r="I456" s="2"/>
      <c r="J456" s="156"/>
      <c r="K456" s="2"/>
      <c r="L456" s="2"/>
      <c r="M456" s="2"/>
      <c r="N456" s="2"/>
      <c r="O456" s="2"/>
      <c r="P456" s="2"/>
      <c r="Q456" s="157"/>
      <c r="R456" s="157"/>
      <c r="S456" s="157"/>
      <c r="T456" s="158"/>
      <c r="U456" s="2"/>
      <c r="V456" s="30"/>
      <c r="W456" s="2"/>
      <c r="X456" s="2"/>
      <c r="Y456" s="2"/>
      <c r="Z456" s="2"/>
    </row>
    <row r="457" ht="13.5" customHeight="1">
      <c r="A457" s="2"/>
      <c r="B457" s="2"/>
      <c r="C457" s="2"/>
      <c r="D457" s="2"/>
      <c r="E457" s="2"/>
      <c r="F457" s="2"/>
      <c r="G457" s="2"/>
      <c r="H457" s="2"/>
      <c r="I457" s="2"/>
      <c r="J457" s="156"/>
      <c r="K457" s="2"/>
      <c r="L457" s="2"/>
      <c r="M457" s="2"/>
      <c r="N457" s="2"/>
      <c r="O457" s="2"/>
      <c r="P457" s="2"/>
      <c r="Q457" s="157"/>
      <c r="R457" s="157"/>
      <c r="S457" s="157"/>
      <c r="T457" s="158"/>
      <c r="U457" s="2"/>
      <c r="V457" s="30"/>
      <c r="W457" s="2"/>
      <c r="X457" s="2"/>
      <c r="Y457" s="2"/>
      <c r="Z457" s="2"/>
    </row>
    <row r="458" ht="13.5" customHeight="1">
      <c r="A458" s="2"/>
      <c r="B458" s="2"/>
      <c r="C458" s="2"/>
      <c r="D458" s="2"/>
      <c r="E458" s="2"/>
      <c r="F458" s="2"/>
      <c r="G458" s="2"/>
      <c r="H458" s="2"/>
      <c r="I458" s="2"/>
      <c r="J458" s="156"/>
      <c r="K458" s="2"/>
      <c r="L458" s="2"/>
      <c r="M458" s="2"/>
      <c r="N458" s="2"/>
      <c r="O458" s="2"/>
      <c r="P458" s="2"/>
      <c r="Q458" s="157"/>
      <c r="R458" s="157"/>
      <c r="S458" s="157"/>
      <c r="T458" s="158"/>
      <c r="U458" s="2"/>
      <c r="V458" s="30"/>
      <c r="W458" s="2"/>
      <c r="X458" s="2"/>
      <c r="Y458" s="2"/>
      <c r="Z458" s="2"/>
    </row>
    <row r="459" ht="13.5" customHeight="1">
      <c r="A459" s="2"/>
      <c r="B459" s="2"/>
      <c r="C459" s="2"/>
      <c r="D459" s="2"/>
      <c r="E459" s="2"/>
      <c r="F459" s="2"/>
      <c r="G459" s="2"/>
      <c r="H459" s="2"/>
      <c r="I459" s="2"/>
      <c r="J459" s="156"/>
      <c r="K459" s="2"/>
      <c r="L459" s="2"/>
      <c r="M459" s="2"/>
      <c r="N459" s="2"/>
      <c r="O459" s="2"/>
      <c r="P459" s="2"/>
      <c r="Q459" s="157"/>
      <c r="R459" s="157"/>
      <c r="S459" s="157"/>
      <c r="T459" s="158"/>
      <c r="U459" s="2"/>
      <c r="V459" s="30"/>
      <c r="W459" s="2"/>
      <c r="X459" s="2"/>
      <c r="Y459" s="2"/>
      <c r="Z459" s="2"/>
    </row>
    <row r="460" ht="13.5" customHeight="1">
      <c r="A460" s="2"/>
      <c r="B460" s="2"/>
      <c r="C460" s="2"/>
      <c r="D460" s="2"/>
      <c r="E460" s="2"/>
      <c r="F460" s="2"/>
      <c r="G460" s="2"/>
      <c r="H460" s="2"/>
      <c r="I460" s="2"/>
      <c r="J460" s="156"/>
      <c r="K460" s="2"/>
      <c r="L460" s="2"/>
      <c r="M460" s="2"/>
      <c r="N460" s="2"/>
      <c r="O460" s="2"/>
      <c r="P460" s="2"/>
      <c r="Q460" s="157"/>
      <c r="R460" s="157"/>
      <c r="S460" s="157"/>
      <c r="T460" s="158"/>
      <c r="U460" s="2"/>
      <c r="V460" s="30"/>
      <c r="W460" s="2"/>
      <c r="X460" s="2"/>
      <c r="Y460" s="2"/>
      <c r="Z460" s="2"/>
    </row>
    <row r="461" ht="13.5" customHeight="1">
      <c r="A461" s="2"/>
      <c r="B461" s="2"/>
      <c r="C461" s="2"/>
      <c r="D461" s="2"/>
      <c r="E461" s="2"/>
      <c r="F461" s="2"/>
      <c r="G461" s="2"/>
      <c r="H461" s="2"/>
      <c r="I461" s="2"/>
      <c r="J461" s="156"/>
      <c r="K461" s="2"/>
      <c r="L461" s="2"/>
      <c r="M461" s="2"/>
      <c r="N461" s="2"/>
      <c r="O461" s="2"/>
      <c r="P461" s="2"/>
      <c r="Q461" s="157"/>
      <c r="R461" s="157"/>
      <c r="S461" s="157"/>
      <c r="T461" s="158"/>
      <c r="U461" s="2"/>
      <c r="V461" s="30"/>
      <c r="W461" s="2"/>
      <c r="X461" s="2"/>
      <c r="Y461" s="2"/>
      <c r="Z461" s="2"/>
    </row>
    <row r="462" ht="13.5" customHeight="1">
      <c r="A462" s="2"/>
      <c r="B462" s="2"/>
      <c r="C462" s="2"/>
      <c r="D462" s="2"/>
      <c r="E462" s="2"/>
      <c r="F462" s="2"/>
      <c r="G462" s="2"/>
      <c r="H462" s="2"/>
      <c r="I462" s="2"/>
      <c r="J462" s="156"/>
      <c r="K462" s="2"/>
      <c r="L462" s="2"/>
      <c r="M462" s="2"/>
      <c r="N462" s="2"/>
      <c r="O462" s="2"/>
      <c r="P462" s="2"/>
      <c r="Q462" s="157"/>
      <c r="R462" s="157"/>
      <c r="S462" s="157"/>
      <c r="T462" s="158"/>
      <c r="U462" s="2"/>
      <c r="V462" s="30"/>
      <c r="W462" s="2"/>
      <c r="X462" s="2"/>
      <c r="Y462" s="2"/>
      <c r="Z462" s="2"/>
    </row>
    <row r="463" ht="13.5" customHeight="1">
      <c r="A463" s="2"/>
      <c r="B463" s="2"/>
      <c r="C463" s="2"/>
      <c r="D463" s="2"/>
      <c r="E463" s="2"/>
      <c r="F463" s="2"/>
      <c r="G463" s="2"/>
      <c r="H463" s="2"/>
      <c r="I463" s="2"/>
      <c r="J463" s="156"/>
      <c r="K463" s="2"/>
      <c r="L463" s="2"/>
      <c r="M463" s="2"/>
      <c r="N463" s="2"/>
      <c r="O463" s="2"/>
      <c r="P463" s="2"/>
      <c r="Q463" s="157"/>
      <c r="R463" s="157"/>
      <c r="S463" s="157"/>
      <c r="T463" s="158"/>
      <c r="U463" s="2"/>
      <c r="V463" s="30"/>
      <c r="W463" s="2"/>
      <c r="X463" s="2"/>
      <c r="Y463" s="2"/>
      <c r="Z463" s="2"/>
    </row>
    <row r="464" ht="13.5" customHeight="1">
      <c r="A464" s="2"/>
      <c r="B464" s="2"/>
      <c r="C464" s="2"/>
      <c r="D464" s="2"/>
      <c r="E464" s="2"/>
      <c r="F464" s="2"/>
      <c r="G464" s="2"/>
      <c r="H464" s="2"/>
      <c r="I464" s="2"/>
      <c r="J464" s="156"/>
      <c r="K464" s="2"/>
      <c r="L464" s="2"/>
      <c r="M464" s="2"/>
      <c r="N464" s="2"/>
      <c r="O464" s="2"/>
      <c r="P464" s="2"/>
      <c r="Q464" s="157"/>
      <c r="R464" s="157"/>
      <c r="S464" s="157"/>
      <c r="T464" s="158"/>
      <c r="U464" s="2"/>
      <c r="V464" s="30"/>
      <c r="W464" s="2"/>
      <c r="X464" s="2"/>
      <c r="Y464" s="2"/>
      <c r="Z464" s="2"/>
    </row>
    <row r="465" ht="13.5" customHeight="1">
      <c r="A465" s="2"/>
      <c r="B465" s="2"/>
      <c r="C465" s="2"/>
      <c r="D465" s="2"/>
      <c r="E465" s="2"/>
      <c r="F465" s="2"/>
      <c r="G465" s="2"/>
      <c r="H465" s="2"/>
      <c r="I465" s="2"/>
      <c r="J465" s="156"/>
      <c r="K465" s="2"/>
      <c r="L465" s="2"/>
      <c r="M465" s="2"/>
      <c r="N465" s="2"/>
      <c r="O465" s="2"/>
      <c r="P465" s="2"/>
      <c r="Q465" s="157"/>
      <c r="R465" s="157"/>
      <c r="S465" s="157"/>
      <c r="T465" s="158"/>
      <c r="U465" s="2"/>
      <c r="V465" s="30"/>
      <c r="W465" s="2"/>
      <c r="X465" s="2"/>
      <c r="Y465" s="2"/>
      <c r="Z465" s="2"/>
    </row>
    <row r="466" ht="13.5" customHeight="1">
      <c r="A466" s="2"/>
      <c r="B466" s="2"/>
      <c r="C466" s="2"/>
      <c r="D466" s="2"/>
      <c r="E466" s="2"/>
      <c r="F466" s="2"/>
      <c r="G466" s="2"/>
      <c r="H466" s="2"/>
      <c r="I466" s="2"/>
      <c r="J466" s="156"/>
      <c r="K466" s="2"/>
      <c r="L466" s="2"/>
      <c r="M466" s="2"/>
      <c r="N466" s="2"/>
      <c r="O466" s="2"/>
      <c r="P466" s="2"/>
      <c r="Q466" s="157"/>
      <c r="R466" s="157"/>
      <c r="S466" s="157"/>
      <c r="T466" s="158"/>
      <c r="U466" s="2"/>
      <c r="V466" s="30"/>
      <c r="W466" s="2"/>
      <c r="X466" s="2"/>
      <c r="Y466" s="2"/>
      <c r="Z466" s="2"/>
    </row>
    <row r="467" ht="13.5" customHeight="1">
      <c r="A467" s="2"/>
      <c r="B467" s="2"/>
      <c r="C467" s="2"/>
      <c r="D467" s="2"/>
      <c r="E467" s="2"/>
      <c r="F467" s="2"/>
      <c r="G467" s="2"/>
      <c r="H467" s="2"/>
      <c r="I467" s="2"/>
      <c r="J467" s="156"/>
      <c r="K467" s="2"/>
      <c r="L467" s="2"/>
      <c r="M467" s="2"/>
      <c r="N467" s="2"/>
      <c r="O467" s="2"/>
      <c r="P467" s="2"/>
      <c r="Q467" s="157"/>
      <c r="R467" s="157"/>
      <c r="S467" s="157"/>
      <c r="T467" s="158"/>
      <c r="U467" s="2"/>
      <c r="V467" s="30"/>
      <c r="W467" s="2"/>
      <c r="X467" s="2"/>
      <c r="Y467" s="2"/>
      <c r="Z467" s="2"/>
    </row>
    <row r="468" ht="13.5" customHeight="1">
      <c r="A468" s="2"/>
      <c r="B468" s="2"/>
      <c r="C468" s="2"/>
      <c r="D468" s="2"/>
      <c r="E468" s="2"/>
      <c r="F468" s="2"/>
      <c r="G468" s="2"/>
      <c r="H468" s="2"/>
      <c r="I468" s="2"/>
      <c r="J468" s="156"/>
      <c r="K468" s="2"/>
      <c r="L468" s="2"/>
      <c r="M468" s="2"/>
      <c r="N468" s="2"/>
      <c r="O468" s="2"/>
      <c r="P468" s="2"/>
      <c r="Q468" s="157"/>
      <c r="R468" s="157"/>
      <c r="S468" s="157"/>
      <c r="T468" s="158"/>
      <c r="U468" s="2"/>
      <c r="V468" s="30"/>
      <c r="W468" s="2"/>
      <c r="X468" s="2"/>
      <c r="Y468" s="2"/>
      <c r="Z468" s="2"/>
    </row>
    <row r="469" ht="13.5" customHeight="1">
      <c r="A469" s="2"/>
      <c r="B469" s="2"/>
      <c r="C469" s="2"/>
      <c r="D469" s="2"/>
      <c r="E469" s="2"/>
      <c r="F469" s="2"/>
      <c r="G469" s="2"/>
      <c r="H469" s="2"/>
      <c r="I469" s="2"/>
      <c r="J469" s="156"/>
      <c r="K469" s="2"/>
      <c r="L469" s="2"/>
      <c r="M469" s="2"/>
      <c r="N469" s="2"/>
      <c r="O469" s="2"/>
      <c r="P469" s="2"/>
      <c r="Q469" s="157"/>
      <c r="R469" s="157"/>
      <c r="S469" s="157"/>
      <c r="T469" s="158"/>
      <c r="U469" s="2"/>
      <c r="V469" s="30"/>
      <c r="W469" s="2"/>
      <c r="X469" s="2"/>
      <c r="Y469" s="2"/>
      <c r="Z469" s="2"/>
    </row>
    <row r="470" ht="13.5" customHeight="1">
      <c r="A470" s="2"/>
      <c r="B470" s="2"/>
      <c r="C470" s="2"/>
      <c r="D470" s="2"/>
      <c r="E470" s="2"/>
      <c r="F470" s="2"/>
      <c r="G470" s="2"/>
      <c r="H470" s="2"/>
      <c r="I470" s="2"/>
      <c r="J470" s="156"/>
      <c r="K470" s="2"/>
      <c r="L470" s="2"/>
      <c r="M470" s="2"/>
      <c r="N470" s="2"/>
      <c r="O470" s="2"/>
      <c r="P470" s="2"/>
      <c r="Q470" s="157"/>
      <c r="R470" s="157"/>
      <c r="S470" s="157"/>
      <c r="T470" s="158"/>
      <c r="U470" s="2"/>
      <c r="V470" s="30"/>
      <c r="W470" s="2"/>
      <c r="X470" s="2"/>
      <c r="Y470" s="2"/>
      <c r="Z470" s="2"/>
    </row>
    <row r="471" ht="13.5" customHeight="1">
      <c r="A471" s="2"/>
      <c r="B471" s="2"/>
      <c r="C471" s="2"/>
      <c r="D471" s="2"/>
      <c r="E471" s="2"/>
      <c r="F471" s="2"/>
      <c r="G471" s="2"/>
      <c r="H471" s="2"/>
      <c r="I471" s="2"/>
      <c r="J471" s="156"/>
      <c r="K471" s="2"/>
      <c r="L471" s="2"/>
      <c r="M471" s="2"/>
      <c r="N471" s="2"/>
      <c r="O471" s="2"/>
      <c r="P471" s="2"/>
      <c r="Q471" s="157"/>
      <c r="R471" s="157"/>
      <c r="S471" s="157"/>
      <c r="T471" s="158"/>
      <c r="U471" s="2"/>
      <c r="V471" s="30"/>
      <c r="W471" s="2"/>
      <c r="X471" s="2"/>
      <c r="Y471" s="2"/>
      <c r="Z471" s="2"/>
    </row>
    <row r="472" ht="13.5" customHeight="1">
      <c r="A472" s="2"/>
      <c r="B472" s="2"/>
      <c r="C472" s="2"/>
      <c r="D472" s="2"/>
      <c r="E472" s="2"/>
      <c r="F472" s="2"/>
      <c r="G472" s="2"/>
      <c r="H472" s="2"/>
      <c r="I472" s="2"/>
      <c r="J472" s="156"/>
      <c r="K472" s="2"/>
      <c r="L472" s="2"/>
      <c r="M472" s="2"/>
      <c r="N472" s="2"/>
      <c r="O472" s="2"/>
      <c r="P472" s="2"/>
      <c r="Q472" s="157"/>
      <c r="R472" s="157"/>
      <c r="S472" s="157"/>
      <c r="T472" s="158"/>
      <c r="U472" s="2"/>
      <c r="V472" s="30"/>
      <c r="W472" s="2"/>
      <c r="X472" s="2"/>
      <c r="Y472" s="2"/>
      <c r="Z472" s="2"/>
    </row>
    <row r="473" ht="13.5" customHeight="1">
      <c r="A473" s="2"/>
      <c r="B473" s="2"/>
      <c r="C473" s="2"/>
      <c r="D473" s="2"/>
      <c r="E473" s="2"/>
      <c r="F473" s="2"/>
      <c r="G473" s="2"/>
      <c r="H473" s="2"/>
      <c r="I473" s="2"/>
      <c r="J473" s="156"/>
      <c r="K473" s="2"/>
      <c r="L473" s="2"/>
      <c r="M473" s="2"/>
      <c r="N473" s="2"/>
      <c r="O473" s="2"/>
      <c r="P473" s="2"/>
      <c r="Q473" s="157"/>
      <c r="R473" s="157"/>
      <c r="S473" s="157"/>
      <c r="T473" s="158"/>
      <c r="U473" s="2"/>
      <c r="V473" s="30"/>
      <c r="W473" s="2"/>
      <c r="X473" s="2"/>
      <c r="Y473" s="2"/>
      <c r="Z473" s="2"/>
    </row>
    <row r="474" ht="13.5" customHeight="1">
      <c r="A474" s="2"/>
      <c r="B474" s="2"/>
      <c r="C474" s="2"/>
      <c r="D474" s="2"/>
      <c r="E474" s="2"/>
      <c r="F474" s="2"/>
      <c r="G474" s="2"/>
      <c r="H474" s="2"/>
      <c r="I474" s="2"/>
      <c r="J474" s="156"/>
      <c r="K474" s="2"/>
      <c r="L474" s="2"/>
      <c r="M474" s="2"/>
      <c r="N474" s="2"/>
      <c r="O474" s="2"/>
      <c r="P474" s="2"/>
      <c r="Q474" s="157"/>
      <c r="R474" s="157"/>
      <c r="S474" s="157"/>
      <c r="T474" s="158"/>
      <c r="U474" s="2"/>
      <c r="V474" s="30"/>
      <c r="W474" s="2"/>
      <c r="X474" s="2"/>
      <c r="Y474" s="2"/>
      <c r="Z474" s="2"/>
    </row>
    <row r="475" ht="13.5" customHeight="1">
      <c r="A475" s="2"/>
      <c r="B475" s="2"/>
      <c r="C475" s="2"/>
      <c r="D475" s="2"/>
      <c r="E475" s="2"/>
      <c r="F475" s="2"/>
      <c r="G475" s="2"/>
      <c r="H475" s="2"/>
      <c r="I475" s="2"/>
      <c r="J475" s="156"/>
      <c r="K475" s="2"/>
      <c r="L475" s="2"/>
      <c r="M475" s="2"/>
      <c r="N475" s="2"/>
      <c r="O475" s="2"/>
      <c r="P475" s="2"/>
      <c r="Q475" s="157"/>
      <c r="R475" s="157"/>
      <c r="S475" s="157"/>
      <c r="T475" s="158"/>
      <c r="U475" s="2"/>
      <c r="V475" s="30"/>
      <c r="W475" s="2"/>
      <c r="X475" s="2"/>
      <c r="Y475" s="2"/>
      <c r="Z475" s="2"/>
    </row>
    <row r="476" ht="13.5" customHeight="1">
      <c r="A476" s="2"/>
      <c r="B476" s="2"/>
      <c r="C476" s="2"/>
      <c r="D476" s="2"/>
      <c r="E476" s="2"/>
      <c r="F476" s="2"/>
      <c r="G476" s="2"/>
      <c r="H476" s="2"/>
      <c r="I476" s="2"/>
      <c r="J476" s="156"/>
      <c r="K476" s="2"/>
      <c r="L476" s="2"/>
      <c r="M476" s="2"/>
      <c r="N476" s="2"/>
      <c r="O476" s="2"/>
      <c r="P476" s="2"/>
      <c r="Q476" s="157"/>
      <c r="R476" s="157"/>
      <c r="S476" s="157"/>
      <c r="T476" s="158"/>
      <c r="U476" s="2"/>
      <c r="V476" s="30"/>
      <c r="W476" s="2"/>
      <c r="X476" s="2"/>
      <c r="Y476" s="2"/>
      <c r="Z476" s="2"/>
    </row>
    <row r="477" ht="13.5" customHeight="1">
      <c r="A477" s="2"/>
      <c r="B477" s="2"/>
      <c r="C477" s="2"/>
      <c r="D477" s="2"/>
      <c r="E477" s="2"/>
      <c r="F477" s="2"/>
      <c r="G477" s="2"/>
      <c r="H477" s="2"/>
      <c r="I477" s="2"/>
      <c r="J477" s="156"/>
      <c r="K477" s="2"/>
      <c r="L477" s="2"/>
      <c r="M477" s="2"/>
      <c r="N477" s="2"/>
      <c r="O477" s="2"/>
      <c r="P477" s="2"/>
      <c r="Q477" s="157"/>
      <c r="R477" s="157"/>
      <c r="S477" s="157"/>
      <c r="T477" s="158"/>
      <c r="U477" s="2"/>
      <c r="V477" s="30"/>
      <c r="W477" s="2"/>
      <c r="X477" s="2"/>
      <c r="Y477" s="2"/>
      <c r="Z477" s="2"/>
    </row>
    <row r="478" ht="13.5" customHeight="1">
      <c r="A478" s="2"/>
      <c r="B478" s="2"/>
      <c r="C478" s="2"/>
      <c r="D478" s="2"/>
      <c r="E478" s="2"/>
      <c r="F478" s="2"/>
      <c r="G478" s="2"/>
      <c r="H478" s="2"/>
      <c r="I478" s="2"/>
      <c r="J478" s="156"/>
      <c r="K478" s="2"/>
      <c r="L478" s="2"/>
      <c r="M478" s="2"/>
      <c r="N478" s="2"/>
      <c r="O478" s="2"/>
      <c r="P478" s="2"/>
      <c r="Q478" s="157"/>
      <c r="R478" s="157"/>
      <c r="S478" s="157"/>
      <c r="T478" s="158"/>
      <c r="U478" s="2"/>
      <c r="V478" s="30"/>
      <c r="W478" s="2"/>
      <c r="X478" s="2"/>
      <c r="Y478" s="2"/>
      <c r="Z478" s="2"/>
    </row>
    <row r="479" ht="13.5" customHeight="1">
      <c r="A479" s="2"/>
      <c r="B479" s="2"/>
      <c r="C479" s="2"/>
      <c r="D479" s="2"/>
      <c r="E479" s="2"/>
      <c r="F479" s="2"/>
      <c r="G479" s="2"/>
      <c r="H479" s="2"/>
      <c r="I479" s="2"/>
      <c r="J479" s="156"/>
      <c r="K479" s="2"/>
      <c r="L479" s="2"/>
      <c r="M479" s="2"/>
      <c r="N479" s="2"/>
      <c r="O479" s="2"/>
      <c r="P479" s="2"/>
      <c r="Q479" s="157"/>
      <c r="R479" s="157"/>
      <c r="S479" s="157"/>
      <c r="T479" s="158"/>
      <c r="U479" s="2"/>
      <c r="V479" s="30"/>
      <c r="W479" s="2"/>
      <c r="X479" s="2"/>
      <c r="Y479" s="2"/>
      <c r="Z479" s="2"/>
    </row>
    <row r="480" ht="13.5" customHeight="1">
      <c r="A480" s="2"/>
      <c r="B480" s="2"/>
      <c r="C480" s="2"/>
      <c r="D480" s="2"/>
      <c r="E480" s="2"/>
      <c r="F480" s="2"/>
      <c r="G480" s="2"/>
      <c r="H480" s="2"/>
      <c r="I480" s="2"/>
      <c r="J480" s="156"/>
      <c r="K480" s="2"/>
      <c r="L480" s="2"/>
      <c r="M480" s="2"/>
      <c r="N480" s="2"/>
      <c r="O480" s="2"/>
      <c r="P480" s="2"/>
      <c r="Q480" s="157"/>
      <c r="R480" s="157"/>
      <c r="S480" s="157"/>
      <c r="T480" s="158"/>
      <c r="U480" s="2"/>
      <c r="V480" s="30"/>
      <c r="W480" s="2"/>
      <c r="X480" s="2"/>
      <c r="Y480" s="2"/>
      <c r="Z480" s="2"/>
    </row>
    <row r="481" ht="13.5" customHeight="1">
      <c r="A481" s="2"/>
      <c r="B481" s="2"/>
      <c r="C481" s="2"/>
      <c r="D481" s="2"/>
      <c r="E481" s="2"/>
      <c r="F481" s="2"/>
      <c r="G481" s="2"/>
      <c r="H481" s="2"/>
      <c r="I481" s="2"/>
      <c r="J481" s="156"/>
      <c r="K481" s="2"/>
      <c r="L481" s="2"/>
      <c r="M481" s="2"/>
      <c r="N481" s="2"/>
      <c r="O481" s="2"/>
      <c r="P481" s="2"/>
      <c r="Q481" s="157"/>
      <c r="R481" s="157"/>
      <c r="S481" s="157"/>
      <c r="T481" s="158"/>
      <c r="U481" s="2"/>
      <c r="V481" s="30"/>
      <c r="W481" s="2"/>
      <c r="X481" s="2"/>
      <c r="Y481" s="2"/>
      <c r="Z481" s="2"/>
    </row>
    <row r="482" ht="13.5" customHeight="1">
      <c r="A482" s="2"/>
      <c r="B482" s="2"/>
      <c r="C482" s="2"/>
      <c r="D482" s="2"/>
      <c r="E482" s="2"/>
      <c r="F482" s="2"/>
      <c r="G482" s="2"/>
      <c r="H482" s="2"/>
      <c r="I482" s="2"/>
      <c r="J482" s="156"/>
      <c r="K482" s="2"/>
      <c r="L482" s="2"/>
      <c r="M482" s="2"/>
      <c r="N482" s="2"/>
      <c r="O482" s="2"/>
      <c r="P482" s="2"/>
      <c r="Q482" s="157"/>
      <c r="R482" s="157"/>
      <c r="S482" s="157"/>
      <c r="T482" s="158"/>
      <c r="U482" s="2"/>
      <c r="V482" s="30"/>
      <c r="W482" s="2"/>
      <c r="X482" s="2"/>
      <c r="Y482" s="2"/>
      <c r="Z482" s="2"/>
    </row>
    <row r="483" ht="13.5" customHeight="1">
      <c r="A483" s="2"/>
      <c r="B483" s="2"/>
      <c r="C483" s="2"/>
      <c r="D483" s="2"/>
      <c r="E483" s="2"/>
      <c r="F483" s="2"/>
      <c r="G483" s="2"/>
      <c r="H483" s="2"/>
      <c r="I483" s="2"/>
      <c r="J483" s="156"/>
      <c r="K483" s="2"/>
      <c r="L483" s="2"/>
      <c r="M483" s="2"/>
      <c r="N483" s="2"/>
      <c r="O483" s="2"/>
      <c r="P483" s="2"/>
      <c r="Q483" s="157"/>
      <c r="R483" s="157"/>
      <c r="S483" s="157"/>
      <c r="T483" s="158"/>
      <c r="U483" s="2"/>
      <c r="V483" s="30"/>
      <c r="W483" s="2"/>
      <c r="X483" s="2"/>
      <c r="Y483" s="2"/>
      <c r="Z483" s="2"/>
    </row>
    <row r="484" ht="13.5" customHeight="1">
      <c r="A484" s="2"/>
      <c r="B484" s="2"/>
      <c r="C484" s="2"/>
      <c r="D484" s="2"/>
      <c r="E484" s="2"/>
      <c r="F484" s="2"/>
      <c r="G484" s="2"/>
      <c r="H484" s="2"/>
      <c r="I484" s="2"/>
      <c r="J484" s="156"/>
      <c r="K484" s="2"/>
      <c r="L484" s="2"/>
      <c r="M484" s="2"/>
      <c r="N484" s="2"/>
      <c r="O484" s="2"/>
      <c r="P484" s="2"/>
      <c r="Q484" s="157"/>
      <c r="R484" s="157"/>
      <c r="S484" s="157"/>
      <c r="T484" s="158"/>
      <c r="U484" s="2"/>
      <c r="V484" s="30"/>
      <c r="W484" s="2"/>
      <c r="X484" s="2"/>
      <c r="Y484" s="2"/>
      <c r="Z484" s="2"/>
    </row>
    <row r="485" ht="13.5" customHeight="1">
      <c r="A485" s="2"/>
      <c r="B485" s="2"/>
      <c r="C485" s="2"/>
      <c r="D485" s="2"/>
      <c r="E485" s="2"/>
      <c r="F485" s="2"/>
      <c r="G485" s="2"/>
      <c r="H485" s="2"/>
      <c r="I485" s="2"/>
      <c r="J485" s="156"/>
      <c r="K485" s="2"/>
      <c r="L485" s="2"/>
      <c r="M485" s="2"/>
      <c r="N485" s="2"/>
      <c r="O485" s="2"/>
      <c r="P485" s="2"/>
      <c r="Q485" s="157"/>
      <c r="R485" s="157"/>
      <c r="S485" s="157"/>
      <c r="T485" s="158"/>
      <c r="U485" s="2"/>
      <c r="V485" s="30"/>
      <c r="W485" s="2"/>
      <c r="X485" s="2"/>
      <c r="Y485" s="2"/>
      <c r="Z485" s="2"/>
    </row>
    <row r="486" ht="13.5" customHeight="1">
      <c r="A486" s="2"/>
      <c r="B486" s="2"/>
      <c r="C486" s="2"/>
      <c r="D486" s="2"/>
      <c r="E486" s="2"/>
      <c r="F486" s="2"/>
      <c r="G486" s="2"/>
      <c r="H486" s="2"/>
      <c r="I486" s="2"/>
      <c r="J486" s="156"/>
      <c r="K486" s="2"/>
      <c r="L486" s="2"/>
      <c r="M486" s="2"/>
      <c r="N486" s="2"/>
      <c r="O486" s="2"/>
      <c r="P486" s="2"/>
      <c r="Q486" s="157"/>
      <c r="R486" s="157"/>
      <c r="S486" s="157"/>
      <c r="T486" s="158"/>
      <c r="U486" s="2"/>
      <c r="V486" s="30"/>
      <c r="W486" s="2"/>
      <c r="X486" s="2"/>
      <c r="Y486" s="2"/>
      <c r="Z486" s="2"/>
    </row>
    <row r="487" ht="13.5" customHeight="1">
      <c r="A487" s="2"/>
      <c r="B487" s="2"/>
      <c r="C487" s="2"/>
      <c r="D487" s="2"/>
      <c r="E487" s="2"/>
      <c r="F487" s="2"/>
      <c r="G487" s="2"/>
      <c r="H487" s="2"/>
      <c r="I487" s="2"/>
      <c r="J487" s="156"/>
      <c r="K487" s="2"/>
      <c r="L487" s="2"/>
      <c r="M487" s="2"/>
      <c r="N487" s="2"/>
      <c r="O487" s="2"/>
      <c r="P487" s="2"/>
      <c r="Q487" s="157"/>
      <c r="R487" s="157"/>
      <c r="S487" s="157"/>
      <c r="T487" s="158"/>
      <c r="U487" s="2"/>
      <c r="V487" s="30"/>
      <c r="W487" s="2"/>
      <c r="X487" s="2"/>
      <c r="Y487" s="2"/>
      <c r="Z487" s="2"/>
    </row>
    <row r="488" ht="13.5" customHeight="1">
      <c r="A488" s="2"/>
      <c r="B488" s="2"/>
      <c r="C488" s="2"/>
      <c r="D488" s="2"/>
      <c r="E488" s="2"/>
      <c r="F488" s="2"/>
      <c r="G488" s="2"/>
      <c r="H488" s="2"/>
      <c r="I488" s="2"/>
      <c r="J488" s="156"/>
      <c r="K488" s="2"/>
      <c r="L488" s="2"/>
      <c r="M488" s="2"/>
      <c r="N488" s="2"/>
      <c r="O488" s="2"/>
      <c r="P488" s="2"/>
      <c r="Q488" s="157"/>
      <c r="R488" s="157"/>
      <c r="S488" s="157"/>
      <c r="T488" s="158"/>
      <c r="U488" s="2"/>
      <c r="V488" s="30"/>
      <c r="W488" s="2"/>
      <c r="X488" s="2"/>
      <c r="Y488" s="2"/>
      <c r="Z488" s="2"/>
    </row>
    <row r="489" ht="13.5" customHeight="1">
      <c r="A489" s="2"/>
      <c r="B489" s="2"/>
      <c r="C489" s="2"/>
      <c r="D489" s="2"/>
      <c r="E489" s="2"/>
      <c r="F489" s="2"/>
      <c r="G489" s="2"/>
      <c r="H489" s="2"/>
      <c r="I489" s="2"/>
      <c r="J489" s="156"/>
      <c r="K489" s="2"/>
      <c r="L489" s="2"/>
      <c r="M489" s="2"/>
      <c r="N489" s="2"/>
      <c r="O489" s="2"/>
      <c r="P489" s="2"/>
      <c r="Q489" s="157"/>
      <c r="R489" s="157"/>
      <c r="S489" s="157"/>
      <c r="T489" s="158"/>
      <c r="U489" s="2"/>
      <c r="V489" s="30"/>
      <c r="W489" s="2"/>
      <c r="X489" s="2"/>
      <c r="Y489" s="2"/>
      <c r="Z489" s="2"/>
    </row>
    <row r="490" ht="13.5" customHeight="1">
      <c r="A490" s="2"/>
      <c r="B490" s="2"/>
      <c r="C490" s="2"/>
      <c r="D490" s="2"/>
      <c r="E490" s="2"/>
      <c r="F490" s="2"/>
      <c r="G490" s="2"/>
      <c r="H490" s="2"/>
      <c r="I490" s="2"/>
      <c r="J490" s="156"/>
      <c r="K490" s="2"/>
      <c r="L490" s="2"/>
      <c r="M490" s="2"/>
      <c r="N490" s="2"/>
      <c r="O490" s="2"/>
      <c r="P490" s="2"/>
      <c r="Q490" s="157"/>
      <c r="R490" s="157"/>
      <c r="S490" s="157"/>
      <c r="T490" s="158"/>
      <c r="U490" s="2"/>
      <c r="V490" s="30"/>
      <c r="W490" s="2"/>
      <c r="X490" s="2"/>
      <c r="Y490" s="2"/>
      <c r="Z490" s="2"/>
    </row>
    <row r="491" ht="13.5" customHeight="1">
      <c r="A491" s="2"/>
      <c r="B491" s="2"/>
      <c r="C491" s="2"/>
      <c r="D491" s="2"/>
      <c r="E491" s="2"/>
      <c r="F491" s="2"/>
      <c r="G491" s="2"/>
      <c r="H491" s="2"/>
      <c r="I491" s="2"/>
      <c r="J491" s="156"/>
      <c r="K491" s="2"/>
      <c r="L491" s="2"/>
      <c r="M491" s="2"/>
      <c r="N491" s="2"/>
      <c r="O491" s="2"/>
      <c r="P491" s="2"/>
      <c r="Q491" s="157"/>
      <c r="R491" s="157"/>
      <c r="S491" s="157"/>
      <c r="T491" s="158"/>
      <c r="U491" s="2"/>
      <c r="V491" s="30"/>
      <c r="W491" s="2"/>
      <c r="X491" s="2"/>
      <c r="Y491" s="2"/>
      <c r="Z491" s="2"/>
    </row>
    <row r="492" ht="13.5" customHeight="1">
      <c r="A492" s="2"/>
      <c r="B492" s="2"/>
      <c r="C492" s="2"/>
      <c r="D492" s="2"/>
      <c r="E492" s="2"/>
      <c r="F492" s="2"/>
      <c r="G492" s="2"/>
      <c r="H492" s="2"/>
      <c r="I492" s="2"/>
      <c r="J492" s="156"/>
      <c r="K492" s="2"/>
      <c r="L492" s="2"/>
      <c r="M492" s="2"/>
      <c r="N492" s="2"/>
      <c r="O492" s="2"/>
      <c r="P492" s="2"/>
      <c r="Q492" s="157"/>
      <c r="R492" s="157"/>
      <c r="S492" s="157"/>
      <c r="T492" s="158"/>
      <c r="U492" s="2"/>
      <c r="V492" s="30"/>
      <c r="W492" s="2"/>
      <c r="X492" s="2"/>
      <c r="Y492" s="2"/>
      <c r="Z492" s="2"/>
    </row>
    <row r="493" ht="13.5" customHeight="1">
      <c r="A493" s="2"/>
      <c r="B493" s="2"/>
      <c r="C493" s="2"/>
      <c r="D493" s="2"/>
      <c r="E493" s="2"/>
      <c r="F493" s="2"/>
      <c r="G493" s="2"/>
      <c r="H493" s="2"/>
      <c r="I493" s="2"/>
      <c r="J493" s="156"/>
      <c r="K493" s="2"/>
      <c r="L493" s="2"/>
      <c r="M493" s="2"/>
      <c r="N493" s="2"/>
      <c r="O493" s="2"/>
      <c r="P493" s="2"/>
      <c r="Q493" s="157"/>
      <c r="R493" s="157"/>
      <c r="S493" s="157"/>
      <c r="T493" s="158"/>
      <c r="U493" s="2"/>
      <c r="V493" s="30"/>
      <c r="W493" s="2"/>
      <c r="X493" s="2"/>
      <c r="Y493" s="2"/>
      <c r="Z493" s="2"/>
    </row>
    <row r="494" ht="13.5" customHeight="1">
      <c r="A494" s="2"/>
      <c r="B494" s="2"/>
      <c r="C494" s="2"/>
      <c r="D494" s="2"/>
      <c r="E494" s="2"/>
      <c r="F494" s="2"/>
      <c r="G494" s="2"/>
      <c r="H494" s="2"/>
      <c r="I494" s="2"/>
      <c r="J494" s="156"/>
      <c r="K494" s="2"/>
      <c r="L494" s="2"/>
      <c r="M494" s="2"/>
      <c r="N494" s="2"/>
      <c r="O494" s="2"/>
      <c r="P494" s="2"/>
      <c r="Q494" s="157"/>
      <c r="R494" s="157"/>
      <c r="S494" s="157"/>
      <c r="T494" s="158"/>
      <c r="U494" s="2"/>
      <c r="V494" s="30"/>
      <c r="W494" s="2"/>
      <c r="X494" s="2"/>
      <c r="Y494" s="2"/>
      <c r="Z494" s="2"/>
    </row>
    <row r="495" ht="13.5" customHeight="1">
      <c r="A495" s="2"/>
      <c r="B495" s="2"/>
      <c r="C495" s="2"/>
      <c r="D495" s="2"/>
      <c r="E495" s="2"/>
      <c r="F495" s="2"/>
      <c r="G495" s="2"/>
      <c r="H495" s="2"/>
      <c r="I495" s="2"/>
      <c r="J495" s="156"/>
      <c r="K495" s="2"/>
      <c r="L495" s="2"/>
      <c r="M495" s="2"/>
      <c r="N495" s="2"/>
      <c r="O495" s="2"/>
      <c r="P495" s="2"/>
      <c r="Q495" s="157"/>
      <c r="R495" s="157"/>
      <c r="S495" s="157"/>
      <c r="T495" s="158"/>
      <c r="U495" s="2"/>
      <c r="V495" s="30"/>
      <c r="W495" s="2"/>
      <c r="X495" s="2"/>
      <c r="Y495" s="2"/>
      <c r="Z495" s="2"/>
    </row>
    <row r="496" ht="13.5" customHeight="1">
      <c r="A496" s="2"/>
      <c r="B496" s="2"/>
      <c r="C496" s="2"/>
      <c r="D496" s="2"/>
      <c r="E496" s="2"/>
      <c r="F496" s="2"/>
      <c r="G496" s="2"/>
      <c r="H496" s="2"/>
      <c r="I496" s="2"/>
      <c r="J496" s="156"/>
      <c r="K496" s="2"/>
      <c r="L496" s="2"/>
      <c r="M496" s="2"/>
      <c r="N496" s="2"/>
      <c r="O496" s="2"/>
      <c r="P496" s="2"/>
      <c r="Q496" s="157"/>
      <c r="R496" s="157"/>
      <c r="S496" s="157"/>
      <c r="T496" s="158"/>
      <c r="U496" s="2"/>
      <c r="V496" s="30"/>
      <c r="W496" s="2"/>
      <c r="X496" s="2"/>
      <c r="Y496" s="2"/>
      <c r="Z496" s="2"/>
    </row>
    <row r="497" ht="13.5" customHeight="1">
      <c r="A497" s="2"/>
      <c r="B497" s="2"/>
      <c r="C497" s="2"/>
      <c r="D497" s="2"/>
      <c r="E497" s="2"/>
      <c r="F497" s="2"/>
      <c r="G497" s="2"/>
      <c r="H497" s="2"/>
      <c r="I497" s="2"/>
      <c r="J497" s="156"/>
      <c r="K497" s="2"/>
      <c r="L497" s="2"/>
      <c r="M497" s="2"/>
      <c r="N497" s="2"/>
      <c r="O497" s="2"/>
      <c r="P497" s="2"/>
      <c r="Q497" s="157"/>
      <c r="R497" s="157"/>
      <c r="S497" s="157"/>
      <c r="T497" s="158"/>
      <c r="U497" s="2"/>
      <c r="V497" s="30"/>
      <c r="W497" s="2"/>
      <c r="X497" s="2"/>
      <c r="Y497" s="2"/>
      <c r="Z497" s="2"/>
    </row>
    <row r="498" ht="13.5" customHeight="1">
      <c r="A498" s="2"/>
      <c r="B498" s="2"/>
      <c r="C498" s="2"/>
      <c r="D498" s="2"/>
      <c r="E498" s="2"/>
      <c r="F498" s="2"/>
      <c r="G498" s="2"/>
      <c r="H498" s="2"/>
      <c r="I498" s="2"/>
      <c r="J498" s="156"/>
      <c r="K498" s="2"/>
      <c r="L498" s="2"/>
      <c r="M498" s="2"/>
      <c r="N498" s="2"/>
      <c r="O498" s="2"/>
      <c r="P498" s="2"/>
      <c r="Q498" s="157"/>
      <c r="R498" s="157"/>
      <c r="S498" s="157"/>
      <c r="T498" s="158"/>
      <c r="U498" s="2"/>
      <c r="V498" s="30"/>
      <c r="W498" s="2"/>
      <c r="X498" s="2"/>
      <c r="Y498" s="2"/>
      <c r="Z498" s="2"/>
    </row>
    <row r="499" ht="13.5" customHeight="1">
      <c r="A499" s="2"/>
      <c r="B499" s="2"/>
      <c r="C499" s="2"/>
      <c r="D499" s="2"/>
      <c r="E499" s="2"/>
      <c r="F499" s="2"/>
      <c r="G499" s="2"/>
      <c r="H499" s="2"/>
      <c r="I499" s="2"/>
      <c r="J499" s="156"/>
      <c r="K499" s="2"/>
      <c r="L499" s="2"/>
      <c r="M499" s="2"/>
      <c r="N499" s="2"/>
      <c r="O499" s="2"/>
      <c r="P499" s="2"/>
      <c r="Q499" s="157"/>
      <c r="R499" s="157"/>
      <c r="S499" s="157"/>
      <c r="T499" s="158"/>
      <c r="U499" s="2"/>
      <c r="V499" s="30"/>
      <c r="W499" s="2"/>
      <c r="X499" s="2"/>
      <c r="Y499" s="2"/>
      <c r="Z499" s="2"/>
    </row>
    <row r="500" ht="13.5" customHeight="1">
      <c r="A500" s="2"/>
      <c r="B500" s="2"/>
      <c r="C500" s="2"/>
      <c r="D500" s="2"/>
      <c r="E500" s="2"/>
      <c r="F500" s="2"/>
      <c r="G500" s="2"/>
      <c r="H500" s="2"/>
      <c r="I500" s="2"/>
      <c r="J500" s="156"/>
      <c r="K500" s="2"/>
      <c r="L500" s="2"/>
      <c r="M500" s="2"/>
      <c r="N500" s="2"/>
      <c r="O500" s="2"/>
      <c r="P500" s="2"/>
      <c r="Q500" s="157"/>
      <c r="R500" s="157"/>
      <c r="S500" s="157"/>
      <c r="T500" s="158"/>
      <c r="U500" s="2"/>
      <c r="V500" s="30"/>
      <c r="W500" s="2"/>
      <c r="X500" s="2"/>
      <c r="Y500" s="2"/>
      <c r="Z500" s="2"/>
    </row>
    <row r="501" ht="13.5" customHeight="1">
      <c r="A501" s="2"/>
      <c r="B501" s="2"/>
      <c r="C501" s="2"/>
      <c r="D501" s="2"/>
      <c r="E501" s="2"/>
      <c r="F501" s="2"/>
      <c r="G501" s="2"/>
      <c r="H501" s="2"/>
      <c r="I501" s="2"/>
      <c r="J501" s="156"/>
      <c r="K501" s="2"/>
      <c r="L501" s="2"/>
      <c r="M501" s="2"/>
      <c r="N501" s="2"/>
      <c r="O501" s="2"/>
      <c r="P501" s="2"/>
      <c r="Q501" s="157"/>
      <c r="R501" s="157"/>
      <c r="S501" s="157"/>
      <c r="T501" s="158"/>
      <c r="U501" s="2"/>
      <c r="V501" s="30"/>
      <c r="W501" s="2"/>
      <c r="X501" s="2"/>
      <c r="Y501" s="2"/>
      <c r="Z501" s="2"/>
    </row>
    <row r="502" ht="13.5" customHeight="1">
      <c r="A502" s="2"/>
      <c r="B502" s="2"/>
      <c r="C502" s="2"/>
      <c r="D502" s="2"/>
      <c r="E502" s="2"/>
      <c r="F502" s="2"/>
      <c r="G502" s="2"/>
      <c r="H502" s="2"/>
      <c r="I502" s="2"/>
      <c r="J502" s="156"/>
      <c r="K502" s="2"/>
      <c r="L502" s="2"/>
      <c r="M502" s="2"/>
      <c r="N502" s="2"/>
      <c r="O502" s="2"/>
      <c r="P502" s="2"/>
      <c r="Q502" s="157"/>
      <c r="R502" s="157"/>
      <c r="S502" s="157"/>
      <c r="T502" s="158"/>
      <c r="U502" s="2"/>
      <c r="V502" s="30"/>
      <c r="W502" s="2"/>
      <c r="X502" s="2"/>
      <c r="Y502" s="2"/>
      <c r="Z502" s="2"/>
    </row>
    <row r="503" ht="13.5" customHeight="1">
      <c r="A503" s="2"/>
      <c r="B503" s="2"/>
      <c r="C503" s="2"/>
      <c r="D503" s="2"/>
      <c r="E503" s="2"/>
      <c r="F503" s="2"/>
      <c r="G503" s="2"/>
      <c r="H503" s="2"/>
      <c r="I503" s="2"/>
      <c r="J503" s="156"/>
      <c r="K503" s="2"/>
      <c r="L503" s="2"/>
      <c r="M503" s="2"/>
      <c r="N503" s="2"/>
      <c r="O503" s="2"/>
      <c r="P503" s="2"/>
      <c r="Q503" s="157"/>
      <c r="R503" s="157"/>
      <c r="S503" s="157"/>
      <c r="T503" s="158"/>
      <c r="U503" s="2"/>
      <c r="V503" s="30"/>
      <c r="W503" s="2"/>
      <c r="X503" s="2"/>
      <c r="Y503" s="2"/>
      <c r="Z503" s="2"/>
    </row>
    <row r="504" ht="13.5" customHeight="1">
      <c r="A504" s="2"/>
      <c r="B504" s="2"/>
      <c r="C504" s="2"/>
      <c r="D504" s="2"/>
      <c r="E504" s="2"/>
      <c r="F504" s="2"/>
      <c r="G504" s="2"/>
      <c r="H504" s="2"/>
      <c r="I504" s="2"/>
      <c r="J504" s="156"/>
      <c r="K504" s="2"/>
      <c r="L504" s="2"/>
      <c r="M504" s="2"/>
      <c r="N504" s="2"/>
      <c r="O504" s="2"/>
      <c r="P504" s="2"/>
      <c r="Q504" s="157"/>
      <c r="R504" s="157"/>
      <c r="S504" s="157"/>
      <c r="T504" s="158"/>
      <c r="U504" s="2"/>
      <c r="V504" s="30"/>
      <c r="W504" s="2"/>
      <c r="X504" s="2"/>
      <c r="Y504" s="2"/>
      <c r="Z504" s="2"/>
    </row>
    <row r="505" ht="13.5" customHeight="1">
      <c r="A505" s="2"/>
      <c r="B505" s="2"/>
      <c r="C505" s="2"/>
      <c r="D505" s="2"/>
      <c r="E505" s="2"/>
      <c r="F505" s="2"/>
      <c r="G505" s="2"/>
      <c r="H505" s="2"/>
      <c r="I505" s="2"/>
      <c r="J505" s="156"/>
      <c r="K505" s="2"/>
      <c r="L505" s="2"/>
      <c r="M505" s="2"/>
      <c r="N505" s="2"/>
      <c r="O505" s="2"/>
      <c r="P505" s="2"/>
      <c r="Q505" s="157"/>
      <c r="R505" s="157"/>
      <c r="S505" s="157"/>
      <c r="T505" s="158"/>
      <c r="U505" s="2"/>
      <c r="V505" s="30"/>
      <c r="W505" s="2"/>
      <c r="X505" s="2"/>
      <c r="Y505" s="2"/>
      <c r="Z505" s="2"/>
    </row>
    <row r="506" ht="13.5" customHeight="1">
      <c r="A506" s="2"/>
      <c r="B506" s="2"/>
      <c r="C506" s="2"/>
      <c r="D506" s="2"/>
      <c r="E506" s="2"/>
      <c r="F506" s="2"/>
      <c r="G506" s="2"/>
      <c r="H506" s="2"/>
      <c r="I506" s="2"/>
      <c r="J506" s="156"/>
      <c r="K506" s="2"/>
      <c r="L506" s="2"/>
      <c r="M506" s="2"/>
      <c r="N506" s="2"/>
      <c r="O506" s="2"/>
      <c r="P506" s="2"/>
      <c r="Q506" s="157"/>
      <c r="R506" s="157"/>
      <c r="S506" s="157"/>
      <c r="T506" s="158"/>
      <c r="U506" s="2"/>
      <c r="V506" s="30"/>
      <c r="W506" s="2"/>
      <c r="X506" s="2"/>
      <c r="Y506" s="2"/>
      <c r="Z506" s="2"/>
    </row>
    <row r="507" ht="13.5" customHeight="1">
      <c r="A507" s="2"/>
      <c r="B507" s="2"/>
      <c r="C507" s="2"/>
      <c r="D507" s="2"/>
      <c r="E507" s="2"/>
      <c r="F507" s="2"/>
      <c r="G507" s="2"/>
      <c r="H507" s="2"/>
      <c r="I507" s="2"/>
      <c r="J507" s="156"/>
      <c r="K507" s="2"/>
      <c r="L507" s="2"/>
      <c r="M507" s="2"/>
      <c r="N507" s="2"/>
      <c r="O507" s="2"/>
      <c r="P507" s="2"/>
      <c r="Q507" s="157"/>
      <c r="R507" s="157"/>
      <c r="S507" s="157"/>
      <c r="T507" s="158"/>
      <c r="U507" s="2"/>
      <c r="V507" s="30"/>
      <c r="W507" s="2"/>
      <c r="X507" s="2"/>
      <c r="Y507" s="2"/>
      <c r="Z507" s="2"/>
    </row>
    <row r="508" ht="13.5" customHeight="1">
      <c r="A508" s="2"/>
      <c r="B508" s="2"/>
      <c r="C508" s="2"/>
      <c r="D508" s="2"/>
      <c r="E508" s="2"/>
      <c r="F508" s="2"/>
      <c r="G508" s="2"/>
      <c r="H508" s="2"/>
      <c r="I508" s="2"/>
      <c r="J508" s="156"/>
      <c r="K508" s="2"/>
      <c r="L508" s="2"/>
      <c r="M508" s="2"/>
      <c r="N508" s="2"/>
      <c r="O508" s="2"/>
      <c r="P508" s="2"/>
      <c r="Q508" s="157"/>
      <c r="R508" s="157"/>
      <c r="S508" s="157"/>
      <c r="T508" s="158"/>
      <c r="U508" s="2"/>
      <c r="V508" s="30"/>
      <c r="W508" s="2"/>
      <c r="X508" s="2"/>
      <c r="Y508" s="2"/>
      <c r="Z508" s="2"/>
    </row>
    <row r="509" ht="13.5" customHeight="1">
      <c r="A509" s="2"/>
      <c r="B509" s="2"/>
      <c r="C509" s="2"/>
      <c r="D509" s="2"/>
      <c r="E509" s="2"/>
      <c r="F509" s="2"/>
      <c r="G509" s="2"/>
      <c r="H509" s="2"/>
      <c r="I509" s="2"/>
      <c r="J509" s="156"/>
      <c r="K509" s="2"/>
      <c r="L509" s="2"/>
      <c r="M509" s="2"/>
      <c r="N509" s="2"/>
      <c r="O509" s="2"/>
      <c r="P509" s="2"/>
      <c r="Q509" s="157"/>
      <c r="R509" s="157"/>
      <c r="S509" s="157"/>
      <c r="T509" s="158"/>
      <c r="U509" s="2"/>
      <c r="V509" s="30"/>
      <c r="W509" s="2"/>
      <c r="X509" s="2"/>
      <c r="Y509" s="2"/>
      <c r="Z509" s="2"/>
    </row>
    <row r="510" ht="13.5" customHeight="1">
      <c r="A510" s="2"/>
      <c r="B510" s="2"/>
      <c r="C510" s="2"/>
      <c r="D510" s="2"/>
      <c r="E510" s="2"/>
      <c r="F510" s="2"/>
      <c r="G510" s="2"/>
      <c r="H510" s="2"/>
      <c r="I510" s="2"/>
      <c r="J510" s="156"/>
      <c r="K510" s="2"/>
      <c r="L510" s="2"/>
      <c r="M510" s="2"/>
      <c r="N510" s="2"/>
      <c r="O510" s="2"/>
      <c r="P510" s="2"/>
      <c r="Q510" s="157"/>
      <c r="R510" s="157"/>
      <c r="S510" s="157"/>
      <c r="T510" s="158"/>
      <c r="U510" s="2"/>
      <c r="V510" s="30"/>
      <c r="W510" s="2"/>
      <c r="X510" s="2"/>
      <c r="Y510" s="2"/>
      <c r="Z510" s="2"/>
    </row>
    <row r="511" ht="13.5" customHeight="1">
      <c r="A511" s="2"/>
      <c r="B511" s="2"/>
      <c r="C511" s="2"/>
      <c r="D511" s="2"/>
      <c r="E511" s="2"/>
      <c r="F511" s="2"/>
      <c r="G511" s="2"/>
      <c r="H511" s="2"/>
      <c r="I511" s="2"/>
      <c r="J511" s="156"/>
      <c r="K511" s="2"/>
      <c r="L511" s="2"/>
      <c r="M511" s="2"/>
      <c r="N511" s="2"/>
      <c r="O511" s="2"/>
      <c r="P511" s="2"/>
      <c r="Q511" s="157"/>
      <c r="R511" s="157"/>
      <c r="S511" s="157"/>
      <c r="T511" s="158"/>
      <c r="U511" s="2"/>
      <c r="V511" s="30"/>
      <c r="W511" s="2"/>
      <c r="X511" s="2"/>
      <c r="Y511" s="2"/>
      <c r="Z511" s="2"/>
    </row>
    <row r="512" ht="13.5" customHeight="1">
      <c r="A512" s="2"/>
      <c r="B512" s="2"/>
      <c r="C512" s="2"/>
      <c r="D512" s="2"/>
      <c r="E512" s="2"/>
      <c r="F512" s="2"/>
      <c r="G512" s="2"/>
      <c r="H512" s="2"/>
      <c r="I512" s="2"/>
      <c r="J512" s="156"/>
      <c r="K512" s="2"/>
      <c r="L512" s="2"/>
      <c r="M512" s="2"/>
      <c r="N512" s="2"/>
      <c r="O512" s="2"/>
      <c r="P512" s="2"/>
      <c r="Q512" s="157"/>
      <c r="R512" s="157"/>
      <c r="S512" s="157"/>
      <c r="T512" s="158"/>
      <c r="U512" s="2"/>
      <c r="V512" s="30"/>
      <c r="W512" s="2"/>
      <c r="X512" s="2"/>
      <c r="Y512" s="2"/>
      <c r="Z512" s="2"/>
    </row>
    <row r="513" ht="13.5" customHeight="1">
      <c r="A513" s="2"/>
      <c r="B513" s="2"/>
      <c r="C513" s="2"/>
      <c r="D513" s="2"/>
      <c r="E513" s="2"/>
      <c r="F513" s="2"/>
      <c r="G513" s="2"/>
      <c r="H513" s="2"/>
      <c r="I513" s="2"/>
      <c r="J513" s="156"/>
      <c r="K513" s="2"/>
      <c r="L513" s="2"/>
      <c r="M513" s="2"/>
      <c r="N513" s="2"/>
      <c r="O513" s="2"/>
      <c r="P513" s="2"/>
      <c r="Q513" s="157"/>
      <c r="R513" s="157"/>
      <c r="S513" s="157"/>
      <c r="T513" s="158"/>
      <c r="U513" s="2"/>
      <c r="V513" s="30"/>
      <c r="W513" s="2"/>
      <c r="X513" s="2"/>
      <c r="Y513" s="2"/>
      <c r="Z513" s="2"/>
    </row>
    <row r="514" ht="13.5" customHeight="1">
      <c r="A514" s="2"/>
      <c r="B514" s="2"/>
      <c r="C514" s="2"/>
      <c r="D514" s="2"/>
      <c r="E514" s="2"/>
      <c r="F514" s="2"/>
      <c r="G514" s="2"/>
      <c r="H514" s="2"/>
      <c r="I514" s="2"/>
      <c r="J514" s="156"/>
      <c r="K514" s="2"/>
      <c r="L514" s="2"/>
      <c r="M514" s="2"/>
      <c r="N514" s="2"/>
      <c r="O514" s="2"/>
      <c r="P514" s="2"/>
      <c r="Q514" s="157"/>
      <c r="R514" s="157"/>
      <c r="S514" s="157"/>
      <c r="T514" s="158"/>
      <c r="U514" s="2"/>
      <c r="V514" s="30"/>
      <c r="W514" s="2"/>
      <c r="X514" s="2"/>
      <c r="Y514" s="2"/>
      <c r="Z514" s="2"/>
    </row>
    <row r="515" ht="13.5" customHeight="1">
      <c r="A515" s="2"/>
      <c r="B515" s="2"/>
      <c r="C515" s="2"/>
      <c r="D515" s="2"/>
      <c r="E515" s="2"/>
      <c r="F515" s="2"/>
      <c r="G515" s="2"/>
      <c r="H515" s="2"/>
      <c r="I515" s="2"/>
      <c r="J515" s="156"/>
      <c r="K515" s="2"/>
      <c r="L515" s="2"/>
      <c r="M515" s="2"/>
      <c r="N515" s="2"/>
      <c r="O515" s="2"/>
      <c r="P515" s="2"/>
      <c r="Q515" s="157"/>
      <c r="R515" s="157"/>
      <c r="S515" s="157"/>
      <c r="T515" s="158"/>
      <c r="U515" s="2"/>
      <c r="V515" s="30"/>
      <c r="W515" s="2"/>
      <c r="X515" s="2"/>
      <c r="Y515" s="2"/>
      <c r="Z515" s="2"/>
    </row>
    <row r="516" ht="13.5" customHeight="1">
      <c r="A516" s="2"/>
      <c r="B516" s="2"/>
      <c r="C516" s="2"/>
      <c r="D516" s="2"/>
      <c r="E516" s="2"/>
      <c r="F516" s="2"/>
      <c r="G516" s="2"/>
      <c r="H516" s="2"/>
      <c r="I516" s="2"/>
      <c r="J516" s="156"/>
      <c r="K516" s="2"/>
      <c r="L516" s="2"/>
      <c r="M516" s="2"/>
      <c r="N516" s="2"/>
      <c r="O516" s="2"/>
      <c r="P516" s="2"/>
      <c r="Q516" s="157"/>
      <c r="R516" s="157"/>
      <c r="S516" s="157"/>
      <c r="T516" s="158"/>
      <c r="U516" s="2"/>
      <c r="V516" s="30"/>
      <c r="W516" s="2"/>
      <c r="X516" s="2"/>
      <c r="Y516" s="2"/>
      <c r="Z516" s="2"/>
    </row>
    <row r="517" ht="13.5" customHeight="1">
      <c r="A517" s="2"/>
      <c r="B517" s="2"/>
      <c r="C517" s="2"/>
      <c r="D517" s="2"/>
      <c r="E517" s="2"/>
      <c r="F517" s="2"/>
      <c r="G517" s="2"/>
      <c r="H517" s="2"/>
      <c r="I517" s="2"/>
      <c r="J517" s="156"/>
      <c r="K517" s="2"/>
      <c r="L517" s="2"/>
      <c r="M517" s="2"/>
      <c r="N517" s="2"/>
      <c r="O517" s="2"/>
      <c r="P517" s="2"/>
      <c r="Q517" s="157"/>
      <c r="R517" s="157"/>
      <c r="S517" s="157"/>
      <c r="T517" s="158"/>
      <c r="U517" s="2"/>
      <c r="V517" s="30"/>
      <c r="W517" s="2"/>
      <c r="X517" s="2"/>
      <c r="Y517" s="2"/>
      <c r="Z517" s="2"/>
    </row>
    <row r="518" ht="13.5" customHeight="1">
      <c r="A518" s="2"/>
      <c r="B518" s="2"/>
      <c r="C518" s="2"/>
      <c r="D518" s="2"/>
      <c r="E518" s="2"/>
      <c r="F518" s="2"/>
      <c r="G518" s="2"/>
      <c r="H518" s="2"/>
      <c r="I518" s="2"/>
      <c r="J518" s="156"/>
      <c r="K518" s="2"/>
      <c r="L518" s="2"/>
      <c r="M518" s="2"/>
      <c r="N518" s="2"/>
      <c r="O518" s="2"/>
      <c r="P518" s="2"/>
      <c r="Q518" s="157"/>
      <c r="R518" s="157"/>
      <c r="S518" s="157"/>
      <c r="T518" s="158"/>
      <c r="U518" s="2"/>
      <c r="V518" s="30"/>
      <c r="W518" s="2"/>
      <c r="X518" s="2"/>
      <c r="Y518" s="2"/>
      <c r="Z518" s="2"/>
    </row>
    <row r="519" ht="13.5" customHeight="1">
      <c r="A519" s="2"/>
      <c r="B519" s="2"/>
      <c r="C519" s="2"/>
      <c r="D519" s="2"/>
      <c r="E519" s="2"/>
      <c r="F519" s="2"/>
      <c r="G519" s="2"/>
      <c r="H519" s="2"/>
      <c r="I519" s="2"/>
      <c r="J519" s="156"/>
      <c r="K519" s="2"/>
      <c r="L519" s="2"/>
      <c r="M519" s="2"/>
      <c r="N519" s="2"/>
      <c r="O519" s="2"/>
      <c r="P519" s="2"/>
      <c r="Q519" s="157"/>
      <c r="R519" s="157"/>
      <c r="S519" s="157"/>
      <c r="T519" s="158"/>
      <c r="U519" s="2"/>
      <c r="V519" s="30"/>
      <c r="W519" s="2"/>
      <c r="X519" s="2"/>
      <c r="Y519" s="2"/>
      <c r="Z519" s="2"/>
    </row>
    <row r="520" ht="13.5" customHeight="1">
      <c r="A520" s="2"/>
      <c r="B520" s="2"/>
      <c r="C520" s="2"/>
      <c r="D520" s="2"/>
      <c r="E520" s="2"/>
      <c r="F520" s="2"/>
      <c r="G520" s="2"/>
      <c r="H520" s="2"/>
      <c r="I520" s="2"/>
      <c r="J520" s="156"/>
      <c r="K520" s="2"/>
      <c r="L520" s="2"/>
      <c r="M520" s="2"/>
      <c r="N520" s="2"/>
      <c r="O520" s="2"/>
      <c r="P520" s="2"/>
      <c r="Q520" s="157"/>
      <c r="R520" s="157"/>
      <c r="S520" s="157"/>
      <c r="T520" s="158"/>
      <c r="U520" s="2"/>
      <c r="V520" s="30"/>
      <c r="W520" s="2"/>
      <c r="X520" s="2"/>
      <c r="Y520" s="2"/>
      <c r="Z520" s="2"/>
    </row>
    <row r="521" ht="13.5" customHeight="1">
      <c r="A521" s="2"/>
      <c r="B521" s="2"/>
      <c r="C521" s="2"/>
      <c r="D521" s="2"/>
      <c r="E521" s="2"/>
      <c r="F521" s="2"/>
      <c r="G521" s="2"/>
      <c r="H521" s="2"/>
      <c r="I521" s="2"/>
      <c r="J521" s="156"/>
      <c r="K521" s="2"/>
      <c r="L521" s="2"/>
      <c r="M521" s="2"/>
      <c r="N521" s="2"/>
      <c r="O521" s="2"/>
      <c r="P521" s="2"/>
      <c r="Q521" s="157"/>
      <c r="R521" s="157"/>
      <c r="S521" s="157"/>
      <c r="T521" s="158"/>
      <c r="U521" s="2"/>
      <c r="V521" s="30"/>
      <c r="W521" s="2"/>
      <c r="X521" s="2"/>
      <c r="Y521" s="2"/>
      <c r="Z521" s="2"/>
    </row>
    <row r="522" ht="13.5" customHeight="1">
      <c r="A522" s="2"/>
      <c r="B522" s="2"/>
      <c r="C522" s="2"/>
      <c r="D522" s="2"/>
      <c r="E522" s="2"/>
      <c r="F522" s="2"/>
      <c r="G522" s="2"/>
      <c r="H522" s="2"/>
      <c r="I522" s="2"/>
      <c r="J522" s="156"/>
      <c r="K522" s="2"/>
      <c r="L522" s="2"/>
      <c r="M522" s="2"/>
      <c r="N522" s="2"/>
      <c r="O522" s="2"/>
      <c r="P522" s="2"/>
      <c r="Q522" s="157"/>
      <c r="R522" s="157"/>
      <c r="S522" s="157"/>
      <c r="T522" s="158"/>
      <c r="U522" s="2"/>
      <c r="V522" s="30"/>
      <c r="W522" s="2"/>
      <c r="X522" s="2"/>
      <c r="Y522" s="2"/>
      <c r="Z522" s="2"/>
    </row>
    <row r="523" ht="13.5" customHeight="1">
      <c r="A523" s="2"/>
      <c r="B523" s="2"/>
      <c r="C523" s="2"/>
      <c r="D523" s="2"/>
      <c r="E523" s="2"/>
      <c r="F523" s="2"/>
      <c r="G523" s="2"/>
      <c r="H523" s="2"/>
      <c r="I523" s="2"/>
      <c r="J523" s="156"/>
      <c r="K523" s="2"/>
      <c r="L523" s="2"/>
      <c r="M523" s="2"/>
      <c r="N523" s="2"/>
      <c r="O523" s="2"/>
      <c r="P523" s="2"/>
      <c r="Q523" s="157"/>
      <c r="R523" s="157"/>
      <c r="S523" s="157"/>
      <c r="T523" s="158"/>
      <c r="U523" s="2"/>
      <c r="V523" s="30"/>
      <c r="W523" s="2"/>
      <c r="X523" s="2"/>
      <c r="Y523" s="2"/>
      <c r="Z523" s="2"/>
    </row>
    <row r="524" ht="13.5" customHeight="1">
      <c r="A524" s="2"/>
      <c r="B524" s="2"/>
      <c r="C524" s="2"/>
      <c r="D524" s="2"/>
      <c r="E524" s="2"/>
      <c r="F524" s="2"/>
      <c r="G524" s="2"/>
      <c r="H524" s="2"/>
      <c r="I524" s="2"/>
      <c r="J524" s="156"/>
      <c r="K524" s="2"/>
      <c r="L524" s="2"/>
      <c r="M524" s="2"/>
      <c r="N524" s="2"/>
      <c r="O524" s="2"/>
      <c r="P524" s="2"/>
      <c r="Q524" s="157"/>
      <c r="R524" s="157"/>
      <c r="S524" s="157"/>
      <c r="T524" s="158"/>
      <c r="U524" s="2"/>
      <c r="V524" s="30"/>
      <c r="W524" s="2"/>
      <c r="X524" s="2"/>
      <c r="Y524" s="2"/>
      <c r="Z524" s="2"/>
    </row>
    <row r="525" ht="13.5" customHeight="1">
      <c r="A525" s="2"/>
      <c r="B525" s="2"/>
      <c r="C525" s="2"/>
      <c r="D525" s="2"/>
      <c r="E525" s="2"/>
      <c r="F525" s="2"/>
      <c r="G525" s="2"/>
      <c r="H525" s="2"/>
      <c r="I525" s="2"/>
      <c r="J525" s="156"/>
      <c r="K525" s="2"/>
      <c r="L525" s="2"/>
      <c r="M525" s="2"/>
      <c r="N525" s="2"/>
      <c r="O525" s="2"/>
      <c r="P525" s="2"/>
      <c r="Q525" s="157"/>
      <c r="R525" s="157"/>
      <c r="S525" s="157"/>
      <c r="T525" s="158"/>
      <c r="U525" s="2"/>
      <c r="V525" s="30"/>
      <c r="W525" s="2"/>
      <c r="X525" s="2"/>
      <c r="Y525" s="2"/>
      <c r="Z525" s="2"/>
    </row>
    <row r="526" ht="13.5" customHeight="1">
      <c r="A526" s="2"/>
      <c r="B526" s="2"/>
      <c r="C526" s="2"/>
      <c r="D526" s="2"/>
      <c r="E526" s="2"/>
      <c r="F526" s="2"/>
      <c r="G526" s="2"/>
      <c r="H526" s="2"/>
      <c r="I526" s="2"/>
      <c r="J526" s="156"/>
      <c r="K526" s="2"/>
      <c r="L526" s="2"/>
      <c r="M526" s="2"/>
      <c r="N526" s="2"/>
      <c r="O526" s="2"/>
      <c r="P526" s="2"/>
      <c r="Q526" s="157"/>
      <c r="R526" s="157"/>
      <c r="S526" s="157"/>
      <c r="T526" s="158"/>
      <c r="U526" s="2"/>
      <c r="V526" s="30"/>
      <c r="W526" s="2"/>
      <c r="X526" s="2"/>
      <c r="Y526" s="2"/>
      <c r="Z526" s="2"/>
    </row>
    <row r="527" ht="13.5" customHeight="1">
      <c r="A527" s="2"/>
      <c r="B527" s="2"/>
      <c r="C527" s="2"/>
      <c r="D527" s="2"/>
      <c r="E527" s="2"/>
      <c r="F527" s="2"/>
      <c r="G527" s="2"/>
      <c r="H527" s="2"/>
      <c r="I527" s="2"/>
      <c r="J527" s="156"/>
      <c r="K527" s="2"/>
      <c r="L527" s="2"/>
      <c r="M527" s="2"/>
      <c r="N527" s="2"/>
      <c r="O527" s="2"/>
      <c r="P527" s="2"/>
      <c r="Q527" s="157"/>
      <c r="R527" s="157"/>
      <c r="S527" s="157"/>
      <c r="T527" s="158"/>
      <c r="U527" s="2"/>
      <c r="V527" s="30"/>
      <c r="W527" s="2"/>
      <c r="X527" s="2"/>
      <c r="Y527" s="2"/>
      <c r="Z527" s="2"/>
    </row>
    <row r="528" ht="13.5" customHeight="1">
      <c r="A528" s="2"/>
      <c r="B528" s="2"/>
      <c r="C528" s="2"/>
      <c r="D528" s="2"/>
      <c r="E528" s="2"/>
      <c r="F528" s="2"/>
      <c r="G528" s="2"/>
      <c r="H528" s="2"/>
      <c r="I528" s="2"/>
      <c r="J528" s="156"/>
      <c r="K528" s="2"/>
      <c r="L528" s="2"/>
      <c r="M528" s="2"/>
      <c r="N528" s="2"/>
      <c r="O528" s="2"/>
      <c r="P528" s="2"/>
      <c r="Q528" s="157"/>
      <c r="R528" s="157"/>
      <c r="S528" s="157"/>
      <c r="T528" s="158"/>
      <c r="U528" s="2"/>
      <c r="V528" s="30"/>
      <c r="W528" s="2"/>
      <c r="X528" s="2"/>
      <c r="Y528" s="2"/>
      <c r="Z528" s="2"/>
    </row>
    <row r="529" ht="13.5" customHeight="1">
      <c r="A529" s="2"/>
      <c r="B529" s="2"/>
      <c r="C529" s="2"/>
      <c r="D529" s="2"/>
      <c r="E529" s="2"/>
      <c r="F529" s="2"/>
      <c r="G529" s="2"/>
      <c r="H529" s="2"/>
      <c r="I529" s="2"/>
      <c r="J529" s="156"/>
      <c r="K529" s="2"/>
      <c r="L529" s="2"/>
      <c r="M529" s="2"/>
      <c r="N529" s="2"/>
      <c r="O529" s="2"/>
      <c r="P529" s="2"/>
      <c r="Q529" s="157"/>
      <c r="R529" s="157"/>
      <c r="S529" s="157"/>
      <c r="T529" s="158"/>
      <c r="U529" s="2"/>
      <c r="V529" s="30"/>
      <c r="W529" s="2"/>
      <c r="X529" s="2"/>
      <c r="Y529" s="2"/>
      <c r="Z529" s="2"/>
    </row>
    <row r="530" ht="13.5" customHeight="1">
      <c r="A530" s="2"/>
      <c r="B530" s="2"/>
      <c r="C530" s="2"/>
      <c r="D530" s="2"/>
      <c r="E530" s="2"/>
      <c r="F530" s="2"/>
      <c r="G530" s="2"/>
      <c r="H530" s="2"/>
      <c r="I530" s="2"/>
      <c r="J530" s="156"/>
      <c r="K530" s="2"/>
      <c r="L530" s="2"/>
      <c r="M530" s="2"/>
      <c r="N530" s="2"/>
      <c r="O530" s="2"/>
      <c r="P530" s="2"/>
      <c r="Q530" s="157"/>
      <c r="R530" s="157"/>
      <c r="S530" s="157"/>
      <c r="T530" s="158"/>
      <c r="U530" s="2"/>
      <c r="V530" s="30"/>
      <c r="W530" s="2"/>
      <c r="X530" s="2"/>
      <c r="Y530" s="2"/>
      <c r="Z530" s="2"/>
    </row>
    <row r="531" ht="13.5" customHeight="1">
      <c r="A531" s="2"/>
      <c r="B531" s="2"/>
      <c r="C531" s="2"/>
      <c r="D531" s="2"/>
      <c r="E531" s="2"/>
      <c r="F531" s="2"/>
      <c r="G531" s="2"/>
      <c r="H531" s="2"/>
      <c r="I531" s="2"/>
      <c r="J531" s="156"/>
      <c r="K531" s="2"/>
      <c r="L531" s="2"/>
      <c r="M531" s="2"/>
      <c r="N531" s="2"/>
      <c r="O531" s="2"/>
      <c r="P531" s="2"/>
      <c r="Q531" s="157"/>
      <c r="R531" s="157"/>
      <c r="S531" s="157"/>
      <c r="T531" s="158"/>
      <c r="U531" s="2"/>
      <c r="V531" s="30"/>
      <c r="W531" s="2"/>
      <c r="X531" s="2"/>
      <c r="Y531" s="2"/>
      <c r="Z531" s="2"/>
    </row>
    <row r="532" ht="13.5" customHeight="1">
      <c r="A532" s="2"/>
      <c r="B532" s="2"/>
      <c r="C532" s="2"/>
      <c r="D532" s="2"/>
      <c r="E532" s="2"/>
      <c r="F532" s="2"/>
      <c r="G532" s="2"/>
      <c r="H532" s="2"/>
      <c r="I532" s="2"/>
      <c r="J532" s="156"/>
      <c r="K532" s="2"/>
      <c r="L532" s="2"/>
      <c r="M532" s="2"/>
      <c r="N532" s="2"/>
      <c r="O532" s="2"/>
      <c r="P532" s="2"/>
      <c r="Q532" s="157"/>
      <c r="R532" s="157"/>
      <c r="S532" s="157"/>
      <c r="T532" s="158"/>
      <c r="U532" s="2"/>
      <c r="V532" s="30"/>
      <c r="W532" s="2"/>
      <c r="X532" s="2"/>
      <c r="Y532" s="2"/>
      <c r="Z532" s="2"/>
    </row>
    <row r="533" ht="13.5" customHeight="1">
      <c r="A533" s="2"/>
      <c r="B533" s="2"/>
      <c r="C533" s="2"/>
      <c r="D533" s="2"/>
      <c r="E533" s="2"/>
      <c r="F533" s="2"/>
      <c r="G533" s="2"/>
      <c r="H533" s="2"/>
      <c r="I533" s="2"/>
      <c r="J533" s="156"/>
      <c r="K533" s="2"/>
      <c r="L533" s="2"/>
      <c r="M533" s="2"/>
      <c r="N533" s="2"/>
      <c r="O533" s="2"/>
      <c r="P533" s="2"/>
      <c r="Q533" s="157"/>
      <c r="R533" s="157"/>
      <c r="S533" s="157"/>
      <c r="T533" s="158"/>
      <c r="U533" s="2"/>
      <c r="V533" s="30"/>
      <c r="W533" s="2"/>
      <c r="X533" s="2"/>
      <c r="Y533" s="2"/>
      <c r="Z533" s="2"/>
    </row>
    <row r="534" ht="13.5" customHeight="1">
      <c r="A534" s="2"/>
      <c r="B534" s="2"/>
      <c r="C534" s="2"/>
      <c r="D534" s="2"/>
      <c r="E534" s="2"/>
      <c r="F534" s="2"/>
      <c r="G534" s="2"/>
      <c r="H534" s="2"/>
      <c r="I534" s="2"/>
      <c r="J534" s="156"/>
      <c r="K534" s="2"/>
      <c r="L534" s="2"/>
      <c r="M534" s="2"/>
      <c r="N534" s="2"/>
      <c r="O534" s="2"/>
      <c r="P534" s="2"/>
      <c r="Q534" s="157"/>
      <c r="R534" s="157"/>
      <c r="S534" s="157"/>
      <c r="T534" s="158"/>
      <c r="U534" s="2"/>
      <c r="V534" s="30"/>
      <c r="W534" s="2"/>
      <c r="X534" s="2"/>
      <c r="Y534" s="2"/>
      <c r="Z534" s="2"/>
    </row>
    <row r="535" ht="13.5" customHeight="1">
      <c r="A535" s="2"/>
      <c r="B535" s="2"/>
      <c r="C535" s="2"/>
      <c r="D535" s="2"/>
      <c r="E535" s="2"/>
      <c r="F535" s="2"/>
      <c r="G535" s="2"/>
      <c r="H535" s="2"/>
      <c r="I535" s="2"/>
      <c r="J535" s="156"/>
      <c r="K535" s="2"/>
      <c r="L535" s="2"/>
      <c r="M535" s="2"/>
      <c r="N535" s="2"/>
      <c r="O535" s="2"/>
      <c r="P535" s="2"/>
      <c r="Q535" s="157"/>
      <c r="R535" s="157"/>
      <c r="S535" s="157"/>
      <c r="T535" s="158"/>
      <c r="U535" s="2"/>
      <c r="V535" s="30"/>
      <c r="W535" s="2"/>
      <c r="X535" s="2"/>
      <c r="Y535" s="2"/>
      <c r="Z535" s="2"/>
    </row>
    <row r="536" ht="13.5" customHeight="1">
      <c r="A536" s="2"/>
      <c r="B536" s="2"/>
      <c r="C536" s="2"/>
      <c r="D536" s="2"/>
      <c r="E536" s="2"/>
      <c r="F536" s="2"/>
      <c r="G536" s="2"/>
      <c r="H536" s="2"/>
      <c r="I536" s="2"/>
      <c r="J536" s="156"/>
      <c r="K536" s="2"/>
      <c r="L536" s="2"/>
      <c r="M536" s="2"/>
      <c r="N536" s="2"/>
      <c r="O536" s="2"/>
      <c r="P536" s="2"/>
      <c r="Q536" s="157"/>
      <c r="R536" s="157"/>
      <c r="S536" s="157"/>
      <c r="T536" s="158"/>
      <c r="U536" s="2"/>
      <c r="V536" s="30"/>
      <c r="W536" s="2"/>
      <c r="X536" s="2"/>
      <c r="Y536" s="2"/>
      <c r="Z536" s="2"/>
    </row>
    <row r="537" ht="13.5" customHeight="1">
      <c r="A537" s="2"/>
      <c r="B537" s="2"/>
      <c r="C537" s="2"/>
      <c r="D537" s="2"/>
      <c r="E537" s="2"/>
      <c r="F537" s="2"/>
      <c r="G537" s="2"/>
      <c r="H537" s="2"/>
      <c r="I537" s="2"/>
      <c r="J537" s="156"/>
      <c r="K537" s="2"/>
      <c r="L537" s="2"/>
      <c r="M537" s="2"/>
      <c r="N537" s="2"/>
      <c r="O537" s="2"/>
      <c r="P537" s="2"/>
      <c r="Q537" s="157"/>
      <c r="R537" s="157"/>
      <c r="S537" s="157"/>
      <c r="T537" s="158"/>
      <c r="U537" s="2"/>
      <c r="V537" s="30"/>
      <c r="W537" s="2"/>
      <c r="X537" s="2"/>
      <c r="Y537" s="2"/>
      <c r="Z537" s="2"/>
    </row>
    <row r="538" ht="13.5" customHeight="1">
      <c r="A538" s="2"/>
      <c r="B538" s="2"/>
      <c r="C538" s="2"/>
      <c r="D538" s="2"/>
      <c r="E538" s="2"/>
      <c r="F538" s="2"/>
      <c r="G538" s="2"/>
      <c r="H538" s="2"/>
      <c r="I538" s="2"/>
      <c r="J538" s="156"/>
      <c r="K538" s="2"/>
      <c r="L538" s="2"/>
      <c r="M538" s="2"/>
      <c r="N538" s="2"/>
      <c r="O538" s="2"/>
      <c r="P538" s="2"/>
      <c r="Q538" s="157"/>
      <c r="R538" s="157"/>
      <c r="S538" s="157"/>
      <c r="T538" s="158"/>
      <c r="U538" s="2"/>
      <c r="V538" s="30"/>
      <c r="W538" s="2"/>
      <c r="X538" s="2"/>
      <c r="Y538" s="2"/>
      <c r="Z538" s="2"/>
    </row>
    <row r="539" ht="13.5" customHeight="1">
      <c r="A539" s="2"/>
      <c r="B539" s="2"/>
      <c r="C539" s="2"/>
      <c r="D539" s="2"/>
      <c r="E539" s="2"/>
      <c r="F539" s="2"/>
      <c r="G539" s="2"/>
      <c r="H539" s="2"/>
      <c r="I539" s="2"/>
      <c r="J539" s="156"/>
      <c r="K539" s="2"/>
      <c r="L539" s="2"/>
      <c r="M539" s="2"/>
      <c r="N539" s="2"/>
      <c r="O539" s="2"/>
      <c r="P539" s="2"/>
      <c r="Q539" s="157"/>
      <c r="R539" s="157"/>
      <c r="S539" s="157"/>
      <c r="T539" s="158"/>
      <c r="U539" s="2"/>
      <c r="V539" s="30"/>
      <c r="W539" s="2"/>
      <c r="X539" s="2"/>
      <c r="Y539" s="2"/>
      <c r="Z539" s="2"/>
    </row>
    <row r="540" ht="13.5" customHeight="1">
      <c r="A540" s="2"/>
      <c r="B540" s="2"/>
      <c r="C540" s="2"/>
      <c r="D540" s="2"/>
      <c r="E540" s="2"/>
      <c r="F540" s="2"/>
      <c r="G540" s="2"/>
      <c r="H540" s="2"/>
      <c r="I540" s="2"/>
      <c r="J540" s="156"/>
      <c r="K540" s="2"/>
      <c r="L540" s="2"/>
      <c r="M540" s="2"/>
      <c r="N540" s="2"/>
      <c r="O540" s="2"/>
      <c r="P540" s="2"/>
      <c r="Q540" s="157"/>
      <c r="R540" s="157"/>
      <c r="S540" s="157"/>
      <c r="T540" s="158"/>
      <c r="U540" s="2"/>
      <c r="V540" s="30"/>
      <c r="W540" s="2"/>
      <c r="X540" s="2"/>
      <c r="Y540" s="2"/>
      <c r="Z540" s="2"/>
    </row>
    <row r="541" ht="13.5" customHeight="1">
      <c r="A541" s="2"/>
      <c r="B541" s="2"/>
      <c r="C541" s="2"/>
      <c r="D541" s="2"/>
      <c r="E541" s="2"/>
      <c r="F541" s="2"/>
      <c r="G541" s="2"/>
      <c r="H541" s="2"/>
      <c r="I541" s="2"/>
      <c r="J541" s="156"/>
      <c r="K541" s="2"/>
      <c r="L541" s="2"/>
      <c r="M541" s="2"/>
      <c r="N541" s="2"/>
      <c r="O541" s="2"/>
      <c r="P541" s="2"/>
      <c r="Q541" s="157"/>
      <c r="R541" s="157"/>
      <c r="S541" s="157"/>
      <c r="T541" s="158"/>
      <c r="U541" s="2"/>
      <c r="V541" s="30"/>
      <c r="W541" s="2"/>
      <c r="X541" s="2"/>
      <c r="Y541" s="2"/>
      <c r="Z541" s="2"/>
    </row>
    <row r="542" ht="13.5" customHeight="1">
      <c r="A542" s="2"/>
      <c r="B542" s="2"/>
      <c r="C542" s="2"/>
      <c r="D542" s="2"/>
      <c r="E542" s="2"/>
      <c r="F542" s="2"/>
      <c r="G542" s="2"/>
      <c r="H542" s="2"/>
      <c r="I542" s="2"/>
      <c r="J542" s="156"/>
      <c r="K542" s="2"/>
      <c r="L542" s="2"/>
      <c r="M542" s="2"/>
      <c r="N542" s="2"/>
      <c r="O542" s="2"/>
      <c r="P542" s="2"/>
      <c r="Q542" s="157"/>
      <c r="R542" s="157"/>
      <c r="S542" s="157"/>
      <c r="T542" s="158"/>
      <c r="U542" s="2"/>
      <c r="V542" s="30"/>
      <c r="W542" s="2"/>
      <c r="X542" s="2"/>
      <c r="Y542" s="2"/>
      <c r="Z542" s="2"/>
    </row>
    <row r="543" ht="13.5" customHeight="1">
      <c r="A543" s="2"/>
      <c r="B543" s="2"/>
      <c r="C543" s="2"/>
      <c r="D543" s="2"/>
      <c r="E543" s="2"/>
      <c r="F543" s="2"/>
      <c r="G543" s="2"/>
      <c r="H543" s="2"/>
      <c r="I543" s="2"/>
      <c r="J543" s="156"/>
      <c r="K543" s="2"/>
      <c r="L543" s="2"/>
      <c r="M543" s="2"/>
      <c r="N543" s="2"/>
      <c r="O543" s="2"/>
      <c r="P543" s="2"/>
      <c r="Q543" s="157"/>
      <c r="R543" s="157"/>
      <c r="S543" s="157"/>
      <c r="T543" s="158"/>
      <c r="U543" s="2"/>
      <c r="V543" s="30"/>
      <c r="W543" s="2"/>
      <c r="X543" s="2"/>
      <c r="Y543" s="2"/>
      <c r="Z543" s="2"/>
    </row>
    <row r="544" ht="13.5" customHeight="1">
      <c r="A544" s="2"/>
      <c r="B544" s="2"/>
      <c r="C544" s="2"/>
      <c r="D544" s="2"/>
      <c r="E544" s="2"/>
      <c r="F544" s="2"/>
      <c r="G544" s="2"/>
      <c r="H544" s="2"/>
      <c r="I544" s="2"/>
      <c r="J544" s="156"/>
      <c r="K544" s="2"/>
      <c r="L544" s="2"/>
      <c r="M544" s="2"/>
      <c r="N544" s="2"/>
      <c r="O544" s="2"/>
      <c r="P544" s="2"/>
      <c r="Q544" s="157"/>
      <c r="R544" s="157"/>
      <c r="S544" s="157"/>
      <c r="T544" s="158"/>
      <c r="U544" s="2"/>
      <c r="V544" s="30"/>
      <c r="W544" s="2"/>
      <c r="X544" s="2"/>
      <c r="Y544" s="2"/>
      <c r="Z544" s="2"/>
    </row>
    <row r="545" ht="13.5" customHeight="1">
      <c r="A545" s="2"/>
      <c r="B545" s="2"/>
      <c r="C545" s="2"/>
      <c r="D545" s="2"/>
      <c r="E545" s="2"/>
      <c r="F545" s="2"/>
      <c r="G545" s="2"/>
      <c r="H545" s="2"/>
      <c r="I545" s="2"/>
      <c r="J545" s="156"/>
      <c r="K545" s="2"/>
      <c r="L545" s="2"/>
      <c r="M545" s="2"/>
      <c r="N545" s="2"/>
      <c r="O545" s="2"/>
      <c r="P545" s="2"/>
      <c r="Q545" s="157"/>
      <c r="R545" s="157"/>
      <c r="S545" s="157"/>
      <c r="T545" s="158"/>
      <c r="U545" s="2"/>
      <c r="V545" s="30"/>
      <c r="W545" s="2"/>
      <c r="X545" s="2"/>
      <c r="Y545" s="2"/>
      <c r="Z545" s="2"/>
    </row>
    <row r="546" ht="13.5" customHeight="1">
      <c r="A546" s="2"/>
      <c r="B546" s="2"/>
      <c r="C546" s="2"/>
      <c r="D546" s="2"/>
      <c r="E546" s="2"/>
      <c r="F546" s="2"/>
      <c r="G546" s="2"/>
      <c r="H546" s="2"/>
      <c r="I546" s="2"/>
      <c r="J546" s="156"/>
      <c r="K546" s="2"/>
      <c r="L546" s="2"/>
      <c r="M546" s="2"/>
      <c r="N546" s="2"/>
      <c r="O546" s="2"/>
      <c r="P546" s="2"/>
      <c r="Q546" s="157"/>
      <c r="R546" s="157"/>
      <c r="S546" s="157"/>
      <c r="T546" s="158"/>
      <c r="U546" s="2"/>
      <c r="V546" s="30"/>
      <c r="W546" s="2"/>
      <c r="X546" s="2"/>
      <c r="Y546" s="2"/>
      <c r="Z546" s="2"/>
    </row>
    <row r="547" ht="13.5" customHeight="1">
      <c r="A547" s="2"/>
      <c r="B547" s="2"/>
      <c r="C547" s="2"/>
      <c r="D547" s="2"/>
      <c r="E547" s="2"/>
      <c r="F547" s="2"/>
      <c r="G547" s="2"/>
      <c r="H547" s="2"/>
      <c r="I547" s="2"/>
      <c r="J547" s="156"/>
      <c r="K547" s="2"/>
      <c r="L547" s="2"/>
      <c r="M547" s="2"/>
      <c r="N547" s="2"/>
      <c r="O547" s="2"/>
      <c r="P547" s="2"/>
      <c r="Q547" s="157"/>
      <c r="R547" s="157"/>
      <c r="S547" s="157"/>
      <c r="T547" s="158"/>
      <c r="U547" s="2"/>
      <c r="V547" s="30"/>
      <c r="W547" s="2"/>
      <c r="X547" s="2"/>
      <c r="Y547" s="2"/>
      <c r="Z547" s="2"/>
    </row>
    <row r="548" ht="13.5" customHeight="1">
      <c r="A548" s="2"/>
      <c r="B548" s="2"/>
      <c r="C548" s="2"/>
      <c r="D548" s="2"/>
      <c r="E548" s="2"/>
      <c r="F548" s="2"/>
      <c r="G548" s="2"/>
      <c r="H548" s="2"/>
      <c r="I548" s="2"/>
      <c r="J548" s="156"/>
      <c r="K548" s="2"/>
      <c r="L548" s="2"/>
      <c r="M548" s="2"/>
      <c r="N548" s="2"/>
      <c r="O548" s="2"/>
      <c r="P548" s="2"/>
      <c r="Q548" s="157"/>
      <c r="R548" s="157"/>
      <c r="S548" s="157"/>
      <c r="T548" s="158"/>
      <c r="U548" s="2"/>
      <c r="V548" s="30"/>
      <c r="W548" s="2"/>
      <c r="X548" s="2"/>
      <c r="Y548" s="2"/>
      <c r="Z548" s="2"/>
    </row>
    <row r="549" ht="13.5" customHeight="1">
      <c r="A549" s="2"/>
      <c r="B549" s="2"/>
      <c r="C549" s="2"/>
      <c r="D549" s="2"/>
      <c r="E549" s="2"/>
      <c r="F549" s="2"/>
      <c r="G549" s="2"/>
      <c r="H549" s="2"/>
      <c r="I549" s="2"/>
      <c r="J549" s="156"/>
      <c r="K549" s="2"/>
      <c r="L549" s="2"/>
      <c r="M549" s="2"/>
      <c r="N549" s="2"/>
      <c r="O549" s="2"/>
      <c r="P549" s="2"/>
      <c r="Q549" s="157"/>
      <c r="R549" s="157"/>
      <c r="S549" s="157"/>
      <c r="T549" s="158"/>
      <c r="U549" s="2"/>
      <c r="V549" s="30"/>
      <c r="W549" s="2"/>
      <c r="X549" s="2"/>
      <c r="Y549" s="2"/>
      <c r="Z549" s="2"/>
    </row>
    <row r="550" ht="13.5" customHeight="1">
      <c r="A550" s="2"/>
      <c r="B550" s="2"/>
      <c r="C550" s="2"/>
      <c r="D550" s="2"/>
      <c r="E550" s="2"/>
      <c r="F550" s="2"/>
      <c r="G550" s="2"/>
      <c r="H550" s="2"/>
      <c r="I550" s="2"/>
      <c r="J550" s="156"/>
      <c r="K550" s="2"/>
      <c r="L550" s="2"/>
      <c r="M550" s="2"/>
      <c r="N550" s="2"/>
      <c r="O550" s="2"/>
      <c r="P550" s="2"/>
      <c r="Q550" s="157"/>
      <c r="R550" s="157"/>
      <c r="S550" s="157"/>
      <c r="T550" s="158"/>
      <c r="U550" s="2"/>
      <c r="V550" s="30"/>
      <c r="W550" s="2"/>
      <c r="X550" s="2"/>
      <c r="Y550" s="2"/>
      <c r="Z550" s="2"/>
    </row>
    <row r="551" ht="13.5" customHeight="1">
      <c r="A551" s="2"/>
      <c r="B551" s="2"/>
      <c r="C551" s="2"/>
      <c r="D551" s="2"/>
      <c r="E551" s="2"/>
      <c r="F551" s="2"/>
      <c r="G551" s="2"/>
      <c r="H551" s="2"/>
      <c r="I551" s="2"/>
      <c r="J551" s="156"/>
      <c r="K551" s="2"/>
      <c r="L551" s="2"/>
      <c r="M551" s="2"/>
      <c r="N551" s="2"/>
      <c r="O551" s="2"/>
      <c r="P551" s="2"/>
      <c r="Q551" s="157"/>
      <c r="R551" s="157"/>
      <c r="S551" s="157"/>
      <c r="T551" s="158"/>
      <c r="U551" s="2"/>
      <c r="V551" s="30"/>
      <c r="W551" s="2"/>
      <c r="X551" s="2"/>
      <c r="Y551" s="2"/>
      <c r="Z551" s="2"/>
    </row>
    <row r="552" ht="13.5" customHeight="1">
      <c r="A552" s="2"/>
      <c r="B552" s="2"/>
      <c r="C552" s="2"/>
      <c r="D552" s="2"/>
      <c r="E552" s="2"/>
      <c r="F552" s="2"/>
      <c r="G552" s="2"/>
      <c r="H552" s="2"/>
      <c r="I552" s="2"/>
      <c r="J552" s="156"/>
      <c r="K552" s="2"/>
      <c r="L552" s="2"/>
      <c r="M552" s="2"/>
      <c r="N552" s="2"/>
      <c r="O552" s="2"/>
      <c r="P552" s="2"/>
      <c r="Q552" s="157"/>
      <c r="R552" s="157"/>
      <c r="S552" s="157"/>
      <c r="T552" s="158"/>
      <c r="U552" s="2"/>
      <c r="V552" s="30"/>
      <c r="W552" s="2"/>
      <c r="X552" s="2"/>
      <c r="Y552" s="2"/>
      <c r="Z552" s="2"/>
    </row>
    <row r="553" ht="13.5" customHeight="1">
      <c r="A553" s="2"/>
      <c r="B553" s="2"/>
      <c r="C553" s="2"/>
      <c r="D553" s="2"/>
      <c r="E553" s="2"/>
      <c r="F553" s="2"/>
      <c r="G553" s="2"/>
      <c r="H553" s="2"/>
      <c r="I553" s="2"/>
      <c r="J553" s="156"/>
      <c r="K553" s="2"/>
      <c r="L553" s="2"/>
      <c r="M553" s="2"/>
      <c r="N553" s="2"/>
      <c r="O553" s="2"/>
      <c r="P553" s="2"/>
      <c r="Q553" s="157"/>
      <c r="R553" s="157"/>
      <c r="S553" s="157"/>
      <c r="T553" s="158"/>
      <c r="U553" s="2"/>
      <c r="V553" s="30"/>
      <c r="W553" s="2"/>
      <c r="X553" s="2"/>
      <c r="Y553" s="2"/>
      <c r="Z553" s="2"/>
    </row>
    <row r="554" ht="13.5" customHeight="1">
      <c r="A554" s="2"/>
      <c r="B554" s="2"/>
      <c r="C554" s="2"/>
      <c r="D554" s="2"/>
      <c r="E554" s="2"/>
      <c r="F554" s="2"/>
      <c r="G554" s="2"/>
      <c r="H554" s="2"/>
      <c r="I554" s="2"/>
      <c r="J554" s="156"/>
      <c r="K554" s="2"/>
      <c r="L554" s="2"/>
      <c r="M554" s="2"/>
      <c r="N554" s="2"/>
      <c r="O554" s="2"/>
      <c r="P554" s="2"/>
      <c r="Q554" s="157"/>
      <c r="R554" s="157"/>
      <c r="S554" s="157"/>
      <c r="T554" s="158"/>
      <c r="U554" s="2"/>
      <c r="V554" s="30"/>
      <c r="W554" s="2"/>
      <c r="X554" s="2"/>
      <c r="Y554" s="2"/>
      <c r="Z554" s="2"/>
    </row>
    <row r="555" ht="13.5" customHeight="1">
      <c r="A555" s="2"/>
      <c r="B555" s="2"/>
      <c r="C555" s="2"/>
      <c r="D555" s="2"/>
      <c r="E555" s="2"/>
      <c r="F555" s="2"/>
      <c r="G555" s="2"/>
      <c r="H555" s="2"/>
      <c r="I555" s="2"/>
      <c r="J555" s="156"/>
      <c r="K555" s="2"/>
      <c r="L555" s="2"/>
      <c r="M555" s="2"/>
      <c r="N555" s="2"/>
      <c r="O555" s="2"/>
      <c r="P555" s="2"/>
      <c r="Q555" s="157"/>
      <c r="R555" s="157"/>
      <c r="S555" s="157"/>
      <c r="T555" s="158"/>
      <c r="U555" s="2"/>
      <c r="V555" s="30"/>
      <c r="W555" s="2"/>
      <c r="X555" s="2"/>
      <c r="Y555" s="2"/>
      <c r="Z555" s="2"/>
    </row>
    <row r="556" ht="13.5" customHeight="1">
      <c r="A556" s="2"/>
      <c r="B556" s="2"/>
      <c r="C556" s="2"/>
      <c r="D556" s="2"/>
      <c r="E556" s="2"/>
      <c r="F556" s="2"/>
      <c r="G556" s="2"/>
      <c r="H556" s="2"/>
      <c r="I556" s="2"/>
      <c r="J556" s="156"/>
      <c r="K556" s="2"/>
      <c r="L556" s="2"/>
      <c r="M556" s="2"/>
      <c r="N556" s="2"/>
      <c r="O556" s="2"/>
      <c r="P556" s="2"/>
      <c r="Q556" s="157"/>
      <c r="R556" s="157"/>
      <c r="S556" s="157"/>
      <c r="T556" s="158"/>
      <c r="U556" s="2"/>
      <c r="V556" s="30"/>
      <c r="W556" s="2"/>
      <c r="X556" s="2"/>
      <c r="Y556" s="2"/>
      <c r="Z556" s="2"/>
    </row>
    <row r="557" ht="13.5" customHeight="1">
      <c r="A557" s="2"/>
      <c r="B557" s="2"/>
      <c r="C557" s="2"/>
      <c r="D557" s="2"/>
      <c r="E557" s="2"/>
      <c r="F557" s="2"/>
      <c r="G557" s="2"/>
      <c r="H557" s="2"/>
      <c r="I557" s="2"/>
      <c r="J557" s="156"/>
      <c r="K557" s="2"/>
      <c r="L557" s="2"/>
      <c r="M557" s="2"/>
      <c r="N557" s="2"/>
      <c r="O557" s="2"/>
      <c r="P557" s="2"/>
      <c r="Q557" s="157"/>
      <c r="R557" s="157"/>
      <c r="S557" s="157"/>
      <c r="T557" s="158"/>
      <c r="U557" s="2"/>
      <c r="V557" s="30"/>
      <c r="W557" s="2"/>
      <c r="X557" s="2"/>
      <c r="Y557" s="2"/>
      <c r="Z557" s="2"/>
    </row>
    <row r="558" ht="13.5" customHeight="1">
      <c r="A558" s="2"/>
      <c r="B558" s="2"/>
      <c r="C558" s="2"/>
      <c r="D558" s="2"/>
      <c r="E558" s="2"/>
      <c r="F558" s="2"/>
      <c r="G558" s="2"/>
      <c r="H558" s="2"/>
      <c r="I558" s="2"/>
      <c r="J558" s="156"/>
      <c r="K558" s="2"/>
      <c r="L558" s="2"/>
      <c r="M558" s="2"/>
      <c r="N558" s="2"/>
      <c r="O558" s="2"/>
      <c r="P558" s="2"/>
      <c r="Q558" s="157"/>
      <c r="R558" s="157"/>
      <c r="S558" s="157"/>
      <c r="T558" s="158"/>
      <c r="U558" s="2"/>
      <c r="V558" s="30"/>
      <c r="W558" s="2"/>
      <c r="X558" s="2"/>
      <c r="Y558" s="2"/>
      <c r="Z558" s="2"/>
    </row>
    <row r="559" ht="13.5" customHeight="1">
      <c r="A559" s="2"/>
      <c r="B559" s="2"/>
      <c r="C559" s="2"/>
      <c r="D559" s="2"/>
      <c r="E559" s="2"/>
      <c r="F559" s="2"/>
      <c r="G559" s="2"/>
      <c r="H559" s="2"/>
      <c r="I559" s="2"/>
      <c r="J559" s="156"/>
      <c r="K559" s="2"/>
      <c r="L559" s="2"/>
      <c r="M559" s="2"/>
      <c r="N559" s="2"/>
      <c r="O559" s="2"/>
      <c r="P559" s="2"/>
      <c r="Q559" s="157"/>
      <c r="R559" s="157"/>
      <c r="S559" s="157"/>
      <c r="T559" s="158"/>
      <c r="U559" s="2"/>
      <c r="V559" s="30"/>
      <c r="W559" s="2"/>
      <c r="X559" s="2"/>
      <c r="Y559" s="2"/>
      <c r="Z559" s="2"/>
    </row>
    <row r="560" ht="13.5" customHeight="1">
      <c r="A560" s="2"/>
      <c r="B560" s="2"/>
      <c r="C560" s="2"/>
      <c r="D560" s="2"/>
      <c r="E560" s="2"/>
      <c r="F560" s="2"/>
      <c r="G560" s="2"/>
      <c r="H560" s="2"/>
      <c r="I560" s="2"/>
      <c r="J560" s="156"/>
      <c r="K560" s="2"/>
      <c r="L560" s="2"/>
      <c r="M560" s="2"/>
      <c r="N560" s="2"/>
      <c r="O560" s="2"/>
      <c r="P560" s="2"/>
      <c r="Q560" s="157"/>
      <c r="R560" s="157"/>
      <c r="S560" s="157"/>
      <c r="T560" s="158"/>
      <c r="U560" s="2"/>
      <c r="V560" s="30"/>
      <c r="W560" s="2"/>
      <c r="X560" s="2"/>
      <c r="Y560" s="2"/>
      <c r="Z560" s="2"/>
    </row>
    <row r="561" ht="13.5" customHeight="1">
      <c r="A561" s="2"/>
      <c r="B561" s="2"/>
      <c r="C561" s="2"/>
      <c r="D561" s="2"/>
      <c r="E561" s="2"/>
      <c r="F561" s="2"/>
      <c r="G561" s="2"/>
      <c r="H561" s="2"/>
      <c r="I561" s="2"/>
      <c r="J561" s="156"/>
      <c r="K561" s="2"/>
      <c r="L561" s="2"/>
      <c r="M561" s="2"/>
      <c r="N561" s="2"/>
      <c r="O561" s="2"/>
      <c r="P561" s="2"/>
      <c r="Q561" s="157"/>
      <c r="R561" s="157"/>
      <c r="S561" s="157"/>
      <c r="T561" s="158"/>
      <c r="U561" s="2"/>
      <c r="V561" s="30"/>
      <c r="W561" s="2"/>
      <c r="X561" s="2"/>
      <c r="Y561" s="2"/>
      <c r="Z561" s="2"/>
    </row>
    <row r="562" ht="13.5" customHeight="1">
      <c r="A562" s="2"/>
      <c r="B562" s="2"/>
      <c r="C562" s="2"/>
      <c r="D562" s="2"/>
      <c r="E562" s="2"/>
      <c r="F562" s="2"/>
      <c r="G562" s="2"/>
      <c r="H562" s="2"/>
      <c r="I562" s="2"/>
      <c r="J562" s="156"/>
      <c r="K562" s="2"/>
      <c r="L562" s="2"/>
      <c r="M562" s="2"/>
      <c r="N562" s="2"/>
      <c r="O562" s="2"/>
      <c r="P562" s="2"/>
      <c r="Q562" s="157"/>
      <c r="R562" s="157"/>
      <c r="S562" s="157"/>
      <c r="T562" s="158"/>
      <c r="U562" s="2"/>
      <c r="V562" s="30"/>
      <c r="W562" s="2"/>
      <c r="X562" s="2"/>
      <c r="Y562" s="2"/>
      <c r="Z562" s="2"/>
    </row>
    <row r="563" ht="13.5" customHeight="1">
      <c r="A563" s="2"/>
      <c r="B563" s="2"/>
      <c r="C563" s="2"/>
      <c r="D563" s="2"/>
      <c r="E563" s="2"/>
      <c r="F563" s="2"/>
      <c r="G563" s="2"/>
      <c r="H563" s="2"/>
      <c r="I563" s="2"/>
      <c r="J563" s="156"/>
      <c r="K563" s="2"/>
      <c r="L563" s="2"/>
      <c r="M563" s="2"/>
      <c r="N563" s="2"/>
      <c r="O563" s="2"/>
      <c r="P563" s="2"/>
      <c r="Q563" s="157"/>
      <c r="R563" s="157"/>
      <c r="S563" s="157"/>
      <c r="T563" s="158"/>
      <c r="U563" s="2"/>
      <c r="V563" s="30"/>
      <c r="W563" s="2"/>
      <c r="X563" s="2"/>
      <c r="Y563" s="2"/>
      <c r="Z563" s="2"/>
    </row>
    <row r="564" ht="13.5" customHeight="1">
      <c r="A564" s="2"/>
      <c r="B564" s="2"/>
      <c r="C564" s="2"/>
      <c r="D564" s="2"/>
      <c r="E564" s="2"/>
      <c r="F564" s="2"/>
      <c r="G564" s="2"/>
      <c r="H564" s="2"/>
      <c r="I564" s="2"/>
      <c r="J564" s="156"/>
      <c r="K564" s="2"/>
      <c r="L564" s="2"/>
      <c r="M564" s="2"/>
      <c r="N564" s="2"/>
      <c r="O564" s="2"/>
      <c r="P564" s="2"/>
      <c r="Q564" s="157"/>
      <c r="R564" s="157"/>
      <c r="S564" s="157"/>
      <c r="T564" s="158"/>
      <c r="U564" s="2"/>
      <c r="V564" s="30"/>
      <c r="W564" s="2"/>
      <c r="X564" s="2"/>
      <c r="Y564" s="2"/>
      <c r="Z564" s="2"/>
    </row>
    <row r="565" ht="13.5" customHeight="1">
      <c r="A565" s="2"/>
      <c r="B565" s="2"/>
      <c r="C565" s="2"/>
      <c r="D565" s="2"/>
      <c r="E565" s="2"/>
      <c r="F565" s="2"/>
      <c r="G565" s="2"/>
      <c r="H565" s="2"/>
      <c r="I565" s="2"/>
      <c r="J565" s="156"/>
      <c r="K565" s="2"/>
      <c r="L565" s="2"/>
      <c r="M565" s="2"/>
      <c r="N565" s="2"/>
      <c r="O565" s="2"/>
      <c r="P565" s="2"/>
      <c r="Q565" s="157"/>
      <c r="R565" s="157"/>
      <c r="S565" s="157"/>
      <c r="T565" s="158"/>
      <c r="U565" s="2"/>
      <c r="V565" s="30"/>
      <c r="W565" s="2"/>
      <c r="X565" s="2"/>
      <c r="Y565" s="2"/>
      <c r="Z565" s="2"/>
    </row>
    <row r="566" ht="13.5" customHeight="1">
      <c r="A566" s="2"/>
      <c r="B566" s="2"/>
      <c r="C566" s="2"/>
      <c r="D566" s="2"/>
      <c r="E566" s="2"/>
      <c r="F566" s="2"/>
      <c r="G566" s="2"/>
      <c r="H566" s="2"/>
      <c r="I566" s="2"/>
      <c r="J566" s="156"/>
      <c r="K566" s="2"/>
      <c r="L566" s="2"/>
      <c r="M566" s="2"/>
      <c r="N566" s="2"/>
      <c r="O566" s="2"/>
      <c r="P566" s="2"/>
      <c r="Q566" s="157"/>
      <c r="R566" s="157"/>
      <c r="S566" s="157"/>
      <c r="T566" s="158"/>
      <c r="U566" s="2"/>
      <c r="V566" s="30"/>
      <c r="W566" s="2"/>
      <c r="X566" s="2"/>
      <c r="Y566" s="2"/>
      <c r="Z566" s="2"/>
    </row>
    <row r="567" ht="13.5" customHeight="1">
      <c r="A567" s="2"/>
      <c r="B567" s="2"/>
      <c r="C567" s="2"/>
      <c r="D567" s="2"/>
      <c r="E567" s="2"/>
      <c r="F567" s="2"/>
      <c r="G567" s="2"/>
      <c r="H567" s="2"/>
      <c r="I567" s="2"/>
      <c r="J567" s="156"/>
      <c r="K567" s="2"/>
      <c r="L567" s="2"/>
      <c r="M567" s="2"/>
      <c r="N567" s="2"/>
      <c r="O567" s="2"/>
      <c r="P567" s="2"/>
      <c r="Q567" s="157"/>
      <c r="R567" s="157"/>
      <c r="S567" s="157"/>
      <c r="T567" s="158"/>
      <c r="U567" s="2"/>
      <c r="V567" s="30"/>
      <c r="W567" s="2"/>
      <c r="X567" s="2"/>
      <c r="Y567" s="2"/>
      <c r="Z567" s="2"/>
    </row>
    <row r="568" ht="13.5" customHeight="1">
      <c r="A568" s="2"/>
      <c r="B568" s="2"/>
      <c r="C568" s="2"/>
      <c r="D568" s="2"/>
      <c r="E568" s="2"/>
      <c r="F568" s="2"/>
      <c r="G568" s="2"/>
      <c r="H568" s="2"/>
      <c r="I568" s="2"/>
      <c r="J568" s="156"/>
      <c r="K568" s="2"/>
      <c r="L568" s="2"/>
      <c r="M568" s="2"/>
      <c r="N568" s="2"/>
      <c r="O568" s="2"/>
      <c r="P568" s="2"/>
      <c r="Q568" s="157"/>
      <c r="R568" s="157"/>
      <c r="S568" s="157"/>
      <c r="T568" s="158"/>
      <c r="U568" s="2"/>
      <c r="V568" s="30"/>
      <c r="W568" s="2"/>
      <c r="X568" s="2"/>
      <c r="Y568" s="2"/>
      <c r="Z568" s="2"/>
    </row>
    <row r="569" ht="13.5" customHeight="1">
      <c r="A569" s="2"/>
      <c r="B569" s="2"/>
      <c r="C569" s="2"/>
      <c r="D569" s="2"/>
      <c r="E569" s="2"/>
      <c r="F569" s="2"/>
      <c r="G569" s="2"/>
      <c r="H569" s="2"/>
      <c r="I569" s="2"/>
      <c r="J569" s="156"/>
      <c r="K569" s="2"/>
      <c r="L569" s="2"/>
      <c r="M569" s="2"/>
      <c r="N569" s="2"/>
      <c r="O569" s="2"/>
      <c r="P569" s="2"/>
      <c r="Q569" s="157"/>
      <c r="R569" s="157"/>
      <c r="S569" s="157"/>
      <c r="T569" s="158"/>
      <c r="U569" s="2"/>
      <c r="V569" s="30"/>
      <c r="W569" s="2"/>
      <c r="X569" s="2"/>
      <c r="Y569" s="2"/>
      <c r="Z569" s="2"/>
    </row>
    <row r="570" ht="13.5" customHeight="1">
      <c r="A570" s="2"/>
      <c r="B570" s="2"/>
      <c r="C570" s="2"/>
      <c r="D570" s="2"/>
      <c r="E570" s="2"/>
      <c r="F570" s="2"/>
      <c r="G570" s="2"/>
      <c r="H570" s="2"/>
      <c r="I570" s="2"/>
      <c r="J570" s="156"/>
      <c r="K570" s="2"/>
      <c r="L570" s="2"/>
      <c r="M570" s="2"/>
      <c r="N570" s="2"/>
      <c r="O570" s="2"/>
      <c r="P570" s="2"/>
      <c r="Q570" s="157"/>
      <c r="R570" s="157"/>
      <c r="S570" s="157"/>
      <c r="T570" s="158"/>
      <c r="U570" s="2"/>
      <c r="V570" s="30"/>
      <c r="W570" s="2"/>
      <c r="X570" s="2"/>
      <c r="Y570" s="2"/>
      <c r="Z570" s="2"/>
    </row>
    <row r="571" ht="13.5" customHeight="1">
      <c r="A571" s="2"/>
      <c r="B571" s="2"/>
      <c r="C571" s="2"/>
      <c r="D571" s="2"/>
      <c r="E571" s="2"/>
      <c r="F571" s="2"/>
      <c r="G571" s="2"/>
      <c r="H571" s="2"/>
      <c r="I571" s="2"/>
      <c r="J571" s="156"/>
      <c r="K571" s="2"/>
      <c r="L571" s="2"/>
      <c r="M571" s="2"/>
      <c r="N571" s="2"/>
      <c r="O571" s="2"/>
      <c r="P571" s="2"/>
      <c r="Q571" s="157"/>
      <c r="R571" s="157"/>
      <c r="S571" s="157"/>
      <c r="T571" s="158"/>
      <c r="U571" s="2"/>
      <c r="V571" s="30"/>
      <c r="W571" s="2"/>
      <c r="X571" s="2"/>
      <c r="Y571" s="2"/>
      <c r="Z571" s="2"/>
    </row>
    <row r="572" ht="13.5" customHeight="1">
      <c r="A572" s="2"/>
      <c r="B572" s="2"/>
      <c r="C572" s="2"/>
      <c r="D572" s="2"/>
      <c r="E572" s="2"/>
      <c r="F572" s="2"/>
      <c r="G572" s="2"/>
      <c r="H572" s="2"/>
      <c r="I572" s="2"/>
      <c r="J572" s="156"/>
      <c r="K572" s="2"/>
      <c r="L572" s="2"/>
      <c r="M572" s="2"/>
      <c r="N572" s="2"/>
      <c r="O572" s="2"/>
      <c r="P572" s="2"/>
      <c r="Q572" s="157"/>
      <c r="R572" s="157"/>
      <c r="S572" s="157"/>
      <c r="T572" s="158"/>
      <c r="U572" s="2"/>
      <c r="V572" s="30"/>
      <c r="W572" s="2"/>
      <c r="X572" s="2"/>
      <c r="Y572" s="2"/>
      <c r="Z572" s="2"/>
    </row>
    <row r="573" ht="13.5" customHeight="1">
      <c r="A573" s="2"/>
      <c r="B573" s="2"/>
      <c r="C573" s="2"/>
      <c r="D573" s="2"/>
      <c r="E573" s="2"/>
      <c r="F573" s="2"/>
      <c r="G573" s="2"/>
      <c r="H573" s="2"/>
      <c r="I573" s="2"/>
      <c r="J573" s="156"/>
      <c r="K573" s="2"/>
      <c r="L573" s="2"/>
      <c r="M573" s="2"/>
      <c r="N573" s="2"/>
      <c r="O573" s="2"/>
      <c r="P573" s="2"/>
      <c r="Q573" s="157"/>
      <c r="R573" s="157"/>
      <c r="S573" s="157"/>
      <c r="T573" s="158"/>
      <c r="U573" s="2"/>
      <c r="V573" s="30"/>
      <c r="W573" s="2"/>
      <c r="X573" s="2"/>
      <c r="Y573" s="2"/>
      <c r="Z573" s="2"/>
    </row>
    <row r="574" ht="13.5" customHeight="1">
      <c r="A574" s="2"/>
      <c r="B574" s="2"/>
      <c r="C574" s="2"/>
      <c r="D574" s="2"/>
      <c r="E574" s="2"/>
      <c r="F574" s="2"/>
      <c r="G574" s="2"/>
      <c r="H574" s="2"/>
      <c r="I574" s="2"/>
      <c r="J574" s="156"/>
      <c r="K574" s="2"/>
      <c r="L574" s="2"/>
      <c r="M574" s="2"/>
      <c r="N574" s="2"/>
      <c r="O574" s="2"/>
      <c r="P574" s="2"/>
      <c r="Q574" s="157"/>
      <c r="R574" s="157"/>
      <c r="S574" s="157"/>
      <c r="T574" s="158"/>
      <c r="U574" s="2"/>
      <c r="V574" s="30"/>
      <c r="W574" s="2"/>
      <c r="X574" s="2"/>
      <c r="Y574" s="2"/>
      <c r="Z574" s="2"/>
    </row>
    <row r="575" ht="13.5" customHeight="1">
      <c r="A575" s="2"/>
      <c r="B575" s="2"/>
      <c r="C575" s="2"/>
      <c r="D575" s="2"/>
      <c r="E575" s="2"/>
      <c r="F575" s="2"/>
      <c r="G575" s="2"/>
      <c r="H575" s="2"/>
      <c r="I575" s="2"/>
      <c r="J575" s="156"/>
      <c r="K575" s="2"/>
      <c r="L575" s="2"/>
      <c r="M575" s="2"/>
      <c r="N575" s="2"/>
      <c r="O575" s="2"/>
      <c r="P575" s="2"/>
      <c r="Q575" s="157"/>
      <c r="R575" s="157"/>
      <c r="S575" s="157"/>
      <c r="T575" s="158"/>
      <c r="U575" s="2"/>
      <c r="V575" s="30"/>
      <c r="W575" s="2"/>
      <c r="X575" s="2"/>
      <c r="Y575" s="2"/>
      <c r="Z575" s="2"/>
    </row>
    <row r="576" ht="13.5" customHeight="1">
      <c r="A576" s="2"/>
      <c r="B576" s="2"/>
      <c r="C576" s="2"/>
      <c r="D576" s="2"/>
      <c r="E576" s="2"/>
      <c r="F576" s="2"/>
      <c r="G576" s="2"/>
      <c r="H576" s="2"/>
      <c r="I576" s="2"/>
      <c r="J576" s="156"/>
      <c r="K576" s="2"/>
      <c r="L576" s="2"/>
      <c r="M576" s="2"/>
      <c r="N576" s="2"/>
      <c r="O576" s="2"/>
      <c r="P576" s="2"/>
      <c r="Q576" s="157"/>
      <c r="R576" s="157"/>
      <c r="S576" s="157"/>
      <c r="T576" s="158"/>
      <c r="U576" s="2"/>
      <c r="V576" s="30"/>
      <c r="W576" s="2"/>
      <c r="X576" s="2"/>
      <c r="Y576" s="2"/>
      <c r="Z576" s="2"/>
    </row>
    <row r="577" ht="13.5" customHeight="1">
      <c r="A577" s="2"/>
      <c r="B577" s="2"/>
      <c r="C577" s="2"/>
      <c r="D577" s="2"/>
      <c r="E577" s="2"/>
      <c r="F577" s="2"/>
      <c r="G577" s="2"/>
      <c r="H577" s="2"/>
      <c r="I577" s="2"/>
      <c r="J577" s="156"/>
      <c r="K577" s="2"/>
      <c r="L577" s="2"/>
      <c r="M577" s="2"/>
      <c r="N577" s="2"/>
      <c r="O577" s="2"/>
      <c r="P577" s="2"/>
      <c r="Q577" s="157"/>
      <c r="R577" s="157"/>
      <c r="S577" s="157"/>
      <c r="T577" s="158"/>
      <c r="U577" s="2"/>
      <c r="V577" s="30"/>
      <c r="W577" s="2"/>
      <c r="X577" s="2"/>
      <c r="Y577" s="2"/>
      <c r="Z577" s="2"/>
    </row>
    <row r="578" ht="13.5" customHeight="1">
      <c r="A578" s="2"/>
      <c r="B578" s="2"/>
      <c r="C578" s="2"/>
      <c r="D578" s="2"/>
      <c r="E578" s="2"/>
      <c r="F578" s="2"/>
      <c r="G578" s="2"/>
      <c r="H578" s="2"/>
      <c r="I578" s="2"/>
      <c r="J578" s="156"/>
      <c r="K578" s="2"/>
      <c r="L578" s="2"/>
      <c r="M578" s="2"/>
      <c r="N578" s="2"/>
      <c r="O578" s="2"/>
      <c r="P578" s="2"/>
      <c r="Q578" s="157"/>
      <c r="R578" s="157"/>
      <c r="S578" s="157"/>
      <c r="T578" s="158"/>
      <c r="U578" s="2"/>
      <c r="V578" s="30"/>
      <c r="W578" s="2"/>
      <c r="X578" s="2"/>
      <c r="Y578" s="2"/>
      <c r="Z578" s="2"/>
    </row>
    <row r="579" ht="13.5" customHeight="1">
      <c r="A579" s="2"/>
      <c r="B579" s="2"/>
      <c r="C579" s="2"/>
      <c r="D579" s="2"/>
      <c r="E579" s="2"/>
      <c r="F579" s="2"/>
      <c r="G579" s="2"/>
      <c r="H579" s="2"/>
      <c r="I579" s="2"/>
      <c r="J579" s="156"/>
      <c r="K579" s="2"/>
      <c r="L579" s="2"/>
      <c r="M579" s="2"/>
      <c r="N579" s="2"/>
      <c r="O579" s="2"/>
      <c r="P579" s="2"/>
      <c r="Q579" s="157"/>
      <c r="R579" s="157"/>
      <c r="S579" s="157"/>
      <c r="T579" s="158"/>
      <c r="U579" s="2"/>
      <c r="V579" s="30"/>
      <c r="W579" s="2"/>
      <c r="X579" s="2"/>
      <c r="Y579" s="2"/>
      <c r="Z579" s="2"/>
    </row>
    <row r="580" ht="13.5" customHeight="1">
      <c r="A580" s="2"/>
      <c r="B580" s="2"/>
      <c r="C580" s="2"/>
      <c r="D580" s="2"/>
      <c r="E580" s="2"/>
      <c r="F580" s="2"/>
      <c r="G580" s="2"/>
      <c r="H580" s="2"/>
      <c r="I580" s="2"/>
      <c r="J580" s="156"/>
      <c r="K580" s="2"/>
      <c r="L580" s="2"/>
      <c r="M580" s="2"/>
      <c r="N580" s="2"/>
      <c r="O580" s="2"/>
      <c r="P580" s="2"/>
      <c r="Q580" s="157"/>
      <c r="R580" s="157"/>
      <c r="S580" s="157"/>
      <c r="T580" s="158"/>
      <c r="U580" s="2"/>
      <c r="V580" s="30"/>
      <c r="W580" s="2"/>
      <c r="X580" s="2"/>
      <c r="Y580" s="2"/>
      <c r="Z580" s="2"/>
    </row>
    <row r="581" ht="13.5" customHeight="1">
      <c r="A581" s="2"/>
      <c r="B581" s="2"/>
      <c r="C581" s="2"/>
      <c r="D581" s="2"/>
      <c r="E581" s="2"/>
      <c r="F581" s="2"/>
      <c r="G581" s="2"/>
      <c r="H581" s="2"/>
      <c r="I581" s="2"/>
      <c r="J581" s="156"/>
      <c r="K581" s="2"/>
      <c r="L581" s="2"/>
      <c r="M581" s="2"/>
      <c r="N581" s="2"/>
      <c r="O581" s="2"/>
      <c r="P581" s="2"/>
      <c r="Q581" s="157"/>
      <c r="R581" s="157"/>
      <c r="S581" s="157"/>
      <c r="T581" s="158"/>
      <c r="U581" s="2"/>
      <c r="V581" s="30"/>
      <c r="W581" s="2"/>
      <c r="X581" s="2"/>
      <c r="Y581" s="2"/>
      <c r="Z581" s="2"/>
    </row>
    <row r="582" ht="13.5" customHeight="1">
      <c r="A582" s="2"/>
      <c r="B582" s="2"/>
      <c r="C582" s="2"/>
      <c r="D582" s="2"/>
      <c r="E582" s="2"/>
      <c r="F582" s="2"/>
      <c r="G582" s="2"/>
      <c r="H582" s="2"/>
      <c r="I582" s="2"/>
      <c r="J582" s="156"/>
      <c r="K582" s="2"/>
      <c r="L582" s="2"/>
      <c r="M582" s="2"/>
      <c r="N582" s="2"/>
      <c r="O582" s="2"/>
      <c r="P582" s="2"/>
      <c r="Q582" s="157"/>
      <c r="R582" s="157"/>
      <c r="S582" s="157"/>
      <c r="T582" s="158"/>
      <c r="U582" s="2"/>
      <c r="V582" s="30"/>
      <c r="W582" s="2"/>
      <c r="X582" s="2"/>
      <c r="Y582" s="2"/>
      <c r="Z582" s="2"/>
    </row>
    <row r="583" ht="13.5" customHeight="1">
      <c r="A583" s="2"/>
      <c r="B583" s="2"/>
      <c r="C583" s="2"/>
      <c r="D583" s="2"/>
      <c r="E583" s="2"/>
      <c r="F583" s="2"/>
      <c r="G583" s="2"/>
      <c r="H583" s="2"/>
      <c r="I583" s="2"/>
      <c r="J583" s="156"/>
      <c r="K583" s="2"/>
      <c r="L583" s="2"/>
      <c r="M583" s="2"/>
      <c r="N583" s="2"/>
      <c r="O583" s="2"/>
      <c r="P583" s="2"/>
      <c r="Q583" s="157"/>
      <c r="R583" s="157"/>
      <c r="S583" s="157"/>
      <c r="T583" s="158"/>
      <c r="U583" s="2"/>
      <c r="V583" s="30"/>
      <c r="W583" s="2"/>
      <c r="X583" s="2"/>
      <c r="Y583" s="2"/>
      <c r="Z583" s="2"/>
    </row>
    <row r="584" ht="13.5" customHeight="1">
      <c r="A584" s="2"/>
      <c r="B584" s="2"/>
      <c r="C584" s="2"/>
      <c r="D584" s="2"/>
      <c r="E584" s="2"/>
      <c r="F584" s="2"/>
      <c r="G584" s="2"/>
      <c r="H584" s="2"/>
      <c r="I584" s="2"/>
      <c r="J584" s="156"/>
      <c r="K584" s="2"/>
      <c r="L584" s="2"/>
      <c r="M584" s="2"/>
      <c r="N584" s="2"/>
      <c r="O584" s="2"/>
      <c r="P584" s="2"/>
      <c r="Q584" s="157"/>
      <c r="R584" s="157"/>
      <c r="S584" s="157"/>
      <c r="T584" s="158"/>
      <c r="U584" s="2"/>
      <c r="V584" s="30"/>
      <c r="W584" s="2"/>
      <c r="X584" s="2"/>
      <c r="Y584" s="2"/>
      <c r="Z584" s="2"/>
    </row>
    <row r="585" ht="13.5" customHeight="1">
      <c r="A585" s="2"/>
      <c r="B585" s="2"/>
      <c r="C585" s="2"/>
      <c r="D585" s="2"/>
      <c r="E585" s="2"/>
      <c r="F585" s="2"/>
      <c r="G585" s="2"/>
      <c r="H585" s="2"/>
      <c r="I585" s="2"/>
      <c r="J585" s="156"/>
      <c r="K585" s="2"/>
      <c r="L585" s="2"/>
      <c r="M585" s="2"/>
      <c r="N585" s="2"/>
      <c r="O585" s="2"/>
      <c r="P585" s="2"/>
      <c r="Q585" s="157"/>
      <c r="R585" s="157"/>
      <c r="S585" s="157"/>
      <c r="T585" s="158"/>
      <c r="U585" s="2"/>
      <c r="V585" s="30"/>
      <c r="W585" s="2"/>
      <c r="X585" s="2"/>
      <c r="Y585" s="2"/>
      <c r="Z585" s="2"/>
    </row>
    <row r="586" ht="13.5" customHeight="1">
      <c r="A586" s="2"/>
      <c r="B586" s="2"/>
      <c r="C586" s="2"/>
      <c r="D586" s="2"/>
      <c r="E586" s="2"/>
      <c r="F586" s="2"/>
      <c r="G586" s="2"/>
      <c r="H586" s="2"/>
      <c r="I586" s="2"/>
      <c r="J586" s="156"/>
      <c r="K586" s="2"/>
      <c r="L586" s="2"/>
      <c r="M586" s="2"/>
      <c r="N586" s="2"/>
      <c r="O586" s="2"/>
      <c r="P586" s="2"/>
      <c r="Q586" s="157"/>
      <c r="R586" s="157"/>
      <c r="S586" s="157"/>
      <c r="T586" s="158"/>
      <c r="U586" s="2"/>
      <c r="V586" s="30"/>
      <c r="W586" s="2"/>
      <c r="X586" s="2"/>
      <c r="Y586" s="2"/>
      <c r="Z586" s="2"/>
    </row>
    <row r="587" ht="13.5" customHeight="1">
      <c r="A587" s="2"/>
      <c r="B587" s="2"/>
      <c r="C587" s="2"/>
      <c r="D587" s="2"/>
      <c r="E587" s="2"/>
      <c r="F587" s="2"/>
      <c r="G587" s="2"/>
      <c r="H587" s="2"/>
      <c r="I587" s="2"/>
      <c r="J587" s="156"/>
      <c r="K587" s="2"/>
      <c r="L587" s="2"/>
      <c r="M587" s="2"/>
      <c r="N587" s="2"/>
      <c r="O587" s="2"/>
      <c r="P587" s="2"/>
      <c r="Q587" s="157"/>
      <c r="R587" s="157"/>
      <c r="S587" s="157"/>
      <c r="T587" s="158"/>
      <c r="U587" s="2"/>
      <c r="V587" s="30"/>
      <c r="W587" s="2"/>
      <c r="X587" s="2"/>
      <c r="Y587" s="2"/>
      <c r="Z587" s="2"/>
    </row>
    <row r="588" ht="13.5" customHeight="1">
      <c r="A588" s="2"/>
      <c r="B588" s="2"/>
      <c r="C588" s="2"/>
      <c r="D588" s="2"/>
      <c r="E588" s="2"/>
      <c r="F588" s="2"/>
      <c r="G588" s="2"/>
      <c r="H588" s="2"/>
      <c r="I588" s="2"/>
      <c r="J588" s="156"/>
      <c r="K588" s="2"/>
      <c r="L588" s="2"/>
      <c r="M588" s="2"/>
      <c r="N588" s="2"/>
      <c r="O588" s="2"/>
      <c r="P588" s="2"/>
      <c r="Q588" s="157"/>
      <c r="R588" s="157"/>
      <c r="S588" s="157"/>
      <c r="T588" s="158"/>
      <c r="U588" s="2"/>
      <c r="V588" s="30"/>
      <c r="W588" s="2"/>
      <c r="X588" s="2"/>
      <c r="Y588" s="2"/>
      <c r="Z588" s="2"/>
    </row>
    <row r="589" ht="13.5" customHeight="1">
      <c r="A589" s="2"/>
      <c r="B589" s="2"/>
      <c r="C589" s="2"/>
      <c r="D589" s="2"/>
      <c r="E589" s="2"/>
      <c r="F589" s="2"/>
      <c r="G589" s="2"/>
      <c r="H589" s="2"/>
      <c r="I589" s="2"/>
      <c r="J589" s="156"/>
      <c r="K589" s="2"/>
      <c r="L589" s="2"/>
      <c r="M589" s="2"/>
      <c r="N589" s="2"/>
      <c r="O589" s="2"/>
      <c r="P589" s="2"/>
      <c r="Q589" s="157"/>
      <c r="R589" s="157"/>
      <c r="S589" s="157"/>
      <c r="T589" s="158"/>
      <c r="U589" s="2"/>
      <c r="V589" s="30"/>
      <c r="W589" s="2"/>
      <c r="X589" s="2"/>
      <c r="Y589" s="2"/>
      <c r="Z589" s="2"/>
    </row>
    <row r="590" ht="13.5" customHeight="1">
      <c r="A590" s="2"/>
      <c r="B590" s="2"/>
      <c r="C590" s="2"/>
      <c r="D590" s="2"/>
      <c r="E590" s="2"/>
      <c r="F590" s="2"/>
      <c r="G590" s="2"/>
      <c r="H590" s="2"/>
      <c r="I590" s="2"/>
      <c r="J590" s="156"/>
      <c r="K590" s="2"/>
      <c r="L590" s="2"/>
      <c r="M590" s="2"/>
      <c r="N590" s="2"/>
      <c r="O590" s="2"/>
      <c r="P590" s="2"/>
      <c r="Q590" s="157"/>
      <c r="R590" s="157"/>
      <c r="S590" s="157"/>
      <c r="T590" s="158"/>
      <c r="U590" s="2"/>
      <c r="V590" s="30"/>
      <c r="W590" s="2"/>
      <c r="X590" s="2"/>
      <c r="Y590" s="2"/>
      <c r="Z590" s="2"/>
    </row>
    <row r="591" ht="13.5" customHeight="1">
      <c r="A591" s="2"/>
      <c r="B591" s="2"/>
      <c r="C591" s="2"/>
      <c r="D591" s="2"/>
      <c r="E591" s="2"/>
      <c r="F591" s="2"/>
      <c r="G591" s="2"/>
      <c r="H591" s="2"/>
      <c r="I591" s="2"/>
      <c r="J591" s="156"/>
      <c r="K591" s="2"/>
      <c r="L591" s="2"/>
      <c r="M591" s="2"/>
      <c r="N591" s="2"/>
      <c r="O591" s="2"/>
      <c r="P591" s="2"/>
      <c r="Q591" s="157"/>
      <c r="R591" s="157"/>
      <c r="S591" s="157"/>
      <c r="T591" s="158"/>
      <c r="U591" s="2"/>
      <c r="V591" s="30"/>
      <c r="W591" s="2"/>
      <c r="X591" s="2"/>
      <c r="Y591" s="2"/>
      <c r="Z591" s="2"/>
    </row>
    <row r="592" ht="13.5" customHeight="1">
      <c r="A592" s="2"/>
      <c r="B592" s="2"/>
      <c r="C592" s="2"/>
      <c r="D592" s="2"/>
      <c r="E592" s="2"/>
      <c r="F592" s="2"/>
      <c r="G592" s="2"/>
      <c r="H592" s="2"/>
      <c r="I592" s="2"/>
      <c r="J592" s="156"/>
      <c r="K592" s="2"/>
      <c r="L592" s="2"/>
      <c r="M592" s="2"/>
      <c r="N592" s="2"/>
      <c r="O592" s="2"/>
      <c r="P592" s="2"/>
      <c r="Q592" s="157"/>
      <c r="R592" s="157"/>
      <c r="S592" s="157"/>
      <c r="T592" s="158"/>
      <c r="U592" s="2"/>
      <c r="V592" s="30"/>
      <c r="W592" s="2"/>
      <c r="X592" s="2"/>
      <c r="Y592" s="2"/>
      <c r="Z592" s="2"/>
    </row>
    <row r="593" ht="13.5" customHeight="1">
      <c r="A593" s="2"/>
      <c r="B593" s="2"/>
      <c r="C593" s="2"/>
      <c r="D593" s="2"/>
      <c r="E593" s="2"/>
      <c r="F593" s="2"/>
      <c r="G593" s="2"/>
      <c r="H593" s="2"/>
      <c r="I593" s="2"/>
      <c r="J593" s="156"/>
      <c r="K593" s="2"/>
      <c r="L593" s="2"/>
      <c r="M593" s="2"/>
      <c r="N593" s="2"/>
      <c r="O593" s="2"/>
      <c r="P593" s="2"/>
      <c r="Q593" s="157"/>
      <c r="R593" s="157"/>
      <c r="S593" s="157"/>
      <c r="T593" s="158"/>
      <c r="U593" s="2"/>
      <c r="V593" s="30"/>
      <c r="W593" s="2"/>
      <c r="X593" s="2"/>
      <c r="Y593" s="2"/>
      <c r="Z593" s="2"/>
    </row>
    <row r="594" ht="13.5" customHeight="1">
      <c r="A594" s="2"/>
      <c r="B594" s="2"/>
      <c r="C594" s="2"/>
      <c r="D594" s="2"/>
      <c r="E594" s="2"/>
      <c r="F594" s="2"/>
      <c r="G594" s="2"/>
      <c r="H594" s="2"/>
      <c r="I594" s="2"/>
      <c r="J594" s="156"/>
      <c r="K594" s="2"/>
      <c r="L594" s="2"/>
      <c r="M594" s="2"/>
      <c r="N594" s="2"/>
      <c r="O594" s="2"/>
      <c r="P594" s="2"/>
      <c r="Q594" s="157"/>
      <c r="R594" s="157"/>
      <c r="S594" s="157"/>
      <c r="T594" s="158"/>
      <c r="U594" s="2"/>
      <c r="V594" s="30"/>
      <c r="W594" s="2"/>
      <c r="X594" s="2"/>
      <c r="Y594" s="2"/>
      <c r="Z594" s="2"/>
    </row>
    <row r="595" ht="13.5" customHeight="1">
      <c r="A595" s="2"/>
      <c r="B595" s="2"/>
      <c r="C595" s="2"/>
      <c r="D595" s="2"/>
      <c r="E595" s="2"/>
      <c r="F595" s="2"/>
      <c r="G595" s="2"/>
      <c r="H595" s="2"/>
      <c r="I595" s="2"/>
      <c r="J595" s="156"/>
      <c r="K595" s="2"/>
      <c r="L595" s="2"/>
      <c r="M595" s="2"/>
      <c r="N595" s="2"/>
      <c r="O595" s="2"/>
      <c r="P595" s="2"/>
      <c r="Q595" s="157"/>
      <c r="R595" s="157"/>
      <c r="S595" s="157"/>
      <c r="T595" s="158"/>
      <c r="U595" s="2"/>
      <c r="V595" s="30"/>
      <c r="W595" s="2"/>
      <c r="X595" s="2"/>
      <c r="Y595" s="2"/>
      <c r="Z595" s="2"/>
    </row>
    <row r="596" ht="13.5" customHeight="1">
      <c r="A596" s="2"/>
      <c r="B596" s="2"/>
      <c r="C596" s="2"/>
      <c r="D596" s="2"/>
      <c r="E596" s="2"/>
      <c r="F596" s="2"/>
      <c r="G596" s="2"/>
      <c r="H596" s="2"/>
      <c r="I596" s="2"/>
      <c r="J596" s="156"/>
      <c r="K596" s="2"/>
      <c r="L596" s="2"/>
      <c r="M596" s="2"/>
      <c r="N596" s="2"/>
      <c r="O596" s="2"/>
      <c r="P596" s="2"/>
      <c r="Q596" s="157"/>
      <c r="R596" s="157"/>
      <c r="S596" s="157"/>
      <c r="T596" s="158"/>
      <c r="U596" s="2"/>
      <c r="V596" s="30"/>
      <c r="W596" s="2"/>
      <c r="X596" s="2"/>
      <c r="Y596" s="2"/>
      <c r="Z596" s="2"/>
    </row>
    <row r="597" ht="13.5" customHeight="1">
      <c r="A597" s="2"/>
      <c r="B597" s="2"/>
      <c r="C597" s="2"/>
      <c r="D597" s="2"/>
      <c r="E597" s="2"/>
      <c r="F597" s="2"/>
      <c r="G597" s="2"/>
      <c r="H597" s="2"/>
      <c r="I597" s="2"/>
      <c r="J597" s="156"/>
      <c r="K597" s="2"/>
      <c r="L597" s="2"/>
      <c r="M597" s="2"/>
      <c r="N597" s="2"/>
      <c r="O597" s="2"/>
      <c r="P597" s="2"/>
      <c r="Q597" s="157"/>
      <c r="R597" s="157"/>
      <c r="S597" s="157"/>
      <c r="T597" s="158"/>
      <c r="U597" s="2"/>
      <c r="V597" s="30"/>
      <c r="W597" s="2"/>
      <c r="X597" s="2"/>
      <c r="Y597" s="2"/>
      <c r="Z597" s="2"/>
    </row>
    <row r="598" ht="13.5" customHeight="1">
      <c r="A598" s="2"/>
      <c r="B598" s="2"/>
      <c r="C598" s="2"/>
      <c r="D598" s="2"/>
      <c r="E598" s="2"/>
      <c r="F598" s="2"/>
      <c r="G598" s="2"/>
      <c r="H598" s="2"/>
      <c r="I598" s="2"/>
      <c r="J598" s="156"/>
      <c r="K598" s="2"/>
      <c r="L598" s="2"/>
      <c r="M598" s="2"/>
      <c r="N598" s="2"/>
      <c r="O598" s="2"/>
      <c r="P598" s="2"/>
      <c r="Q598" s="157"/>
      <c r="R598" s="157"/>
      <c r="S598" s="157"/>
      <c r="T598" s="158"/>
      <c r="U598" s="2"/>
      <c r="V598" s="30"/>
      <c r="W598" s="2"/>
      <c r="X598" s="2"/>
      <c r="Y598" s="2"/>
      <c r="Z598" s="2"/>
    </row>
    <row r="599" ht="13.5" customHeight="1">
      <c r="A599" s="2"/>
      <c r="B599" s="2"/>
      <c r="C599" s="2"/>
      <c r="D599" s="2"/>
      <c r="E599" s="2"/>
      <c r="F599" s="2"/>
      <c r="G599" s="2"/>
      <c r="H599" s="2"/>
      <c r="I599" s="2"/>
      <c r="J599" s="156"/>
      <c r="K599" s="2"/>
      <c r="L599" s="2"/>
      <c r="M599" s="2"/>
      <c r="N599" s="2"/>
      <c r="O599" s="2"/>
      <c r="P599" s="2"/>
      <c r="Q599" s="157"/>
      <c r="R599" s="157"/>
      <c r="S599" s="157"/>
      <c r="T599" s="158"/>
      <c r="U599" s="2"/>
      <c r="V599" s="30"/>
      <c r="W599" s="2"/>
      <c r="X599" s="2"/>
      <c r="Y599" s="2"/>
      <c r="Z599" s="2"/>
    </row>
    <row r="600" ht="13.5" customHeight="1">
      <c r="A600" s="2"/>
      <c r="B600" s="2"/>
      <c r="C600" s="2"/>
      <c r="D600" s="2"/>
      <c r="E600" s="2"/>
      <c r="F600" s="2"/>
      <c r="G600" s="2"/>
      <c r="H600" s="2"/>
      <c r="I600" s="2"/>
      <c r="J600" s="156"/>
      <c r="K600" s="2"/>
      <c r="L600" s="2"/>
      <c r="M600" s="2"/>
      <c r="N600" s="2"/>
      <c r="O600" s="2"/>
      <c r="P600" s="2"/>
      <c r="Q600" s="157"/>
      <c r="R600" s="157"/>
      <c r="S600" s="157"/>
      <c r="T600" s="158"/>
      <c r="U600" s="2"/>
      <c r="V600" s="30"/>
      <c r="W600" s="2"/>
      <c r="X600" s="2"/>
      <c r="Y600" s="2"/>
      <c r="Z600" s="2"/>
    </row>
    <row r="601" ht="13.5" customHeight="1">
      <c r="A601" s="2"/>
      <c r="B601" s="2"/>
      <c r="C601" s="2"/>
      <c r="D601" s="2"/>
      <c r="E601" s="2"/>
      <c r="F601" s="2"/>
      <c r="G601" s="2"/>
      <c r="H601" s="2"/>
      <c r="I601" s="2"/>
      <c r="J601" s="156"/>
      <c r="K601" s="2"/>
      <c r="L601" s="2"/>
      <c r="M601" s="2"/>
      <c r="N601" s="2"/>
      <c r="O601" s="2"/>
      <c r="P601" s="2"/>
      <c r="Q601" s="157"/>
      <c r="R601" s="157"/>
      <c r="S601" s="157"/>
      <c r="T601" s="158"/>
      <c r="U601" s="2"/>
      <c r="V601" s="30"/>
      <c r="W601" s="2"/>
      <c r="X601" s="2"/>
      <c r="Y601" s="2"/>
      <c r="Z601" s="2"/>
    </row>
    <row r="602" ht="13.5" customHeight="1">
      <c r="A602" s="2"/>
      <c r="B602" s="2"/>
      <c r="C602" s="2"/>
      <c r="D602" s="2"/>
      <c r="E602" s="2"/>
      <c r="F602" s="2"/>
      <c r="G602" s="2"/>
      <c r="H602" s="2"/>
      <c r="I602" s="2"/>
      <c r="J602" s="156"/>
      <c r="K602" s="2"/>
      <c r="L602" s="2"/>
      <c r="M602" s="2"/>
      <c r="N602" s="2"/>
      <c r="O602" s="2"/>
      <c r="P602" s="2"/>
      <c r="Q602" s="157"/>
      <c r="R602" s="157"/>
      <c r="S602" s="157"/>
      <c r="T602" s="158"/>
      <c r="U602" s="2"/>
      <c r="V602" s="30"/>
      <c r="W602" s="2"/>
      <c r="X602" s="2"/>
      <c r="Y602" s="2"/>
      <c r="Z602" s="2"/>
    </row>
    <row r="603" ht="13.5" customHeight="1">
      <c r="A603" s="2"/>
      <c r="B603" s="2"/>
      <c r="C603" s="2"/>
      <c r="D603" s="2"/>
      <c r="E603" s="2"/>
      <c r="F603" s="2"/>
      <c r="G603" s="2"/>
      <c r="H603" s="2"/>
      <c r="I603" s="2"/>
      <c r="J603" s="156"/>
      <c r="K603" s="2"/>
      <c r="L603" s="2"/>
      <c r="M603" s="2"/>
      <c r="N603" s="2"/>
      <c r="O603" s="2"/>
      <c r="P603" s="2"/>
      <c r="Q603" s="157"/>
      <c r="R603" s="157"/>
      <c r="S603" s="157"/>
      <c r="T603" s="158"/>
      <c r="U603" s="2"/>
      <c r="V603" s="30"/>
      <c r="W603" s="2"/>
      <c r="X603" s="2"/>
      <c r="Y603" s="2"/>
      <c r="Z603" s="2"/>
    </row>
    <row r="604" ht="13.5" customHeight="1">
      <c r="A604" s="2"/>
      <c r="B604" s="2"/>
      <c r="C604" s="2"/>
      <c r="D604" s="2"/>
      <c r="E604" s="2"/>
      <c r="F604" s="2"/>
      <c r="G604" s="2"/>
      <c r="H604" s="2"/>
      <c r="I604" s="2"/>
      <c r="J604" s="156"/>
      <c r="K604" s="2"/>
      <c r="L604" s="2"/>
      <c r="M604" s="2"/>
      <c r="N604" s="2"/>
      <c r="O604" s="2"/>
      <c r="P604" s="2"/>
      <c r="Q604" s="157"/>
      <c r="R604" s="157"/>
      <c r="S604" s="157"/>
      <c r="T604" s="158"/>
      <c r="U604" s="2"/>
      <c r="V604" s="30"/>
      <c r="W604" s="2"/>
      <c r="X604" s="2"/>
      <c r="Y604" s="2"/>
      <c r="Z604" s="2"/>
    </row>
    <row r="605" ht="13.5" customHeight="1">
      <c r="A605" s="2"/>
      <c r="B605" s="2"/>
      <c r="C605" s="2"/>
      <c r="D605" s="2"/>
      <c r="E605" s="2"/>
      <c r="F605" s="2"/>
      <c r="G605" s="2"/>
      <c r="H605" s="2"/>
      <c r="I605" s="2"/>
      <c r="J605" s="156"/>
      <c r="K605" s="2"/>
      <c r="L605" s="2"/>
      <c r="M605" s="2"/>
      <c r="N605" s="2"/>
      <c r="O605" s="2"/>
      <c r="P605" s="2"/>
      <c r="Q605" s="157"/>
      <c r="R605" s="157"/>
      <c r="S605" s="157"/>
      <c r="T605" s="158"/>
      <c r="U605" s="2"/>
      <c r="V605" s="30"/>
      <c r="W605" s="2"/>
      <c r="X605" s="2"/>
      <c r="Y605" s="2"/>
      <c r="Z605" s="2"/>
    </row>
    <row r="606" ht="13.5" customHeight="1">
      <c r="A606" s="2"/>
      <c r="B606" s="2"/>
      <c r="C606" s="2"/>
      <c r="D606" s="2"/>
      <c r="E606" s="2"/>
      <c r="F606" s="2"/>
      <c r="G606" s="2"/>
      <c r="H606" s="2"/>
      <c r="I606" s="2"/>
      <c r="J606" s="156"/>
      <c r="K606" s="2"/>
      <c r="L606" s="2"/>
      <c r="M606" s="2"/>
      <c r="N606" s="2"/>
      <c r="O606" s="2"/>
      <c r="P606" s="2"/>
      <c r="Q606" s="157"/>
      <c r="R606" s="157"/>
      <c r="S606" s="157"/>
      <c r="T606" s="158"/>
      <c r="U606" s="2"/>
      <c r="V606" s="30"/>
      <c r="W606" s="2"/>
      <c r="X606" s="2"/>
      <c r="Y606" s="2"/>
      <c r="Z606" s="2"/>
    </row>
    <row r="607" ht="13.5" customHeight="1">
      <c r="A607" s="2"/>
      <c r="B607" s="2"/>
      <c r="C607" s="2"/>
      <c r="D607" s="2"/>
      <c r="E607" s="2"/>
      <c r="F607" s="2"/>
      <c r="G607" s="2"/>
      <c r="H607" s="2"/>
      <c r="I607" s="2"/>
      <c r="J607" s="156"/>
      <c r="K607" s="2"/>
      <c r="L607" s="2"/>
      <c r="M607" s="2"/>
      <c r="N607" s="2"/>
      <c r="O607" s="2"/>
      <c r="P607" s="2"/>
      <c r="Q607" s="157"/>
      <c r="R607" s="157"/>
      <c r="S607" s="157"/>
      <c r="T607" s="158"/>
      <c r="U607" s="2"/>
      <c r="V607" s="30"/>
      <c r="W607" s="2"/>
      <c r="X607" s="2"/>
      <c r="Y607" s="2"/>
      <c r="Z607" s="2"/>
    </row>
    <row r="608" ht="13.5" customHeight="1">
      <c r="A608" s="2"/>
      <c r="B608" s="2"/>
      <c r="C608" s="2"/>
      <c r="D608" s="2"/>
      <c r="E608" s="2"/>
      <c r="F608" s="2"/>
      <c r="G608" s="2"/>
      <c r="H608" s="2"/>
      <c r="I608" s="2"/>
      <c r="J608" s="156"/>
      <c r="K608" s="2"/>
      <c r="L608" s="2"/>
      <c r="M608" s="2"/>
      <c r="N608" s="2"/>
      <c r="O608" s="2"/>
      <c r="P608" s="2"/>
      <c r="Q608" s="157"/>
      <c r="R608" s="157"/>
      <c r="S608" s="157"/>
      <c r="T608" s="158"/>
      <c r="U608" s="2"/>
      <c r="V608" s="30"/>
      <c r="W608" s="2"/>
      <c r="X608" s="2"/>
      <c r="Y608" s="2"/>
      <c r="Z608" s="2"/>
    </row>
    <row r="609" ht="13.5" customHeight="1">
      <c r="A609" s="2"/>
      <c r="B609" s="2"/>
      <c r="C609" s="2"/>
      <c r="D609" s="2"/>
      <c r="E609" s="2"/>
      <c r="F609" s="2"/>
      <c r="G609" s="2"/>
      <c r="H609" s="2"/>
      <c r="I609" s="2"/>
      <c r="J609" s="156"/>
      <c r="K609" s="2"/>
      <c r="L609" s="2"/>
      <c r="M609" s="2"/>
      <c r="N609" s="2"/>
      <c r="O609" s="2"/>
      <c r="P609" s="2"/>
      <c r="Q609" s="157"/>
      <c r="R609" s="157"/>
      <c r="S609" s="157"/>
      <c r="T609" s="158"/>
      <c r="U609" s="2"/>
      <c r="V609" s="30"/>
      <c r="W609" s="2"/>
      <c r="X609" s="2"/>
      <c r="Y609" s="2"/>
      <c r="Z609" s="2"/>
    </row>
    <row r="610" ht="13.5" customHeight="1">
      <c r="A610" s="2"/>
      <c r="B610" s="2"/>
      <c r="C610" s="2"/>
      <c r="D610" s="2"/>
      <c r="E610" s="2"/>
      <c r="F610" s="2"/>
      <c r="G610" s="2"/>
      <c r="H610" s="2"/>
      <c r="I610" s="2"/>
      <c r="J610" s="156"/>
      <c r="K610" s="2"/>
      <c r="L610" s="2"/>
      <c r="M610" s="2"/>
      <c r="N610" s="2"/>
      <c r="O610" s="2"/>
      <c r="P610" s="2"/>
      <c r="Q610" s="157"/>
      <c r="R610" s="157"/>
      <c r="S610" s="157"/>
      <c r="T610" s="158"/>
      <c r="U610" s="2"/>
      <c r="V610" s="30"/>
      <c r="W610" s="2"/>
      <c r="X610" s="2"/>
      <c r="Y610" s="2"/>
      <c r="Z610" s="2"/>
    </row>
    <row r="611" ht="13.5" customHeight="1">
      <c r="A611" s="2"/>
      <c r="B611" s="2"/>
      <c r="C611" s="2"/>
      <c r="D611" s="2"/>
      <c r="E611" s="2"/>
      <c r="F611" s="2"/>
      <c r="G611" s="2"/>
      <c r="H611" s="2"/>
      <c r="I611" s="2"/>
      <c r="J611" s="156"/>
      <c r="K611" s="2"/>
      <c r="L611" s="2"/>
      <c r="M611" s="2"/>
      <c r="N611" s="2"/>
      <c r="O611" s="2"/>
      <c r="P611" s="2"/>
      <c r="Q611" s="157"/>
      <c r="R611" s="157"/>
      <c r="S611" s="157"/>
      <c r="T611" s="158"/>
      <c r="U611" s="2"/>
      <c r="V611" s="30"/>
      <c r="W611" s="2"/>
      <c r="X611" s="2"/>
      <c r="Y611" s="2"/>
      <c r="Z611" s="2"/>
    </row>
    <row r="612" ht="13.5" customHeight="1">
      <c r="A612" s="2"/>
      <c r="B612" s="2"/>
      <c r="C612" s="2"/>
      <c r="D612" s="2"/>
      <c r="E612" s="2"/>
      <c r="F612" s="2"/>
      <c r="G612" s="2"/>
      <c r="H612" s="2"/>
      <c r="I612" s="2"/>
      <c r="J612" s="156"/>
      <c r="K612" s="2"/>
      <c r="L612" s="2"/>
      <c r="M612" s="2"/>
      <c r="N612" s="2"/>
      <c r="O612" s="2"/>
      <c r="P612" s="2"/>
      <c r="Q612" s="157"/>
      <c r="R612" s="157"/>
      <c r="S612" s="157"/>
      <c r="T612" s="158"/>
      <c r="U612" s="2"/>
      <c r="V612" s="30"/>
      <c r="W612" s="2"/>
      <c r="X612" s="2"/>
      <c r="Y612" s="2"/>
      <c r="Z612" s="2"/>
    </row>
    <row r="613" ht="13.5" customHeight="1">
      <c r="A613" s="2"/>
      <c r="B613" s="2"/>
      <c r="C613" s="2"/>
      <c r="D613" s="2"/>
      <c r="E613" s="2"/>
      <c r="F613" s="2"/>
      <c r="G613" s="2"/>
      <c r="H613" s="2"/>
      <c r="I613" s="2"/>
      <c r="J613" s="156"/>
      <c r="K613" s="2"/>
      <c r="L613" s="2"/>
      <c r="M613" s="2"/>
      <c r="N613" s="2"/>
      <c r="O613" s="2"/>
      <c r="P613" s="2"/>
      <c r="Q613" s="157"/>
      <c r="R613" s="157"/>
      <c r="S613" s="157"/>
      <c r="T613" s="158"/>
      <c r="U613" s="2"/>
      <c r="V613" s="30"/>
      <c r="W613" s="2"/>
      <c r="X613" s="2"/>
      <c r="Y613" s="2"/>
      <c r="Z613" s="2"/>
    </row>
    <row r="614" ht="13.5" customHeight="1">
      <c r="A614" s="2"/>
      <c r="B614" s="2"/>
      <c r="C614" s="2"/>
      <c r="D614" s="2"/>
      <c r="E614" s="2"/>
      <c r="F614" s="2"/>
      <c r="G614" s="2"/>
      <c r="H614" s="2"/>
      <c r="I614" s="2"/>
      <c r="J614" s="156"/>
      <c r="K614" s="2"/>
      <c r="L614" s="2"/>
      <c r="M614" s="2"/>
      <c r="N614" s="2"/>
      <c r="O614" s="2"/>
      <c r="P614" s="2"/>
      <c r="Q614" s="157"/>
      <c r="R614" s="157"/>
      <c r="S614" s="157"/>
      <c r="T614" s="158"/>
      <c r="U614" s="2"/>
      <c r="V614" s="30"/>
      <c r="W614" s="2"/>
      <c r="X614" s="2"/>
      <c r="Y614" s="2"/>
      <c r="Z614" s="2"/>
    </row>
    <row r="615" ht="13.5" customHeight="1">
      <c r="A615" s="2"/>
      <c r="B615" s="2"/>
      <c r="C615" s="2"/>
      <c r="D615" s="2"/>
      <c r="E615" s="2"/>
      <c r="F615" s="2"/>
      <c r="G615" s="2"/>
      <c r="H615" s="2"/>
      <c r="I615" s="2"/>
      <c r="J615" s="156"/>
      <c r="K615" s="2"/>
      <c r="L615" s="2"/>
      <c r="M615" s="2"/>
      <c r="N615" s="2"/>
      <c r="O615" s="2"/>
      <c r="P615" s="2"/>
      <c r="Q615" s="157"/>
      <c r="R615" s="157"/>
      <c r="S615" s="157"/>
      <c r="T615" s="158"/>
      <c r="U615" s="2"/>
      <c r="V615" s="30"/>
      <c r="W615" s="2"/>
      <c r="X615" s="2"/>
      <c r="Y615" s="2"/>
      <c r="Z615" s="2"/>
    </row>
    <row r="616" ht="13.5" customHeight="1">
      <c r="A616" s="2"/>
      <c r="B616" s="2"/>
      <c r="C616" s="2"/>
      <c r="D616" s="2"/>
      <c r="E616" s="2"/>
      <c r="F616" s="2"/>
      <c r="G616" s="2"/>
      <c r="H616" s="2"/>
      <c r="I616" s="2"/>
      <c r="J616" s="156"/>
      <c r="K616" s="2"/>
      <c r="L616" s="2"/>
      <c r="M616" s="2"/>
      <c r="N616" s="2"/>
      <c r="O616" s="2"/>
      <c r="P616" s="2"/>
      <c r="Q616" s="157"/>
      <c r="R616" s="157"/>
      <c r="S616" s="157"/>
      <c r="T616" s="158"/>
      <c r="U616" s="2"/>
      <c r="V616" s="30"/>
      <c r="W616" s="2"/>
      <c r="X616" s="2"/>
      <c r="Y616" s="2"/>
      <c r="Z616" s="2"/>
    </row>
    <row r="617" ht="13.5" customHeight="1">
      <c r="A617" s="2"/>
      <c r="B617" s="2"/>
      <c r="C617" s="2"/>
      <c r="D617" s="2"/>
      <c r="E617" s="2"/>
      <c r="F617" s="2"/>
      <c r="G617" s="2"/>
      <c r="H617" s="2"/>
      <c r="I617" s="2"/>
      <c r="J617" s="156"/>
      <c r="K617" s="2"/>
      <c r="L617" s="2"/>
      <c r="M617" s="2"/>
      <c r="N617" s="2"/>
      <c r="O617" s="2"/>
      <c r="P617" s="2"/>
      <c r="Q617" s="157"/>
      <c r="R617" s="157"/>
      <c r="S617" s="157"/>
      <c r="T617" s="158"/>
      <c r="U617" s="2"/>
      <c r="V617" s="30"/>
      <c r="W617" s="2"/>
      <c r="X617" s="2"/>
      <c r="Y617" s="2"/>
      <c r="Z617" s="2"/>
    </row>
    <row r="618" ht="13.5" customHeight="1">
      <c r="A618" s="2"/>
      <c r="B618" s="2"/>
      <c r="C618" s="2"/>
      <c r="D618" s="2"/>
      <c r="E618" s="2"/>
      <c r="F618" s="2"/>
      <c r="G618" s="2"/>
      <c r="H618" s="2"/>
      <c r="I618" s="2"/>
      <c r="J618" s="156"/>
      <c r="K618" s="2"/>
      <c r="L618" s="2"/>
      <c r="M618" s="2"/>
      <c r="N618" s="2"/>
      <c r="O618" s="2"/>
      <c r="P618" s="2"/>
      <c r="Q618" s="157"/>
      <c r="R618" s="157"/>
      <c r="S618" s="157"/>
      <c r="T618" s="158"/>
      <c r="U618" s="2"/>
      <c r="V618" s="30"/>
      <c r="W618" s="2"/>
      <c r="X618" s="2"/>
      <c r="Y618" s="2"/>
      <c r="Z618" s="2"/>
    </row>
    <row r="619" ht="13.5" customHeight="1">
      <c r="A619" s="2"/>
      <c r="B619" s="2"/>
      <c r="C619" s="2"/>
      <c r="D619" s="2"/>
      <c r="E619" s="2"/>
      <c r="F619" s="2"/>
      <c r="G619" s="2"/>
      <c r="H619" s="2"/>
      <c r="I619" s="2"/>
      <c r="J619" s="156"/>
      <c r="K619" s="2"/>
      <c r="L619" s="2"/>
      <c r="M619" s="2"/>
      <c r="N619" s="2"/>
      <c r="O619" s="2"/>
      <c r="P619" s="2"/>
      <c r="Q619" s="157"/>
      <c r="R619" s="157"/>
      <c r="S619" s="157"/>
      <c r="T619" s="158"/>
      <c r="U619" s="2"/>
      <c r="V619" s="30"/>
      <c r="W619" s="2"/>
      <c r="X619" s="2"/>
      <c r="Y619" s="2"/>
      <c r="Z619" s="2"/>
    </row>
    <row r="620" ht="13.5" customHeight="1">
      <c r="A620" s="2"/>
      <c r="B620" s="2"/>
      <c r="C620" s="2"/>
      <c r="D620" s="2"/>
      <c r="E620" s="2"/>
      <c r="F620" s="2"/>
      <c r="G620" s="2"/>
      <c r="H620" s="2"/>
      <c r="I620" s="2"/>
      <c r="J620" s="156"/>
      <c r="K620" s="2"/>
      <c r="L620" s="2"/>
      <c r="M620" s="2"/>
      <c r="N620" s="2"/>
      <c r="O620" s="2"/>
      <c r="P620" s="2"/>
      <c r="Q620" s="157"/>
      <c r="R620" s="157"/>
      <c r="S620" s="157"/>
      <c r="T620" s="158"/>
      <c r="U620" s="2"/>
      <c r="V620" s="30"/>
      <c r="W620" s="2"/>
      <c r="X620" s="2"/>
      <c r="Y620" s="2"/>
      <c r="Z620" s="2"/>
    </row>
    <row r="621" ht="13.5" customHeight="1">
      <c r="A621" s="2"/>
      <c r="B621" s="2"/>
      <c r="C621" s="2"/>
      <c r="D621" s="2"/>
      <c r="E621" s="2"/>
      <c r="F621" s="2"/>
      <c r="G621" s="2"/>
      <c r="H621" s="2"/>
      <c r="I621" s="2"/>
      <c r="J621" s="156"/>
      <c r="K621" s="2"/>
      <c r="L621" s="2"/>
      <c r="M621" s="2"/>
      <c r="N621" s="2"/>
      <c r="O621" s="2"/>
      <c r="P621" s="2"/>
      <c r="Q621" s="157"/>
      <c r="R621" s="157"/>
      <c r="S621" s="157"/>
      <c r="T621" s="158"/>
      <c r="U621" s="2"/>
      <c r="V621" s="30"/>
      <c r="W621" s="2"/>
      <c r="X621" s="2"/>
      <c r="Y621" s="2"/>
      <c r="Z621" s="2"/>
    </row>
    <row r="622" ht="13.5" customHeight="1">
      <c r="A622" s="2"/>
      <c r="B622" s="2"/>
      <c r="C622" s="2"/>
      <c r="D622" s="2"/>
      <c r="E622" s="2"/>
      <c r="F622" s="2"/>
      <c r="G622" s="2"/>
      <c r="H622" s="2"/>
      <c r="I622" s="2"/>
      <c r="J622" s="156"/>
      <c r="K622" s="2"/>
      <c r="L622" s="2"/>
      <c r="M622" s="2"/>
      <c r="N622" s="2"/>
      <c r="O622" s="2"/>
      <c r="P622" s="2"/>
      <c r="Q622" s="157"/>
      <c r="R622" s="157"/>
      <c r="S622" s="157"/>
      <c r="T622" s="158"/>
      <c r="U622" s="2"/>
      <c r="V622" s="30"/>
      <c r="W622" s="2"/>
      <c r="X622" s="2"/>
      <c r="Y622" s="2"/>
      <c r="Z622" s="2"/>
    </row>
    <row r="623" ht="13.5" customHeight="1">
      <c r="A623" s="2"/>
      <c r="B623" s="2"/>
      <c r="C623" s="2"/>
      <c r="D623" s="2"/>
      <c r="E623" s="2"/>
      <c r="F623" s="2"/>
      <c r="G623" s="2"/>
      <c r="H623" s="2"/>
      <c r="I623" s="2"/>
      <c r="J623" s="156"/>
      <c r="K623" s="2"/>
      <c r="L623" s="2"/>
      <c r="M623" s="2"/>
      <c r="N623" s="2"/>
      <c r="O623" s="2"/>
      <c r="P623" s="2"/>
      <c r="Q623" s="157"/>
      <c r="R623" s="157"/>
      <c r="S623" s="157"/>
      <c r="T623" s="158"/>
      <c r="U623" s="2"/>
      <c r="V623" s="30"/>
      <c r="W623" s="2"/>
      <c r="X623" s="2"/>
      <c r="Y623" s="2"/>
      <c r="Z623" s="2"/>
    </row>
    <row r="624" ht="13.5" customHeight="1">
      <c r="A624" s="2"/>
      <c r="B624" s="2"/>
      <c r="C624" s="2"/>
      <c r="D624" s="2"/>
      <c r="E624" s="2"/>
      <c r="F624" s="2"/>
      <c r="G624" s="2"/>
      <c r="H624" s="2"/>
      <c r="I624" s="2"/>
      <c r="J624" s="156"/>
      <c r="K624" s="2"/>
      <c r="L624" s="2"/>
      <c r="M624" s="2"/>
      <c r="N624" s="2"/>
      <c r="O624" s="2"/>
      <c r="P624" s="2"/>
      <c r="Q624" s="157"/>
      <c r="R624" s="157"/>
      <c r="S624" s="157"/>
      <c r="T624" s="158"/>
      <c r="U624" s="2"/>
      <c r="V624" s="30"/>
      <c r="W624" s="2"/>
      <c r="X624" s="2"/>
      <c r="Y624" s="2"/>
      <c r="Z624" s="2"/>
    </row>
    <row r="625" ht="13.5" customHeight="1">
      <c r="A625" s="2"/>
      <c r="B625" s="2"/>
      <c r="C625" s="2"/>
      <c r="D625" s="2"/>
      <c r="E625" s="2"/>
      <c r="F625" s="2"/>
      <c r="G625" s="2"/>
      <c r="H625" s="2"/>
      <c r="I625" s="2"/>
      <c r="J625" s="156"/>
      <c r="K625" s="2"/>
      <c r="L625" s="2"/>
      <c r="M625" s="2"/>
      <c r="N625" s="2"/>
      <c r="O625" s="2"/>
      <c r="P625" s="2"/>
      <c r="Q625" s="157"/>
      <c r="R625" s="157"/>
      <c r="S625" s="157"/>
      <c r="T625" s="158"/>
      <c r="U625" s="2"/>
      <c r="V625" s="30"/>
      <c r="W625" s="2"/>
      <c r="X625" s="2"/>
      <c r="Y625" s="2"/>
      <c r="Z625" s="2"/>
    </row>
    <row r="626" ht="13.5" customHeight="1">
      <c r="A626" s="2"/>
      <c r="B626" s="2"/>
      <c r="C626" s="2"/>
      <c r="D626" s="2"/>
      <c r="E626" s="2"/>
      <c r="F626" s="2"/>
      <c r="G626" s="2"/>
      <c r="H626" s="2"/>
      <c r="I626" s="2"/>
      <c r="J626" s="156"/>
      <c r="K626" s="2"/>
      <c r="L626" s="2"/>
      <c r="M626" s="2"/>
      <c r="N626" s="2"/>
      <c r="O626" s="2"/>
      <c r="P626" s="2"/>
      <c r="Q626" s="157"/>
      <c r="R626" s="157"/>
      <c r="S626" s="157"/>
      <c r="T626" s="158"/>
      <c r="U626" s="2"/>
      <c r="V626" s="30"/>
      <c r="W626" s="2"/>
      <c r="X626" s="2"/>
      <c r="Y626" s="2"/>
      <c r="Z626" s="2"/>
    </row>
    <row r="627" ht="13.5" customHeight="1">
      <c r="A627" s="2"/>
      <c r="B627" s="2"/>
      <c r="C627" s="2"/>
      <c r="D627" s="2"/>
      <c r="E627" s="2"/>
      <c r="F627" s="2"/>
      <c r="G627" s="2"/>
      <c r="H627" s="2"/>
      <c r="I627" s="2"/>
      <c r="J627" s="156"/>
      <c r="K627" s="2"/>
      <c r="L627" s="2"/>
      <c r="M627" s="2"/>
      <c r="N627" s="2"/>
      <c r="O627" s="2"/>
      <c r="P627" s="2"/>
      <c r="Q627" s="157"/>
      <c r="R627" s="157"/>
      <c r="S627" s="157"/>
      <c r="T627" s="158"/>
      <c r="U627" s="2"/>
      <c r="V627" s="30"/>
      <c r="W627" s="2"/>
      <c r="X627" s="2"/>
      <c r="Y627" s="2"/>
      <c r="Z627" s="2"/>
    </row>
    <row r="628" ht="13.5" customHeight="1">
      <c r="A628" s="2"/>
      <c r="B628" s="2"/>
      <c r="C628" s="2"/>
      <c r="D628" s="2"/>
      <c r="E628" s="2"/>
      <c r="F628" s="2"/>
      <c r="G628" s="2"/>
      <c r="H628" s="2"/>
      <c r="I628" s="2"/>
      <c r="J628" s="156"/>
      <c r="K628" s="2"/>
      <c r="L628" s="2"/>
      <c r="M628" s="2"/>
      <c r="N628" s="2"/>
      <c r="O628" s="2"/>
      <c r="P628" s="2"/>
      <c r="Q628" s="157"/>
      <c r="R628" s="157"/>
      <c r="S628" s="157"/>
      <c r="T628" s="158"/>
      <c r="U628" s="2"/>
      <c r="V628" s="30"/>
      <c r="W628" s="2"/>
      <c r="X628" s="2"/>
      <c r="Y628" s="2"/>
      <c r="Z628" s="2"/>
    </row>
    <row r="629" ht="13.5" customHeight="1">
      <c r="A629" s="2"/>
      <c r="B629" s="2"/>
      <c r="C629" s="2"/>
      <c r="D629" s="2"/>
      <c r="E629" s="2"/>
      <c r="F629" s="2"/>
      <c r="G629" s="2"/>
      <c r="H629" s="2"/>
      <c r="I629" s="2"/>
      <c r="J629" s="156"/>
      <c r="K629" s="2"/>
      <c r="L629" s="2"/>
      <c r="M629" s="2"/>
      <c r="N629" s="2"/>
      <c r="O629" s="2"/>
      <c r="P629" s="2"/>
      <c r="Q629" s="157"/>
      <c r="R629" s="157"/>
      <c r="S629" s="157"/>
      <c r="T629" s="158"/>
      <c r="U629" s="2"/>
      <c r="V629" s="30"/>
      <c r="W629" s="2"/>
      <c r="X629" s="2"/>
      <c r="Y629" s="2"/>
      <c r="Z629" s="2"/>
    </row>
    <row r="630" ht="13.5" customHeight="1">
      <c r="A630" s="2"/>
      <c r="B630" s="2"/>
      <c r="C630" s="2"/>
      <c r="D630" s="2"/>
      <c r="E630" s="2"/>
      <c r="F630" s="2"/>
      <c r="G630" s="2"/>
      <c r="H630" s="2"/>
      <c r="I630" s="2"/>
      <c r="J630" s="156"/>
      <c r="K630" s="2"/>
      <c r="L630" s="2"/>
      <c r="M630" s="2"/>
      <c r="N630" s="2"/>
      <c r="O630" s="2"/>
      <c r="P630" s="2"/>
      <c r="Q630" s="157"/>
      <c r="R630" s="157"/>
      <c r="S630" s="157"/>
      <c r="T630" s="158"/>
      <c r="U630" s="2"/>
      <c r="V630" s="30"/>
      <c r="W630" s="2"/>
      <c r="X630" s="2"/>
      <c r="Y630" s="2"/>
      <c r="Z630" s="2"/>
    </row>
    <row r="631" ht="13.5" customHeight="1">
      <c r="A631" s="2"/>
      <c r="B631" s="2"/>
      <c r="C631" s="2"/>
      <c r="D631" s="2"/>
      <c r="E631" s="2"/>
      <c r="F631" s="2"/>
      <c r="G631" s="2"/>
      <c r="H631" s="2"/>
      <c r="I631" s="2"/>
      <c r="J631" s="156"/>
      <c r="K631" s="2"/>
      <c r="L631" s="2"/>
      <c r="M631" s="2"/>
      <c r="N631" s="2"/>
      <c r="O631" s="2"/>
      <c r="P631" s="2"/>
      <c r="Q631" s="157"/>
      <c r="R631" s="157"/>
      <c r="S631" s="157"/>
      <c r="T631" s="158"/>
      <c r="U631" s="2"/>
      <c r="V631" s="30"/>
      <c r="W631" s="2"/>
      <c r="X631" s="2"/>
      <c r="Y631" s="2"/>
      <c r="Z631" s="2"/>
    </row>
    <row r="632" ht="13.5" customHeight="1">
      <c r="A632" s="2"/>
      <c r="B632" s="2"/>
      <c r="C632" s="2"/>
      <c r="D632" s="2"/>
      <c r="E632" s="2"/>
      <c r="F632" s="2"/>
      <c r="G632" s="2"/>
      <c r="H632" s="2"/>
      <c r="I632" s="2"/>
      <c r="J632" s="156"/>
      <c r="K632" s="2"/>
      <c r="L632" s="2"/>
      <c r="M632" s="2"/>
      <c r="N632" s="2"/>
      <c r="O632" s="2"/>
      <c r="P632" s="2"/>
      <c r="Q632" s="157"/>
      <c r="R632" s="157"/>
      <c r="S632" s="157"/>
      <c r="T632" s="158"/>
      <c r="U632" s="2"/>
      <c r="V632" s="30"/>
      <c r="W632" s="2"/>
      <c r="X632" s="2"/>
      <c r="Y632" s="2"/>
      <c r="Z632" s="2"/>
    </row>
    <row r="633" ht="13.5" customHeight="1">
      <c r="A633" s="2"/>
      <c r="B633" s="2"/>
      <c r="C633" s="2"/>
      <c r="D633" s="2"/>
      <c r="E633" s="2"/>
      <c r="F633" s="2"/>
      <c r="G633" s="2"/>
      <c r="H633" s="2"/>
      <c r="I633" s="2"/>
      <c r="J633" s="156"/>
      <c r="K633" s="2"/>
      <c r="L633" s="2"/>
      <c r="M633" s="2"/>
      <c r="N633" s="2"/>
      <c r="O633" s="2"/>
      <c r="P633" s="2"/>
      <c r="Q633" s="157"/>
      <c r="R633" s="157"/>
      <c r="S633" s="157"/>
      <c r="T633" s="158"/>
      <c r="U633" s="2"/>
      <c r="V633" s="30"/>
      <c r="W633" s="2"/>
      <c r="X633" s="2"/>
      <c r="Y633" s="2"/>
      <c r="Z633" s="2"/>
    </row>
    <row r="634" ht="13.5" customHeight="1">
      <c r="A634" s="2"/>
      <c r="B634" s="2"/>
      <c r="C634" s="2"/>
      <c r="D634" s="2"/>
      <c r="E634" s="2"/>
      <c r="F634" s="2"/>
      <c r="G634" s="2"/>
      <c r="H634" s="2"/>
      <c r="I634" s="2"/>
      <c r="J634" s="156"/>
      <c r="K634" s="2"/>
      <c r="L634" s="2"/>
      <c r="M634" s="2"/>
      <c r="N634" s="2"/>
      <c r="O634" s="2"/>
      <c r="P634" s="2"/>
      <c r="Q634" s="157"/>
      <c r="R634" s="157"/>
      <c r="S634" s="157"/>
      <c r="T634" s="158"/>
      <c r="U634" s="2"/>
      <c r="V634" s="30"/>
      <c r="W634" s="2"/>
      <c r="X634" s="2"/>
      <c r="Y634" s="2"/>
      <c r="Z634" s="2"/>
    </row>
    <row r="635" ht="13.5" customHeight="1">
      <c r="A635" s="2"/>
      <c r="B635" s="2"/>
      <c r="C635" s="2"/>
      <c r="D635" s="2"/>
      <c r="E635" s="2"/>
      <c r="F635" s="2"/>
      <c r="G635" s="2"/>
      <c r="H635" s="2"/>
      <c r="I635" s="2"/>
      <c r="J635" s="156"/>
      <c r="K635" s="2"/>
      <c r="L635" s="2"/>
      <c r="M635" s="2"/>
      <c r="N635" s="2"/>
      <c r="O635" s="2"/>
      <c r="P635" s="2"/>
      <c r="Q635" s="157"/>
      <c r="R635" s="157"/>
      <c r="S635" s="157"/>
      <c r="T635" s="158"/>
      <c r="U635" s="2"/>
      <c r="V635" s="30"/>
      <c r="W635" s="2"/>
      <c r="X635" s="2"/>
      <c r="Y635" s="2"/>
      <c r="Z635" s="2"/>
    </row>
    <row r="636" ht="13.5" customHeight="1">
      <c r="A636" s="2"/>
      <c r="B636" s="2"/>
      <c r="C636" s="2"/>
      <c r="D636" s="2"/>
      <c r="E636" s="2"/>
      <c r="F636" s="2"/>
      <c r="G636" s="2"/>
      <c r="H636" s="2"/>
      <c r="I636" s="2"/>
      <c r="J636" s="156"/>
      <c r="K636" s="2"/>
      <c r="L636" s="2"/>
      <c r="M636" s="2"/>
      <c r="N636" s="2"/>
      <c r="O636" s="2"/>
      <c r="P636" s="2"/>
      <c r="Q636" s="157"/>
      <c r="R636" s="157"/>
      <c r="S636" s="157"/>
      <c r="T636" s="158"/>
      <c r="U636" s="2"/>
      <c r="V636" s="30"/>
      <c r="W636" s="2"/>
      <c r="X636" s="2"/>
      <c r="Y636" s="2"/>
      <c r="Z636" s="2"/>
    </row>
    <row r="637" ht="13.5" customHeight="1">
      <c r="A637" s="2"/>
      <c r="B637" s="2"/>
      <c r="C637" s="2"/>
      <c r="D637" s="2"/>
      <c r="E637" s="2"/>
      <c r="F637" s="2"/>
      <c r="G637" s="2"/>
      <c r="H637" s="2"/>
      <c r="I637" s="2"/>
      <c r="J637" s="156"/>
      <c r="K637" s="2"/>
      <c r="L637" s="2"/>
      <c r="M637" s="2"/>
      <c r="N637" s="2"/>
      <c r="O637" s="2"/>
      <c r="P637" s="2"/>
      <c r="Q637" s="157"/>
      <c r="R637" s="157"/>
      <c r="S637" s="157"/>
      <c r="T637" s="158"/>
      <c r="U637" s="2"/>
      <c r="V637" s="30"/>
      <c r="W637" s="2"/>
      <c r="X637" s="2"/>
      <c r="Y637" s="2"/>
      <c r="Z637" s="2"/>
    </row>
    <row r="638" ht="13.5" customHeight="1">
      <c r="A638" s="2"/>
      <c r="B638" s="2"/>
      <c r="C638" s="2"/>
      <c r="D638" s="2"/>
      <c r="E638" s="2"/>
      <c r="F638" s="2"/>
      <c r="G638" s="2"/>
      <c r="H638" s="2"/>
      <c r="I638" s="2"/>
      <c r="J638" s="156"/>
      <c r="K638" s="2"/>
      <c r="L638" s="2"/>
      <c r="M638" s="2"/>
      <c r="N638" s="2"/>
      <c r="O638" s="2"/>
      <c r="P638" s="2"/>
      <c r="Q638" s="157"/>
      <c r="R638" s="157"/>
      <c r="S638" s="157"/>
      <c r="T638" s="158"/>
      <c r="U638" s="2"/>
      <c r="V638" s="30"/>
      <c r="W638" s="2"/>
      <c r="X638" s="2"/>
      <c r="Y638" s="2"/>
      <c r="Z638" s="2"/>
    </row>
    <row r="639" ht="13.5" customHeight="1">
      <c r="A639" s="2"/>
      <c r="B639" s="2"/>
      <c r="C639" s="2"/>
      <c r="D639" s="2"/>
      <c r="E639" s="2"/>
      <c r="F639" s="2"/>
      <c r="G639" s="2"/>
      <c r="H639" s="2"/>
      <c r="I639" s="2"/>
      <c r="J639" s="156"/>
      <c r="K639" s="2"/>
      <c r="L639" s="2"/>
      <c r="M639" s="2"/>
      <c r="N639" s="2"/>
      <c r="O639" s="2"/>
      <c r="P639" s="2"/>
      <c r="Q639" s="157"/>
      <c r="R639" s="157"/>
      <c r="S639" s="157"/>
      <c r="T639" s="158"/>
      <c r="U639" s="2"/>
      <c r="V639" s="30"/>
      <c r="W639" s="2"/>
      <c r="X639" s="2"/>
      <c r="Y639" s="2"/>
      <c r="Z639" s="2"/>
    </row>
    <row r="640" ht="13.5" customHeight="1">
      <c r="A640" s="2"/>
      <c r="B640" s="2"/>
      <c r="C640" s="2"/>
      <c r="D640" s="2"/>
      <c r="E640" s="2"/>
      <c r="F640" s="2"/>
      <c r="G640" s="2"/>
      <c r="H640" s="2"/>
      <c r="I640" s="2"/>
      <c r="J640" s="156"/>
      <c r="K640" s="2"/>
      <c r="L640" s="2"/>
      <c r="M640" s="2"/>
      <c r="N640" s="2"/>
      <c r="O640" s="2"/>
      <c r="P640" s="2"/>
      <c r="Q640" s="157"/>
      <c r="R640" s="157"/>
      <c r="S640" s="157"/>
      <c r="T640" s="158"/>
      <c r="U640" s="2"/>
      <c r="V640" s="30"/>
      <c r="W640" s="2"/>
      <c r="X640" s="2"/>
      <c r="Y640" s="2"/>
      <c r="Z640" s="2"/>
    </row>
    <row r="641" ht="13.5" customHeight="1">
      <c r="A641" s="2"/>
      <c r="B641" s="2"/>
      <c r="C641" s="2"/>
      <c r="D641" s="2"/>
      <c r="E641" s="2"/>
      <c r="F641" s="2"/>
      <c r="G641" s="2"/>
      <c r="H641" s="2"/>
      <c r="I641" s="2"/>
      <c r="J641" s="156"/>
      <c r="K641" s="2"/>
      <c r="L641" s="2"/>
      <c r="M641" s="2"/>
      <c r="N641" s="2"/>
      <c r="O641" s="2"/>
      <c r="P641" s="2"/>
      <c r="Q641" s="157"/>
      <c r="R641" s="157"/>
      <c r="S641" s="157"/>
      <c r="T641" s="158"/>
      <c r="U641" s="2"/>
      <c r="V641" s="30"/>
      <c r="W641" s="2"/>
      <c r="X641" s="2"/>
      <c r="Y641" s="2"/>
      <c r="Z641" s="2"/>
    </row>
    <row r="642" ht="13.5" customHeight="1">
      <c r="A642" s="2"/>
      <c r="B642" s="2"/>
      <c r="C642" s="2"/>
      <c r="D642" s="2"/>
      <c r="E642" s="2"/>
      <c r="F642" s="2"/>
      <c r="G642" s="2"/>
      <c r="H642" s="2"/>
      <c r="I642" s="2"/>
      <c r="J642" s="156"/>
      <c r="K642" s="2"/>
      <c r="L642" s="2"/>
      <c r="M642" s="2"/>
      <c r="N642" s="2"/>
      <c r="O642" s="2"/>
      <c r="P642" s="2"/>
      <c r="Q642" s="157"/>
      <c r="R642" s="157"/>
      <c r="S642" s="157"/>
      <c r="T642" s="158"/>
      <c r="U642" s="2"/>
      <c r="V642" s="30"/>
      <c r="W642" s="2"/>
      <c r="X642" s="2"/>
      <c r="Y642" s="2"/>
      <c r="Z642" s="2"/>
    </row>
    <row r="643" ht="13.5" customHeight="1">
      <c r="A643" s="2"/>
      <c r="B643" s="2"/>
      <c r="C643" s="2"/>
      <c r="D643" s="2"/>
      <c r="E643" s="2"/>
      <c r="F643" s="2"/>
      <c r="G643" s="2"/>
      <c r="H643" s="2"/>
      <c r="I643" s="2"/>
      <c r="J643" s="156"/>
      <c r="K643" s="2"/>
      <c r="L643" s="2"/>
      <c r="M643" s="2"/>
      <c r="N643" s="2"/>
      <c r="O643" s="2"/>
      <c r="P643" s="2"/>
      <c r="Q643" s="157"/>
      <c r="R643" s="157"/>
      <c r="S643" s="157"/>
      <c r="T643" s="158"/>
      <c r="U643" s="2"/>
      <c r="V643" s="30"/>
      <c r="W643" s="2"/>
      <c r="X643" s="2"/>
      <c r="Y643" s="2"/>
      <c r="Z643" s="2"/>
    </row>
    <row r="644" ht="13.5" customHeight="1">
      <c r="A644" s="2"/>
      <c r="B644" s="2"/>
      <c r="C644" s="2"/>
      <c r="D644" s="2"/>
      <c r="E644" s="2"/>
      <c r="F644" s="2"/>
      <c r="G644" s="2"/>
      <c r="H644" s="2"/>
      <c r="I644" s="2"/>
      <c r="J644" s="156"/>
      <c r="K644" s="2"/>
      <c r="L644" s="2"/>
      <c r="M644" s="2"/>
      <c r="N644" s="2"/>
      <c r="O644" s="2"/>
      <c r="P644" s="2"/>
      <c r="Q644" s="157"/>
      <c r="R644" s="157"/>
      <c r="S644" s="157"/>
      <c r="T644" s="158"/>
      <c r="U644" s="2"/>
      <c r="V644" s="30"/>
      <c r="W644" s="2"/>
      <c r="X644" s="2"/>
      <c r="Y644" s="2"/>
      <c r="Z644" s="2"/>
    </row>
    <row r="645" ht="13.5" customHeight="1">
      <c r="A645" s="2"/>
      <c r="B645" s="2"/>
      <c r="C645" s="2"/>
      <c r="D645" s="2"/>
      <c r="E645" s="2"/>
      <c r="F645" s="2"/>
      <c r="G645" s="2"/>
      <c r="H645" s="2"/>
      <c r="I645" s="2"/>
      <c r="J645" s="156"/>
      <c r="K645" s="2"/>
      <c r="L645" s="2"/>
      <c r="M645" s="2"/>
      <c r="N645" s="2"/>
      <c r="O645" s="2"/>
      <c r="P645" s="2"/>
      <c r="Q645" s="157"/>
      <c r="R645" s="157"/>
      <c r="S645" s="157"/>
      <c r="T645" s="158"/>
      <c r="U645" s="2"/>
      <c r="V645" s="30"/>
      <c r="W645" s="2"/>
      <c r="X645" s="2"/>
      <c r="Y645" s="2"/>
      <c r="Z645" s="2"/>
    </row>
    <row r="646" ht="13.5" customHeight="1">
      <c r="A646" s="2"/>
      <c r="B646" s="2"/>
      <c r="C646" s="2"/>
      <c r="D646" s="2"/>
      <c r="E646" s="2"/>
      <c r="F646" s="2"/>
      <c r="G646" s="2"/>
      <c r="H646" s="2"/>
      <c r="I646" s="2"/>
      <c r="J646" s="156"/>
      <c r="K646" s="2"/>
      <c r="L646" s="2"/>
      <c r="M646" s="2"/>
      <c r="N646" s="2"/>
      <c r="O646" s="2"/>
      <c r="P646" s="2"/>
      <c r="Q646" s="157"/>
      <c r="R646" s="157"/>
      <c r="S646" s="157"/>
      <c r="T646" s="158"/>
      <c r="U646" s="2"/>
      <c r="V646" s="30"/>
      <c r="W646" s="2"/>
      <c r="X646" s="2"/>
      <c r="Y646" s="2"/>
      <c r="Z646" s="2"/>
    </row>
    <row r="647" ht="13.5" customHeight="1">
      <c r="A647" s="2"/>
      <c r="B647" s="2"/>
      <c r="C647" s="2"/>
      <c r="D647" s="2"/>
      <c r="E647" s="2"/>
      <c r="F647" s="2"/>
      <c r="G647" s="2"/>
      <c r="H647" s="2"/>
      <c r="I647" s="2"/>
      <c r="J647" s="156"/>
      <c r="K647" s="2"/>
      <c r="L647" s="2"/>
      <c r="M647" s="2"/>
      <c r="N647" s="2"/>
      <c r="O647" s="2"/>
      <c r="P647" s="2"/>
      <c r="Q647" s="157"/>
      <c r="R647" s="157"/>
      <c r="S647" s="157"/>
      <c r="T647" s="158"/>
      <c r="U647" s="2"/>
      <c r="V647" s="30"/>
      <c r="W647" s="2"/>
      <c r="X647" s="2"/>
      <c r="Y647" s="2"/>
      <c r="Z647" s="2"/>
    </row>
    <row r="648" ht="13.5" customHeight="1">
      <c r="A648" s="2"/>
      <c r="B648" s="2"/>
      <c r="C648" s="2"/>
      <c r="D648" s="2"/>
      <c r="E648" s="2"/>
      <c r="F648" s="2"/>
      <c r="G648" s="2"/>
      <c r="H648" s="2"/>
      <c r="I648" s="2"/>
      <c r="J648" s="156"/>
      <c r="K648" s="2"/>
      <c r="L648" s="2"/>
      <c r="M648" s="2"/>
      <c r="N648" s="2"/>
      <c r="O648" s="2"/>
      <c r="P648" s="2"/>
      <c r="Q648" s="157"/>
      <c r="R648" s="157"/>
      <c r="S648" s="157"/>
      <c r="T648" s="158"/>
      <c r="U648" s="2"/>
      <c r="V648" s="30"/>
      <c r="W648" s="2"/>
      <c r="X648" s="2"/>
      <c r="Y648" s="2"/>
      <c r="Z648" s="2"/>
    </row>
    <row r="649" ht="13.5" customHeight="1">
      <c r="A649" s="2"/>
      <c r="B649" s="2"/>
      <c r="C649" s="2"/>
      <c r="D649" s="2"/>
      <c r="E649" s="2"/>
      <c r="F649" s="2"/>
      <c r="G649" s="2"/>
      <c r="H649" s="2"/>
      <c r="I649" s="2"/>
      <c r="J649" s="156"/>
      <c r="K649" s="2"/>
      <c r="L649" s="2"/>
      <c r="M649" s="2"/>
      <c r="N649" s="2"/>
      <c r="O649" s="2"/>
      <c r="P649" s="2"/>
      <c r="Q649" s="157"/>
      <c r="R649" s="157"/>
      <c r="S649" s="157"/>
      <c r="T649" s="158"/>
      <c r="U649" s="2"/>
      <c r="V649" s="30"/>
      <c r="W649" s="2"/>
      <c r="X649" s="2"/>
      <c r="Y649" s="2"/>
      <c r="Z649" s="2"/>
    </row>
    <row r="650" ht="13.5" customHeight="1">
      <c r="A650" s="2"/>
      <c r="B650" s="2"/>
      <c r="C650" s="2"/>
      <c r="D650" s="2"/>
      <c r="E650" s="2"/>
      <c r="F650" s="2"/>
      <c r="G650" s="2"/>
      <c r="H650" s="2"/>
      <c r="I650" s="2"/>
      <c r="J650" s="156"/>
      <c r="K650" s="2"/>
      <c r="L650" s="2"/>
      <c r="M650" s="2"/>
      <c r="N650" s="2"/>
      <c r="O650" s="2"/>
      <c r="P650" s="2"/>
      <c r="Q650" s="157"/>
      <c r="R650" s="157"/>
      <c r="S650" s="157"/>
      <c r="T650" s="158"/>
      <c r="U650" s="2"/>
      <c r="V650" s="30"/>
      <c r="W650" s="2"/>
      <c r="X650" s="2"/>
      <c r="Y650" s="2"/>
      <c r="Z650" s="2"/>
    </row>
    <row r="651" ht="13.5" customHeight="1">
      <c r="A651" s="2"/>
      <c r="B651" s="2"/>
      <c r="C651" s="2"/>
      <c r="D651" s="2"/>
      <c r="E651" s="2"/>
      <c r="F651" s="2"/>
      <c r="G651" s="2"/>
      <c r="H651" s="2"/>
      <c r="I651" s="2"/>
      <c r="J651" s="156"/>
      <c r="K651" s="2"/>
      <c r="L651" s="2"/>
      <c r="M651" s="2"/>
      <c r="N651" s="2"/>
      <c r="O651" s="2"/>
      <c r="P651" s="2"/>
      <c r="Q651" s="157"/>
      <c r="R651" s="157"/>
      <c r="S651" s="157"/>
      <c r="T651" s="158"/>
      <c r="U651" s="2"/>
      <c r="V651" s="30"/>
      <c r="W651" s="2"/>
      <c r="X651" s="2"/>
      <c r="Y651" s="2"/>
      <c r="Z651" s="2"/>
    </row>
    <row r="652" ht="13.5" customHeight="1">
      <c r="A652" s="2"/>
      <c r="B652" s="2"/>
      <c r="C652" s="2"/>
      <c r="D652" s="2"/>
      <c r="E652" s="2"/>
      <c r="F652" s="2"/>
      <c r="G652" s="2"/>
      <c r="H652" s="2"/>
      <c r="I652" s="2"/>
      <c r="J652" s="156"/>
      <c r="K652" s="2"/>
      <c r="L652" s="2"/>
      <c r="M652" s="2"/>
      <c r="N652" s="2"/>
      <c r="O652" s="2"/>
      <c r="P652" s="2"/>
      <c r="Q652" s="157"/>
      <c r="R652" s="157"/>
      <c r="S652" s="157"/>
      <c r="T652" s="158"/>
      <c r="U652" s="2"/>
      <c r="V652" s="30"/>
      <c r="W652" s="2"/>
      <c r="X652" s="2"/>
      <c r="Y652" s="2"/>
      <c r="Z652" s="2"/>
    </row>
    <row r="653" ht="13.5" customHeight="1">
      <c r="A653" s="2"/>
      <c r="B653" s="2"/>
      <c r="C653" s="2"/>
      <c r="D653" s="2"/>
      <c r="E653" s="2"/>
      <c r="F653" s="2"/>
      <c r="G653" s="2"/>
      <c r="H653" s="2"/>
      <c r="I653" s="2"/>
      <c r="J653" s="156"/>
      <c r="K653" s="2"/>
      <c r="L653" s="2"/>
      <c r="M653" s="2"/>
      <c r="N653" s="2"/>
      <c r="O653" s="2"/>
      <c r="P653" s="2"/>
      <c r="Q653" s="157"/>
      <c r="R653" s="157"/>
      <c r="S653" s="157"/>
      <c r="T653" s="158"/>
      <c r="U653" s="2"/>
      <c r="V653" s="30"/>
      <c r="W653" s="2"/>
      <c r="X653" s="2"/>
      <c r="Y653" s="2"/>
      <c r="Z653" s="2"/>
    </row>
    <row r="654" ht="13.5" customHeight="1">
      <c r="A654" s="2"/>
      <c r="B654" s="2"/>
      <c r="C654" s="2"/>
      <c r="D654" s="2"/>
      <c r="E654" s="2"/>
      <c r="F654" s="2"/>
      <c r="G654" s="2"/>
      <c r="H654" s="2"/>
      <c r="I654" s="2"/>
      <c r="J654" s="156"/>
      <c r="K654" s="2"/>
      <c r="L654" s="2"/>
      <c r="M654" s="2"/>
      <c r="N654" s="2"/>
      <c r="O654" s="2"/>
      <c r="P654" s="2"/>
      <c r="Q654" s="157"/>
      <c r="R654" s="157"/>
      <c r="S654" s="157"/>
      <c r="T654" s="158"/>
      <c r="U654" s="2"/>
      <c r="V654" s="30"/>
      <c r="W654" s="2"/>
      <c r="X654" s="2"/>
      <c r="Y654" s="2"/>
      <c r="Z654" s="2"/>
    </row>
    <row r="655" ht="13.5" customHeight="1">
      <c r="A655" s="2"/>
      <c r="B655" s="2"/>
      <c r="C655" s="2"/>
      <c r="D655" s="2"/>
      <c r="E655" s="2"/>
      <c r="F655" s="2"/>
      <c r="G655" s="2"/>
      <c r="H655" s="2"/>
      <c r="I655" s="2"/>
      <c r="J655" s="156"/>
      <c r="K655" s="2"/>
      <c r="L655" s="2"/>
      <c r="M655" s="2"/>
      <c r="N655" s="2"/>
      <c r="O655" s="2"/>
      <c r="P655" s="2"/>
      <c r="Q655" s="157"/>
      <c r="R655" s="157"/>
      <c r="S655" s="157"/>
      <c r="T655" s="158"/>
      <c r="U655" s="2"/>
      <c r="V655" s="30"/>
      <c r="W655" s="2"/>
      <c r="X655" s="2"/>
      <c r="Y655" s="2"/>
      <c r="Z655" s="2"/>
    </row>
    <row r="656" ht="13.5" customHeight="1">
      <c r="A656" s="2"/>
      <c r="B656" s="2"/>
      <c r="C656" s="2"/>
      <c r="D656" s="2"/>
      <c r="E656" s="2"/>
      <c r="F656" s="2"/>
      <c r="G656" s="2"/>
      <c r="H656" s="2"/>
      <c r="I656" s="2"/>
      <c r="J656" s="156"/>
      <c r="K656" s="2"/>
      <c r="L656" s="2"/>
      <c r="M656" s="2"/>
      <c r="N656" s="2"/>
      <c r="O656" s="2"/>
      <c r="P656" s="2"/>
      <c r="Q656" s="157"/>
      <c r="R656" s="157"/>
      <c r="S656" s="157"/>
      <c r="T656" s="158"/>
      <c r="U656" s="2"/>
      <c r="V656" s="30"/>
      <c r="W656" s="2"/>
      <c r="X656" s="2"/>
      <c r="Y656" s="2"/>
      <c r="Z656" s="2"/>
    </row>
    <row r="657" ht="13.5" customHeight="1">
      <c r="A657" s="2"/>
      <c r="B657" s="2"/>
      <c r="C657" s="2"/>
      <c r="D657" s="2"/>
      <c r="E657" s="2"/>
      <c r="F657" s="2"/>
      <c r="G657" s="2"/>
      <c r="H657" s="2"/>
      <c r="I657" s="2"/>
      <c r="J657" s="156"/>
      <c r="K657" s="2"/>
      <c r="L657" s="2"/>
      <c r="M657" s="2"/>
      <c r="N657" s="2"/>
      <c r="O657" s="2"/>
      <c r="P657" s="2"/>
      <c r="Q657" s="157"/>
      <c r="R657" s="157"/>
      <c r="S657" s="157"/>
      <c r="T657" s="158"/>
      <c r="U657" s="2"/>
      <c r="V657" s="30"/>
      <c r="W657" s="2"/>
      <c r="X657" s="2"/>
      <c r="Y657" s="2"/>
      <c r="Z657" s="2"/>
    </row>
    <row r="658" ht="13.5" customHeight="1">
      <c r="A658" s="2"/>
      <c r="B658" s="2"/>
      <c r="C658" s="2"/>
      <c r="D658" s="2"/>
      <c r="E658" s="2"/>
      <c r="F658" s="2"/>
      <c r="G658" s="2"/>
      <c r="H658" s="2"/>
      <c r="I658" s="2"/>
      <c r="J658" s="156"/>
      <c r="K658" s="2"/>
      <c r="L658" s="2"/>
      <c r="M658" s="2"/>
      <c r="N658" s="2"/>
      <c r="O658" s="2"/>
      <c r="P658" s="2"/>
      <c r="Q658" s="157"/>
      <c r="R658" s="157"/>
      <c r="S658" s="157"/>
      <c r="T658" s="158"/>
      <c r="U658" s="2"/>
      <c r="V658" s="30"/>
      <c r="W658" s="2"/>
      <c r="X658" s="2"/>
      <c r="Y658" s="2"/>
      <c r="Z658" s="2"/>
    </row>
    <row r="659" ht="13.5" customHeight="1">
      <c r="A659" s="2"/>
      <c r="B659" s="2"/>
      <c r="C659" s="2"/>
      <c r="D659" s="2"/>
      <c r="E659" s="2"/>
      <c r="F659" s="2"/>
      <c r="G659" s="2"/>
      <c r="H659" s="2"/>
      <c r="I659" s="2"/>
      <c r="J659" s="156"/>
      <c r="K659" s="2"/>
      <c r="L659" s="2"/>
      <c r="M659" s="2"/>
      <c r="N659" s="2"/>
      <c r="O659" s="2"/>
      <c r="P659" s="2"/>
      <c r="Q659" s="157"/>
      <c r="R659" s="157"/>
      <c r="S659" s="157"/>
      <c r="T659" s="158"/>
      <c r="U659" s="2"/>
      <c r="V659" s="30"/>
      <c r="W659" s="2"/>
      <c r="X659" s="2"/>
      <c r="Y659" s="2"/>
      <c r="Z659" s="2"/>
    </row>
    <row r="660" ht="13.5" customHeight="1">
      <c r="A660" s="2"/>
      <c r="B660" s="2"/>
      <c r="C660" s="2"/>
      <c r="D660" s="2"/>
      <c r="E660" s="2"/>
      <c r="F660" s="2"/>
      <c r="G660" s="2"/>
      <c r="H660" s="2"/>
      <c r="I660" s="2"/>
      <c r="J660" s="156"/>
      <c r="K660" s="2"/>
      <c r="L660" s="2"/>
      <c r="M660" s="2"/>
      <c r="N660" s="2"/>
      <c r="O660" s="2"/>
      <c r="P660" s="2"/>
      <c r="Q660" s="157"/>
      <c r="R660" s="157"/>
      <c r="S660" s="157"/>
      <c r="T660" s="158"/>
      <c r="U660" s="2"/>
      <c r="V660" s="30"/>
      <c r="W660" s="2"/>
      <c r="X660" s="2"/>
      <c r="Y660" s="2"/>
      <c r="Z660" s="2"/>
    </row>
    <row r="661" ht="13.5" customHeight="1">
      <c r="A661" s="2"/>
      <c r="B661" s="2"/>
      <c r="C661" s="2"/>
      <c r="D661" s="2"/>
      <c r="E661" s="2"/>
      <c r="F661" s="2"/>
      <c r="G661" s="2"/>
      <c r="H661" s="2"/>
      <c r="I661" s="2"/>
      <c r="J661" s="156"/>
      <c r="K661" s="2"/>
      <c r="L661" s="2"/>
      <c r="M661" s="2"/>
      <c r="N661" s="2"/>
      <c r="O661" s="2"/>
      <c r="P661" s="2"/>
      <c r="Q661" s="157"/>
      <c r="R661" s="157"/>
      <c r="S661" s="157"/>
      <c r="T661" s="158"/>
      <c r="U661" s="2"/>
      <c r="V661" s="30"/>
      <c r="W661" s="2"/>
      <c r="X661" s="2"/>
      <c r="Y661" s="2"/>
      <c r="Z661" s="2"/>
    </row>
    <row r="662" ht="13.5" customHeight="1">
      <c r="A662" s="2"/>
      <c r="B662" s="2"/>
      <c r="C662" s="2"/>
      <c r="D662" s="2"/>
      <c r="E662" s="2"/>
      <c r="F662" s="2"/>
      <c r="G662" s="2"/>
      <c r="H662" s="2"/>
      <c r="I662" s="2"/>
      <c r="J662" s="156"/>
      <c r="K662" s="2"/>
      <c r="L662" s="2"/>
      <c r="M662" s="2"/>
      <c r="N662" s="2"/>
      <c r="O662" s="2"/>
      <c r="P662" s="2"/>
      <c r="Q662" s="157"/>
      <c r="R662" s="157"/>
      <c r="S662" s="157"/>
      <c r="T662" s="158"/>
      <c r="U662" s="2"/>
      <c r="V662" s="30"/>
      <c r="W662" s="2"/>
      <c r="X662" s="2"/>
      <c r="Y662" s="2"/>
      <c r="Z662" s="2"/>
    </row>
    <row r="663" ht="13.5" customHeight="1">
      <c r="A663" s="2"/>
      <c r="B663" s="2"/>
      <c r="C663" s="2"/>
      <c r="D663" s="2"/>
      <c r="E663" s="2"/>
      <c r="F663" s="2"/>
      <c r="G663" s="2"/>
      <c r="H663" s="2"/>
      <c r="I663" s="2"/>
      <c r="J663" s="156"/>
      <c r="K663" s="2"/>
      <c r="L663" s="2"/>
      <c r="M663" s="2"/>
      <c r="N663" s="2"/>
      <c r="O663" s="2"/>
      <c r="P663" s="2"/>
      <c r="Q663" s="157"/>
      <c r="R663" s="157"/>
      <c r="S663" s="157"/>
      <c r="T663" s="158"/>
      <c r="U663" s="2"/>
      <c r="V663" s="30"/>
      <c r="W663" s="2"/>
      <c r="X663" s="2"/>
      <c r="Y663" s="2"/>
      <c r="Z663" s="2"/>
    </row>
    <row r="664" ht="13.5" customHeight="1">
      <c r="A664" s="2"/>
      <c r="B664" s="2"/>
      <c r="C664" s="2"/>
      <c r="D664" s="2"/>
      <c r="E664" s="2"/>
      <c r="F664" s="2"/>
      <c r="G664" s="2"/>
      <c r="H664" s="2"/>
      <c r="I664" s="2"/>
      <c r="J664" s="156"/>
      <c r="K664" s="2"/>
      <c r="L664" s="2"/>
      <c r="M664" s="2"/>
      <c r="N664" s="2"/>
      <c r="O664" s="2"/>
      <c r="P664" s="2"/>
      <c r="Q664" s="157"/>
      <c r="R664" s="157"/>
      <c r="S664" s="157"/>
      <c r="T664" s="158"/>
      <c r="U664" s="2"/>
      <c r="V664" s="30"/>
      <c r="W664" s="2"/>
      <c r="X664" s="2"/>
      <c r="Y664" s="2"/>
      <c r="Z664" s="2"/>
    </row>
    <row r="665" ht="13.5" customHeight="1">
      <c r="A665" s="2"/>
      <c r="B665" s="2"/>
      <c r="C665" s="2"/>
      <c r="D665" s="2"/>
      <c r="E665" s="2"/>
      <c r="F665" s="2"/>
      <c r="G665" s="2"/>
      <c r="H665" s="2"/>
      <c r="I665" s="2"/>
      <c r="J665" s="156"/>
      <c r="K665" s="2"/>
      <c r="L665" s="2"/>
      <c r="M665" s="2"/>
      <c r="N665" s="2"/>
      <c r="O665" s="2"/>
      <c r="P665" s="2"/>
      <c r="Q665" s="157"/>
      <c r="R665" s="157"/>
      <c r="S665" s="157"/>
      <c r="T665" s="158"/>
      <c r="U665" s="2"/>
      <c r="V665" s="30"/>
      <c r="W665" s="2"/>
      <c r="X665" s="2"/>
      <c r="Y665" s="2"/>
      <c r="Z665" s="2"/>
    </row>
    <row r="666" ht="13.5" customHeight="1">
      <c r="A666" s="2"/>
      <c r="B666" s="2"/>
      <c r="C666" s="2"/>
      <c r="D666" s="2"/>
      <c r="E666" s="2"/>
      <c r="F666" s="2"/>
      <c r="G666" s="2"/>
      <c r="H666" s="2"/>
      <c r="I666" s="2"/>
      <c r="J666" s="156"/>
      <c r="K666" s="2"/>
      <c r="L666" s="2"/>
      <c r="M666" s="2"/>
      <c r="N666" s="2"/>
      <c r="O666" s="2"/>
      <c r="P666" s="2"/>
      <c r="Q666" s="157"/>
      <c r="R666" s="157"/>
      <c r="S666" s="157"/>
      <c r="T666" s="158"/>
      <c r="U666" s="2"/>
      <c r="V666" s="30"/>
      <c r="W666" s="2"/>
      <c r="X666" s="2"/>
      <c r="Y666" s="2"/>
      <c r="Z666" s="2"/>
    </row>
    <row r="667" ht="13.5" customHeight="1">
      <c r="A667" s="2"/>
      <c r="B667" s="2"/>
      <c r="C667" s="2"/>
      <c r="D667" s="2"/>
      <c r="E667" s="2"/>
      <c r="F667" s="2"/>
      <c r="G667" s="2"/>
      <c r="H667" s="2"/>
      <c r="I667" s="2"/>
      <c r="J667" s="156"/>
      <c r="K667" s="2"/>
      <c r="L667" s="2"/>
      <c r="M667" s="2"/>
      <c r="N667" s="2"/>
      <c r="O667" s="2"/>
      <c r="P667" s="2"/>
      <c r="Q667" s="157"/>
      <c r="R667" s="157"/>
      <c r="S667" s="157"/>
      <c r="T667" s="158"/>
      <c r="U667" s="2"/>
      <c r="V667" s="30"/>
      <c r="W667" s="2"/>
      <c r="X667" s="2"/>
      <c r="Y667" s="2"/>
      <c r="Z667" s="2"/>
    </row>
    <row r="668" ht="13.5" customHeight="1">
      <c r="A668" s="2"/>
      <c r="B668" s="2"/>
      <c r="C668" s="2"/>
      <c r="D668" s="2"/>
      <c r="E668" s="2"/>
      <c r="F668" s="2"/>
      <c r="G668" s="2"/>
      <c r="H668" s="2"/>
      <c r="I668" s="2"/>
      <c r="J668" s="156"/>
      <c r="K668" s="2"/>
      <c r="L668" s="2"/>
      <c r="M668" s="2"/>
      <c r="N668" s="2"/>
      <c r="O668" s="2"/>
      <c r="P668" s="2"/>
      <c r="Q668" s="157"/>
      <c r="R668" s="157"/>
      <c r="S668" s="157"/>
      <c r="T668" s="158"/>
      <c r="U668" s="2"/>
      <c r="V668" s="30"/>
      <c r="W668" s="2"/>
      <c r="X668" s="2"/>
      <c r="Y668" s="2"/>
      <c r="Z668" s="2"/>
    </row>
    <row r="669" ht="13.5" customHeight="1">
      <c r="A669" s="2"/>
      <c r="B669" s="2"/>
      <c r="C669" s="2"/>
      <c r="D669" s="2"/>
      <c r="E669" s="2"/>
      <c r="F669" s="2"/>
      <c r="G669" s="2"/>
      <c r="H669" s="2"/>
      <c r="I669" s="2"/>
      <c r="J669" s="156"/>
      <c r="K669" s="2"/>
      <c r="L669" s="2"/>
      <c r="M669" s="2"/>
      <c r="N669" s="2"/>
      <c r="O669" s="2"/>
      <c r="P669" s="2"/>
      <c r="Q669" s="157"/>
      <c r="R669" s="157"/>
      <c r="S669" s="157"/>
      <c r="T669" s="158"/>
      <c r="U669" s="2"/>
      <c r="V669" s="30"/>
      <c r="W669" s="2"/>
      <c r="X669" s="2"/>
      <c r="Y669" s="2"/>
      <c r="Z669" s="2"/>
    </row>
    <row r="670" ht="13.5" customHeight="1">
      <c r="A670" s="2"/>
      <c r="B670" s="2"/>
      <c r="C670" s="2"/>
      <c r="D670" s="2"/>
      <c r="E670" s="2"/>
      <c r="F670" s="2"/>
      <c r="G670" s="2"/>
      <c r="H670" s="2"/>
      <c r="I670" s="2"/>
      <c r="J670" s="156"/>
      <c r="K670" s="2"/>
      <c r="L670" s="2"/>
      <c r="M670" s="2"/>
      <c r="N670" s="2"/>
      <c r="O670" s="2"/>
      <c r="P670" s="2"/>
      <c r="Q670" s="157"/>
      <c r="R670" s="157"/>
      <c r="S670" s="157"/>
      <c r="T670" s="158"/>
      <c r="U670" s="2"/>
      <c r="V670" s="30"/>
      <c r="W670" s="2"/>
      <c r="X670" s="2"/>
      <c r="Y670" s="2"/>
      <c r="Z670" s="2"/>
    </row>
    <row r="671" ht="13.5" customHeight="1">
      <c r="A671" s="2"/>
      <c r="B671" s="2"/>
      <c r="C671" s="2"/>
      <c r="D671" s="2"/>
      <c r="E671" s="2"/>
      <c r="F671" s="2"/>
      <c r="G671" s="2"/>
      <c r="H671" s="2"/>
      <c r="I671" s="2"/>
      <c r="J671" s="156"/>
      <c r="K671" s="2"/>
      <c r="L671" s="2"/>
      <c r="M671" s="2"/>
      <c r="N671" s="2"/>
      <c r="O671" s="2"/>
      <c r="P671" s="2"/>
      <c r="Q671" s="157"/>
      <c r="R671" s="157"/>
      <c r="S671" s="157"/>
      <c r="T671" s="158"/>
      <c r="U671" s="2"/>
      <c r="V671" s="30"/>
      <c r="W671" s="2"/>
      <c r="X671" s="2"/>
      <c r="Y671" s="2"/>
      <c r="Z671" s="2"/>
    </row>
    <row r="672" ht="13.5" customHeight="1">
      <c r="A672" s="2"/>
      <c r="B672" s="2"/>
      <c r="C672" s="2"/>
      <c r="D672" s="2"/>
      <c r="E672" s="2"/>
      <c r="F672" s="2"/>
      <c r="G672" s="2"/>
      <c r="H672" s="2"/>
      <c r="I672" s="2"/>
      <c r="J672" s="156"/>
      <c r="K672" s="2"/>
      <c r="L672" s="2"/>
      <c r="M672" s="2"/>
      <c r="N672" s="2"/>
      <c r="O672" s="2"/>
      <c r="P672" s="2"/>
      <c r="Q672" s="157"/>
      <c r="R672" s="157"/>
      <c r="S672" s="157"/>
      <c r="T672" s="158"/>
      <c r="U672" s="2"/>
      <c r="V672" s="30"/>
      <c r="W672" s="2"/>
      <c r="X672" s="2"/>
      <c r="Y672" s="2"/>
      <c r="Z672" s="2"/>
    </row>
    <row r="673" ht="13.5" customHeight="1">
      <c r="A673" s="2"/>
      <c r="B673" s="2"/>
      <c r="C673" s="2"/>
      <c r="D673" s="2"/>
      <c r="E673" s="2"/>
      <c r="F673" s="2"/>
      <c r="G673" s="2"/>
      <c r="H673" s="2"/>
      <c r="I673" s="2"/>
      <c r="J673" s="156"/>
      <c r="K673" s="2"/>
      <c r="L673" s="2"/>
      <c r="M673" s="2"/>
      <c r="N673" s="2"/>
      <c r="O673" s="2"/>
      <c r="P673" s="2"/>
      <c r="Q673" s="157"/>
      <c r="R673" s="157"/>
      <c r="S673" s="157"/>
      <c r="T673" s="158"/>
      <c r="U673" s="2"/>
      <c r="V673" s="30"/>
      <c r="W673" s="2"/>
      <c r="X673" s="2"/>
      <c r="Y673" s="2"/>
      <c r="Z673" s="2"/>
    </row>
    <row r="674" ht="13.5" customHeight="1">
      <c r="A674" s="2"/>
      <c r="B674" s="2"/>
      <c r="C674" s="2"/>
      <c r="D674" s="2"/>
      <c r="E674" s="2"/>
      <c r="F674" s="2"/>
      <c r="G674" s="2"/>
      <c r="H674" s="2"/>
      <c r="I674" s="2"/>
      <c r="J674" s="156"/>
      <c r="K674" s="2"/>
      <c r="L674" s="2"/>
      <c r="M674" s="2"/>
      <c r="N674" s="2"/>
      <c r="O674" s="2"/>
      <c r="P674" s="2"/>
      <c r="Q674" s="157"/>
      <c r="R674" s="157"/>
      <c r="S674" s="157"/>
      <c r="T674" s="158"/>
      <c r="U674" s="2"/>
      <c r="V674" s="30"/>
      <c r="W674" s="2"/>
      <c r="X674" s="2"/>
      <c r="Y674" s="2"/>
      <c r="Z674" s="2"/>
    </row>
    <row r="675" ht="13.5" customHeight="1">
      <c r="A675" s="2"/>
      <c r="B675" s="2"/>
      <c r="C675" s="2"/>
      <c r="D675" s="2"/>
      <c r="E675" s="2"/>
      <c r="F675" s="2"/>
      <c r="G675" s="2"/>
      <c r="H675" s="2"/>
      <c r="I675" s="2"/>
      <c r="J675" s="156"/>
      <c r="K675" s="2"/>
      <c r="L675" s="2"/>
      <c r="M675" s="2"/>
      <c r="N675" s="2"/>
      <c r="O675" s="2"/>
      <c r="P675" s="2"/>
      <c r="Q675" s="157"/>
      <c r="R675" s="157"/>
      <c r="S675" s="157"/>
      <c r="T675" s="158"/>
      <c r="U675" s="2"/>
      <c r="V675" s="30"/>
      <c r="W675" s="2"/>
      <c r="X675" s="2"/>
      <c r="Y675" s="2"/>
      <c r="Z675" s="2"/>
    </row>
    <row r="676" ht="13.5" customHeight="1">
      <c r="A676" s="2"/>
      <c r="B676" s="2"/>
      <c r="C676" s="2"/>
      <c r="D676" s="2"/>
      <c r="E676" s="2"/>
      <c r="F676" s="2"/>
      <c r="G676" s="2"/>
      <c r="H676" s="2"/>
      <c r="I676" s="2"/>
      <c r="J676" s="156"/>
      <c r="K676" s="2"/>
      <c r="L676" s="2"/>
      <c r="M676" s="2"/>
      <c r="N676" s="2"/>
      <c r="O676" s="2"/>
      <c r="P676" s="2"/>
      <c r="Q676" s="157"/>
      <c r="R676" s="157"/>
      <c r="S676" s="157"/>
      <c r="T676" s="158"/>
      <c r="U676" s="2"/>
      <c r="V676" s="30"/>
      <c r="W676" s="2"/>
      <c r="X676" s="2"/>
      <c r="Y676" s="2"/>
      <c r="Z676" s="2"/>
    </row>
    <row r="677" ht="13.5" customHeight="1">
      <c r="A677" s="2"/>
      <c r="B677" s="2"/>
      <c r="C677" s="2"/>
      <c r="D677" s="2"/>
      <c r="E677" s="2"/>
      <c r="F677" s="2"/>
      <c r="G677" s="2"/>
      <c r="H677" s="2"/>
      <c r="I677" s="2"/>
      <c r="J677" s="156"/>
      <c r="K677" s="2"/>
      <c r="L677" s="2"/>
      <c r="M677" s="2"/>
      <c r="N677" s="2"/>
      <c r="O677" s="2"/>
      <c r="P677" s="2"/>
      <c r="Q677" s="157"/>
      <c r="R677" s="157"/>
      <c r="S677" s="157"/>
      <c r="T677" s="158"/>
      <c r="U677" s="2"/>
      <c r="V677" s="30"/>
      <c r="W677" s="2"/>
      <c r="X677" s="2"/>
      <c r="Y677" s="2"/>
      <c r="Z677" s="2"/>
    </row>
    <row r="678" ht="13.5" customHeight="1">
      <c r="A678" s="2"/>
      <c r="B678" s="2"/>
      <c r="C678" s="2"/>
      <c r="D678" s="2"/>
      <c r="E678" s="2"/>
      <c r="F678" s="2"/>
      <c r="G678" s="2"/>
      <c r="H678" s="2"/>
      <c r="I678" s="2"/>
      <c r="J678" s="156"/>
      <c r="K678" s="2"/>
      <c r="L678" s="2"/>
      <c r="M678" s="2"/>
      <c r="N678" s="2"/>
      <c r="O678" s="2"/>
      <c r="P678" s="2"/>
      <c r="Q678" s="157"/>
      <c r="R678" s="157"/>
      <c r="S678" s="157"/>
      <c r="T678" s="158"/>
      <c r="U678" s="2"/>
      <c r="V678" s="30"/>
      <c r="W678" s="2"/>
      <c r="X678" s="2"/>
      <c r="Y678" s="2"/>
      <c r="Z678" s="2"/>
    </row>
    <row r="679" ht="13.5" customHeight="1">
      <c r="A679" s="2"/>
      <c r="B679" s="2"/>
      <c r="C679" s="2"/>
      <c r="D679" s="2"/>
      <c r="E679" s="2"/>
      <c r="F679" s="2"/>
      <c r="G679" s="2"/>
      <c r="H679" s="2"/>
      <c r="I679" s="2"/>
      <c r="J679" s="156"/>
      <c r="K679" s="2"/>
      <c r="L679" s="2"/>
      <c r="M679" s="2"/>
      <c r="N679" s="2"/>
      <c r="O679" s="2"/>
      <c r="P679" s="2"/>
      <c r="Q679" s="157"/>
      <c r="R679" s="157"/>
      <c r="S679" s="157"/>
      <c r="T679" s="158"/>
      <c r="U679" s="2"/>
      <c r="V679" s="30"/>
      <c r="W679" s="2"/>
      <c r="X679" s="2"/>
      <c r="Y679" s="2"/>
      <c r="Z679" s="2"/>
    </row>
    <row r="680" ht="13.5" customHeight="1">
      <c r="A680" s="2"/>
      <c r="B680" s="2"/>
      <c r="C680" s="2"/>
      <c r="D680" s="2"/>
      <c r="E680" s="2"/>
      <c r="F680" s="2"/>
      <c r="G680" s="2"/>
      <c r="H680" s="2"/>
      <c r="I680" s="2"/>
      <c r="J680" s="156"/>
      <c r="K680" s="2"/>
      <c r="L680" s="2"/>
      <c r="M680" s="2"/>
      <c r="N680" s="2"/>
      <c r="O680" s="2"/>
      <c r="P680" s="2"/>
      <c r="Q680" s="157"/>
      <c r="R680" s="157"/>
      <c r="S680" s="157"/>
      <c r="T680" s="158"/>
      <c r="U680" s="2"/>
      <c r="V680" s="30"/>
      <c r="W680" s="2"/>
      <c r="X680" s="2"/>
      <c r="Y680" s="2"/>
      <c r="Z680" s="2"/>
    </row>
    <row r="681" ht="13.5" customHeight="1">
      <c r="A681" s="2"/>
      <c r="B681" s="2"/>
      <c r="C681" s="2"/>
      <c r="D681" s="2"/>
      <c r="E681" s="2"/>
      <c r="F681" s="2"/>
      <c r="G681" s="2"/>
      <c r="H681" s="2"/>
      <c r="I681" s="2"/>
      <c r="J681" s="156"/>
      <c r="K681" s="2"/>
      <c r="L681" s="2"/>
      <c r="M681" s="2"/>
      <c r="N681" s="2"/>
      <c r="O681" s="2"/>
      <c r="P681" s="2"/>
      <c r="Q681" s="157"/>
      <c r="R681" s="157"/>
      <c r="S681" s="157"/>
      <c r="T681" s="158"/>
      <c r="U681" s="2"/>
      <c r="V681" s="30"/>
      <c r="W681" s="2"/>
      <c r="X681" s="2"/>
      <c r="Y681" s="2"/>
      <c r="Z681" s="2"/>
    </row>
    <row r="682" ht="13.5" customHeight="1">
      <c r="A682" s="2"/>
      <c r="B682" s="2"/>
      <c r="C682" s="2"/>
      <c r="D682" s="2"/>
      <c r="E682" s="2"/>
      <c r="F682" s="2"/>
      <c r="G682" s="2"/>
      <c r="H682" s="2"/>
      <c r="I682" s="2"/>
      <c r="J682" s="156"/>
      <c r="K682" s="2"/>
      <c r="L682" s="2"/>
      <c r="M682" s="2"/>
      <c r="N682" s="2"/>
      <c r="O682" s="2"/>
      <c r="P682" s="2"/>
      <c r="Q682" s="157"/>
      <c r="R682" s="157"/>
      <c r="S682" s="157"/>
      <c r="T682" s="158"/>
      <c r="U682" s="2"/>
      <c r="V682" s="30"/>
      <c r="W682" s="2"/>
      <c r="X682" s="2"/>
      <c r="Y682" s="2"/>
      <c r="Z682" s="2"/>
    </row>
    <row r="683" ht="13.5" customHeight="1">
      <c r="A683" s="2"/>
      <c r="B683" s="2"/>
      <c r="C683" s="2"/>
      <c r="D683" s="2"/>
      <c r="E683" s="2"/>
      <c r="F683" s="2"/>
      <c r="G683" s="2"/>
      <c r="H683" s="2"/>
      <c r="I683" s="2"/>
      <c r="J683" s="156"/>
      <c r="K683" s="2"/>
      <c r="L683" s="2"/>
      <c r="M683" s="2"/>
      <c r="N683" s="2"/>
      <c r="O683" s="2"/>
      <c r="P683" s="2"/>
      <c r="Q683" s="157"/>
      <c r="R683" s="157"/>
      <c r="S683" s="157"/>
      <c r="T683" s="158"/>
      <c r="U683" s="2"/>
      <c r="V683" s="30"/>
      <c r="W683" s="2"/>
      <c r="X683" s="2"/>
      <c r="Y683" s="2"/>
      <c r="Z683" s="2"/>
    </row>
    <row r="684" ht="13.5" customHeight="1">
      <c r="A684" s="2"/>
      <c r="B684" s="2"/>
      <c r="C684" s="2"/>
      <c r="D684" s="2"/>
      <c r="E684" s="2"/>
      <c r="F684" s="2"/>
      <c r="G684" s="2"/>
      <c r="H684" s="2"/>
      <c r="I684" s="2"/>
      <c r="J684" s="156"/>
      <c r="K684" s="2"/>
      <c r="L684" s="2"/>
      <c r="M684" s="2"/>
      <c r="N684" s="2"/>
      <c r="O684" s="2"/>
      <c r="P684" s="2"/>
      <c r="Q684" s="157"/>
      <c r="R684" s="157"/>
      <c r="S684" s="157"/>
      <c r="T684" s="158"/>
      <c r="U684" s="2"/>
      <c r="V684" s="30"/>
      <c r="W684" s="2"/>
      <c r="X684" s="2"/>
      <c r="Y684" s="2"/>
      <c r="Z684" s="2"/>
    </row>
    <row r="685" ht="13.5" customHeight="1">
      <c r="A685" s="2"/>
      <c r="B685" s="2"/>
      <c r="C685" s="2"/>
      <c r="D685" s="2"/>
      <c r="E685" s="2"/>
      <c r="F685" s="2"/>
      <c r="G685" s="2"/>
      <c r="H685" s="2"/>
      <c r="I685" s="2"/>
      <c r="J685" s="156"/>
      <c r="K685" s="2"/>
      <c r="L685" s="2"/>
      <c r="M685" s="2"/>
      <c r="N685" s="2"/>
      <c r="O685" s="2"/>
      <c r="P685" s="2"/>
      <c r="Q685" s="157"/>
      <c r="R685" s="157"/>
      <c r="S685" s="157"/>
      <c r="T685" s="158"/>
      <c r="U685" s="2"/>
      <c r="V685" s="30"/>
      <c r="W685" s="2"/>
      <c r="X685" s="2"/>
      <c r="Y685" s="2"/>
      <c r="Z685" s="2"/>
    </row>
    <row r="686" ht="13.5" customHeight="1">
      <c r="A686" s="2"/>
      <c r="B686" s="2"/>
      <c r="C686" s="2"/>
      <c r="D686" s="2"/>
      <c r="E686" s="2"/>
      <c r="F686" s="2"/>
      <c r="G686" s="2"/>
      <c r="H686" s="2"/>
      <c r="I686" s="2"/>
      <c r="J686" s="156"/>
      <c r="K686" s="2"/>
      <c r="L686" s="2"/>
      <c r="M686" s="2"/>
      <c r="N686" s="2"/>
      <c r="O686" s="2"/>
      <c r="P686" s="2"/>
      <c r="Q686" s="157"/>
      <c r="R686" s="157"/>
      <c r="S686" s="157"/>
      <c r="T686" s="158"/>
      <c r="U686" s="2"/>
      <c r="V686" s="30"/>
      <c r="W686" s="2"/>
      <c r="X686" s="2"/>
      <c r="Y686" s="2"/>
      <c r="Z686" s="2"/>
    </row>
    <row r="687" ht="13.5" customHeight="1">
      <c r="A687" s="2"/>
      <c r="B687" s="2"/>
      <c r="C687" s="2"/>
      <c r="D687" s="2"/>
      <c r="E687" s="2"/>
      <c r="F687" s="2"/>
      <c r="G687" s="2"/>
      <c r="H687" s="2"/>
      <c r="I687" s="2"/>
      <c r="J687" s="156"/>
      <c r="K687" s="2"/>
      <c r="L687" s="2"/>
      <c r="M687" s="2"/>
      <c r="N687" s="2"/>
      <c r="O687" s="2"/>
      <c r="P687" s="2"/>
      <c r="Q687" s="157"/>
      <c r="R687" s="157"/>
      <c r="S687" s="157"/>
      <c r="T687" s="158"/>
      <c r="U687" s="2"/>
      <c r="V687" s="30"/>
      <c r="W687" s="2"/>
      <c r="X687" s="2"/>
      <c r="Y687" s="2"/>
      <c r="Z687" s="2"/>
    </row>
    <row r="688" ht="13.5" customHeight="1">
      <c r="A688" s="2"/>
      <c r="B688" s="2"/>
      <c r="C688" s="2"/>
      <c r="D688" s="2"/>
      <c r="E688" s="2"/>
      <c r="F688" s="2"/>
      <c r="G688" s="2"/>
      <c r="H688" s="2"/>
      <c r="I688" s="2"/>
      <c r="J688" s="156"/>
      <c r="K688" s="2"/>
      <c r="L688" s="2"/>
      <c r="M688" s="2"/>
      <c r="N688" s="2"/>
      <c r="O688" s="2"/>
      <c r="P688" s="2"/>
      <c r="Q688" s="157"/>
      <c r="R688" s="157"/>
      <c r="S688" s="157"/>
      <c r="T688" s="158"/>
      <c r="U688" s="2"/>
      <c r="V688" s="30"/>
      <c r="W688" s="2"/>
      <c r="X688" s="2"/>
      <c r="Y688" s="2"/>
      <c r="Z688" s="2"/>
    </row>
    <row r="689" ht="13.5" customHeight="1">
      <c r="A689" s="2"/>
      <c r="B689" s="2"/>
      <c r="C689" s="2"/>
      <c r="D689" s="2"/>
      <c r="E689" s="2"/>
      <c r="F689" s="2"/>
      <c r="G689" s="2"/>
      <c r="H689" s="2"/>
      <c r="I689" s="2"/>
      <c r="J689" s="156"/>
      <c r="K689" s="2"/>
      <c r="L689" s="2"/>
      <c r="M689" s="2"/>
      <c r="N689" s="2"/>
      <c r="O689" s="2"/>
      <c r="P689" s="2"/>
      <c r="Q689" s="157"/>
      <c r="R689" s="157"/>
      <c r="S689" s="157"/>
      <c r="T689" s="158"/>
      <c r="U689" s="2"/>
      <c r="V689" s="30"/>
      <c r="W689" s="2"/>
      <c r="X689" s="2"/>
      <c r="Y689" s="2"/>
      <c r="Z689" s="2"/>
    </row>
    <row r="690" ht="13.5" customHeight="1">
      <c r="A690" s="2"/>
      <c r="B690" s="2"/>
      <c r="C690" s="2"/>
      <c r="D690" s="2"/>
      <c r="E690" s="2"/>
      <c r="F690" s="2"/>
      <c r="G690" s="2"/>
      <c r="H690" s="2"/>
      <c r="I690" s="2"/>
      <c r="J690" s="156"/>
      <c r="K690" s="2"/>
      <c r="L690" s="2"/>
      <c r="M690" s="2"/>
      <c r="N690" s="2"/>
      <c r="O690" s="2"/>
      <c r="P690" s="2"/>
      <c r="Q690" s="157"/>
      <c r="R690" s="157"/>
      <c r="S690" s="157"/>
      <c r="T690" s="158"/>
      <c r="U690" s="2"/>
      <c r="V690" s="30"/>
      <c r="W690" s="2"/>
      <c r="X690" s="2"/>
      <c r="Y690" s="2"/>
      <c r="Z690" s="2"/>
    </row>
    <row r="691" ht="13.5" customHeight="1">
      <c r="A691" s="2"/>
      <c r="B691" s="2"/>
      <c r="C691" s="2"/>
      <c r="D691" s="2"/>
      <c r="E691" s="2"/>
      <c r="F691" s="2"/>
      <c r="G691" s="2"/>
      <c r="H691" s="2"/>
      <c r="I691" s="2"/>
      <c r="J691" s="156"/>
      <c r="K691" s="2"/>
      <c r="L691" s="2"/>
      <c r="M691" s="2"/>
      <c r="N691" s="2"/>
      <c r="O691" s="2"/>
      <c r="P691" s="2"/>
      <c r="Q691" s="157"/>
      <c r="R691" s="157"/>
      <c r="S691" s="157"/>
      <c r="T691" s="158"/>
      <c r="U691" s="2"/>
      <c r="V691" s="30"/>
      <c r="W691" s="2"/>
      <c r="X691" s="2"/>
      <c r="Y691" s="2"/>
      <c r="Z691" s="2"/>
    </row>
    <row r="692" ht="13.5" customHeight="1">
      <c r="A692" s="2"/>
      <c r="B692" s="2"/>
      <c r="C692" s="2"/>
      <c r="D692" s="2"/>
      <c r="E692" s="2"/>
      <c r="F692" s="2"/>
      <c r="G692" s="2"/>
      <c r="H692" s="2"/>
      <c r="I692" s="2"/>
      <c r="J692" s="156"/>
      <c r="K692" s="2"/>
      <c r="L692" s="2"/>
      <c r="M692" s="2"/>
      <c r="N692" s="2"/>
      <c r="O692" s="2"/>
      <c r="P692" s="2"/>
      <c r="Q692" s="157"/>
      <c r="R692" s="157"/>
      <c r="S692" s="157"/>
      <c r="T692" s="158"/>
      <c r="U692" s="2"/>
      <c r="V692" s="30"/>
      <c r="W692" s="2"/>
      <c r="X692" s="2"/>
      <c r="Y692" s="2"/>
      <c r="Z692" s="2"/>
    </row>
    <row r="693" ht="13.5" customHeight="1">
      <c r="A693" s="2"/>
      <c r="B693" s="2"/>
      <c r="C693" s="2"/>
      <c r="D693" s="2"/>
      <c r="E693" s="2"/>
      <c r="F693" s="2"/>
      <c r="G693" s="2"/>
      <c r="H693" s="2"/>
      <c r="I693" s="2"/>
      <c r="J693" s="156"/>
      <c r="K693" s="2"/>
      <c r="L693" s="2"/>
      <c r="M693" s="2"/>
      <c r="N693" s="2"/>
      <c r="O693" s="2"/>
      <c r="P693" s="2"/>
      <c r="Q693" s="157"/>
      <c r="R693" s="157"/>
      <c r="S693" s="157"/>
      <c r="T693" s="158"/>
      <c r="U693" s="2"/>
      <c r="V693" s="30"/>
      <c r="W693" s="2"/>
      <c r="X693" s="2"/>
      <c r="Y693" s="2"/>
      <c r="Z693" s="2"/>
    </row>
    <row r="694" ht="13.5" customHeight="1">
      <c r="A694" s="2"/>
      <c r="B694" s="2"/>
      <c r="C694" s="2"/>
      <c r="D694" s="2"/>
      <c r="E694" s="2"/>
      <c r="F694" s="2"/>
      <c r="G694" s="2"/>
      <c r="H694" s="2"/>
      <c r="I694" s="2"/>
      <c r="J694" s="156"/>
      <c r="K694" s="2"/>
      <c r="L694" s="2"/>
      <c r="M694" s="2"/>
      <c r="N694" s="2"/>
      <c r="O694" s="2"/>
      <c r="P694" s="2"/>
      <c r="Q694" s="157"/>
      <c r="R694" s="157"/>
      <c r="S694" s="157"/>
      <c r="T694" s="158"/>
      <c r="U694" s="2"/>
      <c r="V694" s="30"/>
      <c r="W694" s="2"/>
      <c r="X694" s="2"/>
      <c r="Y694" s="2"/>
      <c r="Z694" s="2"/>
    </row>
    <row r="695" ht="13.5" customHeight="1">
      <c r="A695" s="2"/>
      <c r="B695" s="2"/>
      <c r="C695" s="2"/>
      <c r="D695" s="2"/>
      <c r="E695" s="2"/>
      <c r="F695" s="2"/>
      <c r="G695" s="2"/>
      <c r="H695" s="2"/>
      <c r="I695" s="2"/>
      <c r="J695" s="156"/>
      <c r="K695" s="2"/>
      <c r="L695" s="2"/>
      <c r="M695" s="2"/>
      <c r="N695" s="2"/>
      <c r="O695" s="2"/>
      <c r="P695" s="2"/>
      <c r="Q695" s="157"/>
      <c r="R695" s="157"/>
      <c r="S695" s="157"/>
      <c r="T695" s="158"/>
      <c r="U695" s="2"/>
      <c r="V695" s="30"/>
      <c r="W695" s="2"/>
      <c r="X695" s="2"/>
      <c r="Y695" s="2"/>
      <c r="Z695" s="2"/>
    </row>
    <row r="696" ht="13.5" customHeight="1">
      <c r="A696" s="2"/>
      <c r="B696" s="2"/>
      <c r="C696" s="2"/>
      <c r="D696" s="2"/>
      <c r="E696" s="2"/>
      <c r="F696" s="2"/>
      <c r="G696" s="2"/>
      <c r="H696" s="2"/>
      <c r="I696" s="2"/>
      <c r="J696" s="156"/>
      <c r="K696" s="2"/>
      <c r="L696" s="2"/>
      <c r="M696" s="2"/>
      <c r="N696" s="2"/>
      <c r="O696" s="2"/>
      <c r="P696" s="2"/>
      <c r="Q696" s="157"/>
      <c r="R696" s="157"/>
      <c r="S696" s="157"/>
      <c r="T696" s="158"/>
      <c r="U696" s="2"/>
      <c r="V696" s="30"/>
      <c r="W696" s="2"/>
      <c r="X696" s="2"/>
      <c r="Y696" s="2"/>
      <c r="Z696" s="2"/>
    </row>
    <row r="697" ht="13.5" customHeight="1">
      <c r="A697" s="2"/>
      <c r="B697" s="2"/>
      <c r="C697" s="2"/>
      <c r="D697" s="2"/>
      <c r="E697" s="2"/>
      <c r="F697" s="2"/>
      <c r="G697" s="2"/>
      <c r="H697" s="2"/>
      <c r="I697" s="2"/>
      <c r="J697" s="156"/>
      <c r="K697" s="2"/>
      <c r="L697" s="2"/>
      <c r="M697" s="2"/>
      <c r="N697" s="2"/>
      <c r="O697" s="2"/>
      <c r="P697" s="2"/>
      <c r="Q697" s="157"/>
      <c r="R697" s="157"/>
      <c r="S697" s="157"/>
      <c r="T697" s="158"/>
      <c r="U697" s="2"/>
      <c r="V697" s="30"/>
      <c r="W697" s="2"/>
      <c r="X697" s="2"/>
      <c r="Y697" s="2"/>
      <c r="Z697" s="2"/>
    </row>
    <row r="698" ht="13.5" customHeight="1">
      <c r="A698" s="2"/>
      <c r="B698" s="2"/>
      <c r="C698" s="2"/>
      <c r="D698" s="2"/>
      <c r="E698" s="2"/>
      <c r="F698" s="2"/>
      <c r="G698" s="2"/>
      <c r="H698" s="2"/>
      <c r="I698" s="2"/>
      <c r="J698" s="156"/>
      <c r="K698" s="2"/>
      <c r="L698" s="2"/>
      <c r="M698" s="2"/>
      <c r="N698" s="2"/>
      <c r="O698" s="2"/>
      <c r="P698" s="2"/>
      <c r="Q698" s="157"/>
      <c r="R698" s="157"/>
      <c r="S698" s="157"/>
      <c r="T698" s="158"/>
      <c r="U698" s="2"/>
      <c r="V698" s="30"/>
      <c r="W698" s="2"/>
      <c r="X698" s="2"/>
      <c r="Y698" s="2"/>
      <c r="Z698" s="2"/>
    </row>
    <row r="699" ht="13.5" customHeight="1">
      <c r="A699" s="2"/>
      <c r="B699" s="2"/>
      <c r="C699" s="2"/>
      <c r="D699" s="2"/>
      <c r="E699" s="2"/>
      <c r="F699" s="2"/>
      <c r="G699" s="2"/>
      <c r="H699" s="2"/>
      <c r="I699" s="2"/>
      <c r="J699" s="156"/>
      <c r="K699" s="2"/>
      <c r="L699" s="2"/>
      <c r="M699" s="2"/>
      <c r="N699" s="2"/>
      <c r="O699" s="2"/>
      <c r="P699" s="2"/>
      <c r="Q699" s="157"/>
      <c r="R699" s="157"/>
      <c r="S699" s="157"/>
      <c r="T699" s="158"/>
      <c r="U699" s="2"/>
      <c r="V699" s="30"/>
      <c r="W699" s="2"/>
      <c r="X699" s="2"/>
      <c r="Y699" s="2"/>
      <c r="Z699" s="2"/>
    </row>
    <row r="700" ht="13.5" customHeight="1">
      <c r="A700" s="2"/>
      <c r="B700" s="2"/>
      <c r="C700" s="2"/>
      <c r="D700" s="2"/>
      <c r="E700" s="2"/>
      <c r="F700" s="2"/>
      <c r="G700" s="2"/>
      <c r="H700" s="2"/>
      <c r="I700" s="2"/>
      <c r="J700" s="156"/>
      <c r="K700" s="2"/>
      <c r="L700" s="2"/>
      <c r="M700" s="2"/>
      <c r="N700" s="2"/>
      <c r="O700" s="2"/>
      <c r="P700" s="2"/>
      <c r="Q700" s="157"/>
      <c r="R700" s="157"/>
      <c r="S700" s="157"/>
      <c r="T700" s="158"/>
      <c r="U700" s="2"/>
      <c r="V700" s="30"/>
      <c r="W700" s="2"/>
      <c r="X700" s="2"/>
      <c r="Y700" s="2"/>
      <c r="Z700" s="2"/>
    </row>
    <row r="701" ht="13.5" customHeight="1">
      <c r="A701" s="2"/>
      <c r="B701" s="2"/>
      <c r="C701" s="2"/>
      <c r="D701" s="2"/>
      <c r="E701" s="2"/>
      <c r="F701" s="2"/>
      <c r="G701" s="2"/>
      <c r="H701" s="2"/>
      <c r="I701" s="2"/>
      <c r="J701" s="156"/>
      <c r="K701" s="2"/>
      <c r="L701" s="2"/>
      <c r="M701" s="2"/>
      <c r="N701" s="2"/>
      <c r="O701" s="2"/>
      <c r="P701" s="2"/>
      <c r="Q701" s="157"/>
      <c r="R701" s="157"/>
      <c r="S701" s="157"/>
      <c r="T701" s="158"/>
      <c r="U701" s="2"/>
      <c r="V701" s="30"/>
      <c r="W701" s="2"/>
      <c r="X701" s="2"/>
      <c r="Y701" s="2"/>
      <c r="Z701" s="2"/>
    </row>
    <row r="702" ht="13.5" customHeight="1">
      <c r="A702" s="2"/>
      <c r="B702" s="2"/>
      <c r="C702" s="2"/>
      <c r="D702" s="2"/>
      <c r="E702" s="2"/>
      <c r="F702" s="2"/>
      <c r="G702" s="2"/>
      <c r="H702" s="2"/>
      <c r="I702" s="2"/>
      <c r="J702" s="156"/>
      <c r="K702" s="2"/>
      <c r="L702" s="2"/>
      <c r="M702" s="2"/>
      <c r="N702" s="2"/>
      <c r="O702" s="2"/>
      <c r="P702" s="2"/>
      <c r="Q702" s="157"/>
      <c r="R702" s="157"/>
      <c r="S702" s="157"/>
      <c r="T702" s="158"/>
      <c r="U702" s="2"/>
      <c r="V702" s="30"/>
      <c r="W702" s="2"/>
      <c r="X702" s="2"/>
      <c r="Y702" s="2"/>
      <c r="Z702" s="2"/>
    </row>
    <row r="703" ht="13.5" customHeight="1">
      <c r="A703" s="2"/>
      <c r="B703" s="2"/>
      <c r="C703" s="2"/>
      <c r="D703" s="2"/>
      <c r="E703" s="2"/>
      <c r="F703" s="2"/>
      <c r="G703" s="2"/>
      <c r="H703" s="2"/>
      <c r="I703" s="2"/>
      <c r="J703" s="156"/>
      <c r="K703" s="2"/>
      <c r="L703" s="2"/>
      <c r="M703" s="2"/>
      <c r="N703" s="2"/>
      <c r="O703" s="2"/>
      <c r="P703" s="2"/>
      <c r="Q703" s="157"/>
      <c r="R703" s="157"/>
      <c r="S703" s="157"/>
      <c r="T703" s="158"/>
      <c r="U703" s="2"/>
      <c r="V703" s="30"/>
      <c r="W703" s="2"/>
      <c r="X703" s="2"/>
      <c r="Y703" s="2"/>
      <c r="Z703" s="2"/>
    </row>
    <row r="704" ht="13.5" customHeight="1">
      <c r="A704" s="2"/>
      <c r="B704" s="2"/>
      <c r="C704" s="2"/>
      <c r="D704" s="2"/>
      <c r="E704" s="2"/>
      <c r="F704" s="2"/>
      <c r="G704" s="2"/>
      <c r="H704" s="2"/>
      <c r="I704" s="2"/>
      <c r="J704" s="156"/>
      <c r="K704" s="2"/>
      <c r="L704" s="2"/>
      <c r="M704" s="2"/>
      <c r="N704" s="2"/>
      <c r="O704" s="2"/>
      <c r="P704" s="2"/>
      <c r="Q704" s="157"/>
      <c r="R704" s="157"/>
      <c r="S704" s="157"/>
      <c r="T704" s="158"/>
      <c r="U704" s="2"/>
      <c r="V704" s="30"/>
      <c r="W704" s="2"/>
      <c r="X704" s="2"/>
      <c r="Y704" s="2"/>
      <c r="Z704" s="2"/>
    </row>
    <row r="705" ht="13.5" customHeight="1">
      <c r="A705" s="2"/>
      <c r="B705" s="2"/>
      <c r="C705" s="2"/>
      <c r="D705" s="2"/>
      <c r="E705" s="2"/>
      <c r="F705" s="2"/>
      <c r="G705" s="2"/>
      <c r="H705" s="2"/>
      <c r="I705" s="2"/>
      <c r="J705" s="156"/>
      <c r="K705" s="2"/>
      <c r="L705" s="2"/>
      <c r="M705" s="2"/>
      <c r="N705" s="2"/>
      <c r="O705" s="2"/>
      <c r="P705" s="2"/>
      <c r="Q705" s="157"/>
      <c r="R705" s="157"/>
      <c r="S705" s="157"/>
      <c r="T705" s="158"/>
      <c r="U705" s="2"/>
      <c r="V705" s="30"/>
      <c r="W705" s="2"/>
      <c r="X705" s="2"/>
      <c r="Y705" s="2"/>
      <c r="Z705" s="2"/>
    </row>
    <row r="706" ht="13.5" customHeight="1">
      <c r="A706" s="2"/>
      <c r="B706" s="2"/>
      <c r="C706" s="2"/>
      <c r="D706" s="2"/>
      <c r="E706" s="2"/>
      <c r="F706" s="2"/>
      <c r="G706" s="2"/>
      <c r="H706" s="2"/>
      <c r="I706" s="2"/>
      <c r="J706" s="156"/>
      <c r="K706" s="2"/>
      <c r="L706" s="2"/>
      <c r="M706" s="2"/>
      <c r="N706" s="2"/>
      <c r="O706" s="2"/>
      <c r="P706" s="2"/>
      <c r="Q706" s="157"/>
      <c r="R706" s="157"/>
      <c r="S706" s="157"/>
      <c r="T706" s="158"/>
      <c r="U706" s="2"/>
      <c r="V706" s="30"/>
      <c r="W706" s="2"/>
      <c r="X706" s="2"/>
      <c r="Y706" s="2"/>
      <c r="Z706" s="2"/>
    </row>
    <row r="707" ht="13.5" customHeight="1">
      <c r="A707" s="2"/>
      <c r="B707" s="2"/>
      <c r="C707" s="2"/>
      <c r="D707" s="2"/>
      <c r="E707" s="2"/>
      <c r="F707" s="2"/>
      <c r="G707" s="2"/>
      <c r="H707" s="2"/>
      <c r="I707" s="2"/>
      <c r="J707" s="156"/>
      <c r="K707" s="2"/>
      <c r="L707" s="2"/>
      <c r="M707" s="2"/>
      <c r="N707" s="2"/>
      <c r="O707" s="2"/>
      <c r="P707" s="2"/>
      <c r="Q707" s="157"/>
      <c r="R707" s="157"/>
      <c r="S707" s="157"/>
      <c r="T707" s="158"/>
      <c r="U707" s="2"/>
      <c r="V707" s="30"/>
      <c r="W707" s="2"/>
      <c r="X707" s="2"/>
      <c r="Y707" s="2"/>
      <c r="Z707" s="2"/>
    </row>
    <row r="708" ht="13.5" customHeight="1">
      <c r="A708" s="2"/>
      <c r="B708" s="2"/>
      <c r="C708" s="2"/>
      <c r="D708" s="2"/>
      <c r="E708" s="2"/>
      <c r="F708" s="2"/>
      <c r="G708" s="2"/>
      <c r="H708" s="2"/>
      <c r="I708" s="2"/>
      <c r="J708" s="156"/>
      <c r="K708" s="2"/>
      <c r="L708" s="2"/>
      <c r="M708" s="2"/>
      <c r="N708" s="2"/>
      <c r="O708" s="2"/>
      <c r="P708" s="2"/>
      <c r="Q708" s="157"/>
      <c r="R708" s="157"/>
      <c r="S708" s="157"/>
      <c r="T708" s="158"/>
      <c r="U708" s="2"/>
      <c r="V708" s="30"/>
      <c r="W708" s="2"/>
      <c r="X708" s="2"/>
      <c r="Y708" s="2"/>
      <c r="Z708" s="2"/>
    </row>
    <row r="709" ht="13.5" customHeight="1">
      <c r="A709" s="2"/>
      <c r="B709" s="2"/>
      <c r="C709" s="2"/>
      <c r="D709" s="2"/>
      <c r="E709" s="2"/>
      <c r="F709" s="2"/>
      <c r="G709" s="2"/>
      <c r="H709" s="2"/>
      <c r="I709" s="2"/>
      <c r="J709" s="156"/>
      <c r="K709" s="2"/>
      <c r="L709" s="2"/>
      <c r="M709" s="2"/>
      <c r="N709" s="2"/>
      <c r="O709" s="2"/>
      <c r="P709" s="2"/>
      <c r="Q709" s="157"/>
      <c r="R709" s="157"/>
      <c r="S709" s="157"/>
      <c r="T709" s="158"/>
      <c r="U709" s="2"/>
      <c r="V709" s="30"/>
      <c r="W709" s="2"/>
      <c r="X709" s="2"/>
      <c r="Y709" s="2"/>
      <c r="Z709" s="2"/>
    </row>
    <row r="710" ht="13.5" customHeight="1">
      <c r="A710" s="2"/>
      <c r="B710" s="2"/>
      <c r="C710" s="2"/>
      <c r="D710" s="2"/>
      <c r="E710" s="2"/>
      <c r="F710" s="2"/>
      <c r="G710" s="2"/>
      <c r="H710" s="2"/>
      <c r="I710" s="2"/>
      <c r="J710" s="156"/>
      <c r="K710" s="2"/>
      <c r="L710" s="2"/>
      <c r="M710" s="2"/>
      <c r="N710" s="2"/>
      <c r="O710" s="2"/>
      <c r="P710" s="2"/>
      <c r="Q710" s="157"/>
      <c r="R710" s="157"/>
      <c r="S710" s="157"/>
      <c r="T710" s="158"/>
      <c r="U710" s="2"/>
      <c r="V710" s="30"/>
      <c r="W710" s="2"/>
      <c r="X710" s="2"/>
      <c r="Y710" s="2"/>
      <c r="Z710" s="2"/>
    </row>
    <row r="711" ht="13.5" customHeight="1">
      <c r="A711" s="2"/>
      <c r="B711" s="2"/>
      <c r="C711" s="2"/>
      <c r="D711" s="2"/>
      <c r="E711" s="2"/>
      <c r="F711" s="2"/>
      <c r="G711" s="2"/>
      <c r="H711" s="2"/>
      <c r="I711" s="2"/>
      <c r="J711" s="156"/>
      <c r="K711" s="2"/>
      <c r="L711" s="2"/>
      <c r="M711" s="2"/>
      <c r="N711" s="2"/>
      <c r="O711" s="2"/>
      <c r="P711" s="2"/>
      <c r="Q711" s="157"/>
      <c r="R711" s="157"/>
      <c r="S711" s="157"/>
      <c r="T711" s="158"/>
      <c r="U711" s="2"/>
      <c r="V711" s="30"/>
      <c r="W711" s="2"/>
      <c r="X711" s="2"/>
      <c r="Y711" s="2"/>
      <c r="Z711" s="2"/>
    </row>
    <row r="712" ht="13.5" customHeight="1">
      <c r="A712" s="2"/>
      <c r="B712" s="2"/>
      <c r="C712" s="2"/>
      <c r="D712" s="2"/>
      <c r="E712" s="2"/>
      <c r="F712" s="2"/>
      <c r="G712" s="2"/>
      <c r="H712" s="2"/>
      <c r="I712" s="2"/>
      <c r="J712" s="156"/>
      <c r="K712" s="2"/>
      <c r="L712" s="2"/>
      <c r="M712" s="2"/>
      <c r="N712" s="2"/>
      <c r="O712" s="2"/>
      <c r="P712" s="2"/>
      <c r="Q712" s="157"/>
      <c r="R712" s="157"/>
      <c r="S712" s="157"/>
      <c r="T712" s="158"/>
      <c r="U712" s="2"/>
      <c r="V712" s="30"/>
      <c r="W712" s="2"/>
      <c r="X712" s="2"/>
      <c r="Y712" s="2"/>
      <c r="Z712" s="2"/>
    </row>
    <row r="713" ht="13.5" customHeight="1">
      <c r="A713" s="2"/>
      <c r="B713" s="2"/>
      <c r="C713" s="2"/>
      <c r="D713" s="2"/>
      <c r="E713" s="2"/>
      <c r="F713" s="2"/>
      <c r="G713" s="2"/>
      <c r="H713" s="2"/>
      <c r="I713" s="2"/>
      <c r="J713" s="156"/>
      <c r="K713" s="2"/>
      <c r="L713" s="2"/>
      <c r="M713" s="2"/>
      <c r="N713" s="2"/>
      <c r="O713" s="2"/>
      <c r="P713" s="2"/>
      <c r="Q713" s="157"/>
      <c r="R713" s="157"/>
      <c r="S713" s="157"/>
      <c r="T713" s="158"/>
      <c r="U713" s="2"/>
      <c r="V713" s="30"/>
      <c r="W713" s="2"/>
      <c r="X713" s="2"/>
      <c r="Y713" s="2"/>
      <c r="Z713" s="2"/>
    </row>
    <row r="714" ht="13.5" customHeight="1">
      <c r="A714" s="2"/>
      <c r="B714" s="2"/>
      <c r="C714" s="2"/>
      <c r="D714" s="2"/>
      <c r="E714" s="2"/>
      <c r="F714" s="2"/>
      <c r="G714" s="2"/>
      <c r="H714" s="2"/>
      <c r="I714" s="2"/>
      <c r="J714" s="156"/>
      <c r="K714" s="2"/>
      <c r="L714" s="2"/>
      <c r="M714" s="2"/>
      <c r="N714" s="2"/>
      <c r="O714" s="2"/>
      <c r="P714" s="2"/>
      <c r="Q714" s="157"/>
      <c r="R714" s="157"/>
      <c r="S714" s="157"/>
      <c r="T714" s="158"/>
      <c r="U714" s="2"/>
      <c r="V714" s="30"/>
      <c r="W714" s="2"/>
      <c r="X714" s="2"/>
      <c r="Y714" s="2"/>
      <c r="Z714" s="2"/>
    </row>
    <row r="715" ht="13.5" customHeight="1">
      <c r="A715" s="2"/>
      <c r="B715" s="2"/>
      <c r="C715" s="2"/>
      <c r="D715" s="2"/>
      <c r="E715" s="2"/>
      <c r="F715" s="2"/>
      <c r="G715" s="2"/>
      <c r="H715" s="2"/>
      <c r="I715" s="2"/>
      <c r="J715" s="156"/>
      <c r="K715" s="2"/>
      <c r="L715" s="2"/>
      <c r="M715" s="2"/>
      <c r="N715" s="2"/>
      <c r="O715" s="2"/>
      <c r="P715" s="2"/>
      <c r="Q715" s="157"/>
      <c r="R715" s="157"/>
      <c r="S715" s="157"/>
      <c r="T715" s="158"/>
      <c r="U715" s="2"/>
      <c r="V715" s="30"/>
      <c r="W715" s="2"/>
      <c r="X715" s="2"/>
      <c r="Y715" s="2"/>
      <c r="Z715" s="2"/>
    </row>
    <row r="716" ht="13.5" customHeight="1">
      <c r="A716" s="2"/>
      <c r="B716" s="2"/>
      <c r="C716" s="2"/>
      <c r="D716" s="2"/>
      <c r="E716" s="2"/>
      <c r="F716" s="2"/>
      <c r="G716" s="2"/>
      <c r="H716" s="2"/>
      <c r="I716" s="2"/>
      <c r="J716" s="156"/>
      <c r="K716" s="2"/>
      <c r="L716" s="2"/>
      <c r="M716" s="2"/>
      <c r="N716" s="2"/>
      <c r="O716" s="2"/>
      <c r="P716" s="2"/>
      <c r="Q716" s="157"/>
      <c r="R716" s="157"/>
      <c r="S716" s="157"/>
      <c r="T716" s="158"/>
      <c r="U716" s="2"/>
      <c r="V716" s="30"/>
      <c r="W716" s="2"/>
      <c r="X716" s="2"/>
      <c r="Y716" s="2"/>
      <c r="Z716" s="2"/>
    </row>
    <row r="717" ht="13.5" customHeight="1">
      <c r="A717" s="2"/>
      <c r="B717" s="2"/>
      <c r="C717" s="2"/>
      <c r="D717" s="2"/>
      <c r="E717" s="2"/>
      <c r="F717" s="2"/>
      <c r="G717" s="2"/>
      <c r="H717" s="2"/>
      <c r="I717" s="2"/>
      <c r="J717" s="156"/>
      <c r="K717" s="2"/>
      <c r="L717" s="2"/>
      <c r="M717" s="2"/>
      <c r="N717" s="2"/>
      <c r="O717" s="2"/>
      <c r="P717" s="2"/>
      <c r="Q717" s="157"/>
      <c r="R717" s="157"/>
      <c r="S717" s="157"/>
      <c r="T717" s="158"/>
      <c r="U717" s="2"/>
      <c r="V717" s="30"/>
      <c r="W717" s="2"/>
      <c r="X717" s="2"/>
      <c r="Y717" s="2"/>
      <c r="Z717" s="2"/>
    </row>
    <row r="718" ht="13.5" customHeight="1">
      <c r="A718" s="2"/>
      <c r="B718" s="2"/>
      <c r="C718" s="2"/>
      <c r="D718" s="2"/>
      <c r="E718" s="2"/>
      <c r="F718" s="2"/>
      <c r="G718" s="2"/>
      <c r="H718" s="2"/>
      <c r="I718" s="2"/>
      <c r="J718" s="156"/>
      <c r="K718" s="2"/>
      <c r="L718" s="2"/>
      <c r="M718" s="2"/>
      <c r="N718" s="2"/>
      <c r="O718" s="2"/>
      <c r="P718" s="2"/>
      <c r="Q718" s="157"/>
      <c r="R718" s="157"/>
      <c r="S718" s="157"/>
      <c r="T718" s="158"/>
      <c r="U718" s="2"/>
      <c r="V718" s="30"/>
      <c r="W718" s="2"/>
      <c r="X718" s="2"/>
      <c r="Y718" s="2"/>
      <c r="Z718" s="2"/>
    </row>
    <row r="719" ht="13.5" customHeight="1">
      <c r="A719" s="2"/>
      <c r="B719" s="2"/>
      <c r="C719" s="2"/>
      <c r="D719" s="2"/>
      <c r="E719" s="2"/>
      <c r="F719" s="2"/>
      <c r="G719" s="2"/>
      <c r="H719" s="2"/>
      <c r="I719" s="2"/>
      <c r="J719" s="156"/>
      <c r="K719" s="2"/>
      <c r="L719" s="2"/>
      <c r="M719" s="2"/>
      <c r="N719" s="2"/>
      <c r="O719" s="2"/>
      <c r="P719" s="2"/>
      <c r="Q719" s="157"/>
      <c r="R719" s="157"/>
      <c r="S719" s="157"/>
      <c r="T719" s="158"/>
      <c r="U719" s="2"/>
      <c r="V719" s="30"/>
      <c r="W719" s="2"/>
      <c r="X719" s="2"/>
      <c r="Y719" s="2"/>
      <c r="Z719" s="2"/>
    </row>
    <row r="720" ht="13.5" customHeight="1">
      <c r="A720" s="2"/>
      <c r="B720" s="2"/>
      <c r="C720" s="2"/>
      <c r="D720" s="2"/>
      <c r="E720" s="2"/>
      <c r="F720" s="2"/>
      <c r="G720" s="2"/>
      <c r="H720" s="2"/>
      <c r="I720" s="2"/>
      <c r="J720" s="156"/>
      <c r="K720" s="2"/>
      <c r="L720" s="2"/>
      <c r="M720" s="2"/>
      <c r="N720" s="2"/>
      <c r="O720" s="2"/>
      <c r="P720" s="2"/>
      <c r="Q720" s="157"/>
      <c r="R720" s="157"/>
      <c r="S720" s="157"/>
      <c r="T720" s="158"/>
      <c r="U720" s="2"/>
      <c r="V720" s="30"/>
      <c r="W720" s="2"/>
      <c r="X720" s="2"/>
      <c r="Y720" s="2"/>
      <c r="Z720" s="2"/>
    </row>
    <row r="721" ht="13.5" customHeight="1">
      <c r="A721" s="2"/>
      <c r="B721" s="2"/>
      <c r="C721" s="2"/>
      <c r="D721" s="2"/>
      <c r="E721" s="2"/>
      <c r="F721" s="2"/>
      <c r="G721" s="2"/>
      <c r="H721" s="2"/>
      <c r="I721" s="2"/>
      <c r="J721" s="156"/>
      <c r="K721" s="2"/>
      <c r="L721" s="2"/>
      <c r="M721" s="2"/>
      <c r="N721" s="2"/>
      <c r="O721" s="2"/>
      <c r="P721" s="2"/>
      <c r="Q721" s="157"/>
      <c r="R721" s="157"/>
      <c r="S721" s="157"/>
      <c r="T721" s="158"/>
      <c r="U721" s="2"/>
      <c r="V721" s="30"/>
      <c r="W721" s="2"/>
      <c r="X721" s="2"/>
      <c r="Y721" s="2"/>
      <c r="Z721" s="2"/>
    </row>
    <row r="722" ht="13.5" customHeight="1">
      <c r="A722" s="2"/>
      <c r="B722" s="2"/>
      <c r="C722" s="2"/>
      <c r="D722" s="2"/>
      <c r="E722" s="2"/>
      <c r="F722" s="2"/>
      <c r="G722" s="2"/>
      <c r="H722" s="2"/>
      <c r="I722" s="2"/>
      <c r="J722" s="156"/>
      <c r="K722" s="2"/>
      <c r="L722" s="2"/>
      <c r="M722" s="2"/>
      <c r="N722" s="2"/>
      <c r="O722" s="2"/>
      <c r="P722" s="2"/>
      <c r="Q722" s="157"/>
      <c r="R722" s="157"/>
      <c r="S722" s="157"/>
      <c r="T722" s="158"/>
      <c r="U722" s="2"/>
      <c r="V722" s="30"/>
      <c r="W722" s="2"/>
      <c r="X722" s="2"/>
      <c r="Y722" s="2"/>
      <c r="Z722" s="2"/>
    </row>
    <row r="723" ht="13.5" customHeight="1">
      <c r="A723" s="2"/>
      <c r="B723" s="2"/>
      <c r="C723" s="2"/>
      <c r="D723" s="2"/>
      <c r="E723" s="2"/>
      <c r="F723" s="2"/>
      <c r="G723" s="2"/>
      <c r="H723" s="2"/>
      <c r="I723" s="2"/>
      <c r="J723" s="156"/>
      <c r="K723" s="2"/>
      <c r="L723" s="2"/>
      <c r="M723" s="2"/>
      <c r="N723" s="2"/>
      <c r="O723" s="2"/>
      <c r="P723" s="2"/>
      <c r="Q723" s="157"/>
      <c r="R723" s="157"/>
      <c r="S723" s="157"/>
      <c r="T723" s="158"/>
      <c r="U723" s="2"/>
      <c r="V723" s="30"/>
      <c r="W723" s="2"/>
      <c r="X723" s="2"/>
      <c r="Y723" s="2"/>
      <c r="Z723" s="2"/>
    </row>
    <row r="724" ht="13.5" customHeight="1">
      <c r="A724" s="2"/>
      <c r="B724" s="2"/>
      <c r="C724" s="2"/>
      <c r="D724" s="2"/>
      <c r="E724" s="2"/>
      <c r="F724" s="2"/>
      <c r="G724" s="2"/>
      <c r="H724" s="2"/>
      <c r="I724" s="2"/>
      <c r="J724" s="156"/>
      <c r="K724" s="2"/>
      <c r="L724" s="2"/>
      <c r="M724" s="2"/>
      <c r="N724" s="2"/>
      <c r="O724" s="2"/>
      <c r="P724" s="2"/>
      <c r="Q724" s="157"/>
      <c r="R724" s="157"/>
      <c r="S724" s="157"/>
      <c r="T724" s="158"/>
      <c r="U724" s="2"/>
      <c r="V724" s="30"/>
      <c r="W724" s="2"/>
      <c r="X724" s="2"/>
      <c r="Y724" s="2"/>
      <c r="Z724" s="2"/>
    </row>
    <row r="725" ht="13.5" customHeight="1">
      <c r="A725" s="2"/>
      <c r="B725" s="2"/>
      <c r="C725" s="2"/>
      <c r="D725" s="2"/>
      <c r="E725" s="2"/>
      <c r="F725" s="2"/>
      <c r="G725" s="2"/>
      <c r="H725" s="2"/>
      <c r="I725" s="2"/>
      <c r="J725" s="156"/>
      <c r="K725" s="2"/>
      <c r="L725" s="2"/>
      <c r="M725" s="2"/>
      <c r="N725" s="2"/>
      <c r="O725" s="2"/>
      <c r="P725" s="2"/>
      <c r="Q725" s="157"/>
      <c r="R725" s="157"/>
      <c r="S725" s="157"/>
      <c r="T725" s="158"/>
      <c r="U725" s="2"/>
      <c r="V725" s="30"/>
      <c r="W725" s="2"/>
      <c r="X725" s="2"/>
      <c r="Y725" s="2"/>
      <c r="Z725" s="2"/>
    </row>
    <row r="726" ht="13.5" customHeight="1">
      <c r="A726" s="2"/>
      <c r="B726" s="2"/>
      <c r="C726" s="2"/>
      <c r="D726" s="2"/>
      <c r="E726" s="2"/>
      <c r="F726" s="2"/>
      <c r="G726" s="2"/>
      <c r="H726" s="2"/>
      <c r="I726" s="2"/>
      <c r="J726" s="156"/>
      <c r="K726" s="2"/>
      <c r="L726" s="2"/>
      <c r="M726" s="2"/>
      <c r="N726" s="2"/>
      <c r="O726" s="2"/>
      <c r="P726" s="2"/>
      <c r="Q726" s="157"/>
      <c r="R726" s="157"/>
      <c r="S726" s="157"/>
      <c r="T726" s="158"/>
      <c r="U726" s="2"/>
      <c r="V726" s="30"/>
      <c r="W726" s="2"/>
      <c r="X726" s="2"/>
      <c r="Y726" s="2"/>
      <c r="Z726" s="2"/>
    </row>
    <row r="727" ht="13.5" customHeight="1">
      <c r="A727" s="2"/>
      <c r="B727" s="2"/>
      <c r="C727" s="2"/>
      <c r="D727" s="2"/>
      <c r="E727" s="2"/>
      <c r="F727" s="2"/>
      <c r="G727" s="2"/>
      <c r="H727" s="2"/>
      <c r="I727" s="2"/>
      <c r="J727" s="156"/>
      <c r="K727" s="2"/>
      <c r="L727" s="2"/>
      <c r="M727" s="2"/>
      <c r="N727" s="2"/>
      <c r="O727" s="2"/>
      <c r="P727" s="2"/>
      <c r="Q727" s="157"/>
      <c r="R727" s="157"/>
      <c r="S727" s="157"/>
      <c r="T727" s="158"/>
      <c r="U727" s="2"/>
      <c r="V727" s="30"/>
      <c r="W727" s="2"/>
      <c r="X727" s="2"/>
      <c r="Y727" s="2"/>
      <c r="Z727" s="2"/>
    </row>
    <row r="728" ht="13.5" customHeight="1">
      <c r="A728" s="2"/>
      <c r="B728" s="2"/>
      <c r="C728" s="2"/>
      <c r="D728" s="2"/>
      <c r="E728" s="2"/>
      <c r="F728" s="2"/>
      <c r="G728" s="2"/>
      <c r="H728" s="2"/>
      <c r="I728" s="2"/>
      <c r="J728" s="156"/>
      <c r="K728" s="2"/>
      <c r="L728" s="2"/>
      <c r="M728" s="2"/>
      <c r="N728" s="2"/>
      <c r="O728" s="2"/>
      <c r="P728" s="2"/>
      <c r="Q728" s="157"/>
      <c r="R728" s="157"/>
      <c r="S728" s="157"/>
      <c r="T728" s="158"/>
      <c r="U728" s="2"/>
      <c r="V728" s="30"/>
      <c r="W728" s="2"/>
      <c r="X728" s="2"/>
      <c r="Y728" s="2"/>
      <c r="Z728" s="2"/>
    </row>
    <row r="729" ht="13.5" customHeight="1">
      <c r="A729" s="2"/>
      <c r="B729" s="2"/>
      <c r="C729" s="2"/>
      <c r="D729" s="2"/>
      <c r="E729" s="2"/>
      <c r="F729" s="2"/>
      <c r="G729" s="2"/>
      <c r="H729" s="2"/>
      <c r="I729" s="2"/>
      <c r="J729" s="156"/>
      <c r="K729" s="2"/>
      <c r="L729" s="2"/>
      <c r="M729" s="2"/>
      <c r="N729" s="2"/>
      <c r="O729" s="2"/>
      <c r="P729" s="2"/>
      <c r="Q729" s="157"/>
      <c r="R729" s="157"/>
      <c r="S729" s="157"/>
      <c r="T729" s="158"/>
      <c r="U729" s="2"/>
      <c r="V729" s="30"/>
      <c r="W729" s="2"/>
      <c r="X729" s="2"/>
      <c r="Y729" s="2"/>
      <c r="Z729" s="2"/>
    </row>
    <row r="730" ht="13.5" customHeight="1">
      <c r="A730" s="2"/>
      <c r="B730" s="2"/>
      <c r="C730" s="2"/>
      <c r="D730" s="2"/>
      <c r="E730" s="2"/>
      <c r="F730" s="2"/>
      <c r="G730" s="2"/>
      <c r="H730" s="2"/>
      <c r="I730" s="2"/>
      <c r="J730" s="156"/>
      <c r="K730" s="2"/>
      <c r="L730" s="2"/>
      <c r="M730" s="2"/>
      <c r="N730" s="2"/>
      <c r="O730" s="2"/>
      <c r="P730" s="2"/>
      <c r="Q730" s="157"/>
      <c r="R730" s="157"/>
      <c r="S730" s="157"/>
      <c r="T730" s="158"/>
      <c r="U730" s="2"/>
      <c r="V730" s="30"/>
      <c r="W730" s="2"/>
      <c r="X730" s="2"/>
      <c r="Y730" s="2"/>
      <c r="Z730" s="2"/>
    </row>
    <row r="731" ht="13.5" customHeight="1">
      <c r="A731" s="2"/>
      <c r="B731" s="2"/>
      <c r="C731" s="2"/>
      <c r="D731" s="2"/>
      <c r="E731" s="2"/>
      <c r="F731" s="2"/>
      <c r="G731" s="2"/>
      <c r="H731" s="2"/>
      <c r="I731" s="2"/>
      <c r="J731" s="156"/>
      <c r="K731" s="2"/>
      <c r="L731" s="2"/>
      <c r="M731" s="2"/>
      <c r="N731" s="2"/>
      <c r="O731" s="2"/>
      <c r="P731" s="2"/>
      <c r="Q731" s="157"/>
      <c r="R731" s="157"/>
      <c r="S731" s="157"/>
      <c r="T731" s="158"/>
      <c r="U731" s="2"/>
      <c r="V731" s="30"/>
      <c r="W731" s="2"/>
      <c r="X731" s="2"/>
      <c r="Y731" s="2"/>
      <c r="Z731" s="2"/>
    </row>
    <row r="732" ht="13.5" customHeight="1">
      <c r="A732" s="2"/>
      <c r="B732" s="2"/>
      <c r="C732" s="2"/>
      <c r="D732" s="2"/>
      <c r="E732" s="2"/>
      <c r="F732" s="2"/>
      <c r="G732" s="2"/>
      <c r="H732" s="2"/>
      <c r="I732" s="2"/>
      <c r="J732" s="156"/>
      <c r="K732" s="2"/>
      <c r="L732" s="2"/>
      <c r="M732" s="2"/>
      <c r="N732" s="2"/>
      <c r="O732" s="2"/>
      <c r="P732" s="2"/>
      <c r="Q732" s="157"/>
      <c r="R732" s="157"/>
      <c r="S732" s="157"/>
      <c r="T732" s="158"/>
      <c r="U732" s="2"/>
      <c r="V732" s="30"/>
      <c r="W732" s="2"/>
      <c r="X732" s="2"/>
      <c r="Y732" s="2"/>
      <c r="Z732" s="2"/>
    </row>
    <row r="733" ht="13.5" customHeight="1">
      <c r="A733" s="2"/>
      <c r="B733" s="2"/>
      <c r="C733" s="2"/>
      <c r="D733" s="2"/>
      <c r="E733" s="2"/>
      <c r="F733" s="2"/>
      <c r="G733" s="2"/>
      <c r="H733" s="2"/>
      <c r="I733" s="2"/>
      <c r="J733" s="156"/>
      <c r="K733" s="2"/>
      <c r="L733" s="2"/>
      <c r="M733" s="2"/>
      <c r="N733" s="2"/>
      <c r="O733" s="2"/>
      <c r="P733" s="2"/>
      <c r="Q733" s="157"/>
      <c r="R733" s="157"/>
      <c r="S733" s="157"/>
      <c r="T733" s="158"/>
      <c r="U733" s="2"/>
      <c r="V733" s="30"/>
      <c r="W733" s="2"/>
      <c r="X733" s="2"/>
      <c r="Y733" s="2"/>
      <c r="Z733" s="2"/>
    </row>
    <row r="734" ht="13.5" customHeight="1">
      <c r="A734" s="2"/>
      <c r="B734" s="2"/>
      <c r="C734" s="2"/>
      <c r="D734" s="2"/>
      <c r="E734" s="2"/>
      <c r="F734" s="2"/>
      <c r="G734" s="2"/>
      <c r="H734" s="2"/>
      <c r="I734" s="2"/>
      <c r="J734" s="156"/>
      <c r="K734" s="2"/>
      <c r="L734" s="2"/>
      <c r="M734" s="2"/>
      <c r="N734" s="2"/>
      <c r="O734" s="2"/>
      <c r="P734" s="2"/>
      <c r="Q734" s="157"/>
      <c r="R734" s="157"/>
      <c r="S734" s="157"/>
      <c r="T734" s="158"/>
      <c r="U734" s="2"/>
      <c r="V734" s="30"/>
      <c r="W734" s="2"/>
      <c r="X734" s="2"/>
      <c r="Y734" s="2"/>
      <c r="Z734" s="2"/>
    </row>
    <row r="735" ht="13.5" customHeight="1">
      <c r="A735" s="2"/>
      <c r="B735" s="2"/>
      <c r="C735" s="2"/>
      <c r="D735" s="2"/>
      <c r="E735" s="2"/>
      <c r="F735" s="2"/>
      <c r="G735" s="2"/>
      <c r="H735" s="2"/>
      <c r="I735" s="2"/>
      <c r="J735" s="156"/>
      <c r="K735" s="2"/>
      <c r="L735" s="2"/>
      <c r="M735" s="2"/>
      <c r="N735" s="2"/>
      <c r="O735" s="2"/>
      <c r="P735" s="2"/>
      <c r="Q735" s="157"/>
      <c r="R735" s="157"/>
      <c r="S735" s="157"/>
      <c r="T735" s="158"/>
      <c r="U735" s="2"/>
      <c r="V735" s="30"/>
      <c r="W735" s="2"/>
      <c r="X735" s="2"/>
      <c r="Y735" s="2"/>
      <c r="Z735" s="2"/>
    </row>
    <row r="736" ht="13.5" customHeight="1">
      <c r="A736" s="2"/>
      <c r="B736" s="2"/>
      <c r="C736" s="2"/>
      <c r="D736" s="2"/>
      <c r="E736" s="2"/>
      <c r="F736" s="2"/>
      <c r="G736" s="2"/>
      <c r="H736" s="2"/>
      <c r="I736" s="2"/>
      <c r="J736" s="156"/>
      <c r="K736" s="2"/>
      <c r="L736" s="2"/>
      <c r="M736" s="2"/>
      <c r="N736" s="2"/>
      <c r="O736" s="2"/>
      <c r="P736" s="2"/>
      <c r="Q736" s="157"/>
      <c r="R736" s="157"/>
      <c r="S736" s="157"/>
      <c r="T736" s="158"/>
      <c r="U736" s="2"/>
      <c r="V736" s="30"/>
      <c r="W736" s="2"/>
      <c r="X736" s="2"/>
      <c r="Y736" s="2"/>
      <c r="Z736" s="2"/>
    </row>
    <row r="737" ht="13.5" customHeight="1">
      <c r="A737" s="2"/>
      <c r="B737" s="2"/>
      <c r="C737" s="2"/>
      <c r="D737" s="2"/>
      <c r="E737" s="2"/>
      <c r="F737" s="2"/>
      <c r="G737" s="2"/>
      <c r="H737" s="2"/>
      <c r="I737" s="2"/>
      <c r="J737" s="156"/>
      <c r="K737" s="2"/>
      <c r="L737" s="2"/>
      <c r="M737" s="2"/>
      <c r="N737" s="2"/>
      <c r="O737" s="2"/>
      <c r="P737" s="2"/>
      <c r="Q737" s="157"/>
      <c r="R737" s="157"/>
      <c r="S737" s="157"/>
      <c r="T737" s="158"/>
      <c r="U737" s="2"/>
      <c r="V737" s="30"/>
      <c r="W737" s="2"/>
      <c r="X737" s="2"/>
      <c r="Y737" s="2"/>
      <c r="Z737" s="2"/>
    </row>
    <row r="738" ht="13.5" customHeight="1">
      <c r="A738" s="2"/>
      <c r="B738" s="2"/>
      <c r="C738" s="2"/>
      <c r="D738" s="2"/>
      <c r="E738" s="2"/>
      <c r="F738" s="2"/>
      <c r="G738" s="2"/>
      <c r="H738" s="2"/>
      <c r="I738" s="2"/>
      <c r="J738" s="156"/>
      <c r="K738" s="2"/>
      <c r="L738" s="2"/>
      <c r="M738" s="2"/>
      <c r="N738" s="2"/>
      <c r="O738" s="2"/>
      <c r="P738" s="2"/>
      <c r="Q738" s="157"/>
      <c r="R738" s="157"/>
      <c r="S738" s="157"/>
      <c r="T738" s="158"/>
      <c r="U738" s="2"/>
      <c r="V738" s="30"/>
      <c r="W738" s="2"/>
      <c r="X738" s="2"/>
      <c r="Y738" s="2"/>
      <c r="Z738" s="2"/>
    </row>
    <row r="739" ht="13.5" customHeight="1">
      <c r="A739" s="2"/>
      <c r="B739" s="2"/>
      <c r="C739" s="2"/>
      <c r="D739" s="2"/>
      <c r="E739" s="2"/>
      <c r="F739" s="2"/>
      <c r="G739" s="2"/>
      <c r="H739" s="2"/>
      <c r="I739" s="2"/>
      <c r="J739" s="156"/>
      <c r="K739" s="2"/>
      <c r="L739" s="2"/>
      <c r="M739" s="2"/>
      <c r="N739" s="2"/>
      <c r="O739" s="2"/>
      <c r="P739" s="2"/>
      <c r="Q739" s="157"/>
      <c r="R739" s="157"/>
      <c r="S739" s="157"/>
      <c r="T739" s="158"/>
      <c r="U739" s="2"/>
      <c r="V739" s="30"/>
      <c r="W739" s="2"/>
      <c r="X739" s="2"/>
      <c r="Y739" s="2"/>
      <c r="Z739" s="2"/>
    </row>
    <row r="740" ht="13.5" customHeight="1">
      <c r="A740" s="2"/>
      <c r="B740" s="2"/>
      <c r="C740" s="2"/>
      <c r="D740" s="2"/>
      <c r="E740" s="2"/>
      <c r="F740" s="2"/>
      <c r="G740" s="2"/>
      <c r="H740" s="2"/>
      <c r="I740" s="2"/>
      <c r="J740" s="156"/>
      <c r="K740" s="2"/>
      <c r="L740" s="2"/>
      <c r="M740" s="2"/>
      <c r="N740" s="2"/>
      <c r="O740" s="2"/>
      <c r="P740" s="2"/>
      <c r="Q740" s="157"/>
      <c r="R740" s="157"/>
      <c r="S740" s="157"/>
      <c r="T740" s="158"/>
      <c r="U740" s="2"/>
      <c r="V740" s="30"/>
      <c r="W740" s="2"/>
      <c r="X740" s="2"/>
      <c r="Y740" s="2"/>
      <c r="Z740" s="2"/>
    </row>
    <row r="741" ht="13.5" customHeight="1">
      <c r="A741" s="2"/>
      <c r="B741" s="2"/>
      <c r="C741" s="2"/>
      <c r="D741" s="2"/>
      <c r="E741" s="2"/>
      <c r="F741" s="2"/>
      <c r="G741" s="2"/>
      <c r="H741" s="2"/>
      <c r="I741" s="2"/>
      <c r="J741" s="156"/>
      <c r="K741" s="2"/>
      <c r="L741" s="2"/>
      <c r="M741" s="2"/>
      <c r="N741" s="2"/>
      <c r="O741" s="2"/>
      <c r="P741" s="2"/>
      <c r="Q741" s="157"/>
      <c r="R741" s="157"/>
      <c r="S741" s="157"/>
      <c r="T741" s="158"/>
      <c r="U741" s="2"/>
      <c r="V741" s="30"/>
      <c r="W741" s="2"/>
      <c r="X741" s="2"/>
      <c r="Y741" s="2"/>
      <c r="Z741" s="2"/>
    </row>
    <row r="742" ht="13.5" customHeight="1">
      <c r="A742" s="2"/>
      <c r="B742" s="2"/>
      <c r="C742" s="2"/>
      <c r="D742" s="2"/>
      <c r="E742" s="2"/>
      <c r="F742" s="2"/>
      <c r="G742" s="2"/>
      <c r="H742" s="2"/>
      <c r="I742" s="2"/>
      <c r="J742" s="156"/>
      <c r="K742" s="2"/>
      <c r="L742" s="2"/>
      <c r="M742" s="2"/>
      <c r="N742" s="2"/>
      <c r="O742" s="2"/>
      <c r="P742" s="2"/>
      <c r="Q742" s="157"/>
      <c r="R742" s="157"/>
      <c r="S742" s="157"/>
      <c r="T742" s="158"/>
      <c r="U742" s="2"/>
      <c r="V742" s="30"/>
      <c r="W742" s="2"/>
      <c r="X742" s="2"/>
      <c r="Y742" s="2"/>
      <c r="Z742" s="2"/>
    </row>
    <row r="743" ht="13.5" customHeight="1">
      <c r="A743" s="2"/>
      <c r="B743" s="2"/>
      <c r="C743" s="2"/>
      <c r="D743" s="2"/>
      <c r="E743" s="2"/>
      <c r="F743" s="2"/>
      <c r="G743" s="2"/>
      <c r="H743" s="2"/>
      <c r="I743" s="2"/>
      <c r="J743" s="156"/>
      <c r="K743" s="2"/>
      <c r="L743" s="2"/>
      <c r="M743" s="2"/>
      <c r="N743" s="2"/>
      <c r="O743" s="2"/>
      <c r="P743" s="2"/>
      <c r="Q743" s="157"/>
      <c r="R743" s="157"/>
      <c r="S743" s="157"/>
      <c r="T743" s="158"/>
      <c r="U743" s="2"/>
      <c r="V743" s="30"/>
      <c r="W743" s="2"/>
      <c r="X743" s="2"/>
      <c r="Y743" s="2"/>
      <c r="Z743" s="2"/>
    </row>
    <row r="744" ht="13.5" customHeight="1">
      <c r="A744" s="2"/>
      <c r="B744" s="2"/>
      <c r="C744" s="2"/>
      <c r="D744" s="2"/>
      <c r="E744" s="2"/>
      <c r="F744" s="2"/>
      <c r="G744" s="2"/>
      <c r="H744" s="2"/>
      <c r="I744" s="2"/>
      <c r="J744" s="156"/>
      <c r="K744" s="2"/>
      <c r="L744" s="2"/>
      <c r="M744" s="2"/>
      <c r="N744" s="2"/>
      <c r="O744" s="2"/>
      <c r="P744" s="2"/>
      <c r="Q744" s="157"/>
      <c r="R744" s="157"/>
      <c r="S744" s="157"/>
      <c r="T744" s="158"/>
      <c r="U744" s="2"/>
      <c r="V744" s="30"/>
      <c r="W744" s="2"/>
      <c r="X744" s="2"/>
      <c r="Y744" s="2"/>
      <c r="Z744" s="2"/>
    </row>
    <row r="745" ht="13.5" customHeight="1">
      <c r="A745" s="2"/>
      <c r="B745" s="2"/>
      <c r="C745" s="2"/>
      <c r="D745" s="2"/>
      <c r="E745" s="2"/>
      <c r="F745" s="2"/>
      <c r="G745" s="2"/>
      <c r="H745" s="2"/>
      <c r="I745" s="2"/>
      <c r="J745" s="156"/>
      <c r="K745" s="2"/>
      <c r="L745" s="2"/>
      <c r="M745" s="2"/>
      <c r="N745" s="2"/>
      <c r="O745" s="2"/>
      <c r="P745" s="2"/>
      <c r="Q745" s="157"/>
      <c r="R745" s="157"/>
      <c r="S745" s="157"/>
      <c r="T745" s="158"/>
      <c r="U745" s="2"/>
      <c r="V745" s="30"/>
      <c r="W745" s="2"/>
      <c r="X745" s="2"/>
      <c r="Y745" s="2"/>
      <c r="Z745" s="2"/>
    </row>
    <row r="746" ht="13.5" customHeight="1">
      <c r="A746" s="2"/>
      <c r="B746" s="2"/>
      <c r="C746" s="2"/>
      <c r="D746" s="2"/>
      <c r="E746" s="2"/>
      <c r="F746" s="2"/>
      <c r="G746" s="2"/>
      <c r="H746" s="2"/>
      <c r="I746" s="2"/>
      <c r="J746" s="156"/>
      <c r="K746" s="2"/>
      <c r="L746" s="2"/>
      <c r="M746" s="2"/>
      <c r="N746" s="2"/>
      <c r="O746" s="2"/>
      <c r="P746" s="2"/>
      <c r="Q746" s="157"/>
      <c r="R746" s="157"/>
      <c r="S746" s="157"/>
      <c r="T746" s="158"/>
      <c r="U746" s="2"/>
      <c r="V746" s="30"/>
      <c r="W746" s="2"/>
      <c r="X746" s="2"/>
      <c r="Y746" s="2"/>
      <c r="Z746" s="2"/>
    </row>
    <row r="747" ht="13.5" customHeight="1">
      <c r="A747" s="2"/>
      <c r="B747" s="2"/>
      <c r="C747" s="2"/>
      <c r="D747" s="2"/>
      <c r="E747" s="2"/>
      <c r="F747" s="2"/>
      <c r="G747" s="2"/>
      <c r="H747" s="2"/>
      <c r="I747" s="2"/>
      <c r="J747" s="156"/>
      <c r="K747" s="2"/>
      <c r="L747" s="2"/>
      <c r="M747" s="2"/>
      <c r="N747" s="2"/>
      <c r="O747" s="2"/>
      <c r="P747" s="2"/>
      <c r="Q747" s="157"/>
      <c r="R747" s="157"/>
      <c r="S747" s="157"/>
      <c r="T747" s="158"/>
      <c r="U747" s="2"/>
      <c r="V747" s="30"/>
      <c r="W747" s="2"/>
      <c r="X747" s="2"/>
      <c r="Y747" s="2"/>
      <c r="Z747" s="2"/>
    </row>
    <row r="748" ht="13.5" customHeight="1">
      <c r="A748" s="2"/>
      <c r="B748" s="2"/>
      <c r="C748" s="2"/>
      <c r="D748" s="2"/>
      <c r="E748" s="2"/>
      <c r="F748" s="2"/>
      <c r="G748" s="2"/>
      <c r="H748" s="2"/>
      <c r="I748" s="2"/>
      <c r="J748" s="156"/>
      <c r="K748" s="2"/>
      <c r="L748" s="2"/>
      <c r="M748" s="2"/>
      <c r="N748" s="2"/>
      <c r="O748" s="2"/>
      <c r="P748" s="2"/>
      <c r="Q748" s="157"/>
      <c r="R748" s="157"/>
      <c r="S748" s="157"/>
      <c r="T748" s="158"/>
      <c r="U748" s="2"/>
      <c r="V748" s="30"/>
      <c r="W748" s="2"/>
      <c r="X748" s="2"/>
      <c r="Y748" s="2"/>
      <c r="Z748" s="2"/>
    </row>
    <row r="749" ht="13.5" customHeight="1">
      <c r="A749" s="2"/>
      <c r="B749" s="2"/>
      <c r="C749" s="2"/>
      <c r="D749" s="2"/>
      <c r="E749" s="2"/>
      <c r="F749" s="2"/>
      <c r="G749" s="2"/>
      <c r="H749" s="2"/>
      <c r="I749" s="2"/>
      <c r="J749" s="156"/>
      <c r="K749" s="2"/>
      <c r="L749" s="2"/>
      <c r="M749" s="2"/>
      <c r="N749" s="2"/>
      <c r="O749" s="2"/>
      <c r="P749" s="2"/>
      <c r="Q749" s="157"/>
      <c r="R749" s="157"/>
      <c r="S749" s="157"/>
      <c r="T749" s="158"/>
      <c r="U749" s="2"/>
      <c r="V749" s="30"/>
      <c r="W749" s="2"/>
      <c r="X749" s="2"/>
      <c r="Y749" s="2"/>
      <c r="Z749" s="2"/>
    </row>
    <row r="750" ht="13.5" customHeight="1">
      <c r="A750" s="2"/>
      <c r="B750" s="2"/>
      <c r="C750" s="2"/>
      <c r="D750" s="2"/>
      <c r="E750" s="2"/>
      <c r="F750" s="2"/>
      <c r="G750" s="2"/>
      <c r="H750" s="2"/>
      <c r="I750" s="2"/>
      <c r="J750" s="156"/>
      <c r="K750" s="2"/>
      <c r="L750" s="2"/>
      <c r="M750" s="2"/>
      <c r="N750" s="2"/>
      <c r="O750" s="2"/>
      <c r="P750" s="2"/>
      <c r="Q750" s="157"/>
      <c r="R750" s="157"/>
      <c r="S750" s="157"/>
      <c r="T750" s="158"/>
      <c r="U750" s="2"/>
      <c r="V750" s="30"/>
      <c r="W750" s="2"/>
      <c r="X750" s="2"/>
      <c r="Y750" s="2"/>
      <c r="Z750" s="2"/>
    </row>
    <row r="751" ht="13.5" customHeight="1">
      <c r="A751" s="2"/>
      <c r="B751" s="2"/>
      <c r="C751" s="2"/>
      <c r="D751" s="2"/>
      <c r="E751" s="2"/>
      <c r="F751" s="2"/>
      <c r="G751" s="2"/>
      <c r="H751" s="2"/>
      <c r="I751" s="2"/>
      <c r="J751" s="156"/>
      <c r="K751" s="2"/>
      <c r="L751" s="2"/>
      <c r="M751" s="2"/>
      <c r="N751" s="2"/>
      <c r="O751" s="2"/>
      <c r="P751" s="2"/>
      <c r="Q751" s="157"/>
      <c r="R751" s="157"/>
      <c r="S751" s="157"/>
      <c r="T751" s="158"/>
      <c r="U751" s="2"/>
      <c r="V751" s="30"/>
      <c r="W751" s="2"/>
      <c r="X751" s="2"/>
      <c r="Y751" s="2"/>
      <c r="Z751" s="2"/>
    </row>
    <row r="752" ht="13.5" customHeight="1">
      <c r="A752" s="2"/>
      <c r="B752" s="2"/>
      <c r="C752" s="2"/>
      <c r="D752" s="2"/>
      <c r="E752" s="2"/>
      <c r="F752" s="2"/>
      <c r="G752" s="2"/>
      <c r="H752" s="2"/>
      <c r="I752" s="2"/>
      <c r="J752" s="156"/>
      <c r="K752" s="2"/>
      <c r="L752" s="2"/>
      <c r="M752" s="2"/>
      <c r="N752" s="2"/>
      <c r="O752" s="2"/>
      <c r="P752" s="2"/>
      <c r="Q752" s="157"/>
      <c r="R752" s="157"/>
      <c r="S752" s="157"/>
      <c r="T752" s="158"/>
      <c r="U752" s="2"/>
      <c r="V752" s="30"/>
      <c r="W752" s="2"/>
      <c r="X752" s="2"/>
      <c r="Y752" s="2"/>
      <c r="Z752" s="2"/>
    </row>
    <row r="753" ht="13.5" customHeight="1">
      <c r="A753" s="2"/>
      <c r="B753" s="2"/>
      <c r="C753" s="2"/>
      <c r="D753" s="2"/>
      <c r="E753" s="2"/>
      <c r="F753" s="2"/>
      <c r="G753" s="2"/>
      <c r="H753" s="2"/>
      <c r="I753" s="2"/>
      <c r="J753" s="156"/>
      <c r="K753" s="2"/>
      <c r="L753" s="2"/>
      <c r="M753" s="2"/>
      <c r="N753" s="2"/>
      <c r="O753" s="2"/>
      <c r="P753" s="2"/>
      <c r="Q753" s="157"/>
      <c r="R753" s="157"/>
      <c r="S753" s="157"/>
      <c r="T753" s="158"/>
      <c r="U753" s="2"/>
      <c r="V753" s="30"/>
      <c r="W753" s="2"/>
      <c r="X753" s="2"/>
      <c r="Y753" s="2"/>
      <c r="Z753" s="2"/>
    </row>
    <row r="754" ht="13.5" customHeight="1">
      <c r="A754" s="2"/>
      <c r="B754" s="2"/>
      <c r="C754" s="2"/>
      <c r="D754" s="2"/>
      <c r="E754" s="2"/>
      <c r="F754" s="2"/>
      <c r="G754" s="2"/>
      <c r="H754" s="2"/>
      <c r="I754" s="2"/>
      <c r="J754" s="156"/>
      <c r="K754" s="2"/>
      <c r="L754" s="2"/>
      <c r="M754" s="2"/>
      <c r="N754" s="2"/>
      <c r="O754" s="2"/>
      <c r="P754" s="2"/>
      <c r="Q754" s="157"/>
      <c r="R754" s="157"/>
      <c r="S754" s="157"/>
      <c r="T754" s="158"/>
      <c r="U754" s="2"/>
      <c r="V754" s="30"/>
      <c r="W754" s="2"/>
      <c r="X754" s="2"/>
      <c r="Y754" s="2"/>
      <c r="Z754" s="2"/>
    </row>
    <row r="755" ht="13.5" customHeight="1">
      <c r="A755" s="2"/>
      <c r="B755" s="2"/>
      <c r="C755" s="2"/>
      <c r="D755" s="2"/>
      <c r="E755" s="2"/>
      <c r="F755" s="2"/>
      <c r="G755" s="2"/>
      <c r="H755" s="2"/>
      <c r="I755" s="2"/>
      <c r="J755" s="156"/>
      <c r="K755" s="2"/>
      <c r="L755" s="2"/>
      <c r="M755" s="2"/>
      <c r="N755" s="2"/>
      <c r="O755" s="2"/>
      <c r="P755" s="2"/>
      <c r="Q755" s="157"/>
      <c r="R755" s="157"/>
      <c r="S755" s="157"/>
      <c r="T755" s="158"/>
      <c r="U755" s="2"/>
      <c r="V755" s="30"/>
      <c r="W755" s="2"/>
      <c r="X755" s="2"/>
      <c r="Y755" s="2"/>
      <c r="Z755" s="2"/>
    </row>
    <row r="756" ht="13.5" customHeight="1">
      <c r="A756" s="2"/>
      <c r="B756" s="2"/>
      <c r="C756" s="2"/>
      <c r="D756" s="2"/>
      <c r="E756" s="2"/>
      <c r="F756" s="2"/>
      <c r="G756" s="2"/>
      <c r="H756" s="2"/>
      <c r="I756" s="2"/>
      <c r="J756" s="156"/>
      <c r="K756" s="2"/>
      <c r="L756" s="2"/>
      <c r="M756" s="2"/>
      <c r="N756" s="2"/>
      <c r="O756" s="2"/>
      <c r="P756" s="2"/>
      <c r="Q756" s="157"/>
      <c r="R756" s="157"/>
      <c r="S756" s="157"/>
      <c r="T756" s="158"/>
      <c r="U756" s="2"/>
      <c r="V756" s="30"/>
      <c r="W756" s="2"/>
      <c r="X756" s="2"/>
      <c r="Y756" s="2"/>
      <c r="Z756" s="2"/>
    </row>
    <row r="757" ht="13.5" customHeight="1">
      <c r="A757" s="2"/>
      <c r="B757" s="2"/>
      <c r="C757" s="2"/>
      <c r="D757" s="2"/>
      <c r="E757" s="2"/>
      <c r="F757" s="2"/>
      <c r="G757" s="2"/>
      <c r="H757" s="2"/>
      <c r="I757" s="2"/>
      <c r="J757" s="156"/>
      <c r="K757" s="2"/>
      <c r="L757" s="2"/>
      <c r="M757" s="2"/>
      <c r="N757" s="2"/>
      <c r="O757" s="2"/>
      <c r="P757" s="2"/>
      <c r="Q757" s="157"/>
      <c r="R757" s="157"/>
      <c r="S757" s="157"/>
      <c r="T757" s="158"/>
      <c r="U757" s="2"/>
      <c r="V757" s="30"/>
      <c r="W757" s="2"/>
      <c r="X757" s="2"/>
      <c r="Y757" s="2"/>
      <c r="Z757" s="2"/>
    </row>
    <row r="758" ht="13.5" customHeight="1">
      <c r="A758" s="2"/>
      <c r="B758" s="2"/>
      <c r="C758" s="2"/>
      <c r="D758" s="2"/>
      <c r="E758" s="2"/>
      <c r="F758" s="2"/>
      <c r="G758" s="2"/>
      <c r="H758" s="2"/>
      <c r="I758" s="2"/>
      <c r="J758" s="156"/>
      <c r="K758" s="2"/>
      <c r="L758" s="2"/>
      <c r="M758" s="2"/>
      <c r="N758" s="2"/>
      <c r="O758" s="2"/>
      <c r="P758" s="2"/>
      <c r="Q758" s="157"/>
      <c r="R758" s="157"/>
      <c r="S758" s="157"/>
      <c r="T758" s="158"/>
      <c r="U758" s="2"/>
      <c r="V758" s="30"/>
      <c r="W758" s="2"/>
      <c r="X758" s="2"/>
      <c r="Y758" s="2"/>
      <c r="Z758" s="2"/>
    </row>
    <row r="759" ht="13.5" customHeight="1">
      <c r="A759" s="2"/>
      <c r="B759" s="2"/>
      <c r="C759" s="2"/>
      <c r="D759" s="2"/>
      <c r="E759" s="2"/>
      <c r="F759" s="2"/>
      <c r="G759" s="2"/>
      <c r="H759" s="2"/>
      <c r="I759" s="2"/>
      <c r="J759" s="156"/>
      <c r="K759" s="2"/>
      <c r="L759" s="2"/>
      <c r="M759" s="2"/>
      <c r="N759" s="2"/>
      <c r="O759" s="2"/>
      <c r="P759" s="2"/>
      <c r="Q759" s="157"/>
      <c r="R759" s="157"/>
      <c r="S759" s="157"/>
      <c r="T759" s="158"/>
      <c r="U759" s="2"/>
      <c r="V759" s="30"/>
      <c r="W759" s="2"/>
      <c r="X759" s="2"/>
      <c r="Y759" s="2"/>
      <c r="Z759" s="2"/>
    </row>
    <row r="760" ht="13.5" customHeight="1">
      <c r="A760" s="2"/>
      <c r="B760" s="2"/>
      <c r="C760" s="2"/>
      <c r="D760" s="2"/>
      <c r="E760" s="2"/>
      <c r="F760" s="2"/>
      <c r="G760" s="2"/>
      <c r="H760" s="2"/>
      <c r="I760" s="2"/>
      <c r="J760" s="156"/>
      <c r="K760" s="2"/>
      <c r="L760" s="2"/>
      <c r="M760" s="2"/>
      <c r="N760" s="2"/>
      <c r="O760" s="2"/>
      <c r="P760" s="2"/>
      <c r="Q760" s="157"/>
      <c r="R760" s="157"/>
      <c r="S760" s="157"/>
      <c r="T760" s="158"/>
      <c r="U760" s="2"/>
      <c r="V760" s="30"/>
      <c r="W760" s="2"/>
      <c r="X760" s="2"/>
      <c r="Y760" s="2"/>
      <c r="Z760" s="2"/>
    </row>
    <row r="761" ht="13.5" customHeight="1">
      <c r="A761" s="2"/>
      <c r="B761" s="2"/>
      <c r="C761" s="2"/>
      <c r="D761" s="2"/>
      <c r="E761" s="2"/>
      <c r="F761" s="2"/>
      <c r="G761" s="2"/>
      <c r="H761" s="2"/>
      <c r="I761" s="2"/>
      <c r="J761" s="156"/>
      <c r="K761" s="2"/>
      <c r="L761" s="2"/>
      <c r="M761" s="2"/>
      <c r="N761" s="2"/>
      <c r="O761" s="2"/>
      <c r="P761" s="2"/>
      <c r="Q761" s="157"/>
      <c r="R761" s="157"/>
      <c r="S761" s="157"/>
      <c r="T761" s="158"/>
      <c r="U761" s="2"/>
      <c r="V761" s="30"/>
      <c r="W761" s="2"/>
      <c r="X761" s="2"/>
      <c r="Y761" s="2"/>
      <c r="Z761" s="2"/>
    </row>
    <row r="762" ht="13.5" customHeight="1">
      <c r="A762" s="2"/>
      <c r="B762" s="2"/>
      <c r="C762" s="2"/>
      <c r="D762" s="2"/>
      <c r="E762" s="2"/>
      <c r="F762" s="2"/>
      <c r="G762" s="2"/>
      <c r="H762" s="2"/>
      <c r="I762" s="2"/>
      <c r="J762" s="156"/>
      <c r="K762" s="2"/>
      <c r="L762" s="2"/>
      <c r="M762" s="2"/>
      <c r="N762" s="2"/>
      <c r="O762" s="2"/>
      <c r="P762" s="2"/>
      <c r="Q762" s="157"/>
      <c r="R762" s="157"/>
      <c r="S762" s="157"/>
      <c r="T762" s="158"/>
      <c r="U762" s="2"/>
      <c r="V762" s="30"/>
      <c r="W762" s="2"/>
      <c r="X762" s="2"/>
      <c r="Y762" s="2"/>
      <c r="Z762" s="2"/>
    </row>
    <row r="763" ht="13.5" customHeight="1">
      <c r="A763" s="2"/>
      <c r="B763" s="2"/>
      <c r="C763" s="2"/>
      <c r="D763" s="2"/>
      <c r="E763" s="2"/>
      <c r="F763" s="2"/>
      <c r="G763" s="2"/>
      <c r="H763" s="2"/>
      <c r="I763" s="2"/>
      <c r="J763" s="156"/>
      <c r="K763" s="2"/>
      <c r="L763" s="2"/>
      <c r="M763" s="2"/>
      <c r="N763" s="2"/>
      <c r="O763" s="2"/>
      <c r="P763" s="2"/>
      <c r="Q763" s="157"/>
      <c r="R763" s="157"/>
      <c r="S763" s="157"/>
      <c r="T763" s="158"/>
      <c r="U763" s="2"/>
      <c r="V763" s="30"/>
      <c r="W763" s="2"/>
      <c r="X763" s="2"/>
      <c r="Y763" s="2"/>
      <c r="Z763" s="2"/>
    </row>
    <row r="764" ht="13.5" customHeight="1">
      <c r="A764" s="2"/>
      <c r="B764" s="2"/>
      <c r="C764" s="2"/>
      <c r="D764" s="2"/>
      <c r="E764" s="2"/>
      <c r="F764" s="2"/>
      <c r="G764" s="2"/>
      <c r="H764" s="2"/>
      <c r="I764" s="2"/>
      <c r="J764" s="156"/>
      <c r="K764" s="2"/>
      <c r="L764" s="2"/>
      <c r="M764" s="2"/>
      <c r="N764" s="2"/>
      <c r="O764" s="2"/>
      <c r="P764" s="2"/>
      <c r="Q764" s="157"/>
      <c r="R764" s="157"/>
      <c r="S764" s="157"/>
      <c r="T764" s="158"/>
      <c r="U764" s="2"/>
      <c r="V764" s="30"/>
      <c r="W764" s="2"/>
      <c r="X764" s="2"/>
      <c r="Y764" s="2"/>
      <c r="Z764" s="2"/>
    </row>
    <row r="765" ht="13.5" customHeight="1">
      <c r="A765" s="2"/>
      <c r="B765" s="2"/>
      <c r="C765" s="2"/>
      <c r="D765" s="2"/>
      <c r="E765" s="2"/>
      <c r="F765" s="2"/>
      <c r="G765" s="2"/>
      <c r="H765" s="2"/>
      <c r="I765" s="2"/>
      <c r="J765" s="156"/>
      <c r="K765" s="2"/>
      <c r="L765" s="2"/>
      <c r="M765" s="2"/>
      <c r="N765" s="2"/>
      <c r="O765" s="2"/>
      <c r="P765" s="2"/>
      <c r="Q765" s="157"/>
      <c r="R765" s="157"/>
      <c r="S765" s="157"/>
      <c r="T765" s="158"/>
      <c r="U765" s="2"/>
      <c r="V765" s="30"/>
      <c r="W765" s="2"/>
      <c r="X765" s="2"/>
      <c r="Y765" s="2"/>
      <c r="Z765" s="2"/>
    </row>
    <row r="766" ht="13.5" customHeight="1">
      <c r="A766" s="2"/>
      <c r="B766" s="2"/>
      <c r="C766" s="2"/>
      <c r="D766" s="2"/>
      <c r="E766" s="2"/>
      <c r="F766" s="2"/>
      <c r="G766" s="2"/>
      <c r="H766" s="2"/>
      <c r="I766" s="2"/>
      <c r="J766" s="156"/>
      <c r="K766" s="2"/>
      <c r="L766" s="2"/>
      <c r="M766" s="2"/>
      <c r="N766" s="2"/>
      <c r="O766" s="2"/>
      <c r="P766" s="2"/>
      <c r="Q766" s="157"/>
      <c r="R766" s="157"/>
      <c r="S766" s="157"/>
      <c r="T766" s="158"/>
      <c r="U766" s="2"/>
      <c r="V766" s="30"/>
      <c r="W766" s="2"/>
      <c r="X766" s="2"/>
      <c r="Y766" s="2"/>
      <c r="Z766" s="2"/>
    </row>
    <row r="767" ht="13.5" customHeight="1">
      <c r="A767" s="2"/>
      <c r="B767" s="2"/>
      <c r="C767" s="2"/>
      <c r="D767" s="2"/>
      <c r="E767" s="2"/>
      <c r="F767" s="2"/>
      <c r="G767" s="2"/>
      <c r="H767" s="2"/>
      <c r="I767" s="2"/>
      <c r="J767" s="156"/>
      <c r="K767" s="2"/>
      <c r="L767" s="2"/>
      <c r="M767" s="2"/>
      <c r="N767" s="2"/>
      <c r="O767" s="2"/>
      <c r="P767" s="2"/>
      <c r="Q767" s="157"/>
      <c r="R767" s="157"/>
      <c r="S767" s="157"/>
      <c r="T767" s="158"/>
      <c r="U767" s="2"/>
      <c r="V767" s="30"/>
      <c r="W767" s="2"/>
      <c r="X767" s="2"/>
      <c r="Y767" s="2"/>
      <c r="Z767" s="2"/>
    </row>
    <row r="768" ht="13.5" customHeight="1">
      <c r="A768" s="2"/>
      <c r="B768" s="2"/>
      <c r="C768" s="2"/>
      <c r="D768" s="2"/>
      <c r="E768" s="2"/>
      <c r="F768" s="2"/>
      <c r="G768" s="2"/>
      <c r="H768" s="2"/>
      <c r="I768" s="2"/>
      <c r="J768" s="156"/>
      <c r="K768" s="2"/>
      <c r="L768" s="2"/>
      <c r="M768" s="2"/>
      <c r="N768" s="2"/>
      <c r="O768" s="2"/>
      <c r="P768" s="2"/>
      <c r="Q768" s="157"/>
      <c r="R768" s="157"/>
      <c r="S768" s="157"/>
      <c r="T768" s="158"/>
      <c r="U768" s="2"/>
      <c r="V768" s="30"/>
      <c r="W768" s="2"/>
      <c r="X768" s="2"/>
      <c r="Y768" s="2"/>
      <c r="Z768" s="2"/>
    </row>
    <row r="769" ht="13.5" customHeight="1">
      <c r="A769" s="2"/>
      <c r="B769" s="2"/>
      <c r="C769" s="2"/>
      <c r="D769" s="2"/>
      <c r="E769" s="2"/>
      <c r="F769" s="2"/>
      <c r="G769" s="2"/>
      <c r="H769" s="2"/>
      <c r="I769" s="2"/>
      <c r="J769" s="156"/>
      <c r="K769" s="2"/>
      <c r="L769" s="2"/>
      <c r="M769" s="2"/>
      <c r="N769" s="2"/>
      <c r="O769" s="2"/>
      <c r="P769" s="2"/>
      <c r="Q769" s="157"/>
      <c r="R769" s="157"/>
      <c r="S769" s="157"/>
      <c r="T769" s="158"/>
      <c r="U769" s="2"/>
      <c r="V769" s="30"/>
      <c r="W769" s="2"/>
      <c r="X769" s="2"/>
      <c r="Y769" s="2"/>
      <c r="Z769" s="2"/>
    </row>
    <row r="770" ht="13.5" customHeight="1">
      <c r="A770" s="2"/>
      <c r="B770" s="2"/>
      <c r="C770" s="2"/>
      <c r="D770" s="2"/>
      <c r="E770" s="2"/>
      <c r="F770" s="2"/>
      <c r="G770" s="2"/>
      <c r="H770" s="2"/>
      <c r="I770" s="2"/>
      <c r="J770" s="156"/>
      <c r="K770" s="2"/>
      <c r="L770" s="2"/>
      <c r="M770" s="2"/>
      <c r="N770" s="2"/>
      <c r="O770" s="2"/>
      <c r="P770" s="2"/>
      <c r="Q770" s="157"/>
      <c r="R770" s="157"/>
      <c r="S770" s="157"/>
      <c r="T770" s="158"/>
      <c r="U770" s="2"/>
      <c r="V770" s="30"/>
      <c r="W770" s="2"/>
      <c r="X770" s="2"/>
      <c r="Y770" s="2"/>
      <c r="Z770" s="2"/>
    </row>
    <row r="771" ht="13.5" customHeight="1">
      <c r="A771" s="2"/>
      <c r="B771" s="2"/>
      <c r="C771" s="2"/>
      <c r="D771" s="2"/>
      <c r="E771" s="2"/>
      <c r="F771" s="2"/>
      <c r="G771" s="2"/>
      <c r="H771" s="2"/>
      <c r="I771" s="2"/>
      <c r="J771" s="156"/>
      <c r="K771" s="2"/>
      <c r="L771" s="2"/>
      <c r="M771" s="2"/>
      <c r="N771" s="2"/>
      <c r="O771" s="2"/>
      <c r="P771" s="2"/>
      <c r="Q771" s="157"/>
      <c r="R771" s="157"/>
      <c r="S771" s="157"/>
      <c r="T771" s="158"/>
      <c r="U771" s="2"/>
      <c r="V771" s="30"/>
      <c r="W771" s="2"/>
      <c r="X771" s="2"/>
      <c r="Y771" s="2"/>
      <c r="Z771" s="2"/>
    </row>
    <row r="772" ht="13.5" customHeight="1">
      <c r="A772" s="2"/>
      <c r="B772" s="2"/>
      <c r="C772" s="2"/>
      <c r="D772" s="2"/>
      <c r="E772" s="2"/>
      <c r="F772" s="2"/>
      <c r="G772" s="2"/>
      <c r="H772" s="2"/>
      <c r="I772" s="2"/>
      <c r="J772" s="156"/>
      <c r="K772" s="2"/>
      <c r="L772" s="2"/>
      <c r="M772" s="2"/>
      <c r="N772" s="2"/>
      <c r="O772" s="2"/>
      <c r="P772" s="2"/>
      <c r="Q772" s="157"/>
      <c r="R772" s="157"/>
      <c r="S772" s="157"/>
      <c r="T772" s="158"/>
      <c r="U772" s="2"/>
      <c r="V772" s="30"/>
      <c r="W772" s="2"/>
      <c r="X772" s="2"/>
      <c r="Y772" s="2"/>
      <c r="Z772" s="2"/>
    </row>
    <row r="773" ht="13.5" customHeight="1">
      <c r="A773" s="2"/>
      <c r="B773" s="2"/>
      <c r="C773" s="2"/>
      <c r="D773" s="2"/>
      <c r="E773" s="2"/>
      <c r="F773" s="2"/>
      <c r="G773" s="2"/>
      <c r="H773" s="2"/>
      <c r="I773" s="2"/>
      <c r="J773" s="156"/>
      <c r="K773" s="2"/>
      <c r="L773" s="2"/>
      <c r="M773" s="2"/>
      <c r="N773" s="2"/>
      <c r="O773" s="2"/>
      <c r="P773" s="2"/>
      <c r="Q773" s="157"/>
      <c r="R773" s="157"/>
      <c r="S773" s="157"/>
      <c r="T773" s="158"/>
      <c r="U773" s="2"/>
      <c r="V773" s="30"/>
      <c r="W773" s="2"/>
      <c r="X773" s="2"/>
      <c r="Y773" s="2"/>
      <c r="Z773" s="2"/>
    </row>
    <row r="774" ht="13.5" customHeight="1">
      <c r="A774" s="2"/>
      <c r="B774" s="2"/>
      <c r="C774" s="2"/>
      <c r="D774" s="2"/>
      <c r="E774" s="2"/>
      <c r="F774" s="2"/>
      <c r="G774" s="2"/>
      <c r="H774" s="2"/>
      <c r="I774" s="2"/>
      <c r="J774" s="156"/>
      <c r="K774" s="2"/>
      <c r="L774" s="2"/>
      <c r="M774" s="2"/>
      <c r="N774" s="2"/>
      <c r="O774" s="2"/>
      <c r="P774" s="2"/>
      <c r="Q774" s="157"/>
      <c r="R774" s="157"/>
      <c r="S774" s="157"/>
      <c r="T774" s="158"/>
      <c r="U774" s="2"/>
      <c r="V774" s="30"/>
      <c r="W774" s="2"/>
      <c r="X774" s="2"/>
      <c r="Y774" s="2"/>
      <c r="Z774" s="2"/>
    </row>
    <row r="775" ht="13.5" customHeight="1">
      <c r="A775" s="2"/>
      <c r="B775" s="2"/>
      <c r="C775" s="2"/>
      <c r="D775" s="2"/>
      <c r="E775" s="2"/>
      <c r="F775" s="2"/>
      <c r="G775" s="2"/>
      <c r="H775" s="2"/>
      <c r="I775" s="2"/>
      <c r="J775" s="156"/>
      <c r="K775" s="2"/>
      <c r="L775" s="2"/>
      <c r="M775" s="2"/>
      <c r="N775" s="2"/>
      <c r="O775" s="2"/>
      <c r="P775" s="2"/>
      <c r="Q775" s="157"/>
      <c r="R775" s="157"/>
      <c r="S775" s="157"/>
      <c r="T775" s="158"/>
      <c r="U775" s="2"/>
      <c r="V775" s="30"/>
      <c r="W775" s="2"/>
      <c r="X775" s="2"/>
      <c r="Y775" s="2"/>
      <c r="Z775" s="2"/>
    </row>
    <row r="776" ht="13.5" customHeight="1">
      <c r="A776" s="2"/>
      <c r="B776" s="2"/>
      <c r="C776" s="2"/>
      <c r="D776" s="2"/>
      <c r="E776" s="2"/>
      <c r="F776" s="2"/>
      <c r="G776" s="2"/>
      <c r="H776" s="2"/>
      <c r="I776" s="2"/>
      <c r="J776" s="156"/>
      <c r="K776" s="2"/>
      <c r="L776" s="2"/>
      <c r="M776" s="2"/>
      <c r="N776" s="2"/>
      <c r="O776" s="2"/>
      <c r="P776" s="2"/>
      <c r="Q776" s="157"/>
      <c r="R776" s="157"/>
      <c r="S776" s="157"/>
      <c r="T776" s="158"/>
      <c r="U776" s="2"/>
      <c r="V776" s="30"/>
      <c r="W776" s="2"/>
      <c r="X776" s="2"/>
      <c r="Y776" s="2"/>
      <c r="Z776" s="2"/>
    </row>
    <row r="777" ht="13.5" customHeight="1">
      <c r="A777" s="2"/>
      <c r="B777" s="2"/>
      <c r="C777" s="2"/>
      <c r="D777" s="2"/>
      <c r="E777" s="2"/>
      <c r="F777" s="2"/>
      <c r="G777" s="2"/>
      <c r="H777" s="2"/>
      <c r="I777" s="2"/>
      <c r="J777" s="156"/>
      <c r="K777" s="2"/>
      <c r="L777" s="2"/>
      <c r="M777" s="2"/>
      <c r="N777" s="2"/>
      <c r="O777" s="2"/>
      <c r="P777" s="2"/>
      <c r="Q777" s="157"/>
      <c r="R777" s="157"/>
      <c r="S777" s="157"/>
      <c r="T777" s="158"/>
      <c r="U777" s="2"/>
      <c r="V777" s="30"/>
      <c r="W777" s="2"/>
      <c r="X777" s="2"/>
      <c r="Y777" s="2"/>
      <c r="Z777" s="2"/>
    </row>
    <row r="778" ht="13.5" customHeight="1">
      <c r="A778" s="2"/>
      <c r="B778" s="2"/>
      <c r="C778" s="2"/>
      <c r="D778" s="2"/>
      <c r="E778" s="2"/>
      <c r="F778" s="2"/>
      <c r="G778" s="2"/>
      <c r="H778" s="2"/>
      <c r="I778" s="2"/>
      <c r="J778" s="156"/>
      <c r="K778" s="2"/>
      <c r="L778" s="2"/>
      <c r="M778" s="2"/>
      <c r="N778" s="2"/>
      <c r="O778" s="2"/>
      <c r="P778" s="2"/>
      <c r="Q778" s="157"/>
      <c r="R778" s="157"/>
      <c r="S778" s="157"/>
      <c r="T778" s="158"/>
      <c r="U778" s="2"/>
      <c r="V778" s="30"/>
      <c r="W778" s="2"/>
      <c r="X778" s="2"/>
      <c r="Y778" s="2"/>
      <c r="Z778" s="2"/>
    </row>
    <row r="779" ht="13.5" customHeight="1">
      <c r="A779" s="2"/>
      <c r="B779" s="2"/>
      <c r="C779" s="2"/>
      <c r="D779" s="2"/>
      <c r="E779" s="2"/>
      <c r="F779" s="2"/>
      <c r="G779" s="2"/>
      <c r="H779" s="2"/>
      <c r="I779" s="2"/>
      <c r="J779" s="156"/>
      <c r="K779" s="2"/>
      <c r="L779" s="2"/>
      <c r="M779" s="2"/>
      <c r="N779" s="2"/>
      <c r="O779" s="2"/>
      <c r="P779" s="2"/>
      <c r="Q779" s="157"/>
      <c r="R779" s="157"/>
      <c r="S779" s="157"/>
      <c r="T779" s="158"/>
      <c r="U779" s="2"/>
      <c r="V779" s="30"/>
      <c r="W779" s="2"/>
      <c r="X779" s="2"/>
      <c r="Y779" s="2"/>
      <c r="Z779" s="2"/>
    </row>
    <row r="780" ht="13.5" customHeight="1">
      <c r="A780" s="2"/>
      <c r="B780" s="2"/>
      <c r="C780" s="2"/>
      <c r="D780" s="2"/>
      <c r="E780" s="2"/>
      <c r="F780" s="2"/>
      <c r="G780" s="2"/>
      <c r="H780" s="2"/>
      <c r="I780" s="2"/>
      <c r="J780" s="156"/>
      <c r="K780" s="2"/>
      <c r="L780" s="2"/>
      <c r="M780" s="2"/>
      <c r="N780" s="2"/>
      <c r="O780" s="2"/>
      <c r="P780" s="2"/>
      <c r="Q780" s="157"/>
      <c r="R780" s="157"/>
      <c r="S780" s="157"/>
      <c r="T780" s="158"/>
      <c r="U780" s="2"/>
      <c r="V780" s="30"/>
      <c r="W780" s="2"/>
      <c r="X780" s="2"/>
      <c r="Y780" s="2"/>
      <c r="Z780" s="2"/>
    </row>
    <row r="781" ht="13.5" customHeight="1">
      <c r="A781" s="2"/>
      <c r="B781" s="2"/>
      <c r="C781" s="2"/>
      <c r="D781" s="2"/>
      <c r="E781" s="2"/>
      <c r="F781" s="2"/>
      <c r="G781" s="2"/>
      <c r="H781" s="2"/>
      <c r="I781" s="2"/>
      <c r="J781" s="156"/>
      <c r="K781" s="2"/>
      <c r="L781" s="2"/>
      <c r="M781" s="2"/>
      <c r="N781" s="2"/>
      <c r="O781" s="2"/>
      <c r="P781" s="2"/>
      <c r="Q781" s="157"/>
      <c r="R781" s="157"/>
      <c r="S781" s="157"/>
      <c r="T781" s="158"/>
      <c r="U781" s="2"/>
      <c r="V781" s="30"/>
      <c r="W781" s="2"/>
      <c r="X781" s="2"/>
      <c r="Y781" s="2"/>
      <c r="Z781" s="2"/>
    </row>
    <row r="782" ht="13.5" customHeight="1">
      <c r="A782" s="2"/>
      <c r="B782" s="2"/>
      <c r="C782" s="2"/>
      <c r="D782" s="2"/>
      <c r="E782" s="2"/>
      <c r="F782" s="2"/>
      <c r="G782" s="2"/>
      <c r="H782" s="2"/>
      <c r="I782" s="2"/>
      <c r="J782" s="156"/>
      <c r="K782" s="2"/>
      <c r="L782" s="2"/>
      <c r="M782" s="2"/>
      <c r="N782" s="2"/>
      <c r="O782" s="2"/>
      <c r="P782" s="2"/>
      <c r="Q782" s="157"/>
      <c r="R782" s="157"/>
      <c r="S782" s="157"/>
      <c r="T782" s="158"/>
      <c r="U782" s="2"/>
      <c r="V782" s="30"/>
      <c r="W782" s="2"/>
      <c r="X782" s="2"/>
      <c r="Y782" s="2"/>
      <c r="Z782" s="2"/>
    </row>
    <row r="783" ht="13.5" customHeight="1">
      <c r="A783" s="2"/>
      <c r="B783" s="2"/>
      <c r="C783" s="2"/>
      <c r="D783" s="2"/>
      <c r="E783" s="2"/>
      <c r="F783" s="2"/>
      <c r="G783" s="2"/>
      <c r="H783" s="2"/>
      <c r="I783" s="2"/>
      <c r="J783" s="156"/>
      <c r="K783" s="2"/>
      <c r="L783" s="2"/>
      <c r="M783" s="2"/>
      <c r="N783" s="2"/>
      <c r="O783" s="2"/>
      <c r="P783" s="2"/>
      <c r="Q783" s="157"/>
      <c r="R783" s="157"/>
      <c r="S783" s="157"/>
      <c r="T783" s="158"/>
      <c r="U783" s="2"/>
      <c r="V783" s="30"/>
      <c r="W783" s="2"/>
      <c r="X783" s="2"/>
      <c r="Y783" s="2"/>
      <c r="Z783" s="2"/>
    </row>
    <row r="784" ht="13.5" customHeight="1">
      <c r="A784" s="2"/>
      <c r="B784" s="2"/>
      <c r="C784" s="2"/>
      <c r="D784" s="2"/>
      <c r="E784" s="2"/>
      <c r="F784" s="2"/>
      <c r="G784" s="2"/>
      <c r="H784" s="2"/>
      <c r="I784" s="2"/>
      <c r="J784" s="156"/>
      <c r="K784" s="2"/>
      <c r="L784" s="2"/>
      <c r="M784" s="2"/>
      <c r="N784" s="2"/>
      <c r="O784" s="2"/>
      <c r="P784" s="2"/>
      <c r="Q784" s="157"/>
      <c r="R784" s="157"/>
      <c r="S784" s="157"/>
      <c r="T784" s="158"/>
      <c r="U784" s="2"/>
      <c r="V784" s="30"/>
      <c r="W784" s="2"/>
      <c r="X784" s="2"/>
      <c r="Y784" s="2"/>
      <c r="Z784" s="2"/>
    </row>
    <row r="785" ht="13.5" customHeight="1">
      <c r="A785" s="2"/>
      <c r="B785" s="2"/>
      <c r="C785" s="2"/>
      <c r="D785" s="2"/>
      <c r="E785" s="2"/>
      <c r="F785" s="2"/>
      <c r="G785" s="2"/>
      <c r="H785" s="2"/>
      <c r="I785" s="2"/>
      <c r="J785" s="156"/>
      <c r="K785" s="2"/>
      <c r="L785" s="2"/>
      <c r="M785" s="2"/>
      <c r="N785" s="2"/>
      <c r="O785" s="2"/>
      <c r="P785" s="2"/>
      <c r="Q785" s="157"/>
      <c r="R785" s="157"/>
      <c r="S785" s="157"/>
      <c r="T785" s="158"/>
      <c r="U785" s="2"/>
      <c r="V785" s="30"/>
      <c r="W785" s="2"/>
      <c r="X785" s="2"/>
      <c r="Y785" s="2"/>
      <c r="Z785" s="2"/>
    </row>
    <row r="786" ht="13.5" customHeight="1">
      <c r="A786" s="2"/>
      <c r="B786" s="2"/>
      <c r="C786" s="2"/>
      <c r="D786" s="2"/>
      <c r="E786" s="2"/>
      <c r="F786" s="2"/>
      <c r="G786" s="2"/>
      <c r="H786" s="2"/>
      <c r="I786" s="2"/>
      <c r="J786" s="156"/>
      <c r="K786" s="2"/>
      <c r="L786" s="2"/>
      <c r="M786" s="2"/>
      <c r="N786" s="2"/>
      <c r="O786" s="2"/>
      <c r="P786" s="2"/>
      <c r="Q786" s="157"/>
      <c r="R786" s="157"/>
      <c r="S786" s="157"/>
      <c r="T786" s="158"/>
      <c r="U786" s="2"/>
      <c r="V786" s="30"/>
      <c r="W786" s="2"/>
      <c r="X786" s="2"/>
      <c r="Y786" s="2"/>
      <c r="Z786" s="2"/>
    </row>
    <row r="787" ht="13.5" customHeight="1">
      <c r="A787" s="2"/>
      <c r="B787" s="2"/>
      <c r="C787" s="2"/>
      <c r="D787" s="2"/>
      <c r="E787" s="2"/>
      <c r="F787" s="2"/>
      <c r="G787" s="2"/>
      <c r="H787" s="2"/>
      <c r="I787" s="2"/>
      <c r="J787" s="156"/>
      <c r="K787" s="2"/>
      <c r="L787" s="2"/>
      <c r="M787" s="2"/>
      <c r="N787" s="2"/>
      <c r="O787" s="2"/>
      <c r="P787" s="2"/>
      <c r="Q787" s="157"/>
      <c r="R787" s="157"/>
      <c r="S787" s="157"/>
      <c r="T787" s="158"/>
      <c r="U787" s="2"/>
      <c r="V787" s="30"/>
      <c r="W787" s="2"/>
      <c r="X787" s="2"/>
      <c r="Y787" s="2"/>
      <c r="Z787" s="2"/>
    </row>
    <row r="788" ht="13.5" customHeight="1">
      <c r="A788" s="2"/>
      <c r="B788" s="2"/>
      <c r="C788" s="2"/>
      <c r="D788" s="2"/>
      <c r="E788" s="2"/>
      <c r="F788" s="2"/>
      <c r="G788" s="2"/>
      <c r="H788" s="2"/>
      <c r="I788" s="2"/>
      <c r="J788" s="156"/>
      <c r="K788" s="2"/>
      <c r="L788" s="2"/>
      <c r="M788" s="2"/>
      <c r="N788" s="2"/>
      <c r="O788" s="2"/>
      <c r="P788" s="2"/>
      <c r="Q788" s="157"/>
      <c r="R788" s="157"/>
      <c r="S788" s="157"/>
      <c r="T788" s="158"/>
      <c r="U788" s="2"/>
      <c r="V788" s="30"/>
      <c r="W788" s="2"/>
      <c r="X788" s="2"/>
      <c r="Y788" s="2"/>
      <c r="Z788" s="2"/>
    </row>
    <row r="789" ht="13.5" customHeight="1">
      <c r="A789" s="2"/>
      <c r="B789" s="2"/>
      <c r="C789" s="2"/>
      <c r="D789" s="2"/>
      <c r="E789" s="2"/>
      <c r="F789" s="2"/>
      <c r="G789" s="2"/>
      <c r="H789" s="2"/>
      <c r="I789" s="2"/>
      <c r="J789" s="156"/>
      <c r="K789" s="2"/>
      <c r="L789" s="2"/>
      <c r="M789" s="2"/>
      <c r="N789" s="2"/>
      <c r="O789" s="2"/>
      <c r="P789" s="2"/>
      <c r="Q789" s="157"/>
      <c r="R789" s="157"/>
      <c r="S789" s="157"/>
      <c r="T789" s="158"/>
      <c r="U789" s="2"/>
      <c r="V789" s="30"/>
      <c r="W789" s="2"/>
      <c r="X789" s="2"/>
      <c r="Y789" s="2"/>
      <c r="Z789" s="2"/>
    </row>
    <row r="790" ht="13.5" customHeight="1">
      <c r="A790" s="2"/>
      <c r="B790" s="2"/>
      <c r="C790" s="2"/>
      <c r="D790" s="2"/>
      <c r="E790" s="2"/>
      <c r="F790" s="2"/>
      <c r="G790" s="2"/>
      <c r="H790" s="2"/>
      <c r="I790" s="2"/>
      <c r="J790" s="156"/>
      <c r="K790" s="2"/>
      <c r="L790" s="2"/>
      <c r="M790" s="2"/>
      <c r="N790" s="2"/>
      <c r="O790" s="2"/>
      <c r="P790" s="2"/>
      <c r="Q790" s="157"/>
      <c r="R790" s="157"/>
      <c r="S790" s="157"/>
      <c r="T790" s="158"/>
      <c r="U790" s="2"/>
      <c r="V790" s="30"/>
      <c r="W790" s="2"/>
      <c r="X790" s="2"/>
      <c r="Y790" s="2"/>
      <c r="Z790" s="2"/>
    </row>
    <row r="791" ht="13.5" customHeight="1">
      <c r="A791" s="2"/>
      <c r="B791" s="2"/>
      <c r="C791" s="2"/>
      <c r="D791" s="2"/>
      <c r="E791" s="2"/>
      <c r="F791" s="2"/>
      <c r="G791" s="2"/>
      <c r="H791" s="2"/>
      <c r="I791" s="2"/>
      <c r="J791" s="156"/>
      <c r="K791" s="2"/>
      <c r="L791" s="2"/>
      <c r="M791" s="2"/>
      <c r="N791" s="2"/>
      <c r="O791" s="2"/>
      <c r="P791" s="2"/>
      <c r="Q791" s="157"/>
      <c r="R791" s="157"/>
      <c r="S791" s="157"/>
      <c r="T791" s="158"/>
      <c r="U791" s="2"/>
      <c r="V791" s="30"/>
      <c r="W791" s="2"/>
      <c r="X791" s="2"/>
      <c r="Y791" s="2"/>
      <c r="Z791" s="2"/>
    </row>
    <row r="792" ht="13.5" customHeight="1">
      <c r="A792" s="2"/>
      <c r="B792" s="2"/>
      <c r="C792" s="2"/>
      <c r="D792" s="2"/>
      <c r="E792" s="2"/>
      <c r="F792" s="2"/>
      <c r="G792" s="2"/>
      <c r="H792" s="2"/>
      <c r="I792" s="2"/>
      <c r="J792" s="156"/>
      <c r="K792" s="2"/>
      <c r="L792" s="2"/>
      <c r="M792" s="2"/>
      <c r="N792" s="2"/>
      <c r="O792" s="2"/>
      <c r="P792" s="2"/>
      <c r="Q792" s="157"/>
      <c r="R792" s="157"/>
      <c r="S792" s="157"/>
      <c r="T792" s="158"/>
      <c r="U792" s="2"/>
      <c r="V792" s="30"/>
      <c r="W792" s="2"/>
      <c r="X792" s="2"/>
      <c r="Y792" s="2"/>
      <c r="Z792" s="2"/>
    </row>
    <row r="793" ht="13.5" customHeight="1">
      <c r="A793" s="2"/>
      <c r="B793" s="2"/>
      <c r="C793" s="2"/>
      <c r="D793" s="2"/>
      <c r="E793" s="2"/>
      <c r="F793" s="2"/>
      <c r="G793" s="2"/>
      <c r="H793" s="2"/>
      <c r="I793" s="2"/>
      <c r="J793" s="156"/>
      <c r="K793" s="2"/>
      <c r="L793" s="2"/>
      <c r="M793" s="2"/>
      <c r="N793" s="2"/>
      <c r="O793" s="2"/>
      <c r="P793" s="2"/>
      <c r="Q793" s="157"/>
      <c r="R793" s="157"/>
      <c r="S793" s="157"/>
      <c r="T793" s="158"/>
      <c r="U793" s="2"/>
      <c r="V793" s="30"/>
      <c r="W793" s="2"/>
      <c r="X793" s="2"/>
      <c r="Y793" s="2"/>
      <c r="Z793" s="2"/>
    </row>
    <row r="794" ht="13.5" customHeight="1">
      <c r="A794" s="2"/>
      <c r="B794" s="2"/>
      <c r="C794" s="2"/>
      <c r="D794" s="2"/>
      <c r="E794" s="2"/>
      <c r="F794" s="2"/>
      <c r="G794" s="2"/>
      <c r="H794" s="2"/>
      <c r="I794" s="2"/>
      <c r="J794" s="156"/>
      <c r="K794" s="2"/>
      <c r="L794" s="2"/>
      <c r="M794" s="2"/>
      <c r="N794" s="2"/>
      <c r="O794" s="2"/>
      <c r="P794" s="2"/>
      <c r="Q794" s="157"/>
      <c r="R794" s="157"/>
      <c r="S794" s="157"/>
      <c r="T794" s="158"/>
      <c r="U794" s="2"/>
      <c r="V794" s="30"/>
      <c r="W794" s="2"/>
      <c r="X794" s="2"/>
      <c r="Y794" s="2"/>
      <c r="Z794" s="2"/>
    </row>
    <row r="795" ht="13.5" customHeight="1">
      <c r="A795" s="2"/>
      <c r="B795" s="2"/>
      <c r="C795" s="2"/>
      <c r="D795" s="2"/>
      <c r="E795" s="2"/>
      <c r="F795" s="2"/>
      <c r="G795" s="2"/>
      <c r="H795" s="2"/>
      <c r="I795" s="2"/>
      <c r="J795" s="156"/>
      <c r="K795" s="2"/>
      <c r="L795" s="2"/>
      <c r="M795" s="2"/>
      <c r="N795" s="2"/>
      <c r="O795" s="2"/>
      <c r="P795" s="2"/>
      <c r="Q795" s="157"/>
      <c r="R795" s="157"/>
      <c r="S795" s="157"/>
      <c r="T795" s="158"/>
      <c r="U795" s="2"/>
      <c r="V795" s="30"/>
      <c r="W795" s="2"/>
      <c r="X795" s="2"/>
      <c r="Y795" s="2"/>
      <c r="Z795" s="2"/>
    </row>
    <row r="796" ht="13.5" customHeight="1">
      <c r="A796" s="2"/>
      <c r="B796" s="2"/>
      <c r="C796" s="2"/>
      <c r="D796" s="2"/>
      <c r="E796" s="2"/>
      <c r="F796" s="2"/>
      <c r="G796" s="2"/>
      <c r="H796" s="2"/>
      <c r="I796" s="2"/>
      <c r="J796" s="156"/>
      <c r="K796" s="2"/>
      <c r="L796" s="2"/>
      <c r="M796" s="2"/>
      <c r="N796" s="2"/>
      <c r="O796" s="2"/>
      <c r="P796" s="2"/>
      <c r="Q796" s="157"/>
      <c r="R796" s="157"/>
      <c r="S796" s="157"/>
      <c r="T796" s="158"/>
      <c r="U796" s="2"/>
      <c r="V796" s="30"/>
      <c r="W796" s="2"/>
      <c r="X796" s="2"/>
      <c r="Y796" s="2"/>
      <c r="Z796" s="2"/>
    </row>
    <row r="797" ht="13.5" customHeight="1">
      <c r="A797" s="2"/>
      <c r="B797" s="2"/>
      <c r="C797" s="2"/>
      <c r="D797" s="2"/>
      <c r="E797" s="2"/>
      <c r="F797" s="2"/>
      <c r="G797" s="2"/>
      <c r="H797" s="2"/>
      <c r="I797" s="2"/>
      <c r="J797" s="156"/>
      <c r="K797" s="2"/>
      <c r="L797" s="2"/>
      <c r="M797" s="2"/>
      <c r="N797" s="2"/>
      <c r="O797" s="2"/>
      <c r="P797" s="2"/>
      <c r="Q797" s="157"/>
      <c r="R797" s="157"/>
      <c r="S797" s="157"/>
      <c r="T797" s="158"/>
      <c r="U797" s="2"/>
      <c r="V797" s="30"/>
      <c r="W797" s="2"/>
      <c r="X797" s="2"/>
      <c r="Y797" s="2"/>
      <c r="Z797" s="2"/>
    </row>
    <row r="798" ht="13.5" customHeight="1">
      <c r="A798" s="2"/>
      <c r="B798" s="2"/>
      <c r="C798" s="2"/>
      <c r="D798" s="2"/>
      <c r="E798" s="2"/>
      <c r="F798" s="2"/>
      <c r="G798" s="2"/>
      <c r="H798" s="2"/>
      <c r="I798" s="2"/>
      <c r="J798" s="156"/>
      <c r="K798" s="2"/>
      <c r="L798" s="2"/>
      <c r="M798" s="2"/>
      <c r="N798" s="2"/>
      <c r="O798" s="2"/>
      <c r="P798" s="2"/>
      <c r="Q798" s="157"/>
      <c r="R798" s="157"/>
      <c r="S798" s="157"/>
      <c r="T798" s="158"/>
      <c r="U798" s="2"/>
      <c r="V798" s="30"/>
      <c r="W798" s="2"/>
      <c r="X798" s="2"/>
      <c r="Y798" s="2"/>
      <c r="Z798" s="2"/>
    </row>
    <row r="799" ht="13.5" customHeight="1">
      <c r="A799" s="2"/>
      <c r="B799" s="2"/>
      <c r="C799" s="2"/>
      <c r="D799" s="2"/>
      <c r="E799" s="2"/>
      <c r="F799" s="2"/>
      <c r="G799" s="2"/>
      <c r="H799" s="2"/>
      <c r="I799" s="2"/>
      <c r="J799" s="156"/>
      <c r="K799" s="2"/>
      <c r="L799" s="2"/>
      <c r="M799" s="2"/>
      <c r="N799" s="2"/>
      <c r="O799" s="2"/>
      <c r="P799" s="2"/>
      <c r="Q799" s="157"/>
      <c r="R799" s="157"/>
      <c r="S799" s="157"/>
      <c r="T799" s="158"/>
      <c r="U799" s="2"/>
      <c r="V799" s="30"/>
      <c r="W799" s="2"/>
      <c r="X799" s="2"/>
      <c r="Y799" s="2"/>
      <c r="Z799" s="2"/>
    </row>
    <row r="800" ht="13.5" customHeight="1">
      <c r="A800" s="2"/>
      <c r="B800" s="2"/>
      <c r="C800" s="2"/>
      <c r="D800" s="2"/>
      <c r="E800" s="2"/>
      <c r="F800" s="2"/>
      <c r="G800" s="2"/>
      <c r="H800" s="2"/>
      <c r="I800" s="2"/>
      <c r="J800" s="156"/>
      <c r="K800" s="2"/>
      <c r="L800" s="2"/>
      <c r="M800" s="2"/>
      <c r="N800" s="2"/>
      <c r="O800" s="2"/>
      <c r="P800" s="2"/>
      <c r="Q800" s="157"/>
      <c r="R800" s="157"/>
      <c r="S800" s="157"/>
      <c r="T800" s="158"/>
      <c r="U800" s="2"/>
      <c r="V800" s="30"/>
      <c r="W800" s="2"/>
      <c r="X800" s="2"/>
      <c r="Y800" s="2"/>
      <c r="Z800" s="2"/>
    </row>
    <row r="801" ht="13.5" customHeight="1">
      <c r="A801" s="2"/>
      <c r="B801" s="2"/>
      <c r="C801" s="2"/>
      <c r="D801" s="2"/>
      <c r="E801" s="2"/>
      <c r="F801" s="2"/>
      <c r="G801" s="2"/>
      <c r="H801" s="2"/>
      <c r="I801" s="2"/>
      <c r="J801" s="156"/>
      <c r="K801" s="2"/>
      <c r="L801" s="2"/>
      <c r="M801" s="2"/>
      <c r="N801" s="2"/>
      <c r="O801" s="2"/>
      <c r="P801" s="2"/>
      <c r="Q801" s="157"/>
      <c r="R801" s="157"/>
      <c r="S801" s="157"/>
      <c r="T801" s="158"/>
      <c r="U801" s="2"/>
      <c r="V801" s="30"/>
      <c r="W801" s="2"/>
      <c r="X801" s="2"/>
      <c r="Y801" s="2"/>
      <c r="Z801" s="2"/>
    </row>
    <row r="802" ht="13.5" customHeight="1">
      <c r="A802" s="2"/>
      <c r="B802" s="2"/>
      <c r="C802" s="2"/>
      <c r="D802" s="2"/>
      <c r="E802" s="2"/>
      <c r="F802" s="2"/>
      <c r="G802" s="2"/>
      <c r="H802" s="2"/>
      <c r="I802" s="2"/>
      <c r="J802" s="156"/>
      <c r="K802" s="2"/>
      <c r="L802" s="2"/>
      <c r="M802" s="2"/>
      <c r="N802" s="2"/>
      <c r="O802" s="2"/>
      <c r="P802" s="2"/>
      <c r="Q802" s="157"/>
      <c r="R802" s="157"/>
      <c r="S802" s="157"/>
      <c r="T802" s="158"/>
      <c r="U802" s="2"/>
      <c r="V802" s="30"/>
      <c r="W802" s="2"/>
      <c r="X802" s="2"/>
      <c r="Y802" s="2"/>
      <c r="Z802" s="2"/>
    </row>
    <row r="803" ht="13.5" customHeight="1">
      <c r="A803" s="2"/>
      <c r="B803" s="2"/>
      <c r="C803" s="2"/>
      <c r="D803" s="2"/>
      <c r="E803" s="2"/>
      <c r="F803" s="2"/>
      <c r="G803" s="2"/>
      <c r="H803" s="2"/>
      <c r="I803" s="2"/>
      <c r="J803" s="156"/>
      <c r="K803" s="2"/>
      <c r="L803" s="2"/>
      <c r="M803" s="2"/>
      <c r="N803" s="2"/>
      <c r="O803" s="2"/>
      <c r="P803" s="2"/>
      <c r="Q803" s="157"/>
      <c r="R803" s="157"/>
      <c r="S803" s="157"/>
      <c r="T803" s="158"/>
      <c r="U803" s="2"/>
      <c r="V803" s="30"/>
      <c r="W803" s="2"/>
      <c r="X803" s="2"/>
      <c r="Y803" s="2"/>
      <c r="Z803" s="2"/>
    </row>
    <row r="804" ht="13.5" customHeight="1">
      <c r="A804" s="2"/>
      <c r="B804" s="2"/>
      <c r="C804" s="2"/>
      <c r="D804" s="2"/>
      <c r="E804" s="2"/>
      <c r="F804" s="2"/>
      <c r="G804" s="2"/>
      <c r="H804" s="2"/>
      <c r="I804" s="2"/>
      <c r="J804" s="156"/>
      <c r="K804" s="2"/>
      <c r="L804" s="2"/>
      <c r="M804" s="2"/>
      <c r="N804" s="2"/>
      <c r="O804" s="2"/>
      <c r="P804" s="2"/>
      <c r="Q804" s="157"/>
      <c r="R804" s="157"/>
      <c r="S804" s="157"/>
      <c r="T804" s="158"/>
      <c r="U804" s="2"/>
      <c r="V804" s="30"/>
      <c r="W804" s="2"/>
      <c r="X804" s="2"/>
      <c r="Y804" s="2"/>
      <c r="Z804" s="2"/>
    </row>
    <row r="805" ht="13.5" customHeight="1">
      <c r="A805" s="2"/>
      <c r="B805" s="2"/>
      <c r="C805" s="2"/>
      <c r="D805" s="2"/>
      <c r="E805" s="2"/>
      <c r="F805" s="2"/>
      <c r="G805" s="2"/>
      <c r="H805" s="2"/>
      <c r="I805" s="2"/>
      <c r="J805" s="156"/>
      <c r="K805" s="2"/>
      <c r="L805" s="2"/>
      <c r="M805" s="2"/>
      <c r="N805" s="2"/>
      <c r="O805" s="2"/>
      <c r="P805" s="2"/>
      <c r="Q805" s="157"/>
      <c r="R805" s="157"/>
      <c r="S805" s="157"/>
      <c r="T805" s="158"/>
      <c r="U805" s="2"/>
      <c r="V805" s="30"/>
      <c r="W805" s="2"/>
      <c r="X805" s="2"/>
      <c r="Y805" s="2"/>
      <c r="Z805" s="2"/>
    </row>
    <row r="806" ht="13.5" customHeight="1">
      <c r="A806" s="2"/>
      <c r="B806" s="2"/>
      <c r="C806" s="2"/>
      <c r="D806" s="2"/>
      <c r="E806" s="2"/>
      <c r="F806" s="2"/>
      <c r="G806" s="2"/>
      <c r="H806" s="2"/>
      <c r="I806" s="2"/>
      <c r="J806" s="156"/>
      <c r="K806" s="2"/>
      <c r="L806" s="2"/>
      <c r="M806" s="2"/>
      <c r="N806" s="2"/>
      <c r="O806" s="2"/>
      <c r="P806" s="2"/>
      <c r="Q806" s="157"/>
      <c r="R806" s="157"/>
      <c r="S806" s="157"/>
      <c r="T806" s="158"/>
      <c r="U806" s="2"/>
      <c r="V806" s="30"/>
      <c r="W806" s="2"/>
      <c r="X806" s="2"/>
      <c r="Y806" s="2"/>
      <c r="Z806" s="2"/>
    </row>
    <row r="807" ht="13.5" customHeight="1">
      <c r="A807" s="2"/>
      <c r="B807" s="2"/>
      <c r="C807" s="2"/>
      <c r="D807" s="2"/>
      <c r="E807" s="2"/>
      <c r="F807" s="2"/>
      <c r="G807" s="2"/>
      <c r="H807" s="2"/>
      <c r="I807" s="2"/>
      <c r="J807" s="156"/>
      <c r="K807" s="2"/>
      <c r="L807" s="2"/>
      <c r="M807" s="2"/>
      <c r="N807" s="2"/>
      <c r="O807" s="2"/>
      <c r="P807" s="2"/>
      <c r="Q807" s="157"/>
      <c r="R807" s="157"/>
      <c r="S807" s="157"/>
      <c r="T807" s="158"/>
      <c r="U807" s="2"/>
      <c r="V807" s="30"/>
      <c r="W807" s="2"/>
      <c r="X807" s="2"/>
      <c r="Y807" s="2"/>
      <c r="Z807" s="2"/>
    </row>
    <row r="808" ht="13.5" customHeight="1">
      <c r="A808" s="2"/>
      <c r="B808" s="2"/>
      <c r="C808" s="2"/>
      <c r="D808" s="2"/>
      <c r="E808" s="2"/>
      <c r="F808" s="2"/>
      <c r="G808" s="2"/>
      <c r="H808" s="2"/>
      <c r="I808" s="2"/>
      <c r="J808" s="156"/>
      <c r="K808" s="2"/>
      <c r="L808" s="2"/>
      <c r="M808" s="2"/>
      <c r="N808" s="2"/>
      <c r="O808" s="2"/>
      <c r="P808" s="2"/>
      <c r="Q808" s="157"/>
      <c r="R808" s="157"/>
      <c r="S808" s="157"/>
      <c r="T808" s="158"/>
      <c r="U808" s="2"/>
      <c r="V808" s="30"/>
      <c r="W808" s="2"/>
      <c r="X808" s="2"/>
      <c r="Y808" s="2"/>
      <c r="Z808" s="2"/>
    </row>
    <row r="809" ht="13.5" customHeight="1">
      <c r="A809" s="2"/>
      <c r="B809" s="2"/>
      <c r="C809" s="2"/>
      <c r="D809" s="2"/>
      <c r="E809" s="2"/>
      <c r="F809" s="2"/>
      <c r="G809" s="2"/>
      <c r="H809" s="2"/>
      <c r="I809" s="2"/>
      <c r="J809" s="156"/>
      <c r="K809" s="2"/>
      <c r="L809" s="2"/>
      <c r="M809" s="2"/>
      <c r="N809" s="2"/>
      <c r="O809" s="2"/>
      <c r="P809" s="2"/>
      <c r="Q809" s="157"/>
      <c r="R809" s="157"/>
      <c r="S809" s="157"/>
      <c r="T809" s="158"/>
      <c r="U809" s="2"/>
      <c r="V809" s="30"/>
      <c r="W809" s="2"/>
      <c r="X809" s="2"/>
      <c r="Y809" s="2"/>
      <c r="Z809" s="2"/>
    </row>
    <row r="810" ht="13.5" customHeight="1">
      <c r="A810" s="2"/>
      <c r="B810" s="2"/>
      <c r="C810" s="2"/>
      <c r="D810" s="2"/>
      <c r="E810" s="2"/>
      <c r="F810" s="2"/>
      <c r="G810" s="2"/>
      <c r="H810" s="2"/>
      <c r="I810" s="2"/>
      <c r="J810" s="156"/>
      <c r="K810" s="2"/>
      <c r="L810" s="2"/>
      <c r="M810" s="2"/>
      <c r="N810" s="2"/>
      <c r="O810" s="2"/>
      <c r="P810" s="2"/>
      <c r="Q810" s="157"/>
      <c r="R810" s="157"/>
      <c r="S810" s="157"/>
      <c r="T810" s="158"/>
      <c r="U810" s="2"/>
      <c r="V810" s="30"/>
      <c r="W810" s="2"/>
      <c r="X810" s="2"/>
      <c r="Y810" s="2"/>
      <c r="Z810" s="2"/>
    </row>
    <row r="811" ht="13.5" customHeight="1">
      <c r="A811" s="2"/>
      <c r="B811" s="2"/>
      <c r="C811" s="2"/>
      <c r="D811" s="2"/>
      <c r="E811" s="2"/>
      <c r="F811" s="2"/>
      <c r="G811" s="2"/>
      <c r="H811" s="2"/>
      <c r="I811" s="2"/>
      <c r="J811" s="156"/>
      <c r="K811" s="2"/>
      <c r="L811" s="2"/>
      <c r="M811" s="2"/>
      <c r="N811" s="2"/>
      <c r="O811" s="2"/>
      <c r="P811" s="2"/>
      <c r="Q811" s="157"/>
      <c r="R811" s="157"/>
      <c r="S811" s="157"/>
      <c r="T811" s="158"/>
      <c r="U811" s="2"/>
      <c r="V811" s="30"/>
      <c r="W811" s="2"/>
      <c r="X811" s="2"/>
      <c r="Y811" s="2"/>
      <c r="Z811" s="2"/>
    </row>
    <row r="812" ht="13.5" customHeight="1">
      <c r="A812" s="2"/>
      <c r="B812" s="2"/>
      <c r="C812" s="2"/>
      <c r="D812" s="2"/>
      <c r="E812" s="2"/>
      <c r="F812" s="2"/>
      <c r="G812" s="2"/>
      <c r="H812" s="2"/>
      <c r="I812" s="2"/>
      <c r="J812" s="156"/>
      <c r="K812" s="2"/>
      <c r="L812" s="2"/>
      <c r="M812" s="2"/>
      <c r="N812" s="2"/>
      <c r="O812" s="2"/>
      <c r="P812" s="2"/>
      <c r="Q812" s="157"/>
      <c r="R812" s="157"/>
      <c r="S812" s="157"/>
      <c r="T812" s="158"/>
      <c r="U812" s="2"/>
      <c r="V812" s="30"/>
      <c r="W812" s="2"/>
      <c r="X812" s="2"/>
      <c r="Y812" s="2"/>
      <c r="Z812" s="2"/>
    </row>
    <row r="813" ht="13.5" customHeight="1">
      <c r="A813" s="2"/>
      <c r="B813" s="2"/>
      <c r="C813" s="2"/>
      <c r="D813" s="2"/>
      <c r="E813" s="2"/>
      <c r="F813" s="2"/>
      <c r="G813" s="2"/>
      <c r="H813" s="2"/>
      <c r="I813" s="2"/>
      <c r="J813" s="156"/>
      <c r="K813" s="2"/>
      <c r="L813" s="2"/>
      <c r="M813" s="2"/>
      <c r="N813" s="2"/>
      <c r="O813" s="2"/>
      <c r="P813" s="2"/>
      <c r="Q813" s="157"/>
      <c r="R813" s="157"/>
      <c r="S813" s="157"/>
      <c r="T813" s="158"/>
      <c r="U813" s="2"/>
      <c r="V813" s="30"/>
      <c r="W813" s="2"/>
      <c r="X813" s="2"/>
      <c r="Y813" s="2"/>
      <c r="Z813" s="2"/>
    </row>
    <row r="814" ht="13.5" customHeight="1">
      <c r="A814" s="2"/>
      <c r="B814" s="2"/>
      <c r="C814" s="2"/>
      <c r="D814" s="2"/>
      <c r="E814" s="2"/>
      <c r="F814" s="2"/>
      <c r="G814" s="2"/>
      <c r="H814" s="2"/>
      <c r="I814" s="2"/>
      <c r="J814" s="156"/>
      <c r="K814" s="2"/>
      <c r="L814" s="2"/>
      <c r="M814" s="2"/>
      <c r="N814" s="2"/>
      <c r="O814" s="2"/>
      <c r="P814" s="2"/>
      <c r="Q814" s="157"/>
      <c r="R814" s="157"/>
      <c r="S814" s="157"/>
      <c r="T814" s="158"/>
      <c r="U814" s="2"/>
      <c r="V814" s="30"/>
      <c r="W814" s="2"/>
      <c r="X814" s="2"/>
      <c r="Y814" s="2"/>
      <c r="Z814" s="2"/>
    </row>
    <row r="815" ht="13.5" customHeight="1">
      <c r="A815" s="2"/>
      <c r="B815" s="2"/>
      <c r="C815" s="2"/>
      <c r="D815" s="2"/>
      <c r="E815" s="2"/>
      <c r="F815" s="2"/>
      <c r="G815" s="2"/>
      <c r="H815" s="2"/>
      <c r="I815" s="2"/>
      <c r="J815" s="156"/>
      <c r="K815" s="2"/>
      <c r="L815" s="2"/>
      <c r="M815" s="2"/>
      <c r="N815" s="2"/>
      <c r="O815" s="2"/>
      <c r="P815" s="2"/>
      <c r="Q815" s="157"/>
      <c r="R815" s="157"/>
      <c r="S815" s="157"/>
      <c r="T815" s="158"/>
      <c r="U815" s="2"/>
      <c r="V815" s="30"/>
      <c r="W815" s="2"/>
      <c r="X815" s="2"/>
      <c r="Y815" s="2"/>
      <c r="Z815" s="2"/>
    </row>
    <row r="816" ht="13.5" customHeight="1">
      <c r="A816" s="2"/>
      <c r="B816" s="2"/>
      <c r="C816" s="2"/>
      <c r="D816" s="2"/>
      <c r="E816" s="2"/>
      <c r="F816" s="2"/>
      <c r="G816" s="2"/>
      <c r="H816" s="2"/>
      <c r="I816" s="2"/>
      <c r="J816" s="156"/>
      <c r="K816" s="2"/>
      <c r="L816" s="2"/>
      <c r="M816" s="2"/>
      <c r="N816" s="2"/>
      <c r="O816" s="2"/>
      <c r="P816" s="2"/>
      <c r="Q816" s="157"/>
      <c r="R816" s="157"/>
      <c r="S816" s="157"/>
      <c r="T816" s="158"/>
      <c r="U816" s="2"/>
      <c r="V816" s="30"/>
      <c r="W816" s="2"/>
      <c r="X816" s="2"/>
      <c r="Y816" s="2"/>
      <c r="Z816" s="2"/>
    </row>
    <row r="817" ht="13.5" customHeight="1">
      <c r="A817" s="2"/>
      <c r="B817" s="2"/>
      <c r="C817" s="2"/>
      <c r="D817" s="2"/>
      <c r="E817" s="2"/>
      <c r="F817" s="2"/>
      <c r="G817" s="2"/>
      <c r="H817" s="2"/>
      <c r="I817" s="2"/>
      <c r="J817" s="156"/>
      <c r="K817" s="2"/>
      <c r="L817" s="2"/>
      <c r="M817" s="2"/>
      <c r="N817" s="2"/>
      <c r="O817" s="2"/>
      <c r="P817" s="2"/>
      <c r="Q817" s="157"/>
      <c r="R817" s="157"/>
      <c r="S817" s="157"/>
      <c r="T817" s="158"/>
      <c r="U817" s="2"/>
      <c r="V817" s="30"/>
      <c r="W817" s="2"/>
      <c r="X817" s="2"/>
      <c r="Y817" s="2"/>
      <c r="Z817" s="2"/>
    </row>
    <row r="818" ht="13.5" customHeight="1">
      <c r="A818" s="2"/>
      <c r="B818" s="2"/>
      <c r="C818" s="2"/>
      <c r="D818" s="2"/>
      <c r="E818" s="2"/>
      <c r="F818" s="2"/>
      <c r="G818" s="2"/>
      <c r="H818" s="2"/>
      <c r="I818" s="2"/>
      <c r="J818" s="156"/>
      <c r="K818" s="2"/>
      <c r="L818" s="2"/>
      <c r="M818" s="2"/>
      <c r="N818" s="2"/>
      <c r="O818" s="2"/>
      <c r="P818" s="2"/>
      <c r="Q818" s="157"/>
      <c r="R818" s="157"/>
      <c r="S818" s="157"/>
      <c r="T818" s="158"/>
      <c r="U818" s="2"/>
      <c r="V818" s="30"/>
      <c r="W818" s="2"/>
      <c r="X818" s="2"/>
      <c r="Y818" s="2"/>
      <c r="Z818" s="2"/>
    </row>
    <row r="819" ht="13.5" customHeight="1">
      <c r="A819" s="2"/>
      <c r="B819" s="2"/>
      <c r="C819" s="2"/>
      <c r="D819" s="2"/>
      <c r="E819" s="2"/>
      <c r="F819" s="2"/>
      <c r="G819" s="2"/>
      <c r="H819" s="2"/>
      <c r="I819" s="2"/>
      <c r="J819" s="156"/>
      <c r="K819" s="2"/>
      <c r="L819" s="2"/>
      <c r="M819" s="2"/>
      <c r="N819" s="2"/>
      <c r="O819" s="2"/>
      <c r="P819" s="2"/>
      <c r="Q819" s="157"/>
      <c r="R819" s="157"/>
      <c r="S819" s="157"/>
      <c r="T819" s="158"/>
      <c r="U819" s="2"/>
      <c r="V819" s="30"/>
      <c r="W819" s="2"/>
      <c r="X819" s="2"/>
      <c r="Y819" s="2"/>
      <c r="Z819" s="2"/>
    </row>
    <row r="820" ht="13.5" customHeight="1">
      <c r="A820" s="2"/>
      <c r="B820" s="2"/>
      <c r="C820" s="2"/>
      <c r="D820" s="2"/>
      <c r="E820" s="2"/>
      <c r="F820" s="2"/>
      <c r="G820" s="2"/>
      <c r="H820" s="2"/>
      <c r="I820" s="2"/>
      <c r="J820" s="156"/>
      <c r="K820" s="2"/>
      <c r="L820" s="2"/>
      <c r="M820" s="2"/>
      <c r="N820" s="2"/>
      <c r="O820" s="2"/>
      <c r="P820" s="2"/>
      <c r="Q820" s="157"/>
      <c r="R820" s="157"/>
      <c r="S820" s="157"/>
      <c r="T820" s="158"/>
      <c r="U820" s="2"/>
      <c r="V820" s="30"/>
      <c r="W820" s="2"/>
      <c r="X820" s="2"/>
      <c r="Y820" s="2"/>
      <c r="Z820" s="2"/>
    </row>
    <row r="821" ht="13.5" customHeight="1">
      <c r="A821" s="2"/>
      <c r="B821" s="2"/>
      <c r="C821" s="2"/>
      <c r="D821" s="2"/>
      <c r="E821" s="2"/>
      <c r="F821" s="2"/>
      <c r="G821" s="2"/>
      <c r="H821" s="2"/>
      <c r="I821" s="2"/>
      <c r="J821" s="156"/>
      <c r="K821" s="2"/>
      <c r="L821" s="2"/>
      <c r="M821" s="2"/>
      <c r="N821" s="2"/>
      <c r="O821" s="2"/>
      <c r="P821" s="2"/>
      <c r="Q821" s="157"/>
      <c r="R821" s="157"/>
      <c r="S821" s="157"/>
      <c r="T821" s="158"/>
      <c r="U821" s="2"/>
      <c r="V821" s="30"/>
      <c r="W821" s="2"/>
      <c r="X821" s="2"/>
      <c r="Y821" s="2"/>
      <c r="Z821" s="2"/>
    </row>
    <row r="822" ht="13.5" customHeight="1">
      <c r="A822" s="2"/>
      <c r="B822" s="2"/>
      <c r="C822" s="2"/>
      <c r="D822" s="2"/>
      <c r="E822" s="2"/>
      <c r="F822" s="2"/>
      <c r="G822" s="2"/>
      <c r="H822" s="2"/>
      <c r="I822" s="2"/>
      <c r="J822" s="156"/>
      <c r="K822" s="2"/>
      <c r="L822" s="2"/>
      <c r="M822" s="2"/>
      <c r="N822" s="2"/>
      <c r="O822" s="2"/>
      <c r="P822" s="2"/>
      <c r="Q822" s="157"/>
      <c r="R822" s="157"/>
      <c r="S822" s="157"/>
      <c r="T822" s="158"/>
      <c r="U822" s="2"/>
      <c r="V822" s="30"/>
      <c r="W822" s="2"/>
      <c r="X822" s="2"/>
      <c r="Y822" s="2"/>
      <c r="Z822" s="2"/>
    </row>
    <row r="823" ht="13.5" customHeight="1">
      <c r="A823" s="2"/>
      <c r="B823" s="2"/>
      <c r="C823" s="2"/>
      <c r="D823" s="2"/>
      <c r="E823" s="2"/>
      <c r="F823" s="2"/>
      <c r="G823" s="2"/>
      <c r="H823" s="2"/>
      <c r="I823" s="2"/>
      <c r="J823" s="156"/>
      <c r="K823" s="2"/>
      <c r="L823" s="2"/>
      <c r="M823" s="2"/>
      <c r="N823" s="2"/>
      <c r="O823" s="2"/>
      <c r="P823" s="2"/>
      <c r="Q823" s="157"/>
      <c r="R823" s="157"/>
      <c r="S823" s="157"/>
      <c r="T823" s="158"/>
      <c r="U823" s="2"/>
      <c r="V823" s="30"/>
      <c r="W823" s="2"/>
      <c r="X823" s="2"/>
      <c r="Y823" s="2"/>
      <c r="Z823" s="2"/>
    </row>
    <row r="824" ht="13.5" customHeight="1">
      <c r="A824" s="2"/>
      <c r="B824" s="2"/>
      <c r="C824" s="2"/>
      <c r="D824" s="2"/>
      <c r="E824" s="2"/>
      <c r="F824" s="2"/>
      <c r="G824" s="2"/>
      <c r="H824" s="2"/>
      <c r="I824" s="2"/>
      <c r="J824" s="156"/>
      <c r="K824" s="2"/>
      <c r="L824" s="2"/>
      <c r="M824" s="2"/>
      <c r="N824" s="2"/>
      <c r="O824" s="2"/>
      <c r="P824" s="2"/>
      <c r="Q824" s="157"/>
      <c r="R824" s="157"/>
      <c r="S824" s="157"/>
      <c r="T824" s="158"/>
      <c r="U824" s="2"/>
      <c r="V824" s="30"/>
      <c r="W824" s="2"/>
      <c r="X824" s="2"/>
      <c r="Y824" s="2"/>
      <c r="Z824" s="2"/>
    </row>
    <row r="825" ht="13.5" customHeight="1">
      <c r="A825" s="2"/>
      <c r="B825" s="2"/>
      <c r="C825" s="2"/>
      <c r="D825" s="2"/>
      <c r="E825" s="2"/>
      <c r="F825" s="2"/>
      <c r="G825" s="2"/>
      <c r="H825" s="2"/>
      <c r="I825" s="2"/>
      <c r="J825" s="156"/>
      <c r="K825" s="2"/>
      <c r="L825" s="2"/>
      <c r="M825" s="2"/>
      <c r="N825" s="2"/>
      <c r="O825" s="2"/>
      <c r="P825" s="2"/>
      <c r="Q825" s="157"/>
      <c r="R825" s="157"/>
      <c r="S825" s="157"/>
      <c r="T825" s="158"/>
      <c r="U825" s="2"/>
      <c r="V825" s="30"/>
      <c r="W825" s="2"/>
      <c r="X825" s="2"/>
      <c r="Y825" s="2"/>
      <c r="Z825" s="2"/>
    </row>
    <row r="826" ht="13.5" customHeight="1">
      <c r="A826" s="2"/>
      <c r="B826" s="2"/>
      <c r="C826" s="2"/>
      <c r="D826" s="2"/>
      <c r="E826" s="2"/>
      <c r="F826" s="2"/>
      <c r="G826" s="2"/>
      <c r="H826" s="2"/>
      <c r="I826" s="2"/>
      <c r="J826" s="156"/>
      <c r="K826" s="2"/>
      <c r="L826" s="2"/>
      <c r="M826" s="2"/>
      <c r="N826" s="2"/>
      <c r="O826" s="2"/>
      <c r="P826" s="2"/>
      <c r="Q826" s="157"/>
      <c r="R826" s="157"/>
      <c r="S826" s="157"/>
      <c r="T826" s="158"/>
      <c r="U826" s="2"/>
      <c r="V826" s="30"/>
      <c r="W826" s="2"/>
      <c r="X826" s="2"/>
      <c r="Y826" s="2"/>
      <c r="Z826" s="2"/>
    </row>
    <row r="827" ht="13.5" customHeight="1">
      <c r="A827" s="2"/>
      <c r="B827" s="2"/>
      <c r="C827" s="2"/>
      <c r="D827" s="2"/>
      <c r="E827" s="2"/>
      <c r="F827" s="2"/>
      <c r="G827" s="2"/>
      <c r="H827" s="2"/>
      <c r="I827" s="2"/>
      <c r="J827" s="156"/>
      <c r="K827" s="2"/>
      <c r="L827" s="2"/>
      <c r="M827" s="2"/>
      <c r="N827" s="2"/>
      <c r="O827" s="2"/>
      <c r="P827" s="2"/>
      <c r="Q827" s="157"/>
      <c r="R827" s="157"/>
      <c r="S827" s="157"/>
      <c r="T827" s="158"/>
      <c r="U827" s="2"/>
      <c r="V827" s="30"/>
      <c r="W827" s="2"/>
      <c r="X827" s="2"/>
      <c r="Y827" s="2"/>
      <c r="Z827" s="2"/>
    </row>
    <row r="828" ht="13.5" customHeight="1">
      <c r="A828" s="2"/>
      <c r="B828" s="2"/>
      <c r="C828" s="2"/>
      <c r="D828" s="2"/>
      <c r="E828" s="2"/>
      <c r="F828" s="2"/>
      <c r="G828" s="2"/>
      <c r="H828" s="2"/>
      <c r="I828" s="2"/>
      <c r="J828" s="156"/>
      <c r="K828" s="2"/>
      <c r="L828" s="2"/>
      <c r="M828" s="2"/>
      <c r="N828" s="2"/>
      <c r="O828" s="2"/>
      <c r="P828" s="2"/>
      <c r="Q828" s="157"/>
      <c r="R828" s="157"/>
      <c r="S828" s="157"/>
      <c r="T828" s="158"/>
      <c r="U828" s="2"/>
      <c r="V828" s="30"/>
      <c r="W828" s="2"/>
      <c r="X828" s="2"/>
      <c r="Y828" s="2"/>
      <c r="Z828" s="2"/>
    </row>
    <row r="829" ht="13.5" customHeight="1">
      <c r="A829" s="2"/>
      <c r="B829" s="2"/>
      <c r="C829" s="2"/>
      <c r="D829" s="2"/>
      <c r="E829" s="2"/>
      <c r="F829" s="2"/>
      <c r="G829" s="2"/>
      <c r="H829" s="2"/>
      <c r="I829" s="2"/>
      <c r="J829" s="156"/>
      <c r="K829" s="2"/>
      <c r="L829" s="2"/>
      <c r="M829" s="2"/>
      <c r="N829" s="2"/>
      <c r="O829" s="2"/>
      <c r="P829" s="2"/>
      <c r="Q829" s="157"/>
      <c r="R829" s="157"/>
      <c r="S829" s="157"/>
      <c r="T829" s="158"/>
      <c r="U829" s="2"/>
      <c r="V829" s="30"/>
      <c r="W829" s="2"/>
      <c r="X829" s="2"/>
      <c r="Y829" s="2"/>
      <c r="Z829" s="2"/>
    </row>
    <row r="830" ht="13.5" customHeight="1">
      <c r="A830" s="2"/>
      <c r="B830" s="2"/>
      <c r="C830" s="2"/>
      <c r="D830" s="2"/>
      <c r="E830" s="2"/>
      <c r="F830" s="2"/>
      <c r="G830" s="2"/>
      <c r="H830" s="2"/>
      <c r="I830" s="2"/>
      <c r="J830" s="156"/>
      <c r="K830" s="2"/>
      <c r="L830" s="2"/>
      <c r="M830" s="2"/>
      <c r="N830" s="2"/>
      <c r="O830" s="2"/>
      <c r="P830" s="2"/>
      <c r="Q830" s="157"/>
      <c r="R830" s="157"/>
      <c r="S830" s="157"/>
      <c r="T830" s="158"/>
      <c r="U830" s="2"/>
      <c r="V830" s="30"/>
      <c r="W830" s="2"/>
      <c r="X830" s="2"/>
      <c r="Y830" s="2"/>
      <c r="Z830" s="2"/>
    </row>
    <row r="831" ht="13.5" customHeight="1">
      <c r="A831" s="2"/>
      <c r="B831" s="2"/>
      <c r="C831" s="2"/>
      <c r="D831" s="2"/>
      <c r="E831" s="2"/>
      <c r="F831" s="2"/>
      <c r="G831" s="2"/>
      <c r="H831" s="2"/>
      <c r="I831" s="2"/>
      <c r="J831" s="156"/>
      <c r="K831" s="2"/>
      <c r="L831" s="2"/>
      <c r="M831" s="2"/>
      <c r="N831" s="2"/>
      <c r="O831" s="2"/>
      <c r="P831" s="2"/>
      <c r="Q831" s="157"/>
      <c r="R831" s="157"/>
      <c r="S831" s="157"/>
      <c r="T831" s="158"/>
      <c r="U831" s="2"/>
      <c r="V831" s="30"/>
      <c r="W831" s="2"/>
      <c r="X831" s="2"/>
      <c r="Y831" s="2"/>
      <c r="Z831" s="2"/>
    </row>
    <row r="832" ht="13.5" customHeight="1">
      <c r="A832" s="2"/>
      <c r="B832" s="2"/>
      <c r="C832" s="2"/>
      <c r="D832" s="2"/>
      <c r="E832" s="2"/>
      <c r="F832" s="2"/>
      <c r="G832" s="2"/>
      <c r="H832" s="2"/>
      <c r="I832" s="2"/>
      <c r="J832" s="156"/>
      <c r="K832" s="2"/>
      <c r="L832" s="2"/>
      <c r="M832" s="2"/>
      <c r="N832" s="2"/>
      <c r="O832" s="2"/>
      <c r="P832" s="2"/>
      <c r="Q832" s="157"/>
      <c r="R832" s="157"/>
      <c r="S832" s="157"/>
      <c r="T832" s="158"/>
      <c r="U832" s="2"/>
      <c r="V832" s="30"/>
      <c r="W832" s="2"/>
      <c r="X832" s="2"/>
      <c r="Y832" s="2"/>
      <c r="Z832" s="2"/>
    </row>
    <row r="833" ht="13.5" customHeight="1">
      <c r="A833" s="2"/>
      <c r="B833" s="2"/>
      <c r="C833" s="2"/>
      <c r="D833" s="2"/>
      <c r="E833" s="2"/>
      <c r="F833" s="2"/>
      <c r="G833" s="2"/>
      <c r="H833" s="2"/>
      <c r="I833" s="2"/>
      <c r="J833" s="156"/>
      <c r="K833" s="2"/>
      <c r="L833" s="2"/>
      <c r="M833" s="2"/>
      <c r="N833" s="2"/>
      <c r="O833" s="2"/>
      <c r="P833" s="2"/>
      <c r="Q833" s="157"/>
      <c r="R833" s="157"/>
      <c r="S833" s="157"/>
      <c r="T833" s="158"/>
      <c r="U833" s="2"/>
      <c r="V833" s="30"/>
      <c r="W833" s="2"/>
      <c r="X833" s="2"/>
      <c r="Y833" s="2"/>
      <c r="Z833" s="2"/>
    </row>
    <row r="834" ht="13.5" customHeight="1">
      <c r="A834" s="2"/>
      <c r="B834" s="2"/>
      <c r="C834" s="2"/>
      <c r="D834" s="2"/>
      <c r="E834" s="2"/>
      <c r="F834" s="2"/>
      <c r="G834" s="2"/>
      <c r="H834" s="2"/>
      <c r="I834" s="2"/>
      <c r="J834" s="156"/>
      <c r="K834" s="2"/>
      <c r="L834" s="2"/>
      <c r="M834" s="2"/>
      <c r="N834" s="2"/>
      <c r="O834" s="2"/>
      <c r="P834" s="2"/>
      <c r="Q834" s="157"/>
      <c r="R834" s="157"/>
      <c r="S834" s="157"/>
      <c r="T834" s="158"/>
      <c r="U834" s="2"/>
      <c r="V834" s="30"/>
      <c r="W834" s="2"/>
      <c r="X834" s="2"/>
      <c r="Y834" s="2"/>
      <c r="Z834" s="2"/>
    </row>
    <row r="835" ht="13.5" customHeight="1">
      <c r="A835" s="2"/>
      <c r="B835" s="2"/>
      <c r="C835" s="2"/>
      <c r="D835" s="2"/>
      <c r="E835" s="2"/>
      <c r="F835" s="2"/>
      <c r="G835" s="2"/>
      <c r="H835" s="2"/>
      <c r="I835" s="2"/>
      <c r="J835" s="156"/>
      <c r="K835" s="2"/>
      <c r="L835" s="2"/>
      <c r="M835" s="2"/>
      <c r="N835" s="2"/>
      <c r="O835" s="2"/>
      <c r="P835" s="2"/>
      <c r="Q835" s="157"/>
      <c r="R835" s="157"/>
      <c r="S835" s="157"/>
      <c r="T835" s="158"/>
      <c r="U835" s="2"/>
      <c r="V835" s="30"/>
      <c r="W835" s="2"/>
      <c r="X835" s="2"/>
      <c r="Y835" s="2"/>
      <c r="Z835" s="2"/>
    </row>
    <row r="836" ht="13.5" customHeight="1">
      <c r="A836" s="2"/>
      <c r="B836" s="2"/>
      <c r="C836" s="2"/>
      <c r="D836" s="2"/>
      <c r="E836" s="2"/>
      <c r="F836" s="2"/>
      <c r="G836" s="2"/>
      <c r="H836" s="2"/>
      <c r="I836" s="2"/>
      <c r="J836" s="156"/>
      <c r="K836" s="2"/>
      <c r="L836" s="2"/>
      <c r="M836" s="2"/>
      <c r="N836" s="2"/>
      <c r="O836" s="2"/>
      <c r="P836" s="2"/>
      <c r="Q836" s="157"/>
      <c r="R836" s="157"/>
      <c r="S836" s="157"/>
      <c r="T836" s="158"/>
      <c r="U836" s="2"/>
      <c r="V836" s="30"/>
      <c r="W836" s="2"/>
      <c r="X836" s="2"/>
      <c r="Y836" s="2"/>
      <c r="Z836" s="2"/>
    </row>
    <row r="837" ht="13.5" customHeight="1">
      <c r="A837" s="2"/>
      <c r="B837" s="2"/>
      <c r="C837" s="2"/>
      <c r="D837" s="2"/>
      <c r="E837" s="2"/>
      <c r="F837" s="2"/>
      <c r="G837" s="2"/>
      <c r="H837" s="2"/>
      <c r="I837" s="2"/>
      <c r="J837" s="156"/>
      <c r="K837" s="2"/>
      <c r="L837" s="2"/>
      <c r="M837" s="2"/>
      <c r="N837" s="2"/>
      <c r="O837" s="2"/>
      <c r="P837" s="2"/>
      <c r="Q837" s="157"/>
      <c r="R837" s="157"/>
      <c r="S837" s="157"/>
      <c r="T837" s="158"/>
      <c r="U837" s="2"/>
      <c r="V837" s="30"/>
      <c r="W837" s="2"/>
      <c r="X837" s="2"/>
      <c r="Y837" s="2"/>
      <c r="Z837" s="2"/>
    </row>
    <row r="838" ht="13.5" customHeight="1">
      <c r="A838" s="2"/>
      <c r="B838" s="2"/>
      <c r="C838" s="2"/>
      <c r="D838" s="2"/>
      <c r="E838" s="2"/>
      <c r="F838" s="2"/>
      <c r="G838" s="2"/>
      <c r="H838" s="2"/>
      <c r="I838" s="2"/>
      <c r="J838" s="156"/>
      <c r="K838" s="2"/>
      <c r="L838" s="2"/>
      <c r="M838" s="2"/>
      <c r="N838" s="2"/>
      <c r="O838" s="2"/>
      <c r="P838" s="2"/>
      <c r="Q838" s="157"/>
      <c r="R838" s="157"/>
      <c r="S838" s="157"/>
      <c r="T838" s="158"/>
      <c r="U838" s="2"/>
      <c r="V838" s="30"/>
      <c r="W838" s="2"/>
      <c r="X838" s="2"/>
      <c r="Y838" s="2"/>
      <c r="Z838" s="2"/>
    </row>
    <row r="839" ht="13.5" customHeight="1">
      <c r="A839" s="2"/>
      <c r="B839" s="2"/>
      <c r="C839" s="2"/>
      <c r="D839" s="2"/>
      <c r="E839" s="2"/>
      <c r="F839" s="2"/>
      <c r="G839" s="2"/>
      <c r="H839" s="2"/>
      <c r="I839" s="2"/>
      <c r="J839" s="156"/>
      <c r="K839" s="2"/>
      <c r="L839" s="2"/>
      <c r="M839" s="2"/>
      <c r="N839" s="2"/>
      <c r="O839" s="2"/>
      <c r="P839" s="2"/>
      <c r="Q839" s="157"/>
      <c r="R839" s="157"/>
      <c r="S839" s="157"/>
      <c r="T839" s="158"/>
      <c r="U839" s="2"/>
      <c r="V839" s="30"/>
      <c r="W839" s="2"/>
      <c r="X839" s="2"/>
      <c r="Y839" s="2"/>
      <c r="Z839" s="2"/>
    </row>
    <row r="840" ht="13.5" customHeight="1">
      <c r="A840" s="2"/>
      <c r="B840" s="2"/>
      <c r="C840" s="2"/>
      <c r="D840" s="2"/>
      <c r="E840" s="2"/>
      <c r="F840" s="2"/>
      <c r="G840" s="2"/>
      <c r="H840" s="2"/>
      <c r="I840" s="2"/>
      <c r="J840" s="156"/>
      <c r="K840" s="2"/>
      <c r="L840" s="2"/>
      <c r="M840" s="2"/>
      <c r="N840" s="2"/>
      <c r="O840" s="2"/>
      <c r="P840" s="2"/>
      <c r="Q840" s="157"/>
      <c r="R840" s="157"/>
      <c r="S840" s="157"/>
      <c r="T840" s="158"/>
      <c r="U840" s="2"/>
      <c r="V840" s="30"/>
      <c r="W840" s="2"/>
      <c r="X840" s="2"/>
      <c r="Y840" s="2"/>
      <c r="Z840" s="2"/>
    </row>
    <row r="841" ht="13.5" customHeight="1">
      <c r="A841" s="2"/>
      <c r="B841" s="2"/>
      <c r="C841" s="2"/>
      <c r="D841" s="2"/>
      <c r="E841" s="2"/>
      <c r="F841" s="2"/>
      <c r="G841" s="2"/>
      <c r="H841" s="2"/>
      <c r="I841" s="2"/>
      <c r="J841" s="156"/>
      <c r="K841" s="2"/>
      <c r="L841" s="2"/>
      <c r="M841" s="2"/>
      <c r="N841" s="2"/>
      <c r="O841" s="2"/>
      <c r="P841" s="2"/>
      <c r="Q841" s="157"/>
      <c r="R841" s="157"/>
      <c r="S841" s="157"/>
      <c r="T841" s="158"/>
      <c r="U841" s="2"/>
      <c r="V841" s="30"/>
      <c r="W841" s="2"/>
      <c r="X841" s="2"/>
      <c r="Y841" s="2"/>
      <c r="Z841" s="2"/>
    </row>
    <row r="842" ht="13.5" customHeight="1">
      <c r="A842" s="2"/>
      <c r="B842" s="2"/>
      <c r="C842" s="2"/>
      <c r="D842" s="2"/>
      <c r="E842" s="2"/>
      <c r="F842" s="2"/>
      <c r="G842" s="2"/>
      <c r="H842" s="2"/>
      <c r="I842" s="2"/>
      <c r="J842" s="156"/>
      <c r="K842" s="2"/>
      <c r="L842" s="2"/>
      <c r="M842" s="2"/>
      <c r="N842" s="2"/>
      <c r="O842" s="2"/>
      <c r="P842" s="2"/>
      <c r="Q842" s="157"/>
      <c r="R842" s="157"/>
      <c r="S842" s="157"/>
      <c r="T842" s="158"/>
      <c r="U842" s="2"/>
      <c r="V842" s="30"/>
      <c r="W842" s="2"/>
      <c r="X842" s="2"/>
      <c r="Y842" s="2"/>
      <c r="Z842" s="2"/>
    </row>
    <row r="843" ht="13.5" customHeight="1">
      <c r="A843" s="2"/>
      <c r="B843" s="2"/>
      <c r="C843" s="2"/>
      <c r="D843" s="2"/>
      <c r="E843" s="2"/>
      <c r="F843" s="2"/>
      <c r="G843" s="2"/>
      <c r="H843" s="2"/>
      <c r="I843" s="2"/>
      <c r="J843" s="156"/>
      <c r="K843" s="2"/>
      <c r="L843" s="2"/>
      <c r="M843" s="2"/>
      <c r="N843" s="2"/>
      <c r="O843" s="2"/>
      <c r="P843" s="2"/>
      <c r="Q843" s="157"/>
      <c r="R843" s="157"/>
      <c r="S843" s="157"/>
      <c r="T843" s="158"/>
      <c r="U843" s="2"/>
      <c r="V843" s="30"/>
      <c r="W843" s="2"/>
      <c r="X843" s="2"/>
      <c r="Y843" s="2"/>
      <c r="Z843" s="2"/>
    </row>
    <row r="844" ht="13.5" customHeight="1">
      <c r="A844" s="2"/>
      <c r="B844" s="2"/>
      <c r="C844" s="2"/>
      <c r="D844" s="2"/>
      <c r="E844" s="2"/>
      <c r="F844" s="2"/>
      <c r="G844" s="2"/>
      <c r="H844" s="2"/>
      <c r="I844" s="2"/>
      <c r="J844" s="156"/>
      <c r="K844" s="2"/>
      <c r="L844" s="2"/>
      <c r="M844" s="2"/>
      <c r="N844" s="2"/>
      <c r="O844" s="2"/>
      <c r="P844" s="2"/>
      <c r="Q844" s="157"/>
      <c r="R844" s="157"/>
      <c r="S844" s="157"/>
      <c r="T844" s="158"/>
      <c r="U844" s="2"/>
      <c r="V844" s="30"/>
      <c r="W844" s="2"/>
      <c r="X844" s="2"/>
      <c r="Y844" s="2"/>
      <c r="Z844" s="2"/>
    </row>
    <row r="845" ht="13.5" customHeight="1">
      <c r="A845" s="2"/>
      <c r="B845" s="2"/>
      <c r="C845" s="2"/>
      <c r="D845" s="2"/>
      <c r="E845" s="2"/>
      <c r="F845" s="2"/>
      <c r="G845" s="2"/>
      <c r="H845" s="2"/>
      <c r="I845" s="2"/>
      <c r="J845" s="156"/>
      <c r="K845" s="2"/>
      <c r="L845" s="2"/>
      <c r="M845" s="2"/>
      <c r="N845" s="2"/>
      <c r="O845" s="2"/>
      <c r="P845" s="2"/>
      <c r="Q845" s="157"/>
      <c r="R845" s="157"/>
      <c r="S845" s="157"/>
      <c r="T845" s="158"/>
      <c r="U845" s="2"/>
      <c r="V845" s="30"/>
      <c r="W845" s="2"/>
      <c r="X845" s="2"/>
      <c r="Y845" s="2"/>
      <c r="Z845" s="2"/>
    </row>
    <row r="846" ht="13.5" customHeight="1">
      <c r="A846" s="2"/>
      <c r="B846" s="2"/>
      <c r="C846" s="2"/>
      <c r="D846" s="2"/>
      <c r="E846" s="2"/>
      <c r="F846" s="2"/>
      <c r="G846" s="2"/>
      <c r="H846" s="2"/>
      <c r="I846" s="2"/>
      <c r="J846" s="156"/>
      <c r="K846" s="2"/>
      <c r="L846" s="2"/>
      <c r="M846" s="2"/>
      <c r="N846" s="2"/>
      <c r="O846" s="2"/>
      <c r="P846" s="2"/>
      <c r="Q846" s="157"/>
      <c r="R846" s="157"/>
      <c r="S846" s="157"/>
      <c r="T846" s="158"/>
      <c r="U846" s="2"/>
      <c r="V846" s="30"/>
      <c r="W846" s="2"/>
      <c r="X846" s="2"/>
      <c r="Y846" s="2"/>
      <c r="Z846" s="2"/>
    </row>
    <row r="847" ht="13.5" customHeight="1">
      <c r="A847" s="2"/>
      <c r="B847" s="2"/>
      <c r="C847" s="2"/>
      <c r="D847" s="2"/>
      <c r="E847" s="2"/>
      <c r="F847" s="2"/>
      <c r="G847" s="2"/>
      <c r="H847" s="2"/>
      <c r="I847" s="2"/>
      <c r="J847" s="156"/>
      <c r="K847" s="2"/>
      <c r="L847" s="2"/>
      <c r="M847" s="2"/>
      <c r="N847" s="2"/>
      <c r="O847" s="2"/>
      <c r="P847" s="2"/>
      <c r="Q847" s="157"/>
      <c r="R847" s="157"/>
      <c r="S847" s="157"/>
      <c r="T847" s="158"/>
      <c r="U847" s="2"/>
      <c r="V847" s="30"/>
      <c r="W847" s="2"/>
      <c r="X847" s="2"/>
      <c r="Y847" s="2"/>
      <c r="Z847" s="2"/>
    </row>
    <row r="848" ht="13.5" customHeight="1">
      <c r="A848" s="2"/>
      <c r="B848" s="2"/>
      <c r="C848" s="2"/>
      <c r="D848" s="2"/>
      <c r="E848" s="2"/>
      <c r="F848" s="2"/>
      <c r="G848" s="2"/>
      <c r="H848" s="2"/>
      <c r="I848" s="2"/>
      <c r="J848" s="156"/>
      <c r="K848" s="2"/>
      <c r="L848" s="2"/>
      <c r="M848" s="2"/>
      <c r="N848" s="2"/>
      <c r="O848" s="2"/>
      <c r="P848" s="2"/>
      <c r="Q848" s="157"/>
      <c r="R848" s="157"/>
      <c r="S848" s="157"/>
      <c r="T848" s="158"/>
      <c r="U848" s="2"/>
      <c r="V848" s="30"/>
      <c r="W848" s="2"/>
      <c r="X848" s="2"/>
      <c r="Y848" s="2"/>
      <c r="Z848" s="2"/>
    </row>
    <row r="849" ht="13.5" customHeight="1">
      <c r="A849" s="2"/>
      <c r="B849" s="2"/>
      <c r="C849" s="2"/>
      <c r="D849" s="2"/>
      <c r="E849" s="2"/>
      <c r="F849" s="2"/>
      <c r="G849" s="2"/>
      <c r="H849" s="2"/>
      <c r="I849" s="2"/>
      <c r="J849" s="156"/>
      <c r="K849" s="2"/>
      <c r="L849" s="2"/>
      <c r="M849" s="2"/>
      <c r="N849" s="2"/>
      <c r="O849" s="2"/>
      <c r="P849" s="2"/>
      <c r="Q849" s="157"/>
      <c r="R849" s="157"/>
      <c r="S849" s="157"/>
      <c r="T849" s="158"/>
      <c r="U849" s="2"/>
      <c r="V849" s="30"/>
      <c r="W849" s="2"/>
      <c r="X849" s="2"/>
      <c r="Y849" s="2"/>
      <c r="Z849" s="2"/>
    </row>
    <row r="850" ht="13.5" customHeight="1">
      <c r="A850" s="2"/>
      <c r="B850" s="2"/>
      <c r="C850" s="2"/>
      <c r="D850" s="2"/>
      <c r="E850" s="2"/>
      <c r="F850" s="2"/>
      <c r="G850" s="2"/>
      <c r="H850" s="2"/>
      <c r="I850" s="2"/>
      <c r="J850" s="156"/>
      <c r="K850" s="2"/>
      <c r="L850" s="2"/>
      <c r="M850" s="2"/>
      <c r="N850" s="2"/>
      <c r="O850" s="2"/>
      <c r="P850" s="2"/>
      <c r="Q850" s="157"/>
      <c r="R850" s="157"/>
      <c r="S850" s="157"/>
      <c r="T850" s="158"/>
      <c r="U850" s="2"/>
      <c r="V850" s="30"/>
      <c r="W850" s="2"/>
      <c r="X850" s="2"/>
      <c r="Y850" s="2"/>
      <c r="Z850" s="2"/>
    </row>
    <row r="851" ht="13.5" customHeight="1">
      <c r="A851" s="2"/>
      <c r="B851" s="2"/>
      <c r="C851" s="2"/>
      <c r="D851" s="2"/>
      <c r="E851" s="2"/>
      <c r="F851" s="2"/>
      <c r="G851" s="2"/>
      <c r="H851" s="2"/>
      <c r="I851" s="2"/>
      <c r="J851" s="156"/>
      <c r="K851" s="2"/>
      <c r="L851" s="2"/>
      <c r="M851" s="2"/>
      <c r="N851" s="2"/>
      <c r="O851" s="2"/>
      <c r="P851" s="2"/>
      <c r="Q851" s="157"/>
      <c r="R851" s="157"/>
      <c r="S851" s="157"/>
      <c r="T851" s="158"/>
      <c r="U851" s="2"/>
      <c r="V851" s="30"/>
      <c r="W851" s="2"/>
      <c r="X851" s="2"/>
      <c r="Y851" s="2"/>
      <c r="Z851" s="2"/>
    </row>
    <row r="852" ht="13.5" customHeight="1">
      <c r="A852" s="2"/>
      <c r="B852" s="2"/>
      <c r="C852" s="2"/>
      <c r="D852" s="2"/>
      <c r="E852" s="2"/>
      <c r="F852" s="2"/>
      <c r="G852" s="2"/>
      <c r="H852" s="2"/>
      <c r="I852" s="2"/>
      <c r="J852" s="156"/>
      <c r="K852" s="2"/>
      <c r="L852" s="2"/>
      <c r="M852" s="2"/>
      <c r="N852" s="2"/>
      <c r="O852" s="2"/>
      <c r="P852" s="2"/>
      <c r="Q852" s="157"/>
      <c r="R852" s="157"/>
      <c r="S852" s="157"/>
      <c r="T852" s="158"/>
      <c r="U852" s="2"/>
      <c r="V852" s="30"/>
      <c r="W852" s="2"/>
      <c r="X852" s="2"/>
      <c r="Y852" s="2"/>
      <c r="Z852" s="2"/>
    </row>
    <row r="853" ht="13.5" customHeight="1">
      <c r="A853" s="2"/>
      <c r="B853" s="2"/>
      <c r="C853" s="2"/>
      <c r="D853" s="2"/>
      <c r="E853" s="2"/>
      <c r="F853" s="2"/>
      <c r="G853" s="2"/>
      <c r="H853" s="2"/>
      <c r="I853" s="2"/>
      <c r="J853" s="156"/>
      <c r="K853" s="2"/>
      <c r="L853" s="2"/>
      <c r="M853" s="2"/>
      <c r="N853" s="2"/>
      <c r="O853" s="2"/>
      <c r="P853" s="2"/>
      <c r="Q853" s="157"/>
      <c r="R853" s="157"/>
      <c r="S853" s="157"/>
      <c r="T853" s="158"/>
      <c r="U853" s="2"/>
      <c r="V853" s="30"/>
      <c r="W853" s="2"/>
      <c r="X853" s="2"/>
      <c r="Y853" s="2"/>
      <c r="Z853" s="2"/>
    </row>
    <row r="854" ht="13.5" customHeight="1">
      <c r="A854" s="2"/>
      <c r="B854" s="2"/>
      <c r="C854" s="2"/>
      <c r="D854" s="2"/>
      <c r="E854" s="2"/>
      <c r="F854" s="2"/>
      <c r="G854" s="2"/>
      <c r="H854" s="2"/>
      <c r="I854" s="2"/>
      <c r="J854" s="156"/>
      <c r="K854" s="2"/>
      <c r="L854" s="2"/>
      <c r="M854" s="2"/>
      <c r="N854" s="2"/>
      <c r="O854" s="2"/>
      <c r="P854" s="2"/>
      <c r="Q854" s="157"/>
      <c r="R854" s="157"/>
      <c r="S854" s="157"/>
      <c r="T854" s="158"/>
      <c r="U854" s="2"/>
      <c r="V854" s="30"/>
      <c r="W854" s="2"/>
      <c r="X854" s="2"/>
      <c r="Y854" s="2"/>
      <c r="Z854" s="2"/>
    </row>
    <row r="855" ht="13.5" customHeight="1">
      <c r="A855" s="2"/>
      <c r="B855" s="2"/>
      <c r="C855" s="2"/>
      <c r="D855" s="2"/>
      <c r="E855" s="2"/>
      <c r="F855" s="2"/>
      <c r="G855" s="2"/>
      <c r="H855" s="2"/>
      <c r="I855" s="2"/>
      <c r="J855" s="156"/>
      <c r="K855" s="2"/>
      <c r="L855" s="2"/>
      <c r="M855" s="2"/>
      <c r="N855" s="2"/>
      <c r="O855" s="2"/>
      <c r="P855" s="2"/>
      <c r="Q855" s="157"/>
      <c r="R855" s="157"/>
      <c r="S855" s="157"/>
      <c r="T855" s="158"/>
      <c r="U855" s="2"/>
      <c r="V855" s="30"/>
      <c r="W855" s="2"/>
      <c r="X855" s="2"/>
      <c r="Y855" s="2"/>
      <c r="Z855" s="2"/>
    </row>
    <row r="856" ht="13.5" customHeight="1">
      <c r="A856" s="2"/>
      <c r="B856" s="2"/>
      <c r="C856" s="2"/>
      <c r="D856" s="2"/>
      <c r="E856" s="2"/>
      <c r="F856" s="2"/>
      <c r="G856" s="2"/>
      <c r="H856" s="2"/>
      <c r="I856" s="2"/>
      <c r="J856" s="156"/>
      <c r="K856" s="2"/>
      <c r="L856" s="2"/>
      <c r="M856" s="2"/>
      <c r="N856" s="2"/>
      <c r="O856" s="2"/>
      <c r="P856" s="2"/>
      <c r="Q856" s="157"/>
      <c r="R856" s="157"/>
      <c r="S856" s="157"/>
      <c r="T856" s="158"/>
      <c r="U856" s="2"/>
      <c r="V856" s="30"/>
      <c r="W856" s="2"/>
      <c r="X856" s="2"/>
      <c r="Y856" s="2"/>
      <c r="Z856" s="2"/>
    </row>
    <row r="857" ht="13.5" customHeight="1">
      <c r="A857" s="2"/>
      <c r="B857" s="2"/>
      <c r="C857" s="2"/>
      <c r="D857" s="2"/>
      <c r="E857" s="2"/>
      <c r="F857" s="2"/>
      <c r="G857" s="2"/>
      <c r="H857" s="2"/>
      <c r="I857" s="2"/>
      <c r="J857" s="156"/>
      <c r="K857" s="2"/>
      <c r="L857" s="2"/>
      <c r="M857" s="2"/>
      <c r="N857" s="2"/>
      <c r="O857" s="2"/>
      <c r="P857" s="2"/>
      <c r="Q857" s="157"/>
      <c r="R857" s="157"/>
      <c r="S857" s="157"/>
      <c r="T857" s="158"/>
      <c r="U857" s="2"/>
      <c r="V857" s="30"/>
      <c r="W857" s="2"/>
      <c r="X857" s="2"/>
      <c r="Y857" s="2"/>
      <c r="Z857" s="2"/>
    </row>
    <row r="858" ht="13.5" customHeight="1">
      <c r="A858" s="2"/>
      <c r="B858" s="2"/>
      <c r="C858" s="2"/>
      <c r="D858" s="2"/>
      <c r="E858" s="2"/>
      <c r="F858" s="2"/>
      <c r="G858" s="2"/>
      <c r="H858" s="2"/>
      <c r="I858" s="2"/>
      <c r="J858" s="156"/>
      <c r="K858" s="2"/>
      <c r="L858" s="2"/>
      <c r="M858" s="2"/>
      <c r="N858" s="2"/>
      <c r="O858" s="2"/>
      <c r="P858" s="2"/>
      <c r="Q858" s="157"/>
      <c r="R858" s="157"/>
      <c r="S858" s="157"/>
      <c r="T858" s="158"/>
      <c r="U858" s="2"/>
      <c r="V858" s="30"/>
      <c r="W858" s="2"/>
      <c r="X858" s="2"/>
      <c r="Y858" s="2"/>
      <c r="Z858" s="2"/>
    </row>
    <row r="859" ht="13.5" customHeight="1">
      <c r="A859" s="2"/>
      <c r="B859" s="2"/>
      <c r="C859" s="2"/>
      <c r="D859" s="2"/>
      <c r="E859" s="2"/>
      <c r="F859" s="2"/>
      <c r="G859" s="2"/>
      <c r="H859" s="2"/>
      <c r="I859" s="2"/>
      <c r="J859" s="156"/>
      <c r="K859" s="2"/>
      <c r="L859" s="2"/>
      <c r="M859" s="2"/>
      <c r="N859" s="2"/>
      <c r="O859" s="2"/>
      <c r="P859" s="2"/>
      <c r="Q859" s="157"/>
      <c r="R859" s="157"/>
      <c r="S859" s="157"/>
      <c r="T859" s="158"/>
      <c r="U859" s="2"/>
      <c r="V859" s="30"/>
      <c r="W859" s="2"/>
      <c r="X859" s="2"/>
      <c r="Y859" s="2"/>
      <c r="Z859" s="2"/>
    </row>
    <row r="860" ht="13.5" customHeight="1">
      <c r="A860" s="2"/>
      <c r="B860" s="2"/>
      <c r="C860" s="2"/>
      <c r="D860" s="2"/>
      <c r="E860" s="2"/>
      <c r="F860" s="2"/>
      <c r="G860" s="2"/>
      <c r="H860" s="2"/>
      <c r="I860" s="2"/>
      <c r="J860" s="156"/>
      <c r="K860" s="2"/>
      <c r="L860" s="2"/>
      <c r="M860" s="2"/>
      <c r="N860" s="2"/>
      <c r="O860" s="2"/>
      <c r="P860" s="2"/>
      <c r="Q860" s="157"/>
      <c r="R860" s="157"/>
      <c r="S860" s="157"/>
      <c r="T860" s="158"/>
      <c r="U860" s="2"/>
      <c r="V860" s="30"/>
      <c r="W860" s="2"/>
      <c r="X860" s="2"/>
      <c r="Y860" s="2"/>
      <c r="Z860" s="2"/>
    </row>
    <row r="861" ht="13.5" customHeight="1">
      <c r="A861" s="2"/>
      <c r="B861" s="2"/>
      <c r="C861" s="2"/>
      <c r="D861" s="2"/>
      <c r="E861" s="2"/>
      <c r="F861" s="2"/>
      <c r="G861" s="2"/>
      <c r="H861" s="2"/>
      <c r="I861" s="2"/>
      <c r="J861" s="156"/>
      <c r="K861" s="2"/>
      <c r="L861" s="2"/>
      <c r="M861" s="2"/>
      <c r="N861" s="2"/>
      <c r="O861" s="2"/>
      <c r="P861" s="2"/>
      <c r="Q861" s="157"/>
      <c r="R861" s="157"/>
      <c r="S861" s="157"/>
      <c r="T861" s="158"/>
      <c r="U861" s="2"/>
      <c r="V861" s="30"/>
      <c r="W861" s="2"/>
      <c r="X861" s="2"/>
      <c r="Y861" s="2"/>
      <c r="Z861" s="2"/>
    </row>
    <row r="862" ht="13.5" customHeight="1">
      <c r="A862" s="2"/>
      <c r="B862" s="2"/>
      <c r="C862" s="2"/>
      <c r="D862" s="2"/>
      <c r="E862" s="2"/>
      <c r="F862" s="2"/>
      <c r="G862" s="2"/>
      <c r="H862" s="2"/>
      <c r="I862" s="2"/>
      <c r="J862" s="156"/>
      <c r="K862" s="2"/>
      <c r="L862" s="2"/>
      <c r="M862" s="2"/>
      <c r="N862" s="2"/>
      <c r="O862" s="2"/>
      <c r="P862" s="2"/>
      <c r="Q862" s="157"/>
      <c r="R862" s="157"/>
      <c r="S862" s="157"/>
      <c r="T862" s="158"/>
      <c r="U862" s="2"/>
      <c r="V862" s="30"/>
      <c r="W862" s="2"/>
      <c r="X862" s="2"/>
      <c r="Y862" s="2"/>
      <c r="Z862" s="2"/>
    </row>
    <row r="863" ht="13.5" customHeight="1">
      <c r="A863" s="2"/>
      <c r="B863" s="2"/>
      <c r="C863" s="2"/>
      <c r="D863" s="2"/>
      <c r="E863" s="2"/>
      <c r="F863" s="2"/>
      <c r="G863" s="2"/>
      <c r="H863" s="2"/>
      <c r="I863" s="2"/>
      <c r="J863" s="156"/>
      <c r="K863" s="2"/>
      <c r="L863" s="2"/>
      <c r="M863" s="2"/>
      <c r="N863" s="2"/>
      <c r="O863" s="2"/>
      <c r="P863" s="2"/>
      <c r="Q863" s="157"/>
      <c r="R863" s="157"/>
      <c r="S863" s="157"/>
      <c r="T863" s="158"/>
      <c r="U863" s="2"/>
      <c r="V863" s="30"/>
      <c r="W863" s="2"/>
      <c r="X863" s="2"/>
      <c r="Y863" s="2"/>
      <c r="Z863" s="2"/>
    </row>
    <row r="864" ht="13.5" customHeight="1">
      <c r="A864" s="2"/>
      <c r="B864" s="2"/>
      <c r="C864" s="2"/>
      <c r="D864" s="2"/>
      <c r="E864" s="2"/>
      <c r="F864" s="2"/>
      <c r="G864" s="2"/>
      <c r="H864" s="2"/>
      <c r="I864" s="2"/>
      <c r="J864" s="156"/>
      <c r="K864" s="2"/>
      <c r="L864" s="2"/>
      <c r="M864" s="2"/>
      <c r="N864" s="2"/>
      <c r="O864" s="2"/>
      <c r="P864" s="2"/>
      <c r="Q864" s="157"/>
      <c r="R864" s="157"/>
      <c r="S864" s="157"/>
      <c r="T864" s="158"/>
      <c r="U864" s="2"/>
      <c r="V864" s="30"/>
      <c r="W864" s="2"/>
      <c r="X864" s="2"/>
      <c r="Y864" s="2"/>
      <c r="Z864" s="2"/>
    </row>
    <row r="865" ht="13.5" customHeight="1">
      <c r="A865" s="2"/>
      <c r="B865" s="2"/>
      <c r="C865" s="2"/>
      <c r="D865" s="2"/>
      <c r="E865" s="2"/>
      <c r="F865" s="2"/>
      <c r="G865" s="2"/>
      <c r="H865" s="2"/>
      <c r="I865" s="2"/>
      <c r="J865" s="156"/>
      <c r="K865" s="2"/>
      <c r="L865" s="2"/>
      <c r="M865" s="2"/>
      <c r="N865" s="2"/>
      <c r="O865" s="2"/>
      <c r="P865" s="2"/>
      <c r="Q865" s="157"/>
      <c r="R865" s="157"/>
      <c r="S865" s="157"/>
      <c r="T865" s="158"/>
      <c r="U865" s="2"/>
      <c r="V865" s="30"/>
      <c r="W865" s="2"/>
      <c r="X865" s="2"/>
      <c r="Y865" s="2"/>
      <c r="Z865" s="2"/>
    </row>
    <row r="866" ht="13.5" customHeight="1">
      <c r="A866" s="2"/>
      <c r="B866" s="2"/>
      <c r="C866" s="2"/>
      <c r="D866" s="2"/>
      <c r="E866" s="2"/>
      <c r="F866" s="2"/>
      <c r="G866" s="2"/>
      <c r="H866" s="2"/>
      <c r="I866" s="2"/>
      <c r="J866" s="156"/>
      <c r="K866" s="2"/>
      <c r="L866" s="2"/>
      <c r="M866" s="2"/>
      <c r="N866" s="2"/>
      <c r="O866" s="2"/>
      <c r="P866" s="2"/>
      <c r="Q866" s="157"/>
      <c r="R866" s="157"/>
      <c r="S866" s="157"/>
      <c r="T866" s="158"/>
      <c r="U866" s="2"/>
      <c r="V866" s="30"/>
      <c r="W866" s="2"/>
      <c r="X866" s="2"/>
      <c r="Y866" s="2"/>
      <c r="Z866" s="2"/>
    </row>
    <row r="867" ht="13.5" customHeight="1">
      <c r="A867" s="2"/>
      <c r="B867" s="2"/>
      <c r="C867" s="2"/>
      <c r="D867" s="2"/>
      <c r="E867" s="2"/>
      <c r="F867" s="2"/>
      <c r="G867" s="2"/>
      <c r="H867" s="2"/>
      <c r="I867" s="2"/>
      <c r="J867" s="156"/>
      <c r="K867" s="2"/>
      <c r="L867" s="2"/>
      <c r="M867" s="2"/>
      <c r="N867" s="2"/>
      <c r="O867" s="2"/>
      <c r="P867" s="2"/>
      <c r="Q867" s="157"/>
      <c r="R867" s="157"/>
      <c r="S867" s="157"/>
      <c r="T867" s="158"/>
      <c r="U867" s="2"/>
      <c r="V867" s="30"/>
      <c r="W867" s="2"/>
      <c r="X867" s="2"/>
      <c r="Y867" s="2"/>
      <c r="Z867" s="2"/>
    </row>
    <row r="868" ht="13.5" customHeight="1">
      <c r="A868" s="2"/>
      <c r="B868" s="2"/>
      <c r="C868" s="2"/>
      <c r="D868" s="2"/>
      <c r="E868" s="2"/>
      <c r="F868" s="2"/>
      <c r="G868" s="2"/>
      <c r="H868" s="2"/>
      <c r="I868" s="2"/>
      <c r="J868" s="156"/>
      <c r="K868" s="2"/>
      <c r="L868" s="2"/>
      <c r="M868" s="2"/>
      <c r="N868" s="2"/>
      <c r="O868" s="2"/>
      <c r="P868" s="2"/>
      <c r="Q868" s="157"/>
      <c r="R868" s="157"/>
      <c r="S868" s="157"/>
      <c r="T868" s="158"/>
      <c r="U868" s="2"/>
      <c r="V868" s="30"/>
      <c r="W868" s="2"/>
      <c r="X868" s="2"/>
      <c r="Y868" s="2"/>
      <c r="Z868" s="2"/>
    </row>
    <row r="869" ht="13.5" customHeight="1">
      <c r="A869" s="2"/>
      <c r="B869" s="2"/>
      <c r="C869" s="2"/>
      <c r="D869" s="2"/>
      <c r="E869" s="2"/>
      <c r="F869" s="2"/>
      <c r="G869" s="2"/>
      <c r="H869" s="2"/>
      <c r="I869" s="2"/>
      <c r="J869" s="156"/>
      <c r="K869" s="2"/>
      <c r="L869" s="2"/>
      <c r="M869" s="2"/>
      <c r="N869" s="2"/>
      <c r="O869" s="2"/>
      <c r="P869" s="2"/>
      <c r="Q869" s="157"/>
      <c r="R869" s="157"/>
      <c r="S869" s="157"/>
      <c r="T869" s="158"/>
      <c r="U869" s="2"/>
      <c r="V869" s="30"/>
      <c r="W869" s="2"/>
      <c r="X869" s="2"/>
      <c r="Y869" s="2"/>
      <c r="Z869" s="2"/>
    </row>
    <row r="870" ht="13.5" customHeight="1">
      <c r="A870" s="2"/>
      <c r="B870" s="2"/>
      <c r="C870" s="2"/>
      <c r="D870" s="2"/>
      <c r="E870" s="2"/>
      <c r="F870" s="2"/>
      <c r="G870" s="2"/>
      <c r="H870" s="2"/>
      <c r="I870" s="2"/>
      <c r="J870" s="156"/>
      <c r="K870" s="2"/>
      <c r="L870" s="2"/>
      <c r="M870" s="2"/>
      <c r="N870" s="2"/>
      <c r="O870" s="2"/>
      <c r="P870" s="2"/>
      <c r="Q870" s="157"/>
      <c r="R870" s="157"/>
      <c r="S870" s="157"/>
      <c r="T870" s="158"/>
      <c r="U870" s="2"/>
      <c r="V870" s="30"/>
      <c r="W870" s="2"/>
      <c r="X870" s="2"/>
      <c r="Y870" s="2"/>
      <c r="Z870" s="2"/>
    </row>
    <row r="871" ht="13.5" customHeight="1">
      <c r="A871" s="2"/>
      <c r="B871" s="2"/>
      <c r="C871" s="2"/>
      <c r="D871" s="2"/>
      <c r="E871" s="2"/>
      <c r="F871" s="2"/>
      <c r="G871" s="2"/>
      <c r="H871" s="2"/>
      <c r="I871" s="2"/>
      <c r="J871" s="156"/>
      <c r="K871" s="2"/>
      <c r="L871" s="2"/>
      <c r="M871" s="2"/>
      <c r="N871" s="2"/>
      <c r="O871" s="2"/>
      <c r="P871" s="2"/>
      <c r="Q871" s="157"/>
      <c r="R871" s="157"/>
      <c r="S871" s="157"/>
      <c r="T871" s="158"/>
      <c r="U871" s="2"/>
      <c r="V871" s="30"/>
      <c r="W871" s="2"/>
      <c r="X871" s="2"/>
      <c r="Y871" s="2"/>
      <c r="Z871" s="2"/>
    </row>
    <row r="872" ht="13.5" customHeight="1">
      <c r="A872" s="2"/>
      <c r="B872" s="2"/>
      <c r="C872" s="2"/>
      <c r="D872" s="2"/>
      <c r="E872" s="2"/>
      <c r="F872" s="2"/>
      <c r="G872" s="2"/>
      <c r="H872" s="2"/>
      <c r="I872" s="2"/>
      <c r="J872" s="156"/>
      <c r="K872" s="2"/>
      <c r="L872" s="2"/>
      <c r="M872" s="2"/>
      <c r="N872" s="2"/>
      <c r="O872" s="2"/>
      <c r="P872" s="2"/>
      <c r="Q872" s="157"/>
      <c r="R872" s="157"/>
      <c r="S872" s="157"/>
      <c r="T872" s="158"/>
      <c r="U872" s="2"/>
      <c r="V872" s="30"/>
      <c r="W872" s="2"/>
      <c r="X872" s="2"/>
      <c r="Y872" s="2"/>
      <c r="Z872" s="2"/>
    </row>
    <row r="873" ht="13.5" customHeight="1">
      <c r="A873" s="2"/>
      <c r="B873" s="2"/>
      <c r="C873" s="2"/>
      <c r="D873" s="2"/>
      <c r="E873" s="2"/>
      <c r="F873" s="2"/>
      <c r="G873" s="2"/>
      <c r="H873" s="2"/>
      <c r="I873" s="2"/>
      <c r="J873" s="156"/>
      <c r="K873" s="2"/>
      <c r="L873" s="2"/>
      <c r="M873" s="2"/>
      <c r="N873" s="2"/>
      <c r="O873" s="2"/>
      <c r="P873" s="2"/>
      <c r="Q873" s="157"/>
      <c r="R873" s="157"/>
      <c r="S873" s="157"/>
      <c r="T873" s="158"/>
      <c r="U873" s="2"/>
      <c r="V873" s="30"/>
      <c r="W873" s="2"/>
      <c r="X873" s="2"/>
      <c r="Y873" s="2"/>
      <c r="Z873" s="2"/>
    </row>
    <row r="874" ht="13.5" customHeight="1">
      <c r="A874" s="2"/>
      <c r="B874" s="2"/>
      <c r="C874" s="2"/>
      <c r="D874" s="2"/>
      <c r="E874" s="2"/>
      <c r="F874" s="2"/>
      <c r="G874" s="2"/>
      <c r="H874" s="2"/>
      <c r="I874" s="2"/>
      <c r="J874" s="156"/>
      <c r="K874" s="2"/>
      <c r="L874" s="2"/>
      <c r="M874" s="2"/>
      <c r="N874" s="2"/>
      <c r="O874" s="2"/>
      <c r="P874" s="2"/>
      <c r="Q874" s="157"/>
      <c r="R874" s="157"/>
      <c r="S874" s="157"/>
      <c r="T874" s="158"/>
      <c r="U874" s="2"/>
      <c r="V874" s="30"/>
      <c r="W874" s="2"/>
      <c r="X874" s="2"/>
      <c r="Y874" s="2"/>
      <c r="Z874" s="2"/>
    </row>
    <row r="875" ht="13.5" customHeight="1">
      <c r="A875" s="2"/>
      <c r="B875" s="2"/>
      <c r="C875" s="2"/>
      <c r="D875" s="2"/>
      <c r="E875" s="2"/>
      <c r="F875" s="2"/>
      <c r="G875" s="2"/>
      <c r="H875" s="2"/>
      <c r="I875" s="2"/>
      <c r="J875" s="156"/>
      <c r="K875" s="2"/>
      <c r="L875" s="2"/>
      <c r="M875" s="2"/>
      <c r="N875" s="2"/>
      <c r="O875" s="2"/>
      <c r="P875" s="2"/>
      <c r="Q875" s="157"/>
      <c r="R875" s="157"/>
      <c r="S875" s="157"/>
      <c r="T875" s="158"/>
      <c r="U875" s="2"/>
      <c r="V875" s="30"/>
      <c r="W875" s="2"/>
      <c r="X875" s="2"/>
      <c r="Y875" s="2"/>
      <c r="Z875" s="2"/>
    </row>
    <row r="876" ht="13.5" customHeight="1">
      <c r="A876" s="2"/>
      <c r="B876" s="2"/>
      <c r="C876" s="2"/>
      <c r="D876" s="2"/>
      <c r="E876" s="2"/>
      <c r="F876" s="2"/>
      <c r="G876" s="2"/>
      <c r="H876" s="2"/>
      <c r="I876" s="2"/>
      <c r="J876" s="156"/>
      <c r="K876" s="2"/>
      <c r="L876" s="2"/>
      <c r="M876" s="2"/>
      <c r="N876" s="2"/>
      <c r="O876" s="2"/>
      <c r="P876" s="2"/>
      <c r="Q876" s="157"/>
      <c r="R876" s="157"/>
      <c r="S876" s="157"/>
      <c r="T876" s="158"/>
      <c r="U876" s="2"/>
      <c r="V876" s="30"/>
      <c r="W876" s="2"/>
      <c r="X876" s="2"/>
      <c r="Y876" s="2"/>
      <c r="Z876" s="2"/>
    </row>
    <row r="877" ht="13.5" customHeight="1">
      <c r="A877" s="2"/>
      <c r="B877" s="2"/>
      <c r="C877" s="2"/>
      <c r="D877" s="2"/>
      <c r="E877" s="2"/>
      <c r="F877" s="2"/>
      <c r="G877" s="2"/>
      <c r="H877" s="2"/>
      <c r="I877" s="2"/>
      <c r="J877" s="156"/>
      <c r="K877" s="2"/>
      <c r="L877" s="2"/>
      <c r="M877" s="2"/>
      <c r="N877" s="2"/>
      <c r="O877" s="2"/>
      <c r="P877" s="2"/>
      <c r="Q877" s="157"/>
      <c r="R877" s="157"/>
      <c r="S877" s="157"/>
      <c r="T877" s="158"/>
      <c r="U877" s="2"/>
      <c r="V877" s="30"/>
      <c r="W877" s="2"/>
      <c r="X877" s="2"/>
      <c r="Y877" s="2"/>
      <c r="Z877" s="2"/>
    </row>
    <row r="878" ht="13.5" customHeight="1">
      <c r="A878" s="2"/>
      <c r="B878" s="2"/>
      <c r="C878" s="2"/>
      <c r="D878" s="2"/>
      <c r="E878" s="2"/>
      <c r="F878" s="2"/>
      <c r="G878" s="2"/>
      <c r="H878" s="2"/>
      <c r="I878" s="2"/>
      <c r="J878" s="156"/>
      <c r="K878" s="2"/>
      <c r="L878" s="2"/>
      <c r="M878" s="2"/>
      <c r="N878" s="2"/>
      <c r="O878" s="2"/>
      <c r="P878" s="2"/>
      <c r="Q878" s="157"/>
      <c r="R878" s="157"/>
      <c r="S878" s="157"/>
      <c r="T878" s="158"/>
      <c r="U878" s="2"/>
      <c r="V878" s="30"/>
      <c r="W878" s="2"/>
      <c r="X878" s="2"/>
      <c r="Y878" s="2"/>
      <c r="Z878" s="2"/>
    </row>
    <row r="879" ht="13.5" customHeight="1">
      <c r="A879" s="2"/>
      <c r="B879" s="2"/>
      <c r="C879" s="2"/>
      <c r="D879" s="2"/>
      <c r="E879" s="2"/>
      <c r="F879" s="2"/>
      <c r="G879" s="2"/>
      <c r="H879" s="2"/>
      <c r="I879" s="2"/>
      <c r="J879" s="156"/>
      <c r="K879" s="2"/>
      <c r="L879" s="2"/>
      <c r="M879" s="2"/>
      <c r="N879" s="2"/>
      <c r="O879" s="2"/>
      <c r="P879" s="2"/>
      <c r="Q879" s="157"/>
      <c r="R879" s="157"/>
      <c r="S879" s="157"/>
      <c r="T879" s="158"/>
      <c r="U879" s="2"/>
      <c r="V879" s="30"/>
      <c r="W879" s="2"/>
      <c r="X879" s="2"/>
      <c r="Y879" s="2"/>
      <c r="Z879" s="2"/>
    </row>
    <row r="880" ht="13.5" customHeight="1">
      <c r="A880" s="2"/>
      <c r="B880" s="2"/>
      <c r="C880" s="2"/>
      <c r="D880" s="2"/>
      <c r="E880" s="2"/>
      <c r="F880" s="2"/>
      <c r="G880" s="2"/>
      <c r="H880" s="2"/>
      <c r="I880" s="2"/>
      <c r="J880" s="156"/>
      <c r="K880" s="2"/>
      <c r="L880" s="2"/>
      <c r="M880" s="2"/>
      <c r="N880" s="2"/>
      <c r="O880" s="2"/>
      <c r="P880" s="2"/>
      <c r="Q880" s="157"/>
      <c r="R880" s="157"/>
      <c r="S880" s="157"/>
      <c r="T880" s="158"/>
      <c r="U880" s="2"/>
      <c r="V880" s="30"/>
      <c r="W880" s="2"/>
      <c r="X880" s="2"/>
      <c r="Y880" s="2"/>
      <c r="Z880" s="2"/>
    </row>
    <row r="881" ht="13.5" customHeight="1">
      <c r="A881" s="2"/>
      <c r="B881" s="2"/>
      <c r="C881" s="2"/>
      <c r="D881" s="2"/>
      <c r="E881" s="2"/>
      <c r="F881" s="2"/>
      <c r="G881" s="2"/>
      <c r="H881" s="2"/>
      <c r="I881" s="2"/>
      <c r="J881" s="156"/>
      <c r="K881" s="2"/>
      <c r="L881" s="2"/>
      <c r="M881" s="2"/>
      <c r="N881" s="2"/>
      <c r="O881" s="2"/>
      <c r="P881" s="2"/>
      <c r="Q881" s="157"/>
      <c r="R881" s="157"/>
      <c r="S881" s="157"/>
      <c r="T881" s="158"/>
      <c r="U881" s="2"/>
      <c r="V881" s="30"/>
      <c r="W881" s="2"/>
      <c r="X881" s="2"/>
      <c r="Y881" s="2"/>
      <c r="Z881" s="2"/>
    </row>
    <row r="882" ht="13.5" customHeight="1">
      <c r="A882" s="2"/>
      <c r="B882" s="2"/>
      <c r="C882" s="2"/>
      <c r="D882" s="2"/>
      <c r="E882" s="2"/>
      <c r="F882" s="2"/>
      <c r="G882" s="2"/>
      <c r="H882" s="2"/>
      <c r="I882" s="2"/>
      <c r="J882" s="156"/>
      <c r="K882" s="2"/>
      <c r="L882" s="2"/>
      <c r="M882" s="2"/>
      <c r="N882" s="2"/>
      <c r="O882" s="2"/>
      <c r="P882" s="2"/>
      <c r="Q882" s="157"/>
      <c r="R882" s="157"/>
      <c r="S882" s="157"/>
      <c r="T882" s="158"/>
      <c r="U882" s="2"/>
      <c r="V882" s="30"/>
      <c r="W882" s="2"/>
      <c r="X882" s="2"/>
      <c r="Y882" s="2"/>
      <c r="Z882" s="2"/>
    </row>
    <row r="883" ht="13.5" customHeight="1">
      <c r="A883" s="2"/>
      <c r="B883" s="2"/>
      <c r="C883" s="2"/>
      <c r="D883" s="2"/>
      <c r="E883" s="2"/>
      <c r="F883" s="2"/>
      <c r="G883" s="2"/>
      <c r="H883" s="2"/>
      <c r="I883" s="2"/>
      <c r="J883" s="156"/>
      <c r="K883" s="2"/>
      <c r="L883" s="2"/>
      <c r="M883" s="2"/>
      <c r="N883" s="2"/>
      <c r="O883" s="2"/>
      <c r="P883" s="2"/>
      <c r="Q883" s="157"/>
      <c r="R883" s="157"/>
      <c r="S883" s="157"/>
      <c r="T883" s="158"/>
      <c r="U883" s="2"/>
      <c r="V883" s="30"/>
      <c r="W883" s="2"/>
      <c r="X883" s="2"/>
      <c r="Y883" s="2"/>
      <c r="Z883" s="2"/>
    </row>
    <row r="884" ht="13.5" customHeight="1">
      <c r="A884" s="2"/>
      <c r="B884" s="2"/>
      <c r="C884" s="2"/>
      <c r="D884" s="2"/>
      <c r="E884" s="2"/>
      <c r="F884" s="2"/>
      <c r="G884" s="2"/>
      <c r="H884" s="2"/>
      <c r="I884" s="2"/>
      <c r="J884" s="156"/>
      <c r="K884" s="2"/>
      <c r="L884" s="2"/>
      <c r="M884" s="2"/>
      <c r="N884" s="2"/>
      <c r="O884" s="2"/>
      <c r="P884" s="2"/>
      <c r="Q884" s="157"/>
      <c r="R884" s="157"/>
      <c r="S884" s="157"/>
      <c r="T884" s="158"/>
      <c r="U884" s="2"/>
      <c r="V884" s="30"/>
      <c r="W884" s="2"/>
      <c r="X884" s="2"/>
      <c r="Y884" s="2"/>
      <c r="Z884" s="2"/>
    </row>
    <row r="885" ht="13.5" customHeight="1">
      <c r="A885" s="2"/>
      <c r="B885" s="2"/>
      <c r="C885" s="2"/>
      <c r="D885" s="2"/>
      <c r="E885" s="2"/>
      <c r="F885" s="2"/>
      <c r="G885" s="2"/>
      <c r="H885" s="2"/>
      <c r="I885" s="2"/>
      <c r="J885" s="156"/>
      <c r="K885" s="2"/>
      <c r="L885" s="2"/>
      <c r="M885" s="2"/>
      <c r="N885" s="2"/>
      <c r="O885" s="2"/>
      <c r="P885" s="2"/>
      <c r="Q885" s="157"/>
      <c r="R885" s="157"/>
      <c r="S885" s="157"/>
      <c r="T885" s="158"/>
      <c r="U885" s="2"/>
      <c r="V885" s="30"/>
      <c r="W885" s="2"/>
      <c r="X885" s="2"/>
      <c r="Y885" s="2"/>
      <c r="Z885" s="2"/>
    </row>
    <row r="886" ht="13.5" customHeight="1">
      <c r="A886" s="2"/>
      <c r="B886" s="2"/>
      <c r="C886" s="2"/>
      <c r="D886" s="2"/>
      <c r="E886" s="2"/>
      <c r="F886" s="2"/>
      <c r="G886" s="2"/>
      <c r="H886" s="2"/>
      <c r="I886" s="2"/>
      <c r="J886" s="156"/>
      <c r="K886" s="2"/>
      <c r="L886" s="2"/>
      <c r="M886" s="2"/>
      <c r="N886" s="2"/>
      <c r="O886" s="2"/>
      <c r="P886" s="2"/>
      <c r="Q886" s="157"/>
      <c r="R886" s="157"/>
      <c r="S886" s="157"/>
      <c r="T886" s="158"/>
      <c r="U886" s="2"/>
      <c r="V886" s="30"/>
      <c r="W886" s="2"/>
      <c r="X886" s="2"/>
      <c r="Y886" s="2"/>
      <c r="Z886" s="2"/>
    </row>
    <row r="887" ht="13.5" customHeight="1">
      <c r="A887" s="2"/>
      <c r="B887" s="2"/>
      <c r="C887" s="2"/>
      <c r="D887" s="2"/>
      <c r="E887" s="2"/>
      <c r="F887" s="2"/>
      <c r="G887" s="2"/>
      <c r="H887" s="2"/>
      <c r="I887" s="2"/>
      <c r="J887" s="156"/>
      <c r="K887" s="2"/>
      <c r="L887" s="2"/>
      <c r="M887" s="2"/>
      <c r="N887" s="2"/>
      <c r="O887" s="2"/>
      <c r="P887" s="2"/>
      <c r="Q887" s="157"/>
      <c r="R887" s="157"/>
      <c r="S887" s="157"/>
      <c r="T887" s="158"/>
      <c r="U887" s="2"/>
      <c r="V887" s="30"/>
      <c r="W887" s="2"/>
      <c r="X887" s="2"/>
      <c r="Y887" s="2"/>
      <c r="Z887" s="2"/>
    </row>
    <row r="888" ht="13.5" customHeight="1">
      <c r="A888" s="2"/>
      <c r="B888" s="2"/>
      <c r="C888" s="2"/>
      <c r="D888" s="2"/>
      <c r="E888" s="2"/>
      <c r="F888" s="2"/>
      <c r="G888" s="2"/>
      <c r="H888" s="2"/>
      <c r="I888" s="2"/>
      <c r="J888" s="156"/>
      <c r="K888" s="2"/>
      <c r="L888" s="2"/>
      <c r="M888" s="2"/>
      <c r="N888" s="2"/>
      <c r="O888" s="2"/>
      <c r="P888" s="2"/>
      <c r="Q888" s="157"/>
      <c r="R888" s="157"/>
      <c r="S888" s="157"/>
      <c r="T888" s="158"/>
      <c r="U888" s="2"/>
      <c r="V888" s="30"/>
      <c r="W888" s="2"/>
      <c r="X888" s="2"/>
      <c r="Y888" s="2"/>
      <c r="Z888" s="2"/>
    </row>
    <row r="889" ht="13.5" customHeight="1">
      <c r="A889" s="2"/>
      <c r="B889" s="2"/>
      <c r="C889" s="2"/>
      <c r="D889" s="2"/>
      <c r="E889" s="2"/>
      <c r="F889" s="2"/>
      <c r="G889" s="2"/>
      <c r="H889" s="2"/>
      <c r="I889" s="2"/>
      <c r="J889" s="156"/>
      <c r="K889" s="2"/>
      <c r="L889" s="2"/>
      <c r="M889" s="2"/>
      <c r="N889" s="2"/>
      <c r="O889" s="2"/>
      <c r="P889" s="2"/>
      <c r="Q889" s="157"/>
      <c r="R889" s="157"/>
      <c r="S889" s="157"/>
      <c r="T889" s="158"/>
      <c r="U889" s="2"/>
      <c r="V889" s="30"/>
      <c r="W889" s="2"/>
      <c r="X889" s="2"/>
      <c r="Y889" s="2"/>
      <c r="Z889" s="2"/>
    </row>
    <row r="890" ht="13.5" customHeight="1">
      <c r="A890" s="2"/>
      <c r="B890" s="2"/>
      <c r="C890" s="2"/>
      <c r="D890" s="2"/>
      <c r="E890" s="2"/>
      <c r="F890" s="2"/>
      <c r="G890" s="2"/>
      <c r="H890" s="2"/>
      <c r="I890" s="2"/>
      <c r="J890" s="156"/>
      <c r="K890" s="2"/>
      <c r="L890" s="2"/>
      <c r="M890" s="2"/>
      <c r="N890" s="2"/>
      <c r="O890" s="2"/>
      <c r="P890" s="2"/>
      <c r="Q890" s="157"/>
      <c r="R890" s="157"/>
      <c r="S890" s="157"/>
      <c r="T890" s="158"/>
      <c r="U890" s="2"/>
      <c r="V890" s="30"/>
      <c r="W890" s="2"/>
      <c r="X890" s="2"/>
      <c r="Y890" s="2"/>
      <c r="Z890" s="2"/>
    </row>
    <row r="891" ht="13.5" customHeight="1">
      <c r="A891" s="2"/>
      <c r="B891" s="2"/>
      <c r="C891" s="2"/>
      <c r="D891" s="2"/>
      <c r="E891" s="2"/>
      <c r="F891" s="2"/>
      <c r="G891" s="2"/>
      <c r="H891" s="2"/>
      <c r="I891" s="2"/>
      <c r="J891" s="156"/>
      <c r="K891" s="2"/>
      <c r="L891" s="2"/>
      <c r="M891" s="2"/>
      <c r="N891" s="2"/>
      <c r="O891" s="2"/>
      <c r="P891" s="2"/>
      <c r="Q891" s="157"/>
      <c r="R891" s="157"/>
      <c r="S891" s="157"/>
      <c r="T891" s="158"/>
      <c r="U891" s="2"/>
      <c r="V891" s="30"/>
      <c r="W891" s="2"/>
      <c r="X891" s="2"/>
      <c r="Y891" s="2"/>
      <c r="Z891" s="2"/>
    </row>
    <row r="892" ht="13.5" customHeight="1">
      <c r="A892" s="2"/>
      <c r="B892" s="2"/>
      <c r="C892" s="2"/>
      <c r="D892" s="2"/>
      <c r="E892" s="2"/>
      <c r="F892" s="2"/>
      <c r="G892" s="2"/>
      <c r="H892" s="2"/>
      <c r="I892" s="2"/>
      <c r="J892" s="156"/>
      <c r="K892" s="2"/>
      <c r="L892" s="2"/>
      <c r="M892" s="2"/>
      <c r="N892" s="2"/>
      <c r="O892" s="2"/>
      <c r="P892" s="2"/>
      <c r="Q892" s="157"/>
      <c r="R892" s="157"/>
      <c r="S892" s="157"/>
      <c r="T892" s="158"/>
      <c r="U892" s="2"/>
      <c r="V892" s="30"/>
      <c r="W892" s="2"/>
      <c r="X892" s="2"/>
      <c r="Y892" s="2"/>
      <c r="Z892" s="2"/>
    </row>
    <row r="893" ht="13.5" customHeight="1">
      <c r="A893" s="2"/>
      <c r="B893" s="2"/>
      <c r="C893" s="2"/>
      <c r="D893" s="2"/>
      <c r="E893" s="2"/>
      <c r="F893" s="2"/>
      <c r="G893" s="2"/>
      <c r="H893" s="2"/>
      <c r="I893" s="2"/>
      <c r="J893" s="156"/>
      <c r="K893" s="2"/>
      <c r="L893" s="2"/>
      <c r="M893" s="2"/>
      <c r="N893" s="2"/>
      <c r="O893" s="2"/>
      <c r="P893" s="2"/>
      <c r="Q893" s="157"/>
      <c r="R893" s="157"/>
      <c r="S893" s="157"/>
      <c r="T893" s="158"/>
      <c r="U893" s="2"/>
      <c r="V893" s="30"/>
      <c r="W893" s="2"/>
      <c r="X893" s="2"/>
      <c r="Y893" s="2"/>
      <c r="Z893" s="2"/>
    </row>
    <row r="894" ht="13.5" customHeight="1">
      <c r="A894" s="2"/>
      <c r="B894" s="2"/>
      <c r="C894" s="2"/>
      <c r="D894" s="2"/>
      <c r="E894" s="2"/>
      <c r="F894" s="2"/>
      <c r="G894" s="2"/>
      <c r="H894" s="2"/>
      <c r="I894" s="2"/>
      <c r="J894" s="156"/>
      <c r="K894" s="2"/>
      <c r="L894" s="2"/>
      <c r="M894" s="2"/>
      <c r="N894" s="2"/>
      <c r="O894" s="2"/>
      <c r="P894" s="2"/>
      <c r="Q894" s="157"/>
      <c r="R894" s="157"/>
      <c r="S894" s="157"/>
      <c r="T894" s="158"/>
      <c r="U894" s="2"/>
      <c r="V894" s="30"/>
      <c r="W894" s="2"/>
      <c r="X894" s="2"/>
      <c r="Y894" s="2"/>
      <c r="Z894" s="2"/>
    </row>
    <row r="895" ht="13.5" customHeight="1">
      <c r="A895" s="2"/>
      <c r="B895" s="2"/>
      <c r="C895" s="2"/>
      <c r="D895" s="2"/>
      <c r="E895" s="2"/>
      <c r="F895" s="2"/>
      <c r="G895" s="2"/>
      <c r="H895" s="2"/>
      <c r="I895" s="2"/>
      <c r="J895" s="156"/>
      <c r="K895" s="2"/>
      <c r="L895" s="2"/>
      <c r="M895" s="2"/>
      <c r="N895" s="2"/>
      <c r="O895" s="2"/>
      <c r="P895" s="2"/>
      <c r="Q895" s="157"/>
      <c r="R895" s="157"/>
      <c r="S895" s="157"/>
      <c r="T895" s="158"/>
      <c r="U895" s="2"/>
      <c r="V895" s="30"/>
      <c r="W895" s="2"/>
      <c r="X895" s="2"/>
      <c r="Y895" s="2"/>
      <c r="Z895" s="2"/>
    </row>
    <row r="896" ht="13.5" customHeight="1">
      <c r="A896" s="2"/>
      <c r="B896" s="2"/>
      <c r="C896" s="2"/>
      <c r="D896" s="2"/>
      <c r="E896" s="2"/>
      <c r="F896" s="2"/>
      <c r="G896" s="2"/>
      <c r="H896" s="2"/>
      <c r="I896" s="2"/>
      <c r="J896" s="156"/>
      <c r="K896" s="2"/>
      <c r="L896" s="2"/>
      <c r="M896" s="2"/>
      <c r="N896" s="2"/>
      <c r="O896" s="2"/>
      <c r="P896" s="2"/>
      <c r="Q896" s="157"/>
      <c r="R896" s="157"/>
      <c r="S896" s="157"/>
      <c r="T896" s="158"/>
      <c r="U896" s="2"/>
      <c r="V896" s="30"/>
      <c r="W896" s="2"/>
      <c r="X896" s="2"/>
      <c r="Y896" s="2"/>
      <c r="Z896" s="2"/>
    </row>
    <row r="897" ht="13.5" customHeight="1">
      <c r="A897" s="2"/>
      <c r="B897" s="2"/>
      <c r="C897" s="2"/>
      <c r="D897" s="2"/>
      <c r="E897" s="2"/>
      <c r="F897" s="2"/>
      <c r="G897" s="2"/>
      <c r="H897" s="2"/>
      <c r="I897" s="2"/>
      <c r="J897" s="156"/>
      <c r="K897" s="2"/>
      <c r="L897" s="2"/>
      <c r="M897" s="2"/>
      <c r="N897" s="2"/>
      <c r="O897" s="2"/>
      <c r="P897" s="2"/>
      <c r="Q897" s="157"/>
      <c r="R897" s="157"/>
      <c r="S897" s="157"/>
      <c r="T897" s="158"/>
      <c r="U897" s="2"/>
      <c r="V897" s="30"/>
      <c r="W897" s="2"/>
      <c r="X897" s="2"/>
      <c r="Y897" s="2"/>
      <c r="Z897" s="2"/>
    </row>
    <row r="898" ht="13.5" customHeight="1">
      <c r="A898" s="2"/>
      <c r="B898" s="2"/>
      <c r="C898" s="2"/>
      <c r="D898" s="2"/>
      <c r="E898" s="2"/>
      <c r="F898" s="2"/>
      <c r="G898" s="2"/>
      <c r="H898" s="2"/>
      <c r="I898" s="2"/>
      <c r="J898" s="156"/>
      <c r="K898" s="2"/>
      <c r="L898" s="2"/>
      <c r="M898" s="2"/>
      <c r="N898" s="2"/>
      <c r="O898" s="2"/>
      <c r="P898" s="2"/>
      <c r="Q898" s="157"/>
      <c r="R898" s="157"/>
      <c r="S898" s="157"/>
      <c r="T898" s="158"/>
      <c r="U898" s="2"/>
      <c r="V898" s="30"/>
      <c r="W898" s="2"/>
      <c r="X898" s="2"/>
      <c r="Y898" s="2"/>
      <c r="Z898" s="2"/>
    </row>
    <row r="899" ht="13.5" customHeight="1">
      <c r="A899" s="2"/>
      <c r="B899" s="2"/>
      <c r="C899" s="2"/>
      <c r="D899" s="2"/>
      <c r="E899" s="2"/>
      <c r="F899" s="2"/>
      <c r="G899" s="2"/>
      <c r="H899" s="2"/>
      <c r="I899" s="2"/>
      <c r="J899" s="156"/>
      <c r="K899" s="2"/>
      <c r="L899" s="2"/>
      <c r="M899" s="2"/>
      <c r="N899" s="2"/>
      <c r="O899" s="2"/>
      <c r="P899" s="2"/>
      <c r="Q899" s="157"/>
      <c r="R899" s="157"/>
      <c r="S899" s="157"/>
      <c r="T899" s="158"/>
      <c r="U899" s="2"/>
      <c r="V899" s="30"/>
      <c r="W899" s="2"/>
      <c r="X899" s="2"/>
      <c r="Y899" s="2"/>
      <c r="Z899" s="2"/>
    </row>
    <row r="900" ht="13.5" customHeight="1">
      <c r="A900" s="2"/>
      <c r="B900" s="2"/>
      <c r="C900" s="2"/>
      <c r="D900" s="2"/>
      <c r="E900" s="2"/>
      <c r="F900" s="2"/>
      <c r="G900" s="2"/>
      <c r="H900" s="2"/>
      <c r="I900" s="2"/>
      <c r="J900" s="156"/>
      <c r="K900" s="2"/>
      <c r="L900" s="2"/>
      <c r="M900" s="2"/>
      <c r="N900" s="2"/>
      <c r="O900" s="2"/>
      <c r="P900" s="2"/>
      <c r="Q900" s="157"/>
      <c r="R900" s="157"/>
      <c r="S900" s="157"/>
      <c r="T900" s="158"/>
      <c r="U900" s="2"/>
      <c r="V900" s="30"/>
      <c r="W900" s="2"/>
      <c r="X900" s="2"/>
      <c r="Y900" s="2"/>
      <c r="Z900" s="2"/>
    </row>
    <row r="901" ht="13.5" customHeight="1">
      <c r="A901" s="2"/>
      <c r="B901" s="2"/>
      <c r="C901" s="2"/>
      <c r="D901" s="2"/>
      <c r="E901" s="2"/>
      <c r="F901" s="2"/>
      <c r="G901" s="2"/>
      <c r="H901" s="2"/>
      <c r="I901" s="2"/>
      <c r="J901" s="156"/>
      <c r="K901" s="2"/>
      <c r="L901" s="2"/>
      <c r="M901" s="2"/>
      <c r="N901" s="2"/>
      <c r="O901" s="2"/>
      <c r="P901" s="2"/>
      <c r="Q901" s="157"/>
      <c r="R901" s="157"/>
      <c r="S901" s="157"/>
      <c r="T901" s="158"/>
      <c r="U901" s="2"/>
      <c r="V901" s="30"/>
      <c r="W901" s="2"/>
      <c r="X901" s="2"/>
      <c r="Y901" s="2"/>
      <c r="Z901" s="2"/>
    </row>
    <row r="902" ht="13.5" customHeight="1">
      <c r="A902" s="2"/>
      <c r="B902" s="2"/>
      <c r="C902" s="2"/>
      <c r="D902" s="2"/>
      <c r="E902" s="2"/>
      <c r="F902" s="2"/>
      <c r="G902" s="2"/>
      <c r="H902" s="2"/>
      <c r="I902" s="2"/>
      <c r="J902" s="156"/>
      <c r="K902" s="2"/>
      <c r="L902" s="2"/>
      <c r="M902" s="2"/>
      <c r="N902" s="2"/>
      <c r="O902" s="2"/>
      <c r="P902" s="2"/>
      <c r="Q902" s="157"/>
      <c r="R902" s="157"/>
      <c r="S902" s="157"/>
      <c r="T902" s="158"/>
      <c r="U902" s="2"/>
      <c r="V902" s="30"/>
      <c r="W902" s="2"/>
      <c r="X902" s="2"/>
      <c r="Y902" s="2"/>
      <c r="Z902" s="2"/>
    </row>
    <row r="903" ht="13.5" customHeight="1">
      <c r="A903" s="2"/>
      <c r="B903" s="2"/>
      <c r="C903" s="2"/>
      <c r="D903" s="2"/>
      <c r="E903" s="2"/>
      <c r="F903" s="2"/>
      <c r="G903" s="2"/>
      <c r="H903" s="2"/>
      <c r="I903" s="2"/>
      <c r="J903" s="156"/>
      <c r="K903" s="2"/>
      <c r="L903" s="2"/>
      <c r="M903" s="2"/>
      <c r="N903" s="2"/>
      <c r="O903" s="2"/>
      <c r="P903" s="2"/>
      <c r="Q903" s="157"/>
      <c r="R903" s="157"/>
      <c r="S903" s="157"/>
      <c r="T903" s="158"/>
      <c r="U903" s="2"/>
      <c r="V903" s="30"/>
      <c r="W903" s="2"/>
      <c r="X903" s="2"/>
      <c r="Y903" s="2"/>
      <c r="Z903" s="2"/>
    </row>
    <row r="904" ht="13.5" customHeight="1">
      <c r="A904" s="2"/>
      <c r="B904" s="2"/>
      <c r="C904" s="2"/>
      <c r="D904" s="2"/>
      <c r="E904" s="2"/>
      <c r="F904" s="2"/>
      <c r="G904" s="2"/>
      <c r="H904" s="2"/>
      <c r="I904" s="2"/>
      <c r="J904" s="156"/>
      <c r="K904" s="2"/>
      <c r="L904" s="2"/>
      <c r="M904" s="2"/>
      <c r="N904" s="2"/>
      <c r="O904" s="2"/>
      <c r="P904" s="2"/>
      <c r="Q904" s="157"/>
      <c r="R904" s="157"/>
      <c r="S904" s="157"/>
      <c r="T904" s="158"/>
      <c r="U904" s="2"/>
      <c r="V904" s="30"/>
      <c r="W904" s="2"/>
      <c r="X904" s="2"/>
      <c r="Y904" s="2"/>
      <c r="Z904" s="2"/>
    </row>
    <row r="905" ht="13.5" customHeight="1">
      <c r="A905" s="2"/>
      <c r="B905" s="2"/>
      <c r="C905" s="2"/>
      <c r="D905" s="2"/>
      <c r="E905" s="2"/>
      <c r="F905" s="2"/>
      <c r="G905" s="2"/>
      <c r="H905" s="2"/>
      <c r="I905" s="2"/>
      <c r="J905" s="156"/>
      <c r="K905" s="2"/>
      <c r="L905" s="2"/>
      <c r="M905" s="2"/>
      <c r="N905" s="2"/>
      <c r="O905" s="2"/>
      <c r="P905" s="2"/>
      <c r="Q905" s="157"/>
      <c r="R905" s="157"/>
      <c r="S905" s="157"/>
      <c r="T905" s="158"/>
      <c r="U905" s="2"/>
      <c r="V905" s="30"/>
      <c r="W905" s="2"/>
      <c r="X905" s="2"/>
      <c r="Y905" s="2"/>
      <c r="Z905" s="2"/>
    </row>
    <row r="906" ht="13.5" customHeight="1">
      <c r="A906" s="2"/>
      <c r="B906" s="2"/>
      <c r="C906" s="2"/>
      <c r="D906" s="2"/>
      <c r="E906" s="2"/>
      <c r="F906" s="2"/>
      <c r="G906" s="2"/>
      <c r="H906" s="2"/>
      <c r="I906" s="2"/>
      <c r="J906" s="156"/>
      <c r="K906" s="2"/>
      <c r="L906" s="2"/>
      <c r="M906" s="2"/>
      <c r="N906" s="2"/>
      <c r="O906" s="2"/>
      <c r="P906" s="2"/>
      <c r="Q906" s="157"/>
      <c r="R906" s="157"/>
      <c r="S906" s="157"/>
      <c r="T906" s="158"/>
      <c r="U906" s="2"/>
      <c r="V906" s="30"/>
      <c r="W906" s="2"/>
      <c r="X906" s="2"/>
      <c r="Y906" s="2"/>
      <c r="Z906" s="2"/>
    </row>
    <row r="907" ht="13.5" customHeight="1">
      <c r="A907" s="2"/>
      <c r="B907" s="2"/>
      <c r="C907" s="2"/>
      <c r="D907" s="2"/>
      <c r="E907" s="2"/>
      <c r="F907" s="2"/>
      <c r="G907" s="2"/>
      <c r="H907" s="2"/>
      <c r="I907" s="2"/>
      <c r="J907" s="156"/>
      <c r="K907" s="2"/>
      <c r="L907" s="2"/>
      <c r="M907" s="2"/>
      <c r="N907" s="2"/>
      <c r="O907" s="2"/>
      <c r="P907" s="2"/>
      <c r="Q907" s="157"/>
      <c r="R907" s="157"/>
      <c r="S907" s="157"/>
      <c r="T907" s="158"/>
      <c r="U907" s="2"/>
      <c r="V907" s="30"/>
      <c r="W907" s="2"/>
      <c r="X907" s="2"/>
      <c r="Y907" s="2"/>
      <c r="Z907" s="2"/>
    </row>
    <row r="908" ht="13.5" customHeight="1">
      <c r="A908" s="2"/>
      <c r="B908" s="2"/>
      <c r="C908" s="2"/>
      <c r="D908" s="2"/>
      <c r="E908" s="2"/>
      <c r="F908" s="2"/>
      <c r="G908" s="2"/>
      <c r="H908" s="2"/>
      <c r="I908" s="2"/>
      <c r="J908" s="156"/>
      <c r="K908" s="2"/>
      <c r="L908" s="2"/>
      <c r="M908" s="2"/>
      <c r="N908" s="2"/>
      <c r="O908" s="2"/>
      <c r="P908" s="2"/>
      <c r="Q908" s="157"/>
      <c r="R908" s="157"/>
      <c r="S908" s="157"/>
      <c r="T908" s="158"/>
      <c r="U908" s="2"/>
      <c r="V908" s="30"/>
      <c r="W908" s="2"/>
      <c r="X908" s="2"/>
      <c r="Y908" s="2"/>
      <c r="Z908" s="2"/>
    </row>
    <row r="909" ht="13.5" customHeight="1">
      <c r="A909" s="2"/>
      <c r="B909" s="2"/>
      <c r="C909" s="2"/>
      <c r="D909" s="2"/>
      <c r="E909" s="2"/>
      <c r="F909" s="2"/>
      <c r="G909" s="2"/>
      <c r="H909" s="2"/>
      <c r="I909" s="2"/>
      <c r="J909" s="156"/>
      <c r="K909" s="2"/>
      <c r="L909" s="2"/>
      <c r="M909" s="2"/>
      <c r="N909" s="2"/>
      <c r="O909" s="2"/>
      <c r="P909" s="2"/>
      <c r="Q909" s="157"/>
      <c r="R909" s="157"/>
      <c r="S909" s="157"/>
      <c r="T909" s="158"/>
      <c r="U909" s="2"/>
      <c r="V909" s="30"/>
      <c r="W909" s="2"/>
      <c r="X909" s="2"/>
      <c r="Y909" s="2"/>
      <c r="Z909" s="2"/>
    </row>
    <row r="910" ht="13.5" customHeight="1">
      <c r="A910" s="2"/>
      <c r="B910" s="2"/>
      <c r="C910" s="2"/>
      <c r="D910" s="2"/>
      <c r="E910" s="2"/>
      <c r="F910" s="2"/>
      <c r="G910" s="2"/>
      <c r="H910" s="2"/>
      <c r="I910" s="2"/>
      <c r="J910" s="156"/>
      <c r="K910" s="2"/>
      <c r="L910" s="2"/>
      <c r="M910" s="2"/>
      <c r="N910" s="2"/>
      <c r="O910" s="2"/>
      <c r="P910" s="2"/>
      <c r="Q910" s="157"/>
      <c r="R910" s="157"/>
      <c r="S910" s="157"/>
      <c r="T910" s="158"/>
      <c r="U910" s="2"/>
      <c r="V910" s="30"/>
      <c r="W910" s="2"/>
      <c r="X910" s="2"/>
      <c r="Y910" s="2"/>
      <c r="Z910" s="2"/>
    </row>
    <row r="911" ht="13.5" customHeight="1">
      <c r="A911" s="2"/>
      <c r="B911" s="2"/>
      <c r="C911" s="2"/>
      <c r="D911" s="2"/>
      <c r="E911" s="2"/>
      <c r="F911" s="2"/>
      <c r="G911" s="2"/>
      <c r="H911" s="2"/>
      <c r="I911" s="2"/>
      <c r="J911" s="156"/>
      <c r="K911" s="2"/>
      <c r="L911" s="2"/>
      <c r="M911" s="2"/>
      <c r="N911" s="2"/>
      <c r="O911" s="2"/>
      <c r="P911" s="2"/>
      <c r="Q911" s="157"/>
      <c r="R911" s="157"/>
      <c r="S911" s="157"/>
      <c r="T911" s="158"/>
      <c r="U911" s="2"/>
      <c r="V911" s="30"/>
      <c r="W911" s="2"/>
      <c r="X911" s="2"/>
      <c r="Y911" s="2"/>
      <c r="Z911" s="2"/>
    </row>
    <row r="912" ht="13.5" customHeight="1">
      <c r="A912" s="2"/>
      <c r="B912" s="2"/>
      <c r="C912" s="2"/>
      <c r="D912" s="2"/>
      <c r="E912" s="2"/>
      <c r="F912" s="2"/>
      <c r="G912" s="2"/>
      <c r="H912" s="2"/>
      <c r="I912" s="2"/>
      <c r="J912" s="156"/>
      <c r="K912" s="2"/>
      <c r="L912" s="2"/>
      <c r="M912" s="2"/>
      <c r="N912" s="2"/>
      <c r="O912" s="2"/>
      <c r="P912" s="2"/>
      <c r="Q912" s="157"/>
      <c r="R912" s="157"/>
      <c r="S912" s="157"/>
      <c r="T912" s="158"/>
      <c r="U912" s="2"/>
      <c r="V912" s="30"/>
      <c r="W912" s="2"/>
      <c r="X912" s="2"/>
      <c r="Y912" s="2"/>
      <c r="Z912" s="2"/>
    </row>
    <row r="913" ht="13.5" customHeight="1">
      <c r="A913" s="2"/>
      <c r="B913" s="2"/>
      <c r="C913" s="2"/>
      <c r="D913" s="2"/>
      <c r="E913" s="2"/>
      <c r="F913" s="2"/>
      <c r="G913" s="2"/>
      <c r="H913" s="2"/>
      <c r="I913" s="2"/>
      <c r="J913" s="156"/>
      <c r="K913" s="2"/>
      <c r="L913" s="2"/>
      <c r="M913" s="2"/>
      <c r="N913" s="2"/>
      <c r="O913" s="2"/>
      <c r="P913" s="2"/>
      <c r="Q913" s="157"/>
      <c r="R913" s="157"/>
      <c r="S913" s="157"/>
      <c r="T913" s="158"/>
      <c r="U913" s="2"/>
      <c r="V913" s="30"/>
      <c r="W913" s="2"/>
      <c r="X913" s="2"/>
      <c r="Y913" s="2"/>
      <c r="Z913" s="2"/>
    </row>
    <row r="914" ht="13.5" customHeight="1">
      <c r="A914" s="2"/>
      <c r="B914" s="2"/>
      <c r="C914" s="2"/>
      <c r="D914" s="2"/>
      <c r="E914" s="2"/>
      <c r="F914" s="2"/>
      <c r="G914" s="2"/>
      <c r="H914" s="2"/>
      <c r="I914" s="2"/>
      <c r="J914" s="156"/>
      <c r="K914" s="2"/>
      <c r="L914" s="2"/>
      <c r="M914" s="2"/>
      <c r="N914" s="2"/>
      <c r="O914" s="2"/>
      <c r="P914" s="2"/>
      <c r="Q914" s="157"/>
      <c r="R914" s="157"/>
      <c r="S914" s="157"/>
      <c r="T914" s="158"/>
      <c r="U914" s="2"/>
      <c r="V914" s="30"/>
      <c r="W914" s="2"/>
      <c r="X914" s="2"/>
      <c r="Y914" s="2"/>
      <c r="Z914" s="2"/>
    </row>
    <row r="915" ht="13.5" customHeight="1">
      <c r="A915" s="2"/>
      <c r="B915" s="2"/>
      <c r="C915" s="2"/>
      <c r="D915" s="2"/>
      <c r="E915" s="2"/>
      <c r="F915" s="2"/>
      <c r="G915" s="2"/>
      <c r="H915" s="2"/>
      <c r="I915" s="2"/>
      <c r="J915" s="156"/>
      <c r="K915" s="2"/>
      <c r="L915" s="2"/>
      <c r="M915" s="2"/>
      <c r="N915" s="2"/>
      <c r="O915" s="2"/>
      <c r="P915" s="2"/>
      <c r="Q915" s="157"/>
      <c r="R915" s="157"/>
      <c r="S915" s="157"/>
      <c r="T915" s="158"/>
      <c r="U915" s="2"/>
      <c r="V915" s="30"/>
      <c r="W915" s="2"/>
      <c r="X915" s="2"/>
      <c r="Y915" s="2"/>
      <c r="Z915" s="2"/>
    </row>
    <row r="916" ht="13.5" customHeight="1">
      <c r="A916" s="2"/>
      <c r="B916" s="2"/>
      <c r="C916" s="2"/>
      <c r="D916" s="2"/>
      <c r="E916" s="2"/>
      <c r="F916" s="2"/>
      <c r="G916" s="2"/>
      <c r="H916" s="2"/>
      <c r="I916" s="2"/>
      <c r="J916" s="156"/>
      <c r="K916" s="2"/>
      <c r="L916" s="2"/>
      <c r="M916" s="2"/>
      <c r="N916" s="2"/>
      <c r="O916" s="2"/>
      <c r="P916" s="2"/>
      <c r="Q916" s="157"/>
      <c r="R916" s="157"/>
      <c r="S916" s="157"/>
      <c r="T916" s="158"/>
      <c r="U916" s="2"/>
      <c r="V916" s="30"/>
      <c r="W916" s="2"/>
      <c r="X916" s="2"/>
      <c r="Y916" s="2"/>
      <c r="Z916" s="2"/>
    </row>
    <row r="917" ht="13.5" customHeight="1">
      <c r="A917" s="2"/>
      <c r="B917" s="2"/>
      <c r="C917" s="2"/>
      <c r="D917" s="2"/>
      <c r="E917" s="2"/>
      <c r="F917" s="2"/>
      <c r="G917" s="2"/>
      <c r="H917" s="2"/>
      <c r="I917" s="2"/>
      <c r="J917" s="156"/>
      <c r="K917" s="2"/>
      <c r="L917" s="2"/>
      <c r="M917" s="2"/>
      <c r="N917" s="2"/>
      <c r="O917" s="2"/>
      <c r="P917" s="2"/>
      <c r="Q917" s="157"/>
      <c r="R917" s="157"/>
      <c r="S917" s="157"/>
      <c r="T917" s="158"/>
      <c r="U917" s="2"/>
      <c r="V917" s="30"/>
      <c r="W917" s="2"/>
      <c r="X917" s="2"/>
      <c r="Y917" s="2"/>
      <c r="Z917" s="2"/>
    </row>
    <row r="918" ht="13.5" customHeight="1">
      <c r="A918" s="2"/>
      <c r="B918" s="2"/>
      <c r="C918" s="2"/>
      <c r="D918" s="2"/>
      <c r="E918" s="2"/>
      <c r="F918" s="2"/>
      <c r="G918" s="2"/>
      <c r="H918" s="2"/>
      <c r="I918" s="2"/>
      <c r="J918" s="156"/>
      <c r="K918" s="2"/>
      <c r="L918" s="2"/>
      <c r="M918" s="2"/>
      <c r="N918" s="2"/>
      <c r="O918" s="2"/>
      <c r="P918" s="2"/>
      <c r="Q918" s="157"/>
      <c r="R918" s="157"/>
      <c r="S918" s="157"/>
      <c r="T918" s="158"/>
      <c r="U918" s="2"/>
      <c r="V918" s="30"/>
      <c r="W918" s="2"/>
      <c r="X918" s="2"/>
      <c r="Y918" s="2"/>
      <c r="Z918" s="2"/>
    </row>
    <row r="919" ht="13.5" customHeight="1">
      <c r="A919" s="2"/>
      <c r="B919" s="2"/>
      <c r="C919" s="2"/>
      <c r="D919" s="2"/>
      <c r="E919" s="2"/>
      <c r="F919" s="2"/>
      <c r="G919" s="2"/>
      <c r="H919" s="2"/>
      <c r="I919" s="2"/>
      <c r="J919" s="156"/>
      <c r="K919" s="2"/>
      <c r="L919" s="2"/>
      <c r="M919" s="2"/>
      <c r="N919" s="2"/>
      <c r="O919" s="2"/>
      <c r="P919" s="2"/>
      <c r="Q919" s="157"/>
      <c r="R919" s="157"/>
      <c r="S919" s="157"/>
      <c r="T919" s="158"/>
      <c r="U919" s="2"/>
      <c r="V919" s="30"/>
      <c r="W919" s="2"/>
      <c r="X919" s="2"/>
      <c r="Y919" s="2"/>
      <c r="Z919" s="2"/>
    </row>
    <row r="920" ht="13.5" customHeight="1">
      <c r="A920" s="2"/>
      <c r="B920" s="2"/>
      <c r="C920" s="2"/>
      <c r="D920" s="2"/>
      <c r="E920" s="2"/>
      <c r="F920" s="2"/>
      <c r="G920" s="2"/>
      <c r="H920" s="2"/>
      <c r="I920" s="2"/>
      <c r="J920" s="156"/>
      <c r="K920" s="2"/>
      <c r="L920" s="2"/>
      <c r="M920" s="2"/>
      <c r="N920" s="2"/>
      <c r="O920" s="2"/>
      <c r="P920" s="2"/>
      <c r="Q920" s="157"/>
      <c r="R920" s="157"/>
      <c r="S920" s="157"/>
      <c r="T920" s="158"/>
      <c r="U920" s="2"/>
      <c r="V920" s="30"/>
      <c r="W920" s="2"/>
      <c r="X920" s="2"/>
      <c r="Y920" s="2"/>
      <c r="Z920" s="2"/>
    </row>
    <row r="921" ht="13.5" customHeight="1">
      <c r="A921" s="2"/>
      <c r="B921" s="2"/>
      <c r="C921" s="2"/>
      <c r="D921" s="2"/>
      <c r="E921" s="2"/>
      <c r="F921" s="2"/>
      <c r="G921" s="2"/>
      <c r="H921" s="2"/>
      <c r="I921" s="2"/>
      <c r="J921" s="156"/>
      <c r="K921" s="2"/>
      <c r="L921" s="2"/>
      <c r="M921" s="2"/>
      <c r="N921" s="2"/>
      <c r="O921" s="2"/>
      <c r="P921" s="2"/>
      <c r="Q921" s="157"/>
      <c r="R921" s="157"/>
      <c r="S921" s="157"/>
      <c r="T921" s="158"/>
      <c r="U921" s="2"/>
      <c r="V921" s="30"/>
      <c r="W921" s="2"/>
      <c r="X921" s="2"/>
      <c r="Y921" s="2"/>
      <c r="Z921" s="2"/>
    </row>
    <row r="922" ht="13.5" customHeight="1">
      <c r="A922" s="2"/>
      <c r="B922" s="2"/>
      <c r="C922" s="2"/>
      <c r="D922" s="2"/>
      <c r="E922" s="2"/>
      <c r="F922" s="2"/>
      <c r="G922" s="2"/>
      <c r="H922" s="2"/>
      <c r="I922" s="2"/>
      <c r="J922" s="156"/>
      <c r="K922" s="2"/>
      <c r="L922" s="2"/>
      <c r="M922" s="2"/>
      <c r="N922" s="2"/>
      <c r="O922" s="2"/>
      <c r="P922" s="2"/>
      <c r="Q922" s="157"/>
      <c r="R922" s="157"/>
      <c r="S922" s="157"/>
      <c r="T922" s="158"/>
      <c r="U922" s="2"/>
      <c r="V922" s="30"/>
      <c r="W922" s="2"/>
      <c r="X922" s="2"/>
      <c r="Y922" s="2"/>
      <c r="Z922" s="2"/>
    </row>
    <row r="923" ht="13.5" customHeight="1">
      <c r="A923" s="2"/>
      <c r="B923" s="2"/>
      <c r="C923" s="2"/>
      <c r="D923" s="2"/>
      <c r="E923" s="2"/>
      <c r="F923" s="2"/>
      <c r="G923" s="2"/>
      <c r="H923" s="2"/>
      <c r="I923" s="2"/>
      <c r="J923" s="156"/>
      <c r="K923" s="2"/>
      <c r="L923" s="2"/>
      <c r="M923" s="2"/>
      <c r="N923" s="2"/>
      <c r="O923" s="2"/>
      <c r="P923" s="2"/>
      <c r="Q923" s="157"/>
      <c r="R923" s="157"/>
      <c r="S923" s="157"/>
      <c r="T923" s="158"/>
      <c r="U923" s="2"/>
      <c r="V923" s="30"/>
      <c r="W923" s="2"/>
      <c r="X923" s="2"/>
      <c r="Y923" s="2"/>
      <c r="Z923" s="2"/>
    </row>
    <row r="924" ht="13.5" customHeight="1">
      <c r="A924" s="2"/>
      <c r="B924" s="2"/>
      <c r="C924" s="2"/>
      <c r="D924" s="2"/>
      <c r="E924" s="2"/>
      <c r="F924" s="2"/>
      <c r="G924" s="2"/>
      <c r="H924" s="2"/>
      <c r="I924" s="2"/>
      <c r="J924" s="156"/>
      <c r="K924" s="2"/>
      <c r="L924" s="2"/>
      <c r="M924" s="2"/>
      <c r="N924" s="2"/>
      <c r="O924" s="2"/>
      <c r="P924" s="2"/>
      <c r="Q924" s="157"/>
      <c r="R924" s="157"/>
      <c r="S924" s="157"/>
      <c r="T924" s="158"/>
      <c r="U924" s="2"/>
      <c r="V924" s="30"/>
      <c r="W924" s="2"/>
      <c r="X924" s="2"/>
      <c r="Y924" s="2"/>
      <c r="Z924" s="2"/>
    </row>
    <row r="925" ht="13.5" customHeight="1">
      <c r="A925" s="2"/>
      <c r="B925" s="2"/>
      <c r="C925" s="2"/>
      <c r="D925" s="2"/>
      <c r="E925" s="2"/>
      <c r="F925" s="2"/>
      <c r="G925" s="2"/>
      <c r="H925" s="2"/>
      <c r="I925" s="2"/>
      <c r="J925" s="156"/>
      <c r="K925" s="2"/>
      <c r="L925" s="2"/>
      <c r="M925" s="2"/>
      <c r="N925" s="2"/>
      <c r="O925" s="2"/>
      <c r="P925" s="2"/>
      <c r="Q925" s="157"/>
      <c r="R925" s="157"/>
      <c r="S925" s="157"/>
      <c r="T925" s="158"/>
      <c r="U925" s="2"/>
      <c r="V925" s="30"/>
      <c r="W925" s="2"/>
      <c r="X925" s="2"/>
      <c r="Y925" s="2"/>
      <c r="Z925" s="2"/>
    </row>
    <row r="926" ht="13.5" customHeight="1">
      <c r="A926" s="2"/>
      <c r="B926" s="2"/>
      <c r="C926" s="2"/>
      <c r="D926" s="2"/>
      <c r="E926" s="2"/>
      <c r="F926" s="2"/>
      <c r="G926" s="2"/>
      <c r="H926" s="2"/>
      <c r="I926" s="2"/>
      <c r="J926" s="156"/>
      <c r="K926" s="2"/>
      <c r="L926" s="2"/>
      <c r="M926" s="2"/>
      <c r="N926" s="2"/>
      <c r="O926" s="2"/>
      <c r="P926" s="2"/>
      <c r="Q926" s="157"/>
      <c r="R926" s="157"/>
      <c r="S926" s="157"/>
      <c r="T926" s="158"/>
      <c r="U926" s="2"/>
      <c r="V926" s="30"/>
      <c r="W926" s="2"/>
      <c r="X926" s="2"/>
      <c r="Y926" s="2"/>
      <c r="Z926" s="2"/>
    </row>
    <row r="927" ht="13.5" customHeight="1">
      <c r="A927" s="2"/>
      <c r="B927" s="2"/>
      <c r="C927" s="2"/>
      <c r="D927" s="2"/>
      <c r="E927" s="2"/>
      <c r="F927" s="2"/>
      <c r="G927" s="2"/>
      <c r="H927" s="2"/>
      <c r="I927" s="2"/>
      <c r="J927" s="156"/>
      <c r="K927" s="2"/>
      <c r="L927" s="2"/>
      <c r="M927" s="2"/>
      <c r="N927" s="2"/>
      <c r="O927" s="2"/>
      <c r="P927" s="2"/>
      <c r="Q927" s="157"/>
      <c r="R927" s="157"/>
      <c r="S927" s="157"/>
      <c r="T927" s="158"/>
      <c r="U927" s="2"/>
      <c r="V927" s="30"/>
      <c r="W927" s="2"/>
      <c r="X927" s="2"/>
      <c r="Y927" s="2"/>
      <c r="Z927" s="2"/>
    </row>
    <row r="928" ht="13.5" customHeight="1">
      <c r="A928" s="2"/>
      <c r="B928" s="2"/>
      <c r="C928" s="2"/>
      <c r="D928" s="2"/>
      <c r="E928" s="2"/>
      <c r="F928" s="2"/>
      <c r="G928" s="2"/>
      <c r="H928" s="2"/>
      <c r="I928" s="2"/>
      <c r="J928" s="156"/>
      <c r="K928" s="2"/>
      <c r="L928" s="2"/>
      <c r="M928" s="2"/>
      <c r="N928" s="2"/>
      <c r="O928" s="2"/>
      <c r="P928" s="2"/>
      <c r="Q928" s="157"/>
      <c r="R928" s="157"/>
      <c r="S928" s="157"/>
      <c r="T928" s="158"/>
      <c r="U928" s="2"/>
      <c r="V928" s="30"/>
      <c r="W928" s="2"/>
      <c r="X928" s="2"/>
      <c r="Y928" s="2"/>
      <c r="Z928" s="2"/>
    </row>
    <row r="929" ht="13.5" customHeight="1">
      <c r="A929" s="2"/>
      <c r="B929" s="2"/>
      <c r="C929" s="2"/>
      <c r="D929" s="2"/>
      <c r="E929" s="2"/>
      <c r="F929" s="2"/>
      <c r="G929" s="2"/>
      <c r="H929" s="2"/>
      <c r="I929" s="2"/>
      <c r="J929" s="156"/>
      <c r="K929" s="2"/>
      <c r="L929" s="2"/>
      <c r="M929" s="2"/>
      <c r="N929" s="2"/>
      <c r="O929" s="2"/>
      <c r="P929" s="2"/>
      <c r="Q929" s="157"/>
      <c r="R929" s="157"/>
      <c r="S929" s="157"/>
      <c r="T929" s="158"/>
      <c r="U929" s="2"/>
      <c r="V929" s="30"/>
      <c r="W929" s="2"/>
      <c r="X929" s="2"/>
      <c r="Y929" s="2"/>
      <c r="Z929" s="2"/>
    </row>
    <row r="930" ht="13.5" customHeight="1">
      <c r="A930" s="2"/>
      <c r="B930" s="2"/>
      <c r="C930" s="2"/>
      <c r="D930" s="2"/>
      <c r="E930" s="2"/>
      <c r="F930" s="2"/>
      <c r="G930" s="2"/>
      <c r="H930" s="2"/>
      <c r="I930" s="2"/>
      <c r="J930" s="156"/>
      <c r="K930" s="2"/>
      <c r="L930" s="2"/>
      <c r="M930" s="2"/>
      <c r="N930" s="2"/>
      <c r="O930" s="2"/>
      <c r="P930" s="2"/>
      <c r="Q930" s="157"/>
      <c r="R930" s="157"/>
      <c r="S930" s="157"/>
      <c r="T930" s="158"/>
      <c r="U930" s="2"/>
      <c r="V930" s="30"/>
      <c r="W930" s="2"/>
      <c r="X930" s="2"/>
      <c r="Y930" s="2"/>
      <c r="Z930" s="2"/>
    </row>
    <row r="931" ht="13.5" customHeight="1">
      <c r="A931" s="2"/>
      <c r="B931" s="2"/>
      <c r="C931" s="2"/>
      <c r="D931" s="2"/>
      <c r="E931" s="2"/>
      <c r="F931" s="2"/>
      <c r="G931" s="2"/>
      <c r="H931" s="2"/>
      <c r="I931" s="2"/>
      <c r="J931" s="156"/>
      <c r="K931" s="2"/>
      <c r="L931" s="2"/>
      <c r="M931" s="2"/>
      <c r="N931" s="2"/>
      <c r="O931" s="2"/>
      <c r="P931" s="2"/>
      <c r="Q931" s="157"/>
      <c r="R931" s="157"/>
      <c r="S931" s="157"/>
      <c r="T931" s="158"/>
      <c r="U931" s="2"/>
      <c r="V931" s="30"/>
      <c r="W931" s="2"/>
      <c r="X931" s="2"/>
      <c r="Y931" s="2"/>
      <c r="Z931" s="2"/>
    </row>
    <row r="932" ht="13.5" customHeight="1">
      <c r="A932" s="2"/>
      <c r="B932" s="2"/>
      <c r="C932" s="2"/>
      <c r="D932" s="2"/>
      <c r="E932" s="2"/>
      <c r="F932" s="2"/>
      <c r="G932" s="2"/>
      <c r="H932" s="2"/>
      <c r="I932" s="2"/>
      <c r="J932" s="156"/>
      <c r="K932" s="2"/>
      <c r="L932" s="2"/>
      <c r="M932" s="2"/>
      <c r="N932" s="2"/>
      <c r="O932" s="2"/>
      <c r="P932" s="2"/>
      <c r="Q932" s="157"/>
      <c r="R932" s="157"/>
      <c r="S932" s="157"/>
      <c r="T932" s="158"/>
      <c r="U932" s="2"/>
      <c r="V932" s="30"/>
      <c r="W932" s="2"/>
      <c r="X932" s="2"/>
      <c r="Y932" s="2"/>
      <c r="Z932" s="2"/>
    </row>
    <row r="933" ht="13.5" customHeight="1">
      <c r="A933" s="2"/>
      <c r="B933" s="2"/>
      <c r="C933" s="2"/>
      <c r="D933" s="2"/>
      <c r="E933" s="2"/>
      <c r="F933" s="2"/>
      <c r="G933" s="2"/>
      <c r="H933" s="2"/>
      <c r="I933" s="2"/>
      <c r="J933" s="156"/>
      <c r="K933" s="2"/>
      <c r="L933" s="2"/>
      <c r="M933" s="2"/>
      <c r="N933" s="2"/>
      <c r="O933" s="2"/>
      <c r="P933" s="2"/>
      <c r="Q933" s="157"/>
      <c r="R933" s="157"/>
      <c r="S933" s="157"/>
      <c r="T933" s="158"/>
      <c r="U933" s="2"/>
      <c r="V933" s="30"/>
      <c r="W933" s="2"/>
      <c r="X933" s="2"/>
      <c r="Y933" s="2"/>
      <c r="Z933" s="2"/>
    </row>
    <row r="934" ht="13.5" customHeight="1">
      <c r="A934" s="2"/>
      <c r="B934" s="2"/>
      <c r="C934" s="2"/>
      <c r="D934" s="2"/>
      <c r="E934" s="2"/>
      <c r="F934" s="2"/>
      <c r="G934" s="2"/>
      <c r="H934" s="2"/>
      <c r="I934" s="2"/>
      <c r="J934" s="156"/>
      <c r="K934" s="2"/>
      <c r="L934" s="2"/>
      <c r="M934" s="2"/>
      <c r="N934" s="2"/>
      <c r="O934" s="2"/>
      <c r="P934" s="2"/>
      <c r="Q934" s="157"/>
      <c r="R934" s="157"/>
      <c r="S934" s="157"/>
      <c r="T934" s="158"/>
      <c r="U934" s="2"/>
      <c r="V934" s="30"/>
      <c r="W934" s="2"/>
      <c r="X934" s="2"/>
      <c r="Y934" s="2"/>
      <c r="Z934" s="2"/>
    </row>
    <row r="935" ht="13.5" customHeight="1">
      <c r="A935" s="2"/>
      <c r="B935" s="2"/>
      <c r="C935" s="2"/>
      <c r="D935" s="2"/>
      <c r="E935" s="2"/>
      <c r="F935" s="2"/>
      <c r="G935" s="2"/>
      <c r="H935" s="2"/>
      <c r="I935" s="2"/>
      <c r="J935" s="156"/>
      <c r="K935" s="2"/>
      <c r="L935" s="2"/>
      <c r="M935" s="2"/>
      <c r="N935" s="2"/>
      <c r="O935" s="2"/>
      <c r="P935" s="2"/>
      <c r="Q935" s="157"/>
      <c r="R935" s="157"/>
      <c r="S935" s="157"/>
      <c r="T935" s="158"/>
      <c r="U935" s="2"/>
      <c r="V935" s="30"/>
      <c r="W935" s="2"/>
      <c r="X935" s="2"/>
      <c r="Y935" s="2"/>
      <c r="Z935" s="2"/>
    </row>
    <row r="936" ht="13.5" customHeight="1">
      <c r="A936" s="2"/>
      <c r="B936" s="2"/>
      <c r="C936" s="2"/>
      <c r="D936" s="2"/>
      <c r="E936" s="2"/>
      <c r="F936" s="2"/>
      <c r="G936" s="2"/>
      <c r="H936" s="2"/>
      <c r="I936" s="2"/>
      <c r="J936" s="156"/>
      <c r="K936" s="2"/>
      <c r="L936" s="2"/>
      <c r="M936" s="2"/>
      <c r="N936" s="2"/>
      <c r="O936" s="2"/>
      <c r="P936" s="2"/>
      <c r="Q936" s="157"/>
      <c r="R936" s="157"/>
      <c r="S936" s="157"/>
      <c r="T936" s="158"/>
      <c r="U936" s="2"/>
      <c r="V936" s="30"/>
      <c r="W936" s="2"/>
      <c r="X936" s="2"/>
      <c r="Y936" s="2"/>
      <c r="Z936" s="2"/>
    </row>
    <row r="937" ht="13.5" customHeight="1">
      <c r="A937" s="2"/>
      <c r="B937" s="2"/>
      <c r="C937" s="2"/>
      <c r="D937" s="2"/>
      <c r="E937" s="2"/>
      <c r="F937" s="2"/>
      <c r="G937" s="2"/>
      <c r="H937" s="2"/>
      <c r="I937" s="2"/>
      <c r="J937" s="156"/>
      <c r="K937" s="2"/>
      <c r="L937" s="2"/>
      <c r="M937" s="2"/>
      <c r="N937" s="2"/>
      <c r="O937" s="2"/>
      <c r="P937" s="2"/>
      <c r="Q937" s="157"/>
      <c r="R937" s="157"/>
      <c r="S937" s="157"/>
      <c r="T937" s="158"/>
      <c r="U937" s="2"/>
      <c r="V937" s="30"/>
      <c r="W937" s="2"/>
      <c r="X937" s="2"/>
      <c r="Y937" s="2"/>
      <c r="Z937" s="2"/>
    </row>
    <row r="938" ht="13.5" customHeight="1">
      <c r="A938" s="2"/>
      <c r="B938" s="2"/>
      <c r="C938" s="2"/>
      <c r="D938" s="2"/>
      <c r="E938" s="2"/>
      <c r="F938" s="2"/>
      <c r="G938" s="2"/>
      <c r="H938" s="2"/>
      <c r="I938" s="2"/>
      <c r="J938" s="156"/>
      <c r="K938" s="2"/>
      <c r="L938" s="2"/>
      <c r="M938" s="2"/>
      <c r="N938" s="2"/>
      <c r="O938" s="2"/>
      <c r="P938" s="2"/>
      <c r="Q938" s="157"/>
      <c r="R938" s="157"/>
      <c r="S938" s="157"/>
      <c r="T938" s="158"/>
      <c r="U938" s="2"/>
      <c r="V938" s="30"/>
      <c r="W938" s="2"/>
      <c r="X938" s="2"/>
      <c r="Y938" s="2"/>
      <c r="Z938" s="2"/>
    </row>
    <row r="939" ht="13.5" customHeight="1">
      <c r="A939" s="2"/>
      <c r="B939" s="2"/>
      <c r="C939" s="2"/>
      <c r="D939" s="2"/>
      <c r="E939" s="2"/>
      <c r="F939" s="2"/>
      <c r="G939" s="2"/>
      <c r="H939" s="2"/>
      <c r="I939" s="2"/>
      <c r="J939" s="156"/>
      <c r="K939" s="2"/>
      <c r="L939" s="2"/>
      <c r="M939" s="2"/>
      <c r="N939" s="2"/>
      <c r="O939" s="2"/>
      <c r="P939" s="2"/>
      <c r="Q939" s="157"/>
      <c r="R939" s="157"/>
      <c r="S939" s="157"/>
      <c r="T939" s="158"/>
      <c r="U939" s="2"/>
      <c r="V939" s="30"/>
      <c r="W939" s="2"/>
      <c r="X939" s="2"/>
      <c r="Y939" s="2"/>
      <c r="Z939" s="2"/>
    </row>
    <row r="940" ht="13.5" customHeight="1">
      <c r="A940" s="2"/>
      <c r="B940" s="2"/>
      <c r="C940" s="2"/>
      <c r="D940" s="2"/>
      <c r="E940" s="2"/>
      <c r="F940" s="2"/>
      <c r="G940" s="2"/>
      <c r="H940" s="2"/>
      <c r="I940" s="2"/>
      <c r="J940" s="156"/>
      <c r="K940" s="2"/>
      <c r="L940" s="2"/>
      <c r="M940" s="2"/>
      <c r="N940" s="2"/>
      <c r="O940" s="2"/>
      <c r="P940" s="2"/>
      <c r="Q940" s="157"/>
      <c r="R940" s="157"/>
      <c r="S940" s="157"/>
      <c r="T940" s="158"/>
      <c r="U940" s="2"/>
      <c r="V940" s="30"/>
      <c r="W940" s="2"/>
      <c r="X940" s="2"/>
      <c r="Y940" s="2"/>
      <c r="Z940" s="2"/>
    </row>
    <row r="941" ht="13.5" customHeight="1">
      <c r="A941" s="2"/>
      <c r="B941" s="2"/>
      <c r="C941" s="2"/>
      <c r="D941" s="2"/>
      <c r="E941" s="2"/>
      <c r="F941" s="2"/>
      <c r="G941" s="2"/>
      <c r="H941" s="2"/>
      <c r="I941" s="2"/>
      <c r="J941" s="156"/>
      <c r="K941" s="2"/>
      <c r="L941" s="2"/>
      <c r="M941" s="2"/>
      <c r="N941" s="2"/>
      <c r="O941" s="2"/>
      <c r="P941" s="2"/>
      <c r="Q941" s="157"/>
      <c r="R941" s="157"/>
      <c r="S941" s="157"/>
      <c r="T941" s="158"/>
      <c r="U941" s="2"/>
      <c r="V941" s="30"/>
      <c r="W941" s="2"/>
      <c r="X941" s="2"/>
      <c r="Y941" s="2"/>
      <c r="Z941" s="2"/>
    </row>
    <row r="942" ht="13.5" customHeight="1">
      <c r="A942" s="2"/>
      <c r="B942" s="2"/>
      <c r="C942" s="2"/>
      <c r="D942" s="2"/>
      <c r="E942" s="2"/>
      <c r="F942" s="2"/>
      <c r="G942" s="2"/>
      <c r="H942" s="2"/>
      <c r="I942" s="2"/>
      <c r="J942" s="156"/>
      <c r="K942" s="2"/>
      <c r="L942" s="2"/>
      <c r="M942" s="2"/>
      <c r="N942" s="2"/>
      <c r="O942" s="2"/>
      <c r="P942" s="2"/>
      <c r="Q942" s="157"/>
      <c r="R942" s="157"/>
      <c r="S942" s="157"/>
      <c r="T942" s="158"/>
      <c r="U942" s="2"/>
      <c r="V942" s="30"/>
      <c r="W942" s="2"/>
      <c r="X942" s="2"/>
      <c r="Y942" s="2"/>
      <c r="Z942" s="2"/>
    </row>
    <row r="943" ht="13.5" customHeight="1">
      <c r="A943" s="2"/>
      <c r="B943" s="2"/>
      <c r="C943" s="2"/>
      <c r="D943" s="2"/>
      <c r="E943" s="2"/>
      <c r="F943" s="2"/>
      <c r="G943" s="2"/>
      <c r="H943" s="2"/>
      <c r="I943" s="2"/>
      <c r="J943" s="156"/>
      <c r="K943" s="2"/>
      <c r="L943" s="2"/>
      <c r="M943" s="2"/>
      <c r="N943" s="2"/>
      <c r="O943" s="2"/>
      <c r="P943" s="2"/>
      <c r="Q943" s="157"/>
      <c r="R943" s="157"/>
      <c r="S943" s="157"/>
      <c r="T943" s="158"/>
      <c r="U943" s="2"/>
      <c r="V943" s="30"/>
      <c r="W943" s="2"/>
      <c r="X943" s="2"/>
      <c r="Y943" s="2"/>
      <c r="Z943" s="2"/>
    </row>
    <row r="944" ht="13.5" customHeight="1">
      <c r="A944" s="2"/>
      <c r="B944" s="2"/>
      <c r="C944" s="2"/>
      <c r="D944" s="2"/>
      <c r="E944" s="2"/>
      <c r="F944" s="2"/>
      <c r="G944" s="2"/>
      <c r="H944" s="2"/>
      <c r="I944" s="2"/>
      <c r="J944" s="156"/>
      <c r="K944" s="2"/>
      <c r="L944" s="2"/>
      <c r="M944" s="2"/>
      <c r="N944" s="2"/>
      <c r="O944" s="2"/>
      <c r="P944" s="2"/>
      <c r="Q944" s="157"/>
      <c r="R944" s="157"/>
      <c r="S944" s="157"/>
      <c r="T944" s="158"/>
      <c r="U944" s="2"/>
      <c r="V944" s="30"/>
      <c r="W944" s="2"/>
      <c r="X944" s="2"/>
      <c r="Y944" s="2"/>
      <c r="Z944" s="2"/>
    </row>
    <row r="945" ht="13.5" customHeight="1">
      <c r="A945" s="2"/>
      <c r="B945" s="2"/>
      <c r="C945" s="2"/>
      <c r="D945" s="2"/>
      <c r="E945" s="2"/>
      <c r="F945" s="2"/>
      <c r="G945" s="2"/>
      <c r="H945" s="2"/>
      <c r="I945" s="2"/>
      <c r="J945" s="156"/>
      <c r="K945" s="2"/>
      <c r="L945" s="2"/>
      <c r="M945" s="2"/>
      <c r="N945" s="2"/>
      <c r="O945" s="2"/>
      <c r="P945" s="2"/>
      <c r="Q945" s="157"/>
      <c r="R945" s="157"/>
      <c r="S945" s="157"/>
      <c r="T945" s="158"/>
      <c r="U945" s="2"/>
      <c r="V945" s="30"/>
      <c r="W945" s="2"/>
      <c r="X945" s="2"/>
      <c r="Y945" s="2"/>
      <c r="Z945" s="2"/>
    </row>
    <row r="946" ht="13.5" customHeight="1">
      <c r="A946" s="2"/>
      <c r="B946" s="2"/>
      <c r="C946" s="2"/>
      <c r="D946" s="2"/>
      <c r="E946" s="2"/>
      <c r="F946" s="2"/>
      <c r="G946" s="2"/>
      <c r="H946" s="2"/>
      <c r="I946" s="2"/>
      <c r="J946" s="156"/>
      <c r="K946" s="2"/>
      <c r="L946" s="2"/>
      <c r="M946" s="2"/>
      <c r="N946" s="2"/>
      <c r="O946" s="2"/>
      <c r="P946" s="2"/>
      <c r="Q946" s="157"/>
      <c r="R946" s="157"/>
      <c r="S946" s="157"/>
      <c r="T946" s="158"/>
      <c r="U946" s="2"/>
      <c r="V946" s="30"/>
      <c r="W946" s="2"/>
      <c r="X946" s="2"/>
      <c r="Y946" s="2"/>
      <c r="Z946" s="2"/>
    </row>
    <row r="947" ht="13.5" customHeight="1">
      <c r="A947" s="2"/>
      <c r="B947" s="2"/>
      <c r="C947" s="2"/>
      <c r="D947" s="2"/>
      <c r="E947" s="2"/>
      <c r="F947" s="2"/>
      <c r="G947" s="2"/>
      <c r="H947" s="2"/>
      <c r="I947" s="2"/>
      <c r="J947" s="156"/>
      <c r="K947" s="2"/>
      <c r="L947" s="2"/>
      <c r="M947" s="2"/>
      <c r="N947" s="2"/>
      <c r="O947" s="2"/>
      <c r="P947" s="2"/>
      <c r="Q947" s="157"/>
      <c r="R947" s="157"/>
      <c r="S947" s="157"/>
      <c r="T947" s="158"/>
      <c r="U947" s="2"/>
      <c r="V947" s="30"/>
      <c r="W947" s="2"/>
      <c r="X947" s="2"/>
      <c r="Y947" s="2"/>
      <c r="Z947" s="2"/>
    </row>
    <row r="948" ht="13.5" customHeight="1">
      <c r="A948" s="2"/>
      <c r="B948" s="2"/>
      <c r="C948" s="2"/>
      <c r="D948" s="2"/>
      <c r="E948" s="2"/>
      <c r="F948" s="2"/>
      <c r="G948" s="2"/>
      <c r="H948" s="2"/>
      <c r="I948" s="2"/>
      <c r="J948" s="156"/>
      <c r="K948" s="2"/>
      <c r="L948" s="2"/>
      <c r="M948" s="2"/>
      <c r="N948" s="2"/>
      <c r="O948" s="2"/>
      <c r="P948" s="2"/>
      <c r="Q948" s="157"/>
      <c r="R948" s="157"/>
      <c r="S948" s="157"/>
      <c r="T948" s="158"/>
      <c r="U948" s="2"/>
      <c r="V948" s="30"/>
      <c r="W948" s="2"/>
      <c r="X948" s="2"/>
      <c r="Y948" s="2"/>
      <c r="Z948" s="2"/>
    </row>
    <row r="949" ht="13.5" customHeight="1">
      <c r="A949" s="2"/>
      <c r="B949" s="2"/>
      <c r="C949" s="2"/>
      <c r="D949" s="2"/>
      <c r="E949" s="2"/>
      <c r="F949" s="2"/>
      <c r="G949" s="2"/>
      <c r="H949" s="2"/>
      <c r="I949" s="2"/>
      <c r="J949" s="156"/>
      <c r="K949" s="2"/>
      <c r="L949" s="2"/>
      <c r="M949" s="2"/>
      <c r="N949" s="2"/>
      <c r="O949" s="2"/>
      <c r="P949" s="2"/>
      <c r="Q949" s="157"/>
      <c r="R949" s="157"/>
      <c r="S949" s="157"/>
      <c r="T949" s="158"/>
      <c r="U949" s="2"/>
      <c r="V949" s="30"/>
      <c r="W949" s="2"/>
      <c r="X949" s="2"/>
      <c r="Y949" s="2"/>
      <c r="Z949" s="2"/>
    </row>
    <row r="950" ht="13.5" customHeight="1">
      <c r="A950" s="2"/>
      <c r="B950" s="2"/>
      <c r="C950" s="2"/>
      <c r="D950" s="2"/>
      <c r="E950" s="2"/>
      <c r="F950" s="2"/>
      <c r="G950" s="2"/>
      <c r="H950" s="2"/>
      <c r="I950" s="2"/>
      <c r="J950" s="156"/>
      <c r="K950" s="2"/>
      <c r="L950" s="2"/>
      <c r="M950" s="2"/>
      <c r="N950" s="2"/>
      <c r="O950" s="2"/>
      <c r="P950" s="2"/>
      <c r="Q950" s="157"/>
      <c r="R950" s="157"/>
      <c r="S950" s="157"/>
      <c r="T950" s="158"/>
      <c r="U950" s="2"/>
      <c r="V950" s="30"/>
      <c r="W950" s="2"/>
      <c r="X950" s="2"/>
      <c r="Y950" s="2"/>
      <c r="Z950" s="2"/>
    </row>
    <row r="951" ht="13.5" customHeight="1">
      <c r="A951" s="2"/>
      <c r="B951" s="2"/>
      <c r="C951" s="2"/>
      <c r="D951" s="2"/>
      <c r="E951" s="2"/>
      <c r="F951" s="2"/>
      <c r="G951" s="2"/>
      <c r="H951" s="2"/>
      <c r="I951" s="2"/>
      <c r="J951" s="156"/>
      <c r="K951" s="2"/>
      <c r="L951" s="2"/>
      <c r="M951" s="2"/>
      <c r="N951" s="2"/>
      <c r="O951" s="2"/>
      <c r="P951" s="2"/>
      <c r="Q951" s="157"/>
      <c r="R951" s="157"/>
      <c r="S951" s="157"/>
      <c r="T951" s="158"/>
      <c r="U951" s="2"/>
      <c r="V951" s="30"/>
      <c r="W951" s="2"/>
      <c r="X951" s="2"/>
      <c r="Y951" s="2"/>
      <c r="Z951" s="2"/>
    </row>
    <row r="952" ht="13.5" customHeight="1">
      <c r="A952" s="2"/>
      <c r="B952" s="2"/>
      <c r="C952" s="2"/>
      <c r="D952" s="2"/>
      <c r="E952" s="2"/>
      <c r="F952" s="2"/>
      <c r="G952" s="2"/>
      <c r="H952" s="2"/>
      <c r="I952" s="2"/>
      <c r="J952" s="156"/>
      <c r="K952" s="2"/>
      <c r="L952" s="2"/>
      <c r="M952" s="2"/>
      <c r="N952" s="2"/>
      <c r="O952" s="2"/>
      <c r="P952" s="2"/>
      <c r="Q952" s="157"/>
      <c r="R952" s="157"/>
      <c r="S952" s="157"/>
      <c r="T952" s="158"/>
      <c r="U952" s="2"/>
      <c r="V952" s="30"/>
      <c r="W952" s="2"/>
      <c r="X952" s="2"/>
      <c r="Y952" s="2"/>
      <c r="Z952" s="2"/>
    </row>
    <row r="953" ht="13.5" customHeight="1">
      <c r="A953" s="2"/>
      <c r="B953" s="2"/>
      <c r="C953" s="2"/>
      <c r="D953" s="2"/>
      <c r="E953" s="2"/>
      <c r="F953" s="2"/>
      <c r="G953" s="2"/>
      <c r="H953" s="2"/>
      <c r="I953" s="2"/>
      <c r="J953" s="156"/>
      <c r="K953" s="2"/>
      <c r="L953" s="2"/>
      <c r="M953" s="2"/>
      <c r="N953" s="2"/>
      <c r="O953" s="2"/>
      <c r="P953" s="2"/>
      <c r="Q953" s="157"/>
      <c r="R953" s="157"/>
      <c r="S953" s="157"/>
      <c r="T953" s="158"/>
      <c r="U953" s="2"/>
      <c r="V953" s="30"/>
      <c r="W953" s="2"/>
      <c r="X953" s="2"/>
      <c r="Y953" s="2"/>
      <c r="Z953" s="2"/>
    </row>
    <row r="954" ht="13.5" customHeight="1">
      <c r="A954" s="2"/>
      <c r="B954" s="2"/>
      <c r="C954" s="2"/>
      <c r="D954" s="2"/>
      <c r="E954" s="2"/>
      <c r="F954" s="2"/>
      <c r="G954" s="2"/>
      <c r="H954" s="2"/>
      <c r="I954" s="2"/>
      <c r="J954" s="156"/>
      <c r="K954" s="2"/>
      <c r="L954" s="2"/>
      <c r="M954" s="2"/>
      <c r="N954" s="2"/>
      <c r="O954" s="2"/>
      <c r="P954" s="2"/>
      <c r="Q954" s="157"/>
      <c r="R954" s="157"/>
      <c r="S954" s="157"/>
      <c r="T954" s="158"/>
      <c r="U954" s="2"/>
      <c r="V954" s="30"/>
      <c r="W954" s="2"/>
      <c r="X954" s="2"/>
      <c r="Y954" s="2"/>
      <c r="Z954" s="2"/>
    </row>
    <row r="955" ht="13.5" customHeight="1">
      <c r="A955" s="2"/>
      <c r="B955" s="2"/>
      <c r="C955" s="2"/>
      <c r="D955" s="2"/>
      <c r="E955" s="2"/>
      <c r="F955" s="2"/>
      <c r="G955" s="2"/>
      <c r="H955" s="2"/>
      <c r="I955" s="2"/>
      <c r="J955" s="156"/>
      <c r="K955" s="2"/>
      <c r="L955" s="2"/>
      <c r="M955" s="2"/>
      <c r="N955" s="2"/>
      <c r="O955" s="2"/>
      <c r="P955" s="2"/>
      <c r="Q955" s="157"/>
      <c r="R955" s="157"/>
      <c r="S955" s="157"/>
      <c r="T955" s="158"/>
      <c r="U955" s="2"/>
      <c r="V955" s="30"/>
      <c r="W955" s="2"/>
      <c r="X955" s="2"/>
      <c r="Y955" s="2"/>
      <c r="Z955" s="2"/>
    </row>
    <row r="956" ht="13.5" customHeight="1">
      <c r="A956" s="2"/>
      <c r="B956" s="2"/>
      <c r="C956" s="2"/>
      <c r="D956" s="2"/>
      <c r="E956" s="2"/>
      <c r="F956" s="2"/>
      <c r="G956" s="2"/>
      <c r="H956" s="2"/>
      <c r="I956" s="2"/>
      <c r="J956" s="156"/>
      <c r="K956" s="2"/>
      <c r="L956" s="2"/>
      <c r="M956" s="2"/>
      <c r="N956" s="2"/>
      <c r="O956" s="2"/>
      <c r="P956" s="2"/>
      <c r="Q956" s="157"/>
      <c r="R956" s="157"/>
      <c r="S956" s="157"/>
      <c r="T956" s="158"/>
      <c r="U956" s="2"/>
      <c r="V956" s="30"/>
      <c r="W956" s="2"/>
      <c r="X956" s="2"/>
      <c r="Y956" s="2"/>
      <c r="Z956" s="2"/>
    </row>
    <row r="957" ht="13.5" customHeight="1">
      <c r="A957" s="2"/>
      <c r="B957" s="2"/>
      <c r="C957" s="2"/>
      <c r="D957" s="2"/>
      <c r="E957" s="2"/>
      <c r="F957" s="2"/>
      <c r="G957" s="2"/>
      <c r="H957" s="2"/>
      <c r="I957" s="2"/>
      <c r="J957" s="156"/>
      <c r="K957" s="2"/>
      <c r="L957" s="2"/>
      <c r="M957" s="2"/>
      <c r="N957" s="2"/>
      <c r="O957" s="2"/>
      <c r="P957" s="2"/>
      <c r="Q957" s="157"/>
      <c r="R957" s="157"/>
      <c r="S957" s="157"/>
      <c r="T957" s="158"/>
      <c r="U957" s="2"/>
      <c r="V957" s="30"/>
      <c r="W957" s="2"/>
      <c r="X957" s="2"/>
      <c r="Y957" s="2"/>
      <c r="Z957" s="2"/>
    </row>
    <row r="958" ht="13.5" customHeight="1">
      <c r="A958" s="2"/>
      <c r="B958" s="2"/>
      <c r="C958" s="2"/>
      <c r="D958" s="2"/>
      <c r="E958" s="2"/>
      <c r="F958" s="2"/>
      <c r="G958" s="2"/>
      <c r="H958" s="2"/>
      <c r="I958" s="2"/>
      <c r="J958" s="156"/>
      <c r="K958" s="2"/>
      <c r="L958" s="2"/>
      <c r="M958" s="2"/>
      <c r="N958" s="2"/>
      <c r="O958" s="2"/>
      <c r="P958" s="2"/>
      <c r="Q958" s="157"/>
      <c r="R958" s="157"/>
      <c r="S958" s="157"/>
      <c r="T958" s="158"/>
      <c r="U958" s="2"/>
      <c r="V958" s="30"/>
      <c r="W958" s="2"/>
      <c r="X958" s="2"/>
      <c r="Y958" s="2"/>
      <c r="Z958" s="2"/>
    </row>
    <row r="959" ht="13.5" customHeight="1">
      <c r="A959" s="2"/>
      <c r="B959" s="2"/>
      <c r="C959" s="2"/>
      <c r="D959" s="2"/>
      <c r="E959" s="2"/>
      <c r="F959" s="2"/>
      <c r="G959" s="2"/>
      <c r="H959" s="2"/>
      <c r="I959" s="2"/>
      <c r="J959" s="156"/>
      <c r="K959" s="2"/>
      <c r="L959" s="2"/>
      <c r="M959" s="2"/>
      <c r="N959" s="2"/>
      <c r="O959" s="2"/>
      <c r="P959" s="2"/>
      <c r="Q959" s="157"/>
      <c r="R959" s="157"/>
      <c r="S959" s="157"/>
      <c r="T959" s="158"/>
      <c r="U959" s="2"/>
      <c r="V959" s="30"/>
      <c r="W959" s="2"/>
      <c r="X959" s="2"/>
      <c r="Y959" s="2"/>
      <c r="Z959" s="2"/>
    </row>
    <row r="960" ht="13.5" customHeight="1">
      <c r="A960" s="2"/>
      <c r="B960" s="2"/>
      <c r="C960" s="2"/>
      <c r="D960" s="2"/>
      <c r="E960" s="2"/>
      <c r="F960" s="2"/>
      <c r="G960" s="2"/>
      <c r="H960" s="2"/>
      <c r="I960" s="2"/>
      <c r="J960" s="156"/>
      <c r="K960" s="2"/>
      <c r="L960" s="2"/>
      <c r="M960" s="2"/>
      <c r="N960" s="2"/>
      <c r="O960" s="2"/>
      <c r="P960" s="2"/>
      <c r="Q960" s="157"/>
      <c r="R960" s="157"/>
      <c r="S960" s="157"/>
      <c r="T960" s="158"/>
      <c r="U960" s="2"/>
      <c r="V960" s="30"/>
      <c r="W960" s="2"/>
      <c r="X960" s="2"/>
      <c r="Y960" s="2"/>
      <c r="Z960" s="2"/>
    </row>
    <row r="961" ht="13.5" customHeight="1">
      <c r="A961" s="2"/>
      <c r="B961" s="2"/>
      <c r="C961" s="2"/>
      <c r="D961" s="2"/>
      <c r="E961" s="2"/>
      <c r="F961" s="2"/>
      <c r="G961" s="2"/>
      <c r="H961" s="2"/>
      <c r="I961" s="2"/>
      <c r="J961" s="156"/>
      <c r="K961" s="2"/>
      <c r="L961" s="2"/>
      <c r="M961" s="2"/>
      <c r="N961" s="2"/>
      <c r="O961" s="2"/>
      <c r="P961" s="2"/>
      <c r="Q961" s="157"/>
      <c r="R961" s="157"/>
      <c r="S961" s="157"/>
      <c r="T961" s="158"/>
      <c r="U961" s="2"/>
      <c r="V961" s="30"/>
      <c r="W961" s="2"/>
      <c r="X961" s="2"/>
      <c r="Y961" s="2"/>
      <c r="Z961" s="2"/>
    </row>
    <row r="962" ht="13.5" customHeight="1">
      <c r="A962" s="2"/>
      <c r="B962" s="2"/>
      <c r="C962" s="2"/>
      <c r="D962" s="2"/>
      <c r="E962" s="2"/>
      <c r="F962" s="2"/>
      <c r="G962" s="2"/>
      <c r="H962" s="2"/>
      <c r="I962" s="2"/>
      <c r="J962" s="156"/>
      <c r="K962" s="2"/>
      <c r="L962" s="2"/>
      <c r="M962" s="2"/>
      <c r="N962" s="2"/>
      <c r="O962" s="2"/>
      <c r="P962" s="2"/>
      <c r="Q962" s="157"/>
      <c r="R962" s="157"/>
      <c r="S962" s="157"/>
      <c r="T962" s="158"/>
      <c r="U962" s="2"/>
      <c r="V962" s="30"/>
      <c r="W962" s="2"/>
      <c r="X962" s="2"/>
      <c r="Y962" s="2"/>
      <c r="Z962" s="2"/>
    </row>
    <row r="963" ht="13.5" customHeight="1">
      <c r="A963" s="2"/>
      <c r="B963" s="2"/>
      <c r="C963" s="2"/>
      <c r="D963" s="2"/>
      <c r="E963" s="2"/>
      <c r="F963" s="2"/>
      <c r="G963" s="2"/>
      <c r="H963" s="2"/>
      <c r="I963" s="2"/>
      <c r="J963" s="156"/>
      <c r="K963" s="2"/>
      <c r="L963" s="2"/>
      <c r="M963" s="2"/>
      <c r="N963" s="2"/>
      <c r="O963" s="2"/>
      <c r="P963" s="2"/>
      <c r="Q963" s="157"/>
      <c r="R963" s="157"/>
      <c r="S963" s="157"/>
      <c r="T963" s="158"/>
      <c r="U963" s="2"/>
      <c r="V963" s="30"/>
      <c r="W963" s="2"/>
      <c r="X963" s="2"/>
      <c r="Y963" s="2"/>
      <c r="Z963" s="2"/>
    </row>
    <row r="964" ht="13.5" customHeight="1">
      <c r="A964" s="2"/>
      <c r="B964" s="2"/>
      <c r="C964" s="2"/>
      <c r="D964" s="2"/>
      <c r="E964" s="2"/>
      <c r="F964" s="2"/>
      <c r="G964" s="2"/>
      <c r="H964" s="2"/>
      <c r="I964" s="2"/>
      <c r="J964" s="156"/>
      <c r="K964" s="2"/>
      <c r="L964" s="2"/>
      <c r="M964" s="2"/>
      <c r="N964" s="2"/>
      <c r="O964" s="2"/>
      <c r="P964" s="2"/>
      <c r="Q964" s="157"/>
      <c r="R964" s="157"/>
      <c r="S964" s="157"/>
      <c r="T964" s="158"/>
      <c r="U964" s="2"/>
      <c r="V964" s="30"/>
      <c r="W964" s="2"/>
      <c r="X964" s="2"/>
      <c r="Y964" s="2"/>
      <c r="Z964" s="2"/>
    </row>
    <row r="965" ht="13.5" customHeight="1">
      <c r="A965" s="2"/>
      <c r="B965" s="2"/>
      <c r="C965" s="2"/>
      <c r="D965" s="2"/>
      <c r="E965" s="2"/>
      <c r="F965" s="2"/>
      <c r="G965" s="2"/>
      <c r="H965" s="2"/>
      <c r="I965" s="2"/>
      <c r="J965" s="156"/>
      <c r="K965" s="2"/>
      <c r="L965" s="2"/>
      <c r="M965" s="2"/>
      <c r="N965" s="2"/>
      <c r="O965" s="2"/>
      <c r="P965" s="2"/>
      <c r="Q965" s="157"/>
      <c r="R965" s="157"/>
      <c r="S965" s="157"/>
      <c r="T965" s="158"/>
      <c r="U965" s="2"/>
      <c r="V965" s="30"/>
      <c r="W965" s="2"/>
      <c r="X965" s="2"/>
      <c r="Y965" s="2"/>
      <c r="Z965" s="2"/>
    </row>
    <row r="966" ht="13.5" customHeight="1">
      <c r="A966" s="2"/>
      <c r="B966" s="2"/>
      <c r="C966" s="2"/>
      <c r="D966" s="2"/>
      <c r="E966" s="2"/>
      <c r="F966" s="2"/>
      <c r="G966" s="2"/>
      <c r="H966" s="2"/>
      <c r="I966" s="2"/>
      <c r="J966" s="156"/>
      <c r="K966" s="2"/>
      <c r="L966" s="2"/>
      <c r="M966" s="2"/>
      <c r="N966" s="2"/>
      <c r="O966" s="2"/>
      <c r="P966" s="2"/>
      <c r="Q966" s="157"/>
      <c r="R966" s="157"/>
      <c r="S966" s="157"/>
      <c r="T966" s="158"/>
      <c r="U966" s="2"/>
      <c r="V966" s="30"/>
      <c r="W966" s="2"/>
      <c r="X966" s="2"/>
      <c r="Y966" s="2"/>
      <c r="Z966" s="2"/>
    </row>
    <row r="967" ht="13.5" customHeight="1">
      <c r="A967" s="2"/>
      <c r="B967" s="2"/>
      <c r="C967" s="2"/>
      <c r="D967" s="2"/>
      <c r="E967" s="2"/>
      <c r="F967" s="2"/>
      <c r="G967" s="2"/>
      <c r="H967" s="2"/>
      <c r="I967" s="2"/>
      <c r="J967" s="156"/>
      <c r="K967" s="2"/>
      <c r="L967" s="2"/>
      <c r="M967" s="2"/>
      <c r="N967" s="2"/>
      <c r="O967" s="2"/>
      <c r="P967" s="2"/>
      <c r="Q967" s="157"/>
      <c r="R967" s="157"/>
      <c r="S967" s="157"/>
      <c r="T967" s="158"/>
      <c r="U967" s="2"/>
      <c r="V967" s="30"/>
      <c r="W967" s="2"/>
      <c r="X967" s="2"/>
      <c r="Y967" s="2"/>
      <c r="Z967" s="2"/>
    </row>
    <row r="968" ht="13.5" customHeight="1">
      <c r="A968" s="2"/>
      <c r="B968" s="2"/>
      <c r="C968" s="2"/>
      <c r="D968" s="2"/>
      <c r="E968" s="2"/>
      <c r="F968" s="2"/>
      <c r="G968" s="2"/>
      <c r="H968" s="2"/>
      <c r="I968" s="2"/>
      <c r="J968" s="156"/>
      <c r="K968" s="2"/>
      <c r="L968" s="2"/>
      <c r="M968" s="2"/>
      <c r="N968" s="2"/>
      <c r="O968" s="2"/>
      <c r="P968" s="2"/>
      <c r="Q968" s="157"/>
      <c r="R968" s="157"/>
      <c r="S968" s="157"/>
      <c r="T968" s="158"/>
      <c r="U968" s="2"/>
      <c r="V968" s="30"/>
      <c r="W968" s="2"/>
      <c r="X968" s="2"/>
      <c r="Y968" s="2"/>
      <c r="Z968" s="2"/>
    </row>
    <row r="969" ht="13.5" customHeight="1">
      <c r="A969" s="2"/>
      <c r="B969" s="2"/>
      <c r="C969" s="2"/>
      <c r="D969" s="2"/>
      <c r="E969" s="2"/>
      <c r="F969" s="2"/>
      <c r="G969" s="2"/>
      <c r="H969" s="2"/>
      <c r="I969" s="2"/>
      <c r="J969" s="156"/>
      <c r="K969" s="2"/>
      <c r="L969" s="2"/>
      <c r="M969" s="2"/>
      <c r="N969" s="2"/>
      <c r="O969" s="2"/>
      <c r="P969" s="2"/>
      <c r="Q969" s="157"/>
      <c r="R969" s="157"/>
      <c r="S969" s="157"/>
      <c r="T969" s="158"/>
      <c r="U969" s="2"/>
      <c r="V969" s="30"/>
      <c r="W969" s="2"/>
      <c r="X969" s="2"/>
      <c r="Y969" s="2"/>
      <c r="Z969" s="2"/>
    </row>
    <row r="970" ht="13.5" customHeight="1">
      <c r="A970" s="2"/>
      <c r="B970" s="2"/>
      <c r="C970" s="2"/>
      <c r="D970" s="2"/>
      <c r="E970" s="2"/>
      <c r="F970" s="2"/>
      <c r="G970" s="2"/>
      <c r="H970" s="2"/>
      <c r="I970" s="2"/>
      <c r="J970" s="156"/>
      <c r="K970" s="2"/>
      <c r="L970" s="2"/>
      <c r="M970" s="2"/>
      <c r="N970" s="2"/>
      <c r="O970" s="2"/>
      <c r="P970" s="2"/>
      <c r="Q970" s="157"/>
      <c r="R970" s="157"/>
      <c r="S970" s="157"/>
      <c r="T970" s="158"/>
      <c r="U970" s="2"/>
      <c r="V970" s="30"/>
      <c r="W970" s="2"/>
      <c r="X970" s="2"/>
      <c r="Y970" s="2"/>
      <c r="Z970" s="2"/>
    </row>
    <row r="971" ht="13.5" customHeight="1">
      <c r="A971" s="2"/>
      <c r="B971" s="2"/>
      <c r="C971" s="2"/>
      <c r="D971" s="2"/>
      <c r="E971" s="2"/>
      <c r="F971" s="2"/>
      <c r="G971" s="2"/>
      <c r="H971" s="2"/>
      <c r="I971" s="2"/>
      <c r="J971" s="156"/>
      <c r="K971" s="2"/>
      <c r="L971" s="2"/>
      <c r="M971" s="2"/>
      <c r="N971" s="2"/>
      <c r="O971" s="2"/>
      <c r="P971" s="2"/>
      <c r="Q971" s="157"/>
      <c r="R971" s="157"/>
      <c r="S971" s="157"/>
      <c r="T971" s="158"/>
      <c r="U971" s="2"/>
      <c r="V971" s="30"/>
      <c r="W971" s="2"/>
      <c r="X971" s="2"/>
      <c r="Y971" s="2"/>
      <c r="Z971" s="2"/>
    </row>
    <row r="972" ht="13.5" customHeight="1">
      <c r="A972" s="2"/>
      <c r="B972" s="2"/>
      <c r="C972" s="2"/>
      <c r="D972" s="2"/>
      <c r="E972" s="2"/>
      <c r="F972" s="2"/>
      <c r="G972" s="2"/>
      <c r="H972" s="2"/>
      <c r="I972" s="2"/>
      <c r="J972" s="156"/>
      <c r="K972" s="2"/>
      <c r="L972" s="2"/>
      <c r="M972" s="2"/>
      <c r="N972" s="2"/>
      <c r="O972" s="2"/>
      <c r="P972" s="2"/>
      <c r="Q972" s="157"/>
      <c r="R972" s="157"/>
      <c r="S972" s="157"/>
      <c r="T972" s="158"/>
      <c r="U972" s="2"/>
      <c r="V972" s="30"/>
      <c r="W972" s="2"/>
      <c r="X972" s="2"/>
      <c r="Y972" s="2"/>
      <c r="Z972" s="2"/>
    </row>
    <row r="973" ht="13.5" customHeight="1">
      <c r="A973" s="2"/>
      <c r="B973" s="2"/>
      <c r="C973" s="2"/>
      <c r="D973" s="2"/>
      <c r="E973" s="2"/>
      <c r="F973" s="2"/>
      <c r="G973" s="2"/>
      <c r="H973" s="2"/>
      <c r="I973" s="2"/>
      <c r="J973" s="156"/>
      <c r="K973" s="2"/>
      <c r="L973" s="2"/>
      <c r="M973" s="2"/>
      <c r="N973" s="2"/>
      <c r="O973" s="2"/>
      <c r="P973" s="2"/>
      <c r="Q973" s="157"/>
      <c r="R973" s="157"/>
      <c r="S973" s="157"/>
      <c r="T973" s="158"/>
      <c r="U973" s="2"/>
      <c r="V973" s="30"/>
      <c r="W973" s="2"/>
      <c r="X973" s="2"/>
      <c r="Y973" s="2"/>
      <c r="Z973" s="2"/>
    </row>
    <row r="974" ht="13.5" customHeight="1">
      <c r="A974" s="2"/>
      <c r="B974" s="2"/>
      <c r="C974" s="2"/>
      <c r="D974" s="2"/>
      <c r="E974" s="2"/>
      <c r="F974" s="2"/>
      <c r="G974" s="2"/>
      <c r="H974" s="2"/>
      <c r="I974" s="2"/>
      <c r="J974" s="156"/>
      <c r="K974" s="2"/>
      <c r="L974" s="2"/>
      <c r="M974" s="2"/>
      <c r="N974" s="2"/>
      <c r="O974" s="2"/>
      <c r="P974" s="2"/>
      <c r="Q974" s="157"/>
      <c r="R974" s="157"/>
      <c r="S974" s="157"/>
      <c r="T974" s="158"/>
      <c r="U974" s="2"/>
      <c r="V974" s="30"/>
      <c r="W974" s="2"/>
      <c r="X974" s="2"/>
      <c r="Y974" s="2"/>
      <c r="Z974" s="2"/>
    </row>
    <row r="975" ht="13.5" customHeight="1">
      <c r="A975" s="2"/>
      <c r="B975" s="2"/>
      <c r="C975" s="2"/>
      <c r="D975" s="2"/>
      <c r="E975" s="2"/>
      <c r="F975" s="2"/>
      <c r="G975" s="2"/>
      <c r="H975" s="2"/>
      <c r="I975" s="2"/>
      <c r="J975" s="156"/>
      <c r="K975" s="2"/>
      <c r="L975" s="2"/>
      <c r="M975" s="2"/>
      <c r="N975" s="2"/>
      <c r="O975" s="2"/>
      <c r="P975" s="2"/>
      <c r="Q975" s="157"/>
      <c r="R975" s="157"/>
      <c r="S975" s="157"/>
      <c r="T975" s="158"/>
      <c r="U975" s="2"/>
      <c r="V975" s="30"/>
      <c r="W975" s="2"/>
      <c r="X975" s="2"/>
      <c r="Y975" s="2"/>
      <c r="Z975" s="2"/>
    </row>
    <row r="976" ht="13.5" customHeight="1">
      <c r="A976" s="2"/>
      <c r="B976" s="2"/>
      <c r="C976" s="2"/>
      <c r="D976" s="2"/>
      <c r="E976" s="2"/>
      <c r="F976" s="2"/>
      <c r="G976" s="2"/>
      <c r="H976" s="2"/>
      <c r="I976" s="2"/>
      <c r="J976" s="156"/>
      <c r="K976" s="2"/>
      <c r="L976" s="2"/>
      <c r="M976" s="2"/>
      <c r="N976" s="2"/>
      <c r="O976" s="2"/>
      <c r="P976" s="2"/>
      <c r="Q976" s="157"/>
      <c r="R976" s="157"/>
      <c r="S976" s="157"/>
      <c r="T976" s="158"/>
      <c r="U976" s="2"/>
      <c r="V976" s="30"/>
      <c r="W976" s="2"/>
      <c r="X976" s="2"/>
      <c r="Y976" s="2"/>
      <c r="Z976" s="2"/>
    </row>
    <row r="977" ht="13.5" customHeight="1">
      <c r="A977" s="2"/>
      <c r="B977" s="2"/>
      <c r="C977" s="2"/>
      <c r="D977" s="2"/>
      <c r="E977" s="2"/>
      <c r="F977" s="2"/>
      <c r="G977" s="2"/>
      <c r="H977" s="2"/>
      <c r="I977" s="2"/>
      <c r="J977" s="156"/>
      <c r="K977" s="2"/>
      <c r="L977" s="2"/>
      <c r="M977" s="2"/>
      <c r="N977" s="2"/>
      <c r="O977" s="2"/>
      <c r="P977" s="2"/>
      <c r="Q977" s="157"/>
      <c r="R977" s="157"/>
      <c r="S977" s="157"/>
      <c r="T977" s="158"/>
      <c r="U977" s="2"/>
      <c r="V977" s="30"/>
      <c r="W977" s="2"/>
      <c r="X977" s="2"/>
      <c r="Y977" s="2"/>
      <c r="Z977" s="2"/>
    </row>
    <row r="978" ht="13.5" customHeight="1">
      <c r="A978" s="2"/>
      <c r="B978" s="2"/>
      <c r="C978" s="2"/>
      <c r="D978" s="2"/>
      <c r="E978" s="2"/>
      <c r="F978" s="2"/>
      <c r="G978" s="2"/>
      <c r="H978" s="2"/>
      <c r="I978" s="2"/>
      <c r="J978" s="156"/>
      <c r="K978" s="2"/>
      <c r="L978" s="2"/>
      <c r="M978" s="2"/>
      <c r="N978" s="2"/>
      <c r="O978" s="2"/>
      <c r="P978" s="2"/>
      <c r="Q978" s="157"/>
      <c r="R978" s="157"/>
      <c r="S978" s="157"/>
      <c r="T978" s="158"/>
      <c r="U978" s="2"/>
      <c r="V978" s="30"/>
      <c r="W978" s="2"/>
      <c r="X978" s="2"/>
      <c r="Y978" s="2"/>
      <c r="Z978" s="2"/>
    </row>
    <row r="979" ht="13.5" customHeight="1">
      <c r="A979" s="2"/>
      <c r="B979" s="2"/>
      <c r="C979" s="2"/>
      <c r="D979" s="2"/>
      <c r="E979" s="2"/>
      <c r="F979" s="2"/>
      <c r="G979" s="2"/>
      <c r="H979" s="2"/>
      <c r="I979" s="2"/>
      <c r="J979" s="156"/>
      <c r="K979" s="2"/>
      <c r="L979" s="2"/>
      <c r="M979" s="2"/>
      <c r="N979" s="2"/>
      <c r="O979" s="2"/>
      <c r="P979" s="2"/>
      <c r="Q979" s="157"/>
      <c r="R979" s="157"/>
      <c r="S979" s="157"/>
      <c r="T979" s="158"/>
      <c r="U979" s="2"/>
      <c r="V979" s="30"/>
      <c r="W979" s="2"/>
      <c r="X979" s="2"/>
      <c r="Y979" s="2"/>
      <c r="Z979" s="2"/>
    </row>
    <row r="980" ht="13.5" customHeight="1">
      <c r="A980" s="2"/>
      <c r="B980" s="2"/>
      <c r="C980" s="2"/>
      <c r="D980" s="2"/>
      <c r="E980" s="2"/>
      <c r="F980" s="2"/>
      <c r="G980" s="2"/>
      <c r="H980" s="2"/>
      <c r="I980" s="2"/>
      <c r="J980" s="156"/>
      <c r="K980" s="2"/>
      <c r="L980" s="2"/>
      <c r="M980" s="2"/>
      <c r="N980" s="2"/>
      <c r="O980" s="2"/>
      <c r="P980" s="2"/>
      <c r="Q980" s="157"/>
      <c r="R980" s="157"/>
      <c r="S980" s="157"/>
      <c r="T980" s="158"/>
      <c r="U980" s="2"/>
      <c r="V980" s="30"/>
      <c r="W980" s="2"/>
      <c r="X980" s="2"/>
      <c r="Y980" s="2"/>
      <c r="Z980" s="2"/>
    </row>
    <row r="981" ht="13.5" customHeight="1">
      <c r="A981" s="2"/>
      <c r="B981" s="2"/>
      <c r="C981" s="2"/>
      <c r="D981" s="2"/>
      <c r="E981" s="2"/>
      <c r="F981" s="2"/>
      <c r="G981" s="2"/>
      <c r="H981" s="2"/>
      <c r="I981" s="2"/>
      <c r="J981" s="156"/>
      <c r="K981" s="2"/>
      <c r="L981" s="2"/>
      <c r="M981" s="2"/>
      <c r="N981" s="2"/>
      <c r="O981" s="2"/>
      <c r="P981" s="2"/>
      <c r="Q981" s="157"/>
      <c r="R981" s="157"/>
      <c r="S981" s="157"/>
      <c r="T981" s="158"/>
      <c r="U981" s="2"/>
      <c r="V981" s="30"/>
      <c r="W981" s="2"/>
      <c r="X981" s="2"/>
      <c r="Y981" s="2"/>
      <c r="Z981" s="2"/>
    </row>
    <row r="982" ht="13.5" customHeight="1">
      <c r="A982" s="2"/>
      <c r="B982" s="2"/>
      <c r="C982" s="2"/>
      <c r="D982" s="2"/>
      <c r="E982" s="2"/>
      <c r="F982" s="2"/>
      <c r="G982" s="2"/>
      <c r="H982" s="2"/>
      <c r="I982" s="2"/>
      <c r="J982" s="156"/>
      <c r="K982" s="2"/>
      <c r="L982" s="2"/>
      <c r="M982" s="2"/>
      <c r="N982" s="2"/>
      <c r="O982" s="2"/>
      <c r="P982" s="2"/>
      <c r="Q982" s="157"/>
      <c r="R982" s="157"/>
      <c r="S982" s="157"/>
      <c r="T982" s="158"/>
      <c r="U982" s="2"/>
      <c r="V982" s="30"/>
      <c r="W982" s="2"/>
      <c r="X982" s="2"/>
      <c r="Y982" s="2"/>
      <c r="Z982" s="2"/>
    </row>
    <row r="983" ht="13.5" customHeight="1">
      <c r="A983" s="2"/>
      <c r="B983" s="2"/>
      <c r="C983" s="2"/>
      <c r="D983" s="2"/>
      <c r="E983" s="2"/>
      <c r="F983" s="2"/>
      <c r="G983" s="2"/>
      <c r="H983" s="2"/>
      <c r="I983" s="2"/>
      <c r="J983" s="156"/>
      <c r="K983" s="2"/>
      <c r="L983" s="2"/>
      <c r="M983" s="2"/>
      <c r="N983" s="2"/>
      <c r="O983" s="2"/>
      <c r="P983" s="2"/>
      <c r="Q983" s="157"/>
      <c r="R983" s="157"/>
      <c r="S983" s="157"/>
      <c r="T983" s="158"/>
      <c r="U983" s="2"/>
      <c r="V983" s="30"/>
      <c r="W983" s="2"/>
      <c r="X983" s="2"/>
      <c r="Y983" s="2"/>
      <c r="Z983" s="2"/>
    </row>
    <row r="984" ht="13.5" customHeight="1">
      <c r="A984" s="2"/>
      <c r="B984" s="2"/>
      <c r="C984" s="2"/>
      <c r="D984" s="2"/>
      <c r="E984" s="2"/>
      <c r="F984" s="2"/>
      <c r="G984" s="2"/>
      <c r="H984" s="2"/>
      <c r="I984" s="2"/>
      <c r="J984" s="156"/>
      <c r="K984" s="2"/>
      <c r="L984" s="2"/>
      <c r="M984" s="2"/>
      <c r="N984" s="2"/>
      <c r="O984" s="2"/>
      <c r="P984" s="2"/>
      <c r="Q984" s="157"/>
      <c r="R984" s="157"/>
      <c r="S984" s="157"/>
      <c r="T984" s="158"/>
      <c r="U984" s="2"/>
      <c r="V984" s="30"/>
      <c r="W984" s="2"/>
      <c r="X984" s="2"/>
      <c r="Y984" s="2"/>
      <c r="Z984" s="2"/>
    </row>
    <row r="985" ht="13.5" customHeight="1">
      <c r="A985" s="2"/>
      <c r="B985" s="2"/>
      <c r="C985" s="2"/>
      <c r="D985" s="2"/>
      <c r="E985" s="2"/>
      <c r="F985" s="2"/>
      <c r="G985" s="2"/>
      <c r="H985" s="2"/>
      <c r="I985" s="2"/>
      <c r="J985" s="156"/>
      <c r="K985" s="2"/>
      <c r="L985" s="2"/>
      <c r="M985" s="2"/>
      <c r="N985" s="2"/>
      <c r="O985" s="2"/>
      <c r="P985" s="2"/>
      <c r="Q985" s="157"/>
      <c r="R985" s="157"/>
      <c r="S985" s="157"/>
      <c r="T985" s="158"/>
      <c r="U985" s="2"/>
      <c r="V985" s="30"/>
      <c r="W985" s="2"/>
      <c r="X985" s="2"/>
      <c r="Y985" s="2"/>
      <c r="Z985" s="2"/>
    </row>
    <row r="986" ht="13.5" customHeight="1">
      <c r="A986" s="2"/>
      <c r="B986" s="2"/>
      <c r="C986" s="2"/>
      <c r="D986" s="2"/>
      <c r="E986" s="2"/>
      <c r="F986" s="2"/>
      <c r="G986" s="2"/>
      <c r="H986" s="2"/>
      <c r="I986" s="2"/>
      <c r="J986" s="156"/>
      <c r="K986" s="2"/>
      <c r="L986" s="2"/>
      <c r="M986" s="2"/>
      <c r="N986" s="2"/>
      <c r="O986" s="2"/>
      <c r="P986" s="2"/>
      <c r="Q986" s="157"/>
      <c r="R986" s="157"/>
      <c r="S986" s="157"/>
      <c r="T986" s="158"/>
      <c r="U986" s="2"/>
      <c r="V986" s="30"/>
      <c r="W986" s="2"/>
      <c r="X986" s="2"/>
      <c r="Y986" s="2"/>
      <c r="Z986" s="2"/>
    </row>
    <row r="987" ht="13.5" customHeight="1">
      <c r="A987" s="2"/>
      <c r="B987" s="2"/>
      <c r="C987" s="2"/>
      <c r="D987" s="2"/>
      <c r="E987" s="2"/>
      <c r="F987" s="2"/>
      <c r="G987" s="2"/>
      <c r="H987" s="2"/>
      <c r="I987" s="2"/>
      <c r="J987" s="156"/>
      <c r="K987" s="2"/>
      <c r="L987" s="2"/>
      <c r="M987" s="2"/>
      <c r="N987" s="2"/>
      <c r="O987" s="2"/>
      <c r="P987" s="2"/>
      <c r="Q987" s="157"/>
      <c r="R987" s="157"/>
      <c r="S987" s="157"/>
      <c r="T987" s="158"/>
      <c r="U987" s="2"/>
      <c r="V987" s="30"/>
      <c r="W987" s="2"/>
      <c r="X987" s="2"/>
      <c r="Y987" s="2"/>
      <c r="Z987" s="2"/>
    </row>
    <row r="988" ht="13.5" customHeight="1">
      <c r="A988" s="2"/>
      <c r="B988" s="2"/>
      <c r="C988" s="2"/>
      <c r="D988" s="2"/>
      <c r="E988" s="2"/>
      <c r="F988" s="2"/>
      <c r="G988" s="2"/>
      <c r="H988" s="2"/>
      <c r="I988" s="2"/>
      <c r="J988" s="156"/>
      <c r="K988" s="2"/>
      <c r="L988" s="2"/>
      <c r="M988" s="2"/>
      <c r="N988" s="2"/>
      <c r="O988" s="2"/>
      <c r="P988" s="2"/>
      <c r="Q988" s="157"/>
      <c r="R988" s="157"/>
      <c r="S988" s="157"/>
      <c r="T988" s="158"/>
      <c r="U988" s="2"/>
      <c r="V988" s="30"/>
      <c r="W988" s="2"/>
      <c r="X988" s="2"/>
      <c r="Y988" s="2"/>
      <c r="Z988" s="2"/>
    </row>
    <row r="989" ht="13.5" customHeight="1">
      <c r="A989" s="2"/>
      <c r="B989" s="2"/>
      <c r="C989" s="2"/>
      <c r="D989" s="2"/>
      <c r="E989" s="2"/>
      <c r="F989" s="2"/>
      <c r="G989" s="2"/>
      <c r="H989" s="2"/>
      <c r="I989" s="2"/>
      <c r="J989" s="156"/>
      <c r="K989" s="2"/>
      <c r="L989" s="2"/>
      <c r="M989" s="2"/>
      <c r="N989" s="2"/>
      <c r="O989" s="2"/>
      <c r="P989" s="2"/>
      <c r="Q989" s="157"/>
      <c r="R989" s="157"/>
      <c r="S989" s="157"/>
      <c r="T989" s="158"/>
      <c r="U989" s="2"/>
      <c r="V989" s="30"/>
      <c r="W989" s="2"/>
      <c r="X989" s="2"/>
      <c r="Y989" s="2"/>
      <c r="Z989" s="2"/>
    </row>
    <row r="990" ht="13.5" customHeight="1">
      <c r="A990" s="2"/>
      <c r="B990" s="2"/>
      <c r="C990" s="2"/>
      <c r="D990" s="2"/>
      <c r="E990" s="2"/>
      <c r="F990" s="2"/>
      <c r="G990" s="2"/>
      <c r="H990" s="2"/>
      <c r="I990" s="2"/>
      <c r="J990" s="156"/>
      <c r="K990" s="2"/>
      <c r="L990" s="2"/>
      <c r="M990" s="2"/>
      <c r="N990" s="2"/>
      <c r="O990" s="2"/>
      <c r="P990" s="2"/>
      <c r="Q990" s="157"/>
      <c r="R990" s="157"/>
      <c r="S990" s="157"/>
      <c r="T990" s="158"/>
      <c r="U990" s="2"/>
      <c r="V990" s="30"/>
      <c r="W990" s="2"/>
      <c r="X990" s="2"/>
      <c r="Y990" s="2"/>
      <c r="Z990" s="2"/>
    </row>
    <row r="991" ht="13.5" customHeight="1">
      <c r="A991" s="2"/>
      <c r="B991" s="2"/>
      <c r="C991" s="2"/>
      <c r="D991" s="2"/>
      <c r="E991" s="2"/>
      <c r="F991" s="2"/>
      <c r="G991" s="2"/>
      <c r="H991" s="2"/>
      <c r="I991" s="2"/>
      <c r="J991" s="156"/>
      <c r="K991" s="2"/>
      <c r="L991" s="2"/>
      <c r="M991" s="2"/>
      <c r="N991" s="2"/>
      <c r="O991" s="2"/>
      <c r="P991" s="2"/>
      <c r="Q991" s="157"/>
      <c r="R991" s="157"/>
      <c r="S991" s="157"/>
      <c r="T991" s="158"/>
      <c r="U991" s="2"/>
      <c r="V991" s="30"/>
      <c r="W991" s="2"/>
      <c r="X991" s="2"/>
      <c r="Y991" s="2"/>
      <c r="Z991" s="2"/>
    </row>
    <row r="992" ht="13.5" customHeight="1">
      <c r="A992" s="2"/>
      <c r="B992" s="2"/>
      <c r="C992" s="2"/>
      <c r="D992" s="2"/>
      <c r="E992" s="2"/>
      <c r="F992" s="2"/>
      <c r="G992" s="2"/>
      <c r="H992" s="2"/>
      <c r="I992" s="2"/>
      <c r="J992" s="156"/>
      <c r="K992" s="2"/>
      <c r="L992" s="2"/>
      <c r="M992" s="2"/>
      <c r="N992" s="2"/>
      <c r="O992" s="2"/>
      <c r="P992" s="2"/>
      <c r="Q992" s="157"/>
      <c r="R992" s="157"/>
      <c r="S992" s="157"/>
      <c r="T992" s="158"/>
      <c r="U992" s="2"/>
      <c r="V992" s="30"/>
      <c r="W992" s="2"/>
      <c r="X992" s="2"/>
      <c r="Y992" s="2"/>
      <c r="Z992" s="2"/>
    </row>
    <row r="993" ht="13.5" customHeight="1">
      <c r="A993" s="2"/>
      <c r="B993" s="2"/>
      <c r="C993" s="2"/>
      <c r="D993" s="2"/>
      <c r="E993" s="2"/>
      <c r="F993" s="2"/>
      <c r="G993" s="2"/>
      <c r="H993" s="2"/>
      <c r="I993" s="2"/>
      <c r="J993" s="156"/>
      <c r="K993" s="2"/>
      <c r="L993" s="2"/>
      <c r="M993" s="2"/>
      <c r="N993" s="2"/>
      <c r="O993" s="2"/>
      <c r="P993" s="2"/>
      <c r="Q993" s="157"/>
      <c r="R993" s="157"/>
      <c r="S993" s="157"/>
      <c r="T993" s="158"/>
      <c r="U993" s="2"/>
      <c r="V993" s="30"/>
      <c r="W993" s="2"/>
      <c r="X993" s="2"/>
      <c r="Y993" s="2"/>
      <c r="Z993" s="2"/>
    </row>
    <row r="994" ht="13.5" customHeight="1">
      <c r="A994" s="2"/>
      <c r="B994" s="2"/>
      <c r="C994" s="2"/>
      <c r="D994" s="2"/>
      <c r="E994" s="2"/>
      <c r="F994" s="2"/>
      <c r="G994" s="2"/>
      <c r="H994" s="2"/>
      <c r="I994" s="2"/>
      <c r="J994" s="156"/>
      <c r="K994" s="2"/>
      <c r="L994" s="2"/>
      <c r="M994" s="2"/>
      <c r="N994" s="2"/>
      <c r="O994" s="2"/>
      <c r="P994" s="2"/>
      <c r="Q994" s="157"/>
      <c r="R994" s="157"/>
      <c r="S994" s="157"/>
      <c r="T994" s="158"/>
      <c r="U994" s="2"/>
      <c r="V994" s="30"/>
      <c r="W994" s="2"/>
      <c r="X994" s="2"/>
      <c r="Y994" s="2"/>
      <c r="Z994" s="2"/>
    </row>
    <row r="995" ht="13.5" customHeight="1">
      <c r="A995" s="2"/>
      <c r="B995" s="2"/>
      <c r="C995" s="2"/>
      <c r="D995" s="2"/>
      <c r="E995" s="2"/>
      <c r="F995" s="2"/>
      <c r="G995" s="2"/>
      <c r="H995" s="2"/>
      <c r="I995" s="2"/>
      <c r="J995" s="156"/>
      <c r="K995" s="2"/>
      <c r="L995" s="2"/>
      <c r="M995" s="2"/>
      <c r="N995" s="2"/>
      <c r="O995" s="2"/>
      <c r="P995" s="2"/>
      <c r="Q995" s="157"/>
      <c r="R995" s="157"/>
      <c r="S995" s="157"/>
      <c r="T995" s="158"/>
      <c r="U995" s="2"/>
      <c r="V995" s="30"/>
      <c r="W995" s="2"/>
      <c r="X995" s="2"/>
      <c r="Y995" s="2"/>
      <c r="Z995" s="2"/>
    </row>
    <row r="996" ht="13.5" customHeight="1">
      <c r="A996" s="2"/>
      <c r="B996" s="2"/>
      <c r="C996" s="2"/>
      <c r="D996" s="2"/>
      <c r="E996" s="2"/>
      <c r="F996" s="2"/>
      <c r="G996" s="2"/>
      <c r="H996" s="2"/>
      <c r="I996" s="2"/>
      <c r="J996" s="156"/>
      <c r="K996" s="2"/>
      <c r="L996" s="2"/>
      <c r="M996" s="2"/>
      <c r="N996" s="2"/>
      <c r="O996" s="2"/>
      <c r="P996" s="2"/>
      <c r="Q996" s="157"/>
      <c r="R996" s="157"/>
      <c r="S996" s="157"/>
      <c r="T996" s="158"/>
      <c r="U996" s="2"/>
      <c r="V996" s="30"/>
      <c r="W996" s="2"/>
      <c r="X996" s="2"/>
      <c r="Y996" s="2"/>
      <c r="Z996" s="2"/>
    </row>
    <row r="997" ht="13.5" customHeight="1">
      <c r="A997" s="2"/>
      <c r="B997" s="2"/>
      <c r="C997" s="2"/>
      <c r="D997" s="2"/>
      <c r="E997" s="2"/>
      <c r="F997" s="2"/>
      <c r="G997" s="2"/>
      <c r="H997" s="2"/>
      <c r="I997" s="2"/>
      <c r="J997" s="156"/>
      <c r="K997" s="2"/>
      <c r="L997" s="2"/>
      <c r="M997" s="2"/>
      <c r="N997" s="2"/>
      <c r="O997" s="2"/>
      <c r="P997" s="2"/>
      <c r="Q997" s="157"/>
      <c r="R997" s="157"/>
      <c r="S997" s="157"/>
      <c r="T997" s="158"/>
      <c r="U997" s="2"/>
      <c r="V997" s="30"/>
      <c r="W997" s="2"/>
      <c r="X997" s="2"/>
      <c r="Y997" s="2"/>
      <c r="Z997" s="2"/>
    </row>
    <row r="998" ht="13.5" customHeight="1">
      <c r="A998" s="2"/>
      <c r="B998" s="2"/>
      <c r="C998" s="2"/>
      <c r="D998" s="2"/>
      <c r="E998" s="2"/>
      <c r="F998" s="2"/>
      <c r="G998" s="2"/>
      <c r="H998" s="2"/>
      <c r="I998" s="2"/>
      <c r="J998" s="156"/>
      <c r="K998" s="2"/>
      <c r="L998" s="2"/>
      <c r="M998" s="2"/>
      <c r="N998" s="2"/>
      <c r="O998" s="2"/>
      <c r="P998" s="2"/>
      <c r="Q998" s="157"/>
      <c r="R998" s="157"/>
      <c r="S998" s="157"/>
      <c r="T998" s="158"/>
      <c r="U998" s="2"/>
      <c r="V998" s="30"/>
      <c r="W998" s="2"/>
      <c r="X998" s="2"/>
      <c r="Y998" s="2"/>
      <c r="Z998" s="2"/>
    </row>
    <row r="999" ht="13.5" customHeight="1">
      <c r="A999" s="2"/>
      <c r="B999" s="2"/>
      <c r="C999" s="2"/>
      <c r="D999" s="2"/>
      <c r="E999" s="2"/>
      <c r="F999" s="2"/>
      <c r="G999" s="2"/>
      <c r="H999" s="2"/>
      <c r="I999" s="2"/>
      <c r="J999" s="156"/>
      <c r="K999" s="2"/>
      <c r="L999" s="2"/>
      <c r="M999" s="2"/>
      <c r="N999" s="2"/>
      <c r="O999" s="2"/>
      <c r="P999" s="2"/>
      <c r="Q999" s="157"/>
      <c r="R999" s="157"/>
      <c r="S999" s="157"/>
      <c r="T999" s="158"/>
      <c r="U999" s="2"/>
      <c r="V999" s="30"/>
      <c r="W999" s="2"/>
      <c r="X999" s="2"/>
      <c r="Y999" s="2"/>
      <c r="Z999" s="2"/>
    </row>
    <row r="1000" ht="13.5" customHeight="1">
      <c r="A1000" s="2"/>
      <c r="B1000" s="2"/>
      <c r="C1000" s="2"/>
      <c r="D1000" s="2"/>
      <c r="E1000" s="2"/>
      <c r="F1000" s="2"/>
      <c r="G1000" s="2"/>
      <c r="H1000" s="2"/>
      <c r="I1000" s="2"/>
      <c r="J1000" s="156"/>
      <c r="K1000" s="2"/>
      <c r="L1000" s="2"/>
      <c r="M1000" s="2"/>
      <c r="N1000" s="2"/>
      <c r="O1000" s="2"/>
      <c r="P1000" s="2"/>
      <c r="Q1000" s="157"/>
      <c r="R1000" s="157"/>
      <c r="S1000" s="157"/>
      <c r="T1000" s="158"/>
      <c r="U1000" s="2"/>
      <c r="V1000" s="30"/>
      <c r="W1000" s="2"/>
      <c r="X1000" s="2"/>
      <c r="Y1000" s="2"/>
      <c r="Z1000" s="2"/>
    </row>
  </sheetData>
  <mergeCells count="38">
    <mergeCell ref="A1:T1"/>
    <mergeCell ref="A2:C2"/>
    <mergeCell ref="D2:G2"/>
    <mergeCell ref="H2:J2"/>
    <mergeCell ref="K2:O2"/>
    <mergeCell ref="P2:R2"/>
    <mergeCell ref="S2:T2"/>
    <mergeCell ref="K3:O3"/>
    <mergeCell ref="L6:L12"/>
    <mergeCell ref="L13:L18"/>
    <mergeCell ref="L19:L30"/>
    <mergeCell ref="L31:L37"/>
    <mergeCell ref="L38:L42"/>
    <mergeCell ref="A3:C3"/>
    <mergeCell ref="D3:G3"/>
    <mergeCell ref="H3:J3"/>
    <mergeCell ref="P3:R3"/>
    <mergeCell ref="S3:T3"/>
    <mergeCell ref="A6:A12"/>
    <mergeCell ref="D6:D12"/>
    <mergeCell ref="B19:B30"/>
    <mergeCell ref="C19:C30"/>
    <mergeCell ref="B31:B37"/>
    <mergeCell ref="C31:C37"/>
    <mergeCell ref="D31:D37"/>
    <mergeCell ref="B38:B42"/>
    <mergeCell ref="C38:C42"/>
    <mergeCell ref="D38:D42"/>
    <mergeCell ref="A19:A30"/>
    <mergeCell ref="A31:A37"/>
    <mergeCell ref="A38:A42"/>
    <mergeCell ref="B6:B12"/>
    <mergeCell ref="C6:C12"/>
    <mergeCell ref="A13:A18"/>
    <mergeCell ref="B13:B18"/>
    <mergeCell ref="C13:C18"/>
    <mergeCell ref="D13:D18"/>
    <mergeCell ref="D19:D30"/>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88"/>
    <col customWidth="1" min="3" max="4" width="12.63"/>
    <col customWidth="1" min="5" max="5" width="16.25"/>
    <col customWidth="1" min="6" max="6" width="16.0"/>
    <col customWidth="1" min="7" max="7" width="62.63"/>
    <col hidden="1" min="8" max="9" width="12.63"/>
    <col customWidth="1" min="10" max="10" width="55.75"/>
    <col customWidth="1" min="11" max="11" width="43.0"/>
    <col customWidth="1" hidden="1" min="12" max="12" width="18.88"/>
    <col customWidth="1" hidden="1" min="13" max="13" width="31.75"/>
    <col customWidth="1" hidden="1" min="14" max="16" width="12.63"/>
    <col customWidth="1" min="17" max="17" width="12.63"/>
    <col customWidth="1" min="18" max="19" width="17.38"/>
    <col customWidth="1" min="20" max="20" width="22.38"/>
    <col customWidth="1" min="21" max="26" width="12.63"/>
  </cols>
  <sheetData>
    <row r="1" ht="30.0" customHeight="1">
      <c r="A1" s="21" t="s">
        <v>1909</v>
      </c>
      <c r="B1" s="24"/>
      <c r="C1" s="24"/>
      <c r="D1" s="24"/>
      <c r="E1" s="24"/>
      <c r="F1" s="24"/>
      <c r="G1" s="24"/>
      <c r="H1" s="24"/>
      <c r="I1" s="24"/>
      <c r="J1" s="24"/>
      <c r="K1" s="24"/>
      <c r="L1" s="24"/>
      <c r="M1" s="24"/>
      <c r="N1" s="24"/>
      <c r="O1" s="24"/>
      <c r="P1" s="24"/>
      <c r="Q1" s="24"/>
      <c r="R1" s="24"/>
      <c r="S1" s="24"/>
      <c r="T1" s="27"/>
      <c r="U1" s="143"/>
      <c r="V1" s="30"/>
      <c r="W1" s="143"/>
      <c r="X1" s="143"/>
      <c r="Y1" s="143"/>
      <c r="Z1" s="143"/>
    </row>
    <row r="2" ht="19.5" customHeight="1">
      <c r="A2" s="35" t="s">
        <v>38</v>
      </c>
      <c r="B2" s="37"/>
      <c r="C2" s="39"/>
      <c r="D2" s="40" t="s">
        <v>47</v>
      </c>
      <c r="E2" s="37"/>
      <c r="F2" s="37"/>
      <c r="G2" s="39"/>
      <c r="H2" s="35" t="s">
        <v>50</v>
      </c>
      <c r="I2" s="37"/>
      <c r="J2" s="39"/>
      <c r="K2" s="40" t="s">
        <v>1990</v>
      </c>
      <c r="L2" s="37"/>
      <c r="M2" s="37"/>
      <c r="N2" s="37"/>
      <c r="O2" s="39"/>
      <c r="P2" s="35" t="s">
        <v>6</v>
      </c>
      <c r="Q2" s="37"/>
      <c r="R2" s="39"/>
      <c r="S2" s="40" t="s">
        <v>33</v>
      </c>
      <c r="T2" s="39"/>
      <c r="U2" s="143"/>
      <c r="V2" s="30"/>
      <c r="W2" s="143"/>
      <c r="X2" s="143"/>
      <c r="Y2" s="143"/>
      <c r="Z2" s="143"/>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30"/>
      <c r="W3" s="143"/>
      <c r="X3" s="143"/>
      <c r="Y3" s="143"/>
      <c r="Z3" s="143"/>
    </row>
    <row r="4" ht="13.5" customHeight="1">
      <c r="A4" s="49"/>
      <c r="B4" s="49"/>
      <c r="C4" s="49"/>
      <c r="D4" s="49"/>
      <c r="E4" s="49"/>
      <c r="F4" s="49"/>
      <c r="G4" s="49"/>
      <c r="H4" s="49"/>
      <c r="I4" s="49"/>
      <c r="J4" s="49"/>
      <c r="K4" s="49"/>
      <c r="L4" s="49"/>
      <c r="M4" s="49"/>
      <c r="N4" s="49"/>
      <c r="O4" s="49"/>
      <c r="P4" s="49"/>
      <c r="Q4" s="51"/>
      <c r="R4" s="51"/>
      <c r="S4" s="51"/>
      <c r="T4" s="52"/>
      <c r="U4" s="143"/>
      <c r="V4" s="30"/>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8" t="s">
        <v>82</v>
      </c>
      <c r="U5" s="143"/>
      <c r="V5" s="30"/>
      <c r="W5" s="143"/>
      <c r="X5" s="143"/>
      <c r="Y5" s="143"/>
      <c r="Z5" s="143"/>
    </row>
    <row r="6" ht="13.5" customHeight="1">
      <c r="A6" s="59" t="s">
        <v>2007</v>
      </c>
      <c r="B6" s="59" t="s">
        <v>376</v>
      </c>
      <c r="C6" s="60" t="s">
        <v>377</v>
      </c>
      <c r="D6" s="60" t="s">
        <v>2008</v>
      </c>
      <c r="E6" s="61" t="s">
        <v>2011</v>
      </c>
      <c r="F6" s="62" t="s">
        <v>2013</v>
      </c>
      <c r="G6" s="63" t="s">
        <v>2015</v>
      </c>
      <c r="H6" s="61" t="s">
        <v>88</v>
      </c>
      <c r="I6" s="61" t="s">
        <v>60</v>
      </c>
      <c r="J6" s="63" t="s">
        <v>2018</v>
      </c>
      <c r="K6" s="90"/>
      <c r="L6" s="60" t="s">
        <v>2020</v>
      </c>
      <c r="M6" s="61"/>
      <c r="N6" s="61"/>
      <c r="O6" s="61"/>
      <c r="P6" s="61"/>
      <c r="Q6" s="61" t="s">
        <v>93</v>
      </c>
      <c r="R6" s="61" t="s">
        <v>94</v>
      </c>
      <c r="S6" s="61" t="s">
        <v>94</v>
      </c>
      <c r="T6" s="66">
        <v>46246.0</v>
      </c>
      <c r="U6" s="143"/>
      <c r="V6" s="30"/>
      <c r="W6" s="143"/>
      <c r="X6" s="143"/>
      <c r="Y6" s="143"/>
      <c r="Z6" s="143"/>
    </row>
    <row r="7" ht="45.0" customHeight="1">
      <c r="A7" s="67"/>
      <c r="B7" s="67"/>
      <c r="C7" s="67"/>
      <c r="D7" s="67"/>
      <c r="E7" s="61" t="s">
        <v>2025</v>
      </c>
      <c r="F7" s="68"/>
      <c r="G7" s="63" t="s">
        <v>2026</v>
      </c>
      <c r="H7" s="61" t="s">
        <v>88</v>
      </c>
      <c r="I7" s="61" t="s">
        <v>60</v>
      </c>
      <c r="J7" s="151" t="s">
        <v>2027</v>
      </c>
      <c r="K7" s="90"/>
      <c r="L7" s="67"/>
      <c r="M7" s="61"/>
      <c r="N7" s="61"/>
      <c r="O7" s="61"/>
      <c r="P7" s="61"/>
      <c r="Q7" s="61" t="s">
        <v>93</v>
      </c>
      <c r="R7" s="61" t="s">
        <v>94</v>
      </c>
      <c r="S7" s="61" t="s">
        <v>94</v>
      </c>
      <c r="T7" s="66">
        <v>46246.0</v>
      </c>
      <c r="U7" s="143"/>
      <c r="V7" s="30"/>
      <c r="W7" s="143"/>
      <c r="X7" s="143"/>
      <c r="Y7" s="143"/>
      <c r="Z7" s="143"/>
    </row>
    <row r="8" ht="45.0" customHeight="1">
      <c r="A8" s="67"/>
      <c r="B8" s="67"/>
      <c r="C8" s="67"/>
      <c r="D8" s="67"/>
      <c r="E8" s="61" t="s">
        <v>2033</v>
      </c>
      <c r="F8" s="68"/>
      <c r="G8" s="63" t="s">
        <v>2036</v>
      </c>
      <c r="H8" s="61" t="s">
        <v>88</v>
      </c>
      <c r="I8" s="61" t="s">
        <v>60</v>
      </c>
      <c r="J8" s="151" t="s">
        <v>2038</v>
      </c>
      <c r="K8" s="90"/>
      <c r="L8" s="67"/>
      <c r="M8" s="61"/>
      <c r="N8" s="61"/>
      <c r="O8" s="61"/>
      <c r="P8" s="61"/>
      <c r="Q8" s="61" t="s">
        <v>93</v>
      </c>
      <c r="R8" s="61" t="s">
        <v>94</v>
      </c>
      <c r="S8" s="61" t="s">
        <v>94</v>
      </c>
      <c r="T8" s="66">
        <v>46246.0</v>
      </c>
      <c r="U8" s="143"/>
      <c r="V8" s="30"/>
      <c r="W8" s="143"/>
      <c r="X8" s="143"/>
      <c r="Y8" s="143"/>
      <c r="Z8" s="143"/>
    </row>
    <row r="9" ht="45.0" customHeight="1">
      <c r="A9" s="67"/>
      <c r="B9" s="67"/>
      <c r="C9" s="67"/>
      <c r="D9" s="67"/>
      <c r="E9" s="61" t="s">
        <v>2043</v>
      </c>
      <c r="F9" s="68"/>
      <c r="G9" s="63" t="s">
        <v>2044</v>
      </c>
      <c r="H9" s="61" t="s">
        <v>88</v>
      </c>
      <c r="I9" s="61" t="s">
        <v>60</v>
      </c>
      <c r="J9" s="151" t="s">
        <v>2045</v>
      </c>
      <c r="K9" s="90"/>
      <c r="L9" s="67"/>
      <c r="M9" s="61"/>
      <c r="N9" s="61"/>
      <c r="O9" s="61"/>
      <c r="P9" s="61"/>
      <c r="Q9" s="61" t="s">
        <v>93</v>
      </c>
      <c r="R9" s="61" t="s">
        <v>94</v>
      </c>
      <c r="S9" s="61" t="s">
        <v>94</v>
      </c>
      <c r="T9" s="66">
        <v>46246.0</v>
      </c>
      <c r="U9" s="143"/>
      <c r="V9" s="30"/>
      <c r="W9" s="143"/>
      <c r="X9" s="143"/>
      <c r="Y9" s="143"/>
      <c r="Z9" s="143"/>
    </row>
    <row r="10" ht="13.5" customHeight="1">
      <c r="A10" s="67"/>
      <c r="B10" s="67"/>
      <c r="C10" s="67"/>
      <c r="D10" s="67"/>
      <c r="E10" s="61" t="s">
        <v>2049</v>
      </c>
      <c r="F10" s="68"/>
      <c r="G10" s="63" t="s">
        <v>2050</v>
      </c>
      <c r="H10" s="61" t="s">
        <v>88</v>
      </c>
      <c r="I10" s="61" t="s">
        <v>60</v>
      </c>
      <c r="J10" s="151" t="s">
        <v>2051</v>
      </c>
      <c r="K10" s="90"/>
      <c r="L10" s="67"/>
      <c r="M10" s="61"/>
      <c r="N10" s="61"/>
      <c r="O10" s="61"/>
      <c r="P10" s="61"/>
      <c r="Q10" s="61" t="s">
        <v>93</v>
      </c>
      <c r="R10" s="61" t="s">
        <v>94</v>
      </c>
      <c r="S10" s="61" t="s">
        <v>94</v>
      </c>
      <c r="T10" s="66">
        <v>46246.0</v>
      </c>
      <c r="U10" s="143"/>
      <c r="V10" s="30"/>
      <c r="W10" s="143"/>
      <c r="X10" s="143"/>
      <c r="Y10" s="143"/>
      <c r="Z10" s="143"/>
    </row>
    <row r="11" ht="45.0" customHeight="1">
      <c r="A11" s="67"/>
      <c r="B11" s="67"/>
      <c r="C11" s="67"/>
      <c r="D11" s="67"/>
      <c r="E11" s="61" t="s">
        <v>2056</v>
      </c>
      <c r="F11" s="68"/>
      <c r="G11" s="63" t="s">
        <v>2057</v>
      </c>
      <c r="H11" s="61" t="s">
        <v>88</v>
      </c>
      <c r="I11" s="61" t="s">
        <v>60</v>
      </c>
      <c r="J11" s="151" t="s">
        <v>2059</v>
      </c>
      <c r="K11" s="90"/>
      <c r="L11" s="67"/>
      <c r="M11" s="61"/>
      <c r="N11" s="61"/>
      <c r="O11" s="61"/>
      <c r="P11" s="61"/>
      <c r="Q11" s="61" t="s">
        <v>93</v>
      </c>
      <c r="R11" s="61" t="s">
        <v>94</v>
      </c>
      <c r="S11" s="61" t="s">
        <v>94</v>
      </c>
      <c r="T11" s="66">
        <v>46246.0</v>
      </c>
      <c r="U11" s="143"/>
      <c r="V11" s="30"/>
      <c r="W11" s="143"/>
      <c r="X11" s="143"/>
      <c r="Y11" s="143"/>
      <c r="Z11" s="143"/>
    </row>
    <row r="12" ht="13.5" customHeight="1">
      <c r="A12" s="67"/>
      <c r="B12" s="67"/>
      <c r="C12" s="67"/>
      <c r="D12" s="67"/>
      <c r="E12" s="61" t="s">
        <v>2065</v>
      </c>
      <c r="F12" s="68"/>
      <c r="G12" s="63" t="s">
        <v>2066</v>
      </c>
      <c r="H12" s="61" t="s">
        <v>88</v>
      </c>
      <c r="I12" s="61" t="s">
        <v>60</v>
      </c>
      <c r="J12" s="151" t="s">
        <v>2067</v>
      </c>
      <c r="K12" s="90"/>
      <c r="L12" s="67"/>
      <c r="M12" s="61"/>
      <c r="N12" s="61"/>
      <c r="O12" s="61"/>
      <c r="P12" s="61"/>
      <c r="Q12" s="61" t="s">
        <v>93</v>
      </c>
      <c r="R12" s="61" t="s">
        <v>94</v>
      </c>
      <c r="S12" s="61" t="s">
        <v>94</v>
      </c>
      <c r="T12" s="66">
        <v>46246.0</v>
      </c>
      <c r="U12" s="143"/>
      <c r="V12" s="30"/>
      <c r="W12" s="143"/>
      <c r="X12" s="143"/>
      <c r="Y12" s="143"/>
      <c r="Z12" s="143"/>
    </row>
    <row r="13" ht="45.0" customHeight="1">
      <c r="A13" s="67"/>
      <c r="B13" s="67"/>
      <c r="C13" s="67"/>
      <c r="D13" s="67"/>
      <c r="E13" s="61" t="s">
        <v>2071</v>
      </c>
      <c r="F13" s="62"/>
      <c r="G13" s="63" t="s">
        <v>2072</v>
      </c>
      <c r="H13" s="61" t="s">
        <v>88</v>
      </c>
      <c r="I13" s="61" t="s">
        <v>60</v>
      </c>
      <c r="J13" s="151" t="s">
        <v>2073</v>
      </c>
      <c r="K13" s="90"/>
      <c r="L13" s="67"/>
      <c r="M13" s="61"/>
      <c r="N13" s="61"/>
      <c r="O13" s="61"/>
      <c r="P13" s="61"/>
      <c r="Q13" s="61" t="s">
        <v>93</v>
      </c>
      <c r="R13" s="61" t="s">
        <v>94</v>
      </c>
      <c r="S13" s="61" t="s">
        <v>94</v>
      </c>
      <c r="T13" s="66">
        <v>46246.0</v>
      </c>
      <c r="U13" s="143"/>
      <c r="V13" s="30"/>
      <c r="W13" s="143"/>
      <c r="X13" s="143"/>
      <c r="Y13" s="143"/>
      <c r="Z13" s="143"/>
    </row>
    <row r="14" ht="45.0" customHeight="1">
      <c r="A14" s="67"/>
      <c r="B14" s="67"/>
      <c r="C14" s="67"/>
      <c r="D14" s="67"/>
      <c r="E14" s="61" t="s">
        <v>2078</v>
      </c>
      <c r="F14" s="68"/>
      <c r="G14" s="63" t="s">
        <v>2079</v>
      </c>
      <c r="H14" s="61" t="s">
        <v>88</v>
      </c>
      <c r="I14" s="61" t="s">
        <v>60</v>
      </c>
      <c r="J14" s="151" t="s">
        <v>2080</v>
      </c>
      <c r="K14" s="90"/>
      <c r="L14" s="67"/>
      <c r="M14" s="61"/>
      <c r="N14" s="61"/>
      <c r="O14" s="61"/>
      <c r="P14" s="61"/>
      <c r="Q14" s="61" t="s">
        <v>93</v>
      </c>
      <c r="R14" s="61" t="s">
        <v>94</v>
      </c>
      <c r="S14" s="61" t="s">
        <v>94</v>
      </c>
      <c r="T14" s="66">
        <v>46246.0</v>
      </c>
      <c r="U14" s="143"/>
      <c r="V14" s="30"/>
      <c r="W14" s="143"/>
      <c r="X14" s="143"/>
      <c r="Y14" s="143"/>
      <c r="Z14" s="143"/>
    </row>
    <row r="15" ht="45.0" customHeight="1">
      <c r="A15" s="77"/>
      <c r="B15" s="77"/>
      <c r="C15" s="77"/>
      <c r="D15" s="77"/>
      <c r="E15" s="61" t="s">
        <v>2084</v>
      </c>
      <c r="F15" s="68"/>
      <c r="G15" s="63" t="s">
        <v>2085</v>
      </c>
      <c r="H15" s="61" t="s">
        <v>88</v>
      </c>
      <c r="I15" s="61" t="s">
        <v>60</v>
      </c>
      <c r="J15" s="151" t="s">
        <v>2088</v>
      </c>
      <c r="K15" s="90"/>
      <c r="L15" s="77"/>
      <c r="M15" s="61"/>
      <c r="N15" s="61"/>
      <c r="O15" s="61"/>
      <c r="P15" s="61"/>
      <c r="Q15" s="61" t="s">
        <v>93</v>
      </c>
      <c r="R15" s="61" t="s">
        <v>94</v>
      </c>
      <c r="S15" s="61" t="s">
        <v>94</v>
      </c>
      <c r="T15" s="66">
        <v>46246.0</v>
      </c>
      <c r="U15" s="143"/>
      <c r="V15" s="30"/>
      <c r="W15" s="143"/>
      <c r="X15" s="143"/>
      <c r="Y15" s="143"/>
      <c r="Z15" s="143"/>
    </row>
    <row r="16" ht="13.5" customHeight="1">
      <c r="A16" s="78" t="s">
        <v>2007</v>
      </c>
      <c r="B16" s="78" t="s">
        <v>384</v>
      </c>
      <c r="C16" s="79" t="s">
        <v>385</v>
      </c>
      <c r="D16" s="79" t="s">
        <v>2094</v>
      </c>
      <c r="E16" s="89" t="s">
        <v>2097</v>
      </c>
      <c r="F16" s="70" t="s">
        <v>2098</v>
      </c>
      <c r="G16" s="83" t="s">
        <v>2099</v>
      </c>
      <c r="H16" s="81" t="s">
        <v>88</v>
      </c>
      <c r="I16" s="81" t="s">
        <v>60</v>
      </c>
      <c r="J16" s="83" t="s">
        <v>2100</v>
      </c>
      <c r="K16" s="90"/>
      <c r="L16" s="79" t="s">
        <v>2102</v>
      </c>
      <c r="M16" s="147"/>
      <c r="N16" s="147"/>
      <c r="O16" s="147"/>
      <c r="P16" s="147"/>
      <c r="Q16" s="147" t="s">
        <v>93</v>
      </c>
      <c r="R16" s="81" t="s">
        <v>94</v>
      </c>
      <c r="S16" s="81" t="s">
        <v>94</v>
      </c>
      <c r="T16" s="84">
        <v>46246.0</v>
      </c>
      <c r="U16" s="143"/>
      <c r="V16" s="30"/>
      <c r="W16" s="143"/>
      <c r="X16" s="143"/>
      <c r="Y16" s="143"/>
      <c r="Z16" s="143"/>
    </row>
    <row r="17" ht="45.0" customHeight="1">
      <c r="A17" s="67"/>
      <c r="B17" s="67"/>
      <c r="C17" s="67"/>
      <c r="D17" s="67"/>
      <c r="E17" s="89" t="s">
        <v>2106</v>
      </c>
      <c r="F17" s="70"/>
      <c r="G17" s="83" t="s">
        <v>2107</v>
      </c>
      <c r="H17" s="81" t="s">
        <v>88</v>
      </c>
      <c r="I17" s="81" t="s">
        <v>60</v>
      </c>
      <c r="J17" s="117" t="s">
        <v>2109</v>
      </c>
      <c r="K17" s="90"/>
      <c r="L17" s="67"/>
      <c r="M17" s="147"/>
      <c r="N17" s="147"/>
      <c r="O17" s="147"/>
      <c r="P17" s="147"/>
      <c r="Q17" s="147" t="s">
        <v>93</v>
      </c>
      <c r="R17" s="81" t="s">
        <v>94</v>
      </c>
      <c r="S17" s="81" t="s">
        <v>94</v>
      </c>
      <c r="T17" s="148">
        <v>46246.0</v>
      </c>
      <c r="U17" s="143"/>
      <c r="V17" s="30"/>
      <c r="W17" s="143"/>
      <c r="X17" s="143"/>
      <c r="Y17" s="143"/>
      <c r="Z17" s="143"/>
    </row>
    <row r="18" ht="13.5" customHeight="1">
      <c r="A18" s="67"/>
      <c r="B18" s="67"/>
      <c r="C18" s="67"/>
      <c r="D18" s="67"/>
      <c r="E18" s="89" t="s">
        <v>2112</v>
      </c>
      <c r="F18" s="70"/>
      <c r="G18" s="83" t="s">
        <v>2114</v>
      </c>
      <c r="H18" s="81" t="s">
        <v>88</v>
      </c>
      <c r="I18" s="81" t="s">
        <v>60</v>
      </c>
      <c r="J18" s="117" t="s">
        <v>2115</v>
      </c>
      <c r="K18" s="90"/>
      <c r="L18" s="67"/>
      <c r="M18" s="147"/>
      <c r="N18" s="147"/>
      <c r="O18" s="147"/>
      <c r="P18" s="147"/>
      <c r="Q18" s="147" t="s">
        <v>93</v>
      </c>
      <c r="R18" s="81" t="s">
        <v>94</v>
      </c>
      <c r="S18" s="81" t="s">
        <v>94</v>
      </c>
      <c r="T18" s="148">
        <v>46246.0</v>
      </c>
      <c r="U18" s="143"/>
      <c r="V18" s="30"/>
      <c r="W18" s="143"/>
      <c r="X18" s="143"/>
      <c r="Y18" s="143"/>
      <c r="Z18" s="143"/>
    </row>
    <row r="19" ht="45.0" customHeight="1">
      <c r="A19" s="67"/>
      <c r="B19" s="67"/>
      <c r="C19" s="67"/>
      <c r="D19" s="67"/>
      <c r="E19" s="89" t="s">
        <v>2116</v>
      </c>
      <c r="F19" s="70"/>
      <c r="G19" s="83" t="s">
        <v>2117</v>
      </c>
      <c r="H19" s="81" t="s">
        <v>88</v>
      </c>
      <c r="I19" s="81" t="s">
        <v>60</v>
      </c>
      <c r="J19" s="117" t="s">
        <v>2118</v>
      </c>
      <c r="K19" s="90"/>
      <c r="L19" s="67"/>
      <c r="M19" s="147"/>
      <c r="N19" s="147"/>
      <c r="O19" s="147"/>
      <c r="P19" s="147"/>
      <c r="Q19" s="147" t="s">
        <v>93</v>
      </c>
      <c r="R19" s="81" t="s">
        <v>94</v>
      </c>
      <c r="S19" s="81" t="s">
        <v>94</v>
      </c>
      <c r="T19" s="148">
        <v>46246.0</v>
      </c>
      <c r="U19" s="143"/>
      <c r="V19" s="30"/>
      <c r="W19" s="143"/>
      <c r="X19" s="143"/>
      <c r="Y19" s="143"/>
      <c r="Z19" s="143"/>
    </row>
    <row r="20" ht="45.0" customHeight="1">
      <c r="A20" s="67"/>
      <c r="B20" s="67"/>
      <c r="C20" s="67"/>
      <c r="D20" s="67"/>
      <c r="E20" s="89" t="s">
        <v>2119</v>
      </c>
      <c r="F20" s="70"/>
      <c r="G20" s="83" t="s">
        <v>2120</v>
      </c>
      <c r="H20" s="81" t="s">
        <v>88</v>
      </c>
      <c r="I20" s="81" t="s">
        <v>60</v>
      </c>
      <c r="J20" s="117" t="s">
        <v>2121</v>
      </c>
      <c r="K20" s="90"/>
      <c r="L20" s="67"/>
      <c r="M20" s="147"/>
      <c r="N20" s="147"/>
      <c r="O20" s="147"/>
      <c r="P20" s="147"/>
      <c r="Q20" s="147" t="s">
        <v>93</v>
      </c>
      <c r="R20" s="81" t="s">
        <v>94</v>
      </c>
      <c r="S20" s="81" t="s">
        <v>94</v>
      </c>
      <c r="T20" s="148">
        <v>46246.0</v>
      </c>
      <c r="U20" s="143"/>
      <c r="V20" s="30"/>
      <c r="W20" s="143"/>
      <c r="X20" s="143"/>
      <c r="Y20" s="143"/>
      <c r="Z20" s="143"/>
    </row>
    <row r="21" ht="45.0" customHeight="1">
      <c r="A21" s="77"/>
      <c r="B21" s="77"/>
      <c r="C21" s="77"/>
      <c r="D21" s="77"/>
      <c r="E21" s="89" t="s">
        <v>2122</v>
      </c>
      <c r="F21" s="70"/>
      <c r="G21" s="83" t="s">
        <v>2123</v>
      </c>
      <c r="H21" s="81" t="s">
        <v>88</v>
      </c>
      <c r="I21" s="81" t="s">
        <v>60</v>
      </c>
      <c r="J21" s="117" t="s">
        <v>2124</v>
      </c>
      <c r="K21" s="90"/>
      <c r="L21" s="77"/>
      <c r="M21" s="147"/>
      <c r="N21" s="147"/>
      <c r="O21" s="147"/>
      <c r="P21" s="147"/>
      <c r="Q21" s="147" t="s">
        <v>93</v>
      </c>
      <c r="R21" s="147" t="s">
        <v>94</v>
      </c>
      <c r="S21" s="147" t="s">
        <v>94</v>
      </c>
      <c r="T21" s="148">
        <v>46246.0</v>
      </c>
      <c r="U21" s="143"/>
      <c r="V21" s="30"/>
      <c r="W21" s="143"/>
      <c r="X21" s="143"/>
      <c r="Y21" s="143"/>
      <c r="Z21" s="143"/>
    </row>
    <row r="22" ht="13.5" customHeight="1">
      <c r="A22" s="59" t="s">
        <v>2007</v>
      </c>
      <c r="B22" s="59" t="s">
        <v>390</v>
      </c>
      <c r="C22" s="60" t="s">
        <v>391</v>
      </c>
      <c r="D22" s="60" t="s">
        <v>2125</v>
      </c>
      <c r="E22" s="61" t="s">
        <v>2126</v>
      </c>
      <c r="F22" s="62" t="s">
        <v>2127</v>
      </c>
      <c r="G22" s="63" t="s">
        <v>2128</v>
      </c>
      <c r="H22" s="61" t="s">
        <v>88</v>
      </c>
      <c r="I22" s="61" t="s">
        <v>60</v>
      </c>
      <c r="J22" s="151" t="s">
        <v>2129</v>
      </c>
      <c r="K22" s="90"/>
      <c r="L22" s="60" t="s">
        <v>2130</v>
      </c>
      <c r="M22" s="61"/>
      <c r="N22" s="61"/>
      <c r="O22" s="61"/>
      <c r="P22" s="61"/>
      <c r="Q22" s="61" t="s">
        <v>93</v>
      </c>
      <c r="R22" s="61" t="s">
        <v>94</v>
      </c>
      <c r="S22" s="61" t="s">
        <v>94</v>
      </c>
      <c r="T22" s="66">
        <v>46246.0</v>
      </c>
      <c r="U22" s="143"/>
      <c r="V22" s="30"/>
      <c r="W22" s="143"/>
      <c r="X22" s="143"/>
      <c r="Y22" s="143"/>
      <c r="Z22" s="143"/>
    </row>
    <row r="23" ht="13.5" customHeight="1">
      <c r="A23" s="67"/>
      <c r="B23" s="67"/>
      <c r="C23" s="67"/>
      <c r="D23" s="67"/>
      <c r="E23" s="61" t="s">
        <v>2131</v>
      </c>
      <c r="F23" s="68"/>
      <c r="G23" s="63" t="s">
        <v>2132</v>
      </c>
      <c r="H23" s="61" t="s">
        <v>88</v>
      </c>
      <c r="I23" s="61" t="s">
        <v>60</v>
      </c>
      <c r="J23" s="151" t="s">
        <v>2133</v>
      </c>
      <c r="K23" s="90"/>
      <c r="L23" s="67"/>
      <c r="M23" s="61"/>
      <c r="N23" s="61"/>
      <c r="O23" s="61"/>
      <c r="P23" s="61"/>
      <c r="Q23" s="61" t="s">
        <v>93</v>
      </c>
      <c r="R23" s="61" t="s">
        <v>94</v>
      </c>
      <c r="S23" s="61" t="s">
        <v>94</v>
      </c>
      <c r="T23" s="66">
        <v>46246.0</v>
      </c>
      <c r="U23" s="143"/>
      <c r="V23" s="30"/>
      <c r="W23" s="143"/>
      <c r="X23" s="143"/>
      <c r="Y23" s="143"/>
      <c r="Z23" s="143"/>
    </row>
    <row r="24" ht="13.5" customHeight="1">
      <c r="A24" s="67"/>
      <c r="B24" s="67"/>
      <c r="C24" s="67"/>
      <c r="D24" s="67"/>
      <c r="E24" s="61" t="s">
        <v>2134</v>
      </c>
      <c r="F24" s="68"/>
      <c r="G24" s="63" t="s">
        <v>2135</v>
      </c>
      <c r="H24" s="61" t="s">
        <v>88</v>
      </c>
      <c r="I24" s="61" t="s">
        <v>60</v>
      </c>
      <c r="J24" s="151" t="s">
        <v>2136</v>
      </c>
      <c r="K24" s="90"/>
      <c r="L24" s="67"/>
      <c r="M24" s="61"/>
      <c r="N24" s="61"/>
      <c r="O24" s="61"/>
      <c r="P24" s="61"/>
      <c r="Q24" s="61" t="s">
        <v>93</v>
      </c>
      <c r="R24" s="61" t="s">
        <v>94</v>
      </c>
      <c r="S24" s="61" t="s">
        <v>94</v>
      </c>
      <c r="T24" s="66">
        <v>46246.0</v>
      </c>
      <c r="U24" s="143"/>
      <c r="V24" s="30"/>
      <c r="W24" s="143"/>
      <c r="X24" s="143"/>
      <c r="Y24" s="143"/>
      <c r="Z24" s="143"/>
    </row>
    <row r="25" ht="13.5" customHeight="1">
      <c r="A25" s="67"/>
      <c r="B25" s="67"/>
      <c r="C25" s="67"/>
      <c r="D25" s="67"/>
      <c r="E25" s="61" t="s">
        <v>2137</v>
      </c>
      <c r="F25" s="68"/>
      <c r="G25" s="63" t="s">
        <v>2138</v>
      </c>
      <c r="H25" s="61" t="s">
        <v>88</v>
      </c>
      <c r="I25" s="61" t="s">
        <v>60</v>
      </c>
      <c r="J25" s="151" t="s">
        <v>2139</v>
      </c>
      <c r="K25" s="90"/>
      <c r="L25" s="67"/>
      <c r="M25" s="61"/>
      <c r="N25" s="61"/>
      <c r="O25" s="61"/>
      <c r="P25" s="61"/>
      <c r="Q25" s="61" t="s">
        <v>93</v>
      </c>
      <c r="R25" s="61" t="s">
        <v>94</v>
      </c>
      <c r="S25" s="61" t="s">
        <v>94</v>
      </c>
      <c r="T25" s="66">
        <v>46246.0</v>
      </c>
      <c r="U25" s="143"/>
      <c r="V25" s="30"/>
      <c r="W25" s="143"/>
      <c r="X25" s="143"/>
      <c r="Y25" s="143"/>
      <c r="Z25" s="143"/>
    </row>
    <row r="26" ht="45.0" customHeight="1">
      <c r="A26" s="67"/>
      <c r="B26" s="67"/>
      <c r="C26" s="67"/>
      <c r="D26" s="67"/>
      <c r="E26" s="61" t="s">
        <v>2140</v>
      </c>
      <c r="F26" s="68"/>
      <c r="G26" s="63" t="s">
        <v>2141</v>
      </c>
      <c r="H26" s="61" t="s">
        <v>88</v>
      </c>
      <c r="I26" s="61" t="s">
        <v>60</v>
      </c>
      <c r="J26" s="151" t="s">
        <v>2142</v>
      </c>
      <c r="K26" s="90"/>
      <c r="L26" s="67"/>
      <c r="M26" s="61"/>
      <c r="N26" s="61"/>
      <c r="O26" s="61"/>
      <c r="P26" s="61"/>
      <c r="Q26" s="61" t="s">
        <v>93</v>
      </c>
      <c r="R26" s="61" t="s">
        <v>94</v>
      </c>
      <c r="S26" s="61" t="s">
        <v>94</v>
      </c>
      <c r="T26" s="66">
        <v>46246.0</v>
      </c>
      <c r="U26" s="143"/>
      <c r="V26" s="30"/>
      <c r="W26" s="143"/>
      <c r="X26" s="143"/>
      <c r="Y26" s="143"/>
      <c r="Z26" s="143"/>
    </row>
    <row r="27" ht="45.0" customHeight="1">
      <c r="A27" s="67"/>
      <c r="B27" s="67"/>
      <c r="C27" s="67"/>
      <c r="D27" s="67"/>
      <c r="E27" s="61" t="s">
        <v>2143</v>
      </c>
      <c r="F27" s="62" t="s">
        <v>2144</v>
      </c>
      <c r="G27" s="63" t="s">
        <v>2145</v>
      </c>
      <c r="H27" s="61" t="s">
        <v>88</v>
      </c>
      <c r="I27" s="61" t="s">
        <v>60</v>
      </c>
      <c r="J27" s="151" t="s">
        <v>2146</v>
      </c>
      <c r="K27" s="90"/>
      <c r="L27" s="67"/>
      <c r="M27" s="61"/>
      <c r="N27" s="61"/>
      <c r="O27" s="61"/>
      <c r="P27" s="61"/>
      <c r="Q27" s="61" t="s">
        <v>93</v>
      </c>
      <c r="R27" s="61" t="s">
        <v>94</v>
      </c>
      <c r="S27" s="61" t="s">
        <v>94</v>
      </c>
      <c r="T27" s="66">
        <v>46246.0</v>
      </c>
      <c r="U27" s="143"/>
      <c r="V27" s="30"/>
      <c r="W27" s="143"/>
      <c r="X27" s="143"/>
      <c r="Y27" s="143"/>
      <c r="Z27" s="143"/>
    </row>
    <row r="28" ht="45.0" customHeight="1">
      <c r="A28" s="67"/>
      <c r="B28" s="67"/>
      <c r="C28" s="67"/>
      <c r="D28" s="67"/>
      <c r="E28" s="61" t="s">
        <v>2147</v>
      </c>
      <c r="F28" s="62" t="s">
        <v>2148</v>
      </c>
      <c r="G28" s="63" t="s">
        <v>2149</v>
      </c>
      <c r="H28" s="61" t="s">
        <v>88</v>
      </c>
      <c r="I28" s="61" t="s">
        <v>60</v>
      </c>
      <c r="J28" s="151" t="s">
        <v>2150</v>
      </c>
      <c r="K28" s="90"/>
      <c r="L28" s="67"/>
      <c r="M28" s="61"/>
      <c r="N28" s="61"/>
      <c r="O28" s="61"/>
      <c r="P28" s="61"/>
      <c r="Q28" s="61" t="s">
        <v>93</v>
      </c>
      <c r="R28" s="61" t="s">
        <v>94</v>
      </c>
      <c r="S28" s="61" t="s">
        <v>94</v>
      </c>
      <c r="T28" s="66">
        <v>46246.0</v>
      </c>
      <c r="U28" s="143"/>
      <c r="V28" s="30"/>
      <c r="W28" s="143"/>
      <c r="X28" s="143"/>
      <c r="Y28" s="143"/>
      <c r="Z28" s="143"/>
    </row>
    <row r="29" ht="45.0" customHeight="1">
      <c r="A29" s="77"/>
      <c r="B29" s="77"/>
      <c r="C29" s="77"/>
      <c r="D29" s="77"/>
      <c r="E29" s="61" t="s">
        <v>2151</v>
      </c>
      <c r="F29" s="68"/>
      <c r="G29" s="63" t="s">
        <v>2152</v>
      </c>
      <c r="H29" s="61" t="s">
        <v>88</v>
      </c>
      <c r="I29" s="61" t="s">
        <v>60</v>
      </c>
      <c r="J29" s="151" t="s">
        <v>2153</v>
      </c>
      <c r="K29" s="90"/>
      <c r="L29" s="77"/>
      <c r="M29" s="61"/>
      <c r="N29" s="61"/>
      <c r="O29" s="61"/>
      <c r="P29" s="61"/>
      <c r="Q29" s="61" t="s">
        <v>93</v>
      </c>
      <c r="R29" s="61" t="s">
        <v>94</v>
      </c>
      <c r="S29" s="61" t="s">
        <v>94</v>
      </c>
      <c r="T29" s="66">
        <v>46246.0</v>
      </c>
      <c r="U29" s="143"/>
      <c r="V29" s="30"/>
      <c r="W29" s="143"/>
      <c r="X29" s="143"/>
      <c r="Y29" s="143"/>
      <c r="Z29" s="143"/>
    </row>
    <row r="30" ht="13.5" customHeight="1">
      <c r="A30" s="78" t="s">
        <v>2007</v>
      </c>
      <c r="B30" s="78" t="s">
        <v>395</v>
      </c>
      <c r="C30" s="79" t="s">
        <v>397</v>
      </c>
      <c r="D30" s="79" t="s">
        <v>2154</v>
      </c>
      <c r="E30" s="89" t="s">
        <v>2155</v>
      </c>
      <c r="F30" s="70" t="s">
        <v>2156</v>
      </c>
      <c r="G30" s="83" t="s">
        <v>2157</v>
      </c>
      <c r="H30" s="81" t="s">
        <v>88</v>
      </c>
      <c r="I30" s="81" t="s">
        <v>60</v>
      </c>
      <c r="J30" s="161" t="s">
        <v>2158</v>
      </c>
      <c r="K30" s="162" t="s">
        <v>2159</v>
      </c>
      <c r="L30" s="79" t="s">
        <v>2160</v>
      </c>
      <c r="M30" s="147"/>
      <c r="N30" s="147"/>
      <c r="O30" s="147"/>
      <c r="P30" s="147"/>
      <c r="Q30" s="147" t="s">
        <v>93</v>
      </c>
      <c r="R30" s="147" t="s">
        <v>94</v>
      </c>
      <c r="S30" s="147" t="s">
        <v>94</v>
      </c>
      <c r="T30" s="84">
        <v>46255.0</v>
      </c>
      <c r="U30" s="143"/>
      <c r="V30" s="30"/>
      <c r="W30" s="143"/>
      <c r="X30" s="143"/>
      <c r="Y30" s="143"/>
      <c r="Z30" s="143"/>
    </row>
    <row r="31" ht="13.5" customHeight="1">
      <c r="A31" s="67"/>
      <c r="B31" s="67"/>
      <c r="C31" s="67"/>
      <c r="D31" s="67"/>
      <c r="E31" s="89" t="s">
        <v>2161</v>
      </c>
      <c r="F31" s="70"/>
      <c r="G31" s="83" t="s">
        <v>2162</v>
      </c>
      <c r="H31" s="81" t="s">
        <v>88</v>
      </c>
      <c r="I31" s="81" t="s">
        <v>60</v>
      </c>
      <c r="J31" s="117" t="s">
        <v>2163</v>
      </c>
      <c r="K31" s="90"/>
      <c r="L31" s="67"/>
      <c r="M31" s="147"/>
      <c r="N31" s="147"/>
      <c r="O31" s="147"/>
      <c r="P31" s="147"/>
      <c r="Q31" s="147" t="s">
        <v>93</v>
      </c>
      <c r="R31" s="147" t="s">
        <v>94</v>
      </c>
      <c r="S31" s="147" t="s">
        <v>94</v>
      </c>
      <c r="T31" s="148">
        <v>46246.0</v>
      </c>
      <c r="U31" s="143"/>
      <c r="V31" s="30"/>
      <c r="W31" s="143"/>
      <c r="X31" s="143"/>
      <c r="Y31" s="143"/>
      <c r="Z31" s="143"/>
    </row>
    <row r="32" ht="13.5" customHeight="1">
      <c r="A32" s="67"/>
      <c r="B32" s="67"/>
      <c r="C32" s="67"/>
      <c r="D32" s="67"/>
      <c r="E32" s="89" t="s">
        <v>2164</v>
      </c>
      <c r="F32" s="70"/>
      <c r="G32" s="83" t="s">
        <v>2165</v>
      </c>
      <c r="H32" s="81" t="s">
        <v>88</v>
      </c>
      <c r="I32" s="81" t="s">
        <v>60</v>
      </c>
      <c r="J32" s="117" t="s">
        <v>2166</v>
      </c>
      <c r="K32" s="90"/>
      <c r="L32" s="67"/>
      <c r="M32" s="81"/>
      <c r="N32" s="81"/>
      <c r="O32" s="81"/>
      <c r="P32" s="81"/>
      <c r="Q32" s="147" t="s">
        <v>93</v>
      </c>
      <c r="R32" s="147" t="s">
        <v>94</v>
      </c>
      <c r="S32" s="147" t="s">
        <v>94</v>
      </c>
      <c r="T32" s="148">
        <v>46246.0</v>
      </c>
      <c r="U32" s="143"/>
      <c r="V32" s="30"/>
      <c r="W32" s="143"/>
      <c r="X32" s="143"/>
      <c r="Y32" s="143"/>
      <c r="Z32" s="143"/>
    </row>
    <row r="33" ht="45.0" customHeight="1">
      <c r="A33" s="77"/>
      <c r="B33" s="77"/>
      <c r="C33" s="77"/>
      <c r="D33" s="77"/>
      <c r="E33" s="89" t="s">
        <v>2167</v>
      </c>
      <c r="F33" s="70"/>
      <c r="G33" s="83" t="s">
        <v>2168</v>
      </c>
      <c r="H33" s="81" t="s">
        <v>88</v>
      </c>
      <c r="I33" s="81" t="s">
        <v>60</v>
      </c>
      <c r="J33" s="117" t="s">
        <v>2169</v>
      </c>
      <c r="K33" s="90"/>
      <c r="L33" s="77"/>
      <c r="M33" s="147"/>
      <c r="N33" s="147"/>
      <c r="O33" s="147"/>
      <c r="P33" s="147"/>
      <c r="Q33" s="147" t="s">
        <v>93</v>
      </c>
      <c r="R33" s="147" t="s">
        <v>94</v>
      </c>
      <c r="S33" s="147" t="s">
        <v>94</v>
      </c>
      <c r="T33" s="148">
        <v>46246.0</v>
      </c>
      <c r="U33" s="143"/>
      <c r="V33" s="30"/>
      <c r="W33" s="143"/>
      <c r="X33" s="143"/>
      <c r="Y33" s="143"/>
      <c r="Z33" s="143"/>
    </row>
    <row r="34" ht="13.5" customHeight="1">
      <c r="A34" s="59" t="s">
        <v>2007</v>
      </c>
      <c r="B34" s="59" t="s">
        <v>404</v>
      </c>
      <c r="C34" s="60" t="s">
        <v>405</v>
      </c>
      <c r="D34" s="60" t="s">
        <v>2170</v>
      </c>
      <c r="E34" s="61" t="s">
        <v>2171</v>
      </c>
      <c r="F34" s="62" t="s">
        <v>2172</v>
      </c>
      <c r="G34" s="63" t="s">
        <v>2173</v>
      </c>
      <c r="H34" s="61" t="s">
        <v>88</v>
      </c>
      <c r="I34" s="61" t="s">
        <v>60</v>
      </c>
      <c r="J34" s="151" t="s">
        <v>2174</v>
      </c>
      <c r="K34" s="90"/>
      <c r="L34" s="60" t="s">
        <v>2175</v>
      </c>
      <c r="M34" s="61"/>
      <c r="N34" s="61"/>
      <c r="O34" s="61"/>
      <c r="P34" s="61"/>
      <c r="Q34" s="61" t="s">
        <v>93</v>
      </c>
      <c r="R34" s="61" t="s">
        <v>94</v>
      </c>
      <c r="S34" s="61" t="s">
        <v>94</v>
      </c>
      <c r="T34" s="66">
        <v>46246.0</v>
      </c>
      <c r="U34" s="143"/>
      <c r="V34" s="30"/>
      <c r="W34" s="143"/>
      <c r="X34" s="143"/>
      <c r="Y34" s="143"/>
      <c r="Z34" s="143"/>
    </row>
    <row r="35" ht="13.5" customHeight="1">
      <c r="A35" s="67"/>
      <c r="B35" s="67"/>
      <c r="C35" s="67"/>
      <c r="D35" s="67"/>
      <c r="E35" s="61" t="s">
        <v>2176</v>
      </c>
      <c r="F35" s="62"/>
      <c r="G35" s="63" t="s">
        <v>2177</v>
      </c>
      <c r="H35" s="61" t="s">
        <v>88</v>
      </c>
      <c r="I35" s="61" t="s">
        <v>60</v>
      </c>
      <c r="J35" s="151" t="s">
        <v>2178</v>
      </c>
      <c r="K35" s="90"/>
      <c r="L35" s="67"/>
      <c r="M35" s="61"/>
      <c r="N35" s="61"/>
      <c r="O35" s="61"/>
      <c r="P35" s="61"/>
      <c r="Q35" s="61" t="s">
        <v>93</v>
      </c>
      <c r="R35" s="61" t="s">
        <v>94</v>
      </c>
      <c r="S35" s="61" t="s">
        <v>94</v>
      </c>
      <c r="T35" s="66">
        <v>46246.0</v>
      </c>
      <c r="U35" s="143"/>
      <c r="V35" s="30"/>
      <c r="W35" s="143"/>
      <c r="X35" s="143"/>
      <c r="Y35" s="143"/>
      <c r="Z35" s="143"/>
    </row>
    <row r="36" ht="13.5" customHeight="1">
      <c r="A36" s="77"/>
      <c r="B36" s="77"/>
      <c r="C36" s="77"/>
      <c r="D36" s="77"/>
      <c r="E36" s="61" t="s">
        <v>2179</v>
      </c>
      <c r="F36" s="68"/>
      <c r="G36" s="63" t="s">
        <v>2180</v>
      </c>
      <c r="H36" s="61" t="s">
        <v>88</v>
      </c>
      <c r="I36" s="61" t="s">
        <v>60</v>
      </c>
      <c r="J36" s="62" t="s">
        <v>2181</v>
      </c>
      <c r="K36" s="90"/>
      <c r="L36" s="77"/>
      <c r="M36" s="61"/>
      <c r="N36" s="61"/>
      <c r="O36" s="61"/>
      <c r="P36" s="61"/>
      <c r="Q36" s="61" t="s">
        <v>93</v>
      </c>
      <c r="R36" s="61" t="s">
        <v>94</v>
      </c>
      <c r="S36" s="61" t="s">
        <v>94</v>
      </c>
      <c r="T36" s="66">
        <v>46246.0</v>
      </c>
      <c r="U36" s="143"/>
      <c r="V36" s="30"/>
      <c r="W36" s="143"/>
      <c r="X36" s="143"/>
      <c r="Y36" s="143"/>
      <c r="Z36" s="143"/>
    </row>
    <row r="37" ht="45.0" customHeight="1">
      <c r="A37" s="78" t="s">
        <v>2007</v>
      </c>
      <c r="B37" s="78" t="s">
        <v>409</v>
      </c>
      <c r="C37" s="79" t="s">
        <v>2182</v>
      </c>
      <c r="D37" s="79" t="s">
        <v>2183</v>
      </c>
      <c r="E37" s="89" t="s">
        <v>2184</v>
      </c>
      <c r="F37" s="70" t="s">
        <v>2185</v>
      </c>
      <c r="G37" s="83" t="s">
        <v>2186</v>
      </c>
      <c r="H37" s="81" t="s">
        <v>88</v>
      </c>
      <c r="I37" s="81" t="s">
        <v>60</v>
      </c>
      <c r="J37" s="117" t="s">
        <v>2187</v>
      </c>
      <c r="K37" s="90"/>
      <c r="L37" s="79" t="s">
        <v>2188</v>
      </c>
      <c r="M37" s="147"/>
      <c r="N37" s="147"/>
      <c r="O37" s="147"/>
      <c r="P37" s="147"/>
      <c r="Q37" s="147" t="s">
        <v>93</v>
      </c>
      <c r="R37" s="81" t="s">
        <v>94</v>
      </c>
      <c r="S37" s="81" t="s">
        <v>94</v>
      </c>
      <c r="T37" s="84">
        <v>46246.0</v>
      </c>
      <c r="U37" s="143"/>
      <c r="V37" s="30"/>
      <c r="W37" s="143"/>
      <c r="X37" s="143"/>
      <c r="Y37" s="143"/>
      <c r="Z37" s="143"/>
    </row>
    <row r="38" ht="45.0" customHeight="1">
      <c r="A38" s="67"/>
      <c r="B38" s="67"/>
      <c r="C38" s="67"/>
      <c r="D38" s="67"/>
      <c r="E38" s="89" t="s">
        <v>2189</v>
      </c>
      <c r="F38" s="70"/>
      <c r="G38" s="83" t="s">
        <v>2190</v>
      </c>
      <c r="H38" s="81" t="s">
        <v>88</v>
      </c>
      <c r="I38" s="81" t="s">
        <v>60</v>
      </c>
      <c r="J38" s="117" t="s">
        <v>2191</v>
      </c>
      <c r="K38" s="90"/>
      <c r="L38" s="67"/>
      <c r="M38" s="147"/>
      <c r="N38" s="147"/>
      <c r="O38" s="147"/>
      <c r="P38" s="147"/>
      <c r="Q38" s="147" t="s">
        <v>93</v>
      </c>
      <c r="R38" s="81" t="s">
        <v>94</v>
      </c>
      <c r="S38" s="81" t="s">
        <v>94</v>
      </c>
      <c r="T38" s="148">
        <v>46246.0</v>
      </c>
      <c r="U38" s="143"/>
      <c r="V38" s="30"/>
      <c r="W38" s="143"/>
      <c r="X38" s="143"/>
      <c r="Y38" s="143"/>
      <c r="Z38" s="143"/>
    </row>
    <row r="39" ht="45.0" customHeight="1">
      <c r="A39" s="67"/>
      <c r="B39" s="67"/>
      <c r="C39" s="67"/>
      <c r="D39" s="67"/>
      <c r="E39" s="89" t="s">
        <v>2192</v>
      </c>
      <c r="F39" s="70"/>
      <c r="G39" s="83" t="s">
        <v>2193</v>
      </c>
      <c r="H39" s="81" t="s">
        <v>88</v>
      </c>
      <c r="I39" s="81" t="s">
        <v>60</v>
      </c>
      <c r="J39" s="117" t="s">
        <v>2194</v>
      </c>
      <c r="K39" s="90"/>
      <c r="L39" s="67"/>
      <c r="M39" s="147"/>
      <c r="N39" s="147"/>
      <c r="O39" s="147"/>
      <c r="P39" s="147"/>
      <c r="Q39" s="147" t="s">
        <v>93</v>
      </c>
      <c r="R39" s="81" t="s">
        <v>94</v>
      </c>
      <c r="S39" s="81" t="s">
        <v>94</v>
      </c>
      <c r="T39" s="148">
        <v>46246.0</v>
      </c>
      <c r="U39" s="143"/>
      <c r="V39" s="30"/>
      <c r="W39" s="143"/>
      <c r="X39" s="143"/>
      <c r="Y39" s="143"/>
      <c r="Z39" s="143"/>
    </row>
    <row r="40" ht="45.0" customHeight="1">
      <c r="A40" s="67"/>
      <c r="B40" s="67"/>
      <c r="C40" s="67"/>
      <c r="D40" s="67"/>
      <c r="E40" s="89" t="s">
        <v>2195</v>
      </c>
      <c r="F40" s="70"/>
      <c r="G40" s="83" t="s">
        <v>2196</v>
      </c>
      <c r="H40" s="81" t="s">
        <v>88</v>
      </c>
      <c r="I40" s="81" t="s">
        <v>60</v>
      </c>
      <c r="J40" s="117" t="s">
        <v>2197</v>
      </c>
      <c r="K40" s="90"/>
      <c r="L40" s="67"/>
      <c r="M40" s="147"/>
      <c r="N40" s="147"/>
      <c r="O40" s="147"/>
      <c r="P40" s="147"/>
      <c r="Q40" s="147" t="s">
        <v>93</v>
      </c>
      <c r="R40" s="81" t="s">
        <v>94</v>
      </c>
      <c r="S40" s="81" t="s">
        <v>94</v>
      </c>
      <c r="T40" s="148">
        <v>46246.0</v>
      </c>
      <c r="U40" s="143"/>
      <c r="V40" s="30"/>
      <c r="W40" s="143"/>
      <c r="X40" s="143"/>
      <c r="Y40" s="143"/>
      <c r="Z40" s="143"/>
    </row>
    <row r="41" ht="45.0" customHeight="1">
      <c r="A41" s="67"/>
      <c r="B41" s="67"/>
      <c r="C41" s="67"/>
      <c r="D41" s="67"/>
      <c r="E41" s="89" t="s">
        <v>2198</v>
      </c>
      <c r="F41" s="70"/>
      <c r="G41" s="83" t="s">
        <v>2199</v>
      </c>
      <c r="H41" s="81" t="s">
        <v>88</v>
      </c>
      <c r="I41" s="81" t="s">
        <v>60</v>
      </c>
      <c r="J41" s="117" t="s">
        <v>2199</v>
      </c>
      <c r="K41" s="90"/>
      <c r="L41" s="67"/>
      <c r="M41" s="147"/>
      <c r="N41" s="147"/>
      <c r="O41" s="147"/>
      <c r="P41" s="147"/>
      <c r="Q41" s="147" t="s">
        <v>93</v>
      </c>
      <c r="R41" s="81" t="s">
        <v>94</v>
      </c>
      <c r="S41" s="81" t="s">
        <v>94</v>
      </c>
      <c r="T41" s="148">
        <v>46246.0</v>
      </c>
      <c r="U41" s="143"/>
      <c r="V41" s="30"/>
      <c r="W41" s="143"/>
      <c r="X41" s="143"/>
      <c r="Y41" s="143"/>
      <c r="Z41" s="143"/>
    </row>
    <row r="42" ht="45.0" customHeight="1">
      <c r="A42" s="67"/>
      <c r="B42" s="67"/>
      <c r="C42" s="67"/>
      <c r="D42" s="67"/>
      <c r="E42" s="89" t="s">
        <v>2200</v>
      </c>
      <c r="F42" s="70"/>
      <c r="G42" s="83" t="s">
        <v>2201</v>
      </c>
      <c r="H42" s="81" t="s">
        <v>88</v>
      </c>
      <c r="I42" s="81" t="s">
        <v>60</v>
      </c>
      <c r="J42" s="117" t="s">
        <v>2202</v>
      </c>
      <c r="K42" s="90"/>
      <c r="L42" s="67"/>
      <c r="M42" s="147"/>
      <c r="N42" s="147"/>
      <c r="O42" s="147"/>
      <c r="P42" s="147"/>
      <c r="Q42" s="147" t="s">
        <v>93</v>
      </c>
      <c r="R42" s="81" t="s">
        <v>94</v>
      </c>
      <c r="S42" s="81" t="s">
        <v>94</v>
      </c>
      <c r="T42" s="148">
        <v>46246.0</v>
      </c>
      <c r="U42" s="143"/>
      <c r="V42" s="30"/>
      <c r="W42" s="143"/>
      <c r="X42" s="143"/>
      <c r="Y42" s="143"/>
      <c r="Z42" s="143"/>
    </row>
    <row r="43" ht="45.0" customHeight="1">
      <c r="A43" s="67"/>
      <c r="B43" s="67"/>
      <c r="C43" s="67"/>
      <c r="D43" s="67"/>
      <c r="E43" s="89" t="s">
        <v>2203</v>
      </c>
      <c r="F43" s="70"/>
      <c r="G43" s="83" t="s">
        <v>2204</v>
      </c>
      <c r="H43" s="81" t="s">
        <v>88</v>
      </c>
      <c r="I43" s="81" t="s">
        <v>60</v>
      </c>
      <c r="J43" s="117" t="s">
        <v>2204</v>
      </c>
      <c r="K43" s="90"/>
      <c r="L43" s="67"/>
      <c r="M43" s="147"/>
      <c r="N43" s="147"/>
      <c r="O43" s="147"/>
      <c r="P43" s="147"/>
      <c r="Q43" s="147" t="s">
        <v>93</v>
      </c>
      <c r="R43" s="81" t="s">
        <v>94</v>
      </c>
      <c r="S43" s="81" t="s">
        <v>94</v>
      </c>
      <c r="T43" s="148">
        <v>46246.0</v>
      </c>
      <c r="U43" s="143"/>
      <c r="V43" s="30"/>
      <c r="W43" s="143"/>
      <c r="X43" s="143"/>
      <c r="Y43" s="143"/>
      <c r="Z43" s="143"/>
    </row>
    <row r="44" ht="13.5" customHeight="1">
      <c r="A44" s="67"/>
      <c r="B44" s="67"/>
      <c r="C44" s="67"/>
      <c r="D44" s="67"/>
      <c r="E44" s="89" t="s">
        <v>2205</v>
      </c>
      <c r="F44" s="70" t="s">
        <v>2206</v>
      </c>
      <c r="G44" s="90" t="s">
        <v>2207</v>
      </c>
      <c r="H44" s="89" t="s">
        <v>88</v>
      </c>
      <c r="I44" s="89" t="s">
        <v>60</v>
      </c>
      <c r="J44" s="122" t="s">
        <v>2208</v>
      </c>
      <c r="K44" s="90"/>
      <c r="L44" s="67"/>
      <c r="M44" s="147"/>
      <c r="N44" s="147"/>
      <c r="O44" s="147"/>
      <c r="P44" s="147"/>
      <c r="Q44" s="147" t="s">
        <v>93</v>
      </c>
      <c r="R44" s="81" t="s">
        <v>94</v>
      </c>
      <c r="S44" s="81" t="s">
        <v>94</v>
      </c>
      <c r="T44" s="148">
        <v>46246.0</v>
      </c>
      <c r="U44" s="143"/>
      <c r="V44" s="30"/>
      <c r="W44" s="143"/>
      <c r="X44" s="143"/>
      <c r="Y44" s="143"/>
      <c r="Z44" s="143"/>
    </row>
    <row r="45" ht="13.5" customHeight="1">
      <c r="A45" s="67"/>
      <c r="B45" s="67"/>
      <c r="C45" s="67"/>
      <c r="D45" s="67"/>
      <c r="E45" s="89" t="s">
        <v>2209</v>
      </c>
      <c r="F45" s="70" t="s">
        <v>2210</v>
      </c>
      <c r="G45" s="90" t="s">
        <v>2211</v>
      </c>
      <c r="H45" s="89" t="s">
        <v>88</v>
      </c>
      <c r="I45" s="89" t="s">
        <v>60</v>
      </c>
      <c r="J45" s="90" t="s">
        <v>2212</v>
      </c>
      <c r="K45" s="90"/>
      <c r="L45" s="67"/>
      <c r="M45" s="85"/>
      <c r="N45" s="85"/>
      <c r="O45" s="85"/>
      <c r="P45" s="85"/>
      <c r="Q45" s="147" t="s">
        <v>93</v>
      </c>
      <c r="R45" s="81" t="s">
        <v>94</v>
      </c>
      <c r="S45" s="81" t="s">
        <v>94</v>
      </c>
      <c r="T45" s="148">
        <v>46246.0</v>
      </c>
      <c r="U45" s="143"/>
      <c r="V45" s="30"/>
      <c r="W45" s="143"/>
      <c r="X45" s="143"/>
      <c r="Y45" s="143"/>
      <c r="Z45" s="143"/>
    </row>
    <row r="46" ht="13.5" customHeight="1">
      <c r="A46" s="67"/>
      <c r="B46" s="67"/>
      <c r="C46" s="67"/>
      <c r="D46" s="67"/>
      <c r="E46" s="89" t="s">
        <v>2213</v>
      </c>
      <c r="F46" s="70" t="s">
        <v>2214</v>
      </c>
      <c r="G46" s="90" t="s">
        <v>2215</v>
      </c>
      <c r="H46" s="89" t="s">
        <v>88</v>
      </c>
      <c r="I46" s="89" t="s">
        <v>60</v>
      </c>
      <c r="J46" s="90" t="s">
        <v>2216</v>
      </c>
      <c r="K46" s="90"/>
      <c r="L46" s="67"/>
      <c r="M46" s="85"/>
      <c r="N46" s="85"/>
      <c r="O46" s="85"/>
      <c r="P46" s="85"/>
      <c r="Q46" s="147" t="s">
        <v>93</v>
      </c>
      <c r="R46" s="81" t="s">
        <v>94</v>
      </c>
      <c r="S46" s="81" t="s">
        <v>94</v>
      </c>
      <c r="T46" s="148">
        <v>46246.0</v>
      </c>
      <c r="U46" s="143"/>
      <c r="V46" s="30"/>
      <c r="W46" s="143"/>
      <c r="X46" s="143"/>
      <c r="Y46" s="143"/>
      <c r="Z46" s="143"/>
    </row>
    <row r="47" ht="13.5" customHeight="1">
      <c r="A47" s="67"/>
      <c r="B47" s="67"/>
      <c r="C47" s="67"/>
      <c r="D47" s="67"/>
      <c r="E47" s="89" t="s">
        <v>2217</v>
      </c>
      <c r="F47" s="70" t="s">
        <v>2218</v>
      </c>
      <c r="G47" s="90" t="s">
        <v>2219</v>
      </c>
      <c r="H47" s="89" t="s">
        <v>88</v>
      </c>
      <c r="I47" s="89" t="s">
        <v>60</v>
      </c>
      <c r="J47" s="122" t="s">
        <v>2220</v>
      </c>
      <c r="K47" s="90"/>
      <c r="L47" s="67"/>
      <c r="M47" s="85"/>
      <c r="N47" s="85"/>
      <c r="O47" s="85"/>
      <c r="P47" s="85"/>
      <c r="Q47" s="147" t="s">
        <v>93</v>
      </c>
      <c r="R47" s="81" t="s">
        <v>94</v>
      </c>
      <c r="S47" s="81" t="s">
        <v>94</v>
      </c>
      <c r="T47" s="148">
        <v>46246.0</v>
      </c>
      <c r="U47" s="143"/>
      <c r="V47" s="30"/>
      <c r="W47" s="143"/>
      <c r="X47" s="143"/>
      <c r="Y47" s="143"/>
      <c r="Z47" s="143"/>
    </row>
    <row r="48" ht="13.5" customHeight="1">
      <c r="A48" s="67"/>
      <c r="B48" s="67"/>
      <c r="C48" s="67"/>
      <c r="D48" s="67"/>
      <c r="E48" s="89" t="s">
        <v>2221</v>
      </c>
      <c r="F48" s="70" t="s">
        <v>2222</v>
      </c>
      <c r="G48" s="90" t="s">
        <v>2223</v>
      </c>
      <c r="H48" s="89" t="s">
        <v>88</v>
      </c>
      <c r="I48" s="89" t="s">
        <v>60</v>
      </c>
      <c r="J48" s="122" t="s">
        <v>2224</v>
      </c>
      <c r="K48" s="90"/>
      <c r="L48" s="67"/>
      <c r="M48" s="85"/>
      <c r="N48" s="85"/>
      <c r="O48" s="85"/>
      <c r="P48" s="85"/>
      <c r="Q48" s="147" t="s">
        <v>93</v>
      </c>
      <c r="R48" s="81" t="s">
        <v>94</v>
      </c>
      <c r="S48" s="81" t="s">
        <v>94</v>
      </c>
      <c r="T48" s="148">
        <v>46246.0</v>
      </c>
      <c r="U48" s="143"/>
      <c r="V48" s="30"/>
      <c r="W48" s="143"/>
      <c r="X48" s="143"/>
      <c r="Y48" s="143"/>
      <c r="Z48" s="143"/>
    </row>
    <row r="49" ht="13.5" customHeight="1">
      <c r="A49" s="67"/>
      <c r="B49" s="67"/>
      <c r="C49" s="67"/>
      <c r="D49" s="67"/>
      <c r="E49" s="89" t="s">
        <v>2225</v>
      </c>
      <c r="F49" s="70" t="s">
        <v>2226</v>
      </c>
      <c r="G49" s="90" t="s">
        <v>2227</v>
      </c>
      <c r="H49" s="89" t="s">
        <v>88</v>
      </c>
      <c r="I49" s="89" t="s">
        <v>60</v>
      </c>
      <c r="J49" s="122" t="s">
        <v>2228</v>
      </c>
      <c r="K49" s="90"/>
      <c r="L49" s="67"/>
      <c r="M49" s="85"/>
      <c r="N49" s="85"/>
      <c r="O49" s="85"/>
      <c r="P49" s="85"/>
      <c r="Q49" s="147" t="s">
        <v>93</v>
      </c>
      <c r="R49" s="81" t="s">
        <v>94</v>
      </c>
      <c r="S49" s="81" t="s">
        <v>94</v>
      </c>
      <c r="T49" s="148">
        <v>46246.0</v>
      </c>
      <c r="U49" s="143"/>
      <c r="V49" s="30"/>
      <c r="W49" s="143"/>
      <c r="X49" s="143"/>
      <c r="Y49" s="143"/>
      <c r="Z49" s="143"/>
    </row>
    <row r="50" ht="13.5" customHeight="1">
      <c r="A50" s="67"/>
      <c r="B50" s="67"/>
      <c r="C50" s="67"/>
      <c r="D50" s="67"/>
      <c r="E50" s="89" t="s">
        <v>2229</v>
      </c>
      <c r="F50" s="70" t="s">
        <v>2230</v>
      </c>
      <c r="G50" s="90" t="s">
        <v>2231</v>
      </c>
      <c r="H50" s="89" t="s">
        <v>88</v>
      </c>
      <c r="I50" s="89" t="s">
        <v>60</v>
      </c>
      <c r="J50" s="122" t="s">
        <v>2232</v>
      </c>
      <c r="K50" s="90"/>
      <c r="L50" s="67"/>
      <c r="M50" s="85"/>
      <c r="N50" s="85"/>
      <c r="O50" s="85"/>
      <c r="P50" s="85"/>
      <c r="Q50" s="147" t="s">
        <v>93</v>
      </c>
      <c r="R50" s="81" t="s">
        <v>94</v>
      </c>
      <c r="S50" s="81" t="s">
        <v>94</v>
      </c>
      <c r="T50" s="148">
        <v>46246.0</v>
      </c>
      <c r="U50" s="143"/>
      <c r="V50" s="30"/>
      <c r="W50" s="143"/>
      <c r="X50" s="143"/>
      <c r="Y50" s="143"/>
      <c r="Z50" s="143"/>
    </row>
    <row r="51" ht="13.5" customHeight="1">
      <c r="A51" s="67"/>
      <c r="B51" s="67"/>
      <c r="C51" s="67"/>
      <c r="D51" s="67"/>
      <c r="E51" s="89" t="s">
        <v>2233</v>
      </c>
      <c r="F51" s="70" t="s">
        <v>2234</v>
      </c>
      <c r="G51" s="90" t="s">
        <v>2235</v>
      </c>
      <c r="H51" s="89" t="s">
        <v>88</v>
      </c>
      <c r="I51" s="89" t="s">
        <v>60</v>
      </c>
      <c r="J51" s="122" t="s">
        <v>2236</v>
      </c>
      <c r="K51" s="90"/>
      <c r="L51" s="67"/>
      <c r="M51" s="85"/>
      <c r="N51" s="85"/>
      <c r="O51" s="85"/>
      <c r="P51" s="85"/>
      <c r="Q51" s="147" t="s">
        <v>93</v>
      </c>
      <c r="R51" s="81" t="s">
        <v>94</v>
      </c>
      <c r="S51" s="81" t="s">
        <v>94</v>
      </c>
      <c r="T51" s="148">
        <v>46246.0</v>
      </c>
      <c r="U51" s="143"/>
      <c r="V51" s="30"/>
      <c r="W51" s="143"/>
      <c r="X51" s="143"/>
      <c r="Y51" s="143"/>
      <c r="Z51" s="143"/>
    </row>
    <row r="52" ht="13.5" customHeight="1">
      <c r="A52" s="77"/>
      <c r="B52" s="77"/>
      <c r="C52" s="77"/>
      <c r="D52" s="77"/>
      <c r="E52" s="89" t="s">
        <v>2237</v>
      </c>
      <c r="F52" s="70" t="s">
        <v>2238</v>
      </c>
      <c r="G52" s="90" t="s">
        <v>2239</v>
      </c>
      <c r="H52" s="89" t="s">
        <v>88</v>
      </c>
      <c r="I52" s="89" t="s">
        <v>60</v>
      </c>
      <c r="J52" s="122" t="s">
        <v>2240</v>
      </c>
      <c r="K52" s="90"/>
      <c r="L52" s="77"/>
      <c r="M52" s="85"/>
      <c r="N52" s="85"/>
      <c r="O52" s="85"/>
      <c r="P52" s="85"/>
      <c r="Q52" s="147" t="s">
        <v>93</v>
      </c>
      <c r="R52" s="81" t="s">
        <v>94</v>
      </c>
      <c r="S52" s="81" t="s">
        <v>94</v>
      </c>
      <c r="T52" s="148">
        <v>46246.0</v>
      </c>
      <c r="U52" s="143"/>
      <c r="V52" s="30"/>
      <c r="W52" s="143"/>
      <c r="X52" s="143"/>
      <c r="Y52" s="143"/>
      <c r="Z52" s="143"/>
    </row>
    <row r="53" ht="45.0" customHeight="1">
      <c r="A53" s="59" t="s">
        <v>2007</v>
      </c>
      <c r="B53" s="59" t="s">
        <v>415</v>
      </c>
      <c r="C53" s="60" t="s">
        <v>416</v>
      </c>
      <c r="D53" s="60" t="s">
        <v>2241</v>
      </c>
      <c r="E53" s="61" t="s">
        <v>2242</v>
      </c>
      <c r="F53" s="62" t="s">
        <v>2243</v>
      </c>
      <c r="G53" s="63" t="s">
        <v>2244</v>
      </c>
      <c r="H53" s="61" t="s">
        <v>88</v>
      </c>
      <c r="I53" s="61" t="s">
        <v>60</v>
      </c>
      <c r="J53" s="151" t="s">
        <v>2245</v>
      </c>
      <c r="K53" s="90"/>
      <c r="L53" s="60" t="s">
        <v>2246</v>
      </c>
      <c r="M53" s="61"/>
      <c r="N53" s="61"/>
      <c r="O53" s="61"/>
      <c r="P53" s="61"/>
      <c r="Q53" s="61" t="s">
        <v>93</v>
      </c>
      <c r="R53" s="61" t="s">
        <v>94</v>
      </c>
      <c r="S53" s="61" t="s">
        <v>94</v>
      </c>
      <c r="T53" s="66">
        <v>46246.0</v>
      </c>
      <c r="U53" s="143"/>
      <c r="V53" s="30"/>
      <c r="W53" s="143"/>
      <c r="X53" s="143"/>
      <c r="Y53" s="143"/>
      <c r="Z53" s="143"/>
    </row>
    <row r="54" ht="45.0" customHeight="1">
      <c r="A54" s="67"/>
      <c r="B54" s="67"/>
      <c r="C54" s="67"/>
      <c r="D54" s="67"/>
      <c r="E54" s="61" t="s">
        <v>2247</v>
      </c>
      <c r="F54" s="68"/>
      <c r="G54" s="63" t="s">
        <v>2248</v>
      </c>
      <c r="H54" s="61" t="s">
        <v>88</v>
      </c>
      <c r="I54" s="61" t="s">
        <v>60</v>
      </c>
      <c r="J54" s="151" t="s">
        <v>2249</v>
      </c>
      <c r="K54" s="90"/>
      <c r="L54" s="67"/>
      <c r="M54" s="61"/>
      <c r="N54" s="61"/>
      <c r="O54" s="61"/>
      <c r="P54" s="61"/>
      <c r="Q54" s="61" t="s">
        <v>93</v>
      </c>
      <c r="R54" s="61" t="s">
        <v>94</v>
      </c>
      <c r="S54" s="61" t="s">
        <v>94</v>
      </c>
      <c r="T54" s="66">
        <v>46246.0</v>
      </c>
      <c r="U54" s="143"/>
      <c r="V54" s="30"/>
      <c r="W54" s="143"/>
      <c r="X54" s="143"/>
      <c r="Y54" s="143"/>
      <c r="Z54" s="143"/>
    </row>
    <row r="55" ht="45.0" customHeight="1">
      <c r="A55" s="67"/>
      <c r="B55" s="67"/>
      <c r="C55" s="67"/>
      <c r="D55" s="67"/>
      <c r="E55" s="61" t="s">
        <v>2250</v>
      </c>
      <c r="F55" s="68"/>
      <c r="G55" s="63" t="s">
        <v>2251</v>
      </c>
      <c r="H55" s="61" t="s">
        <v>88</v>
      </c>
      <c r="I55" s="61" t="s">
        <v>60</v>
      </c>
      <c r="J55" s="151" t="s">
        <v>2252</v>
      </c>
      <c r="K55" s="90"/>
      <c r="L55" s="67"/>
      <c r="M55" s="61"/>
      <c r="N55" s="61"/>
      <c r="O55" s="61"/>
      <c r="P55" s="61"/>
      <c r="Q55" s="61" t="s">
        <v>93</v>
      </c>
      <c r="R55" s="61" t="s">
        <v>94</v>
      </c>
      <c r="S55" s="61" t="s">
        <v>94</v>
      </c>
      <c r="T55" s="66">
        <v>46246.0</v>
      </c>
      <c r="U55" s="143"/>
      <c r="V55" s="30"/>
      <c r="W55" s="143"/>
      <c r="X55" s="143"/>
      <c r="Y55" s="143"/>
      <c r="Z55" s="143"/>
    </row>
    <row r="56" ht="45.0" customHeight="1">
      <c r="A56" s="67"/>
      <c r="B56" s="67"/>
      <c r="C56" s="67"/>
      <c r="D56" s="67"/>
      <c r="E56" s="61" t="s">
        <v>2253</v>
      </c>
      <c r="F56" s="68"/>
      <c r="G56" s="63" t="s">
        <v>2254</v>
      </c>
      <c r="H56" s="61" t="s">
        <v>88</v>
      </c>
      <c r="I56" s="61" t="s">
        <v>60</v>
      </c>
      <c r="J56" s="151" t="s">
        <v>2255</v>
      </c>
      <c r="K56" s="90"/>
      <c r="L56" s="67"/>
      <c r="M56" s="61"/>
      <c r="N56" s="61"/>
      <c r="O56" s="61"/>
      <c r="P56" s="61"/>
      <c r="Q56" s="61" t="s">
        <v>93</v>
      </c>
      <c r="R56" s="61" t="s">
        <v>94</v>
      </c>
      <c r="S56" s="61" t="s">
        <v>94</v>
      </c>
      <c r="T56" s="66">
        <v>46246.0</v>
      </c>
      <c r="U56" s="143"/>
      <c r="V56" s="30"/>
      <c r="W56" s="143"/>
      <c r="X56" s="143"/>
      <c r="Y56" s="143"/>
      <c r="Z56" s="143"/>
    </row>
    <row r="57" ht="45.0" customHeight="1">
      <c r="A57" s="67"/>
      <c r="B57" s="67"/>
      <c r="C57" s="67"/>
      <c r="D57" s="67"/>
      <c r="E57" s="61" t="s">
        <v>2256</v>
      </c>
      <c r="F57" s="68"/>
      <c r="G57" s="63" t="s">
        <v>2257</v>
      </c>
      <c r="H57" s="61" t="s">
        <v>88</v>
      </c>
      <c r="I57" s="61" t="s">
        <v>60</v>
      </c>
      <c r="J57" s="151" t="s">
        <v>2258</v>
      </c>
      <c r="K57" s="90"/>
      <c r="L57" s="67"/>
      <c r="M57" s="61"/>
      <c r="N57" s="61"/>
      <c r="O57" s="61"/>
      <c r="P57" s="61"/>
      <c r="Q57" s="61" t="s">
        <v>93</v>
      </c>
      <c r="R57" s="61" t="s">
        <v>94</v>
      </c>
      <c r="S57" s="61" t="s">
        <v>94</v>
      </c>
      <c r="T57" s="66">
        <v>46246.0</v>
      </c>
      <c r="U57" s="143"/>
      <c r="V57" s="30"/>
      <c r="W57" s="143"/>
      <c r="X57" s="143"/>
      <c r="Y57" s="143"/>
      <c r="Z57" s="143"/>
    </row>
    <row r="58" ht="45.0" customHeight="1">
      <c r="A58" s="67"/>
      <c r="B58" s="67"/>
      <c r="C58" s="67"/>
      <c r="D58" s="67"/>
      <c r="E58" s="61" t="s">
        <v>2259</v>
      </c>
      <c r="F58" s="68"/>
      <c r="G58" s="63" t="s">
        <v>2260</v>
      </c>
      <c r="H58" s="61" t="s">
        <v>88</v>
      </c>
      <c r="I58" s="61" t="s">
        <v>60</v>
      </c>
      <c r="J58" s="151" t="s">
        <v>2261</v>
      </c>
      <c r="K58" s="90"/>
      <c r="L58" s="67"/>
      <c r="M58" s="61"/>
      <c r="N58" s="61"/>
      <c r="O58" s="61"/>
      <c r="P58" s="61"/>
      <c r="Q58" s="61" t="s">
        <v>93</v>
      </c>
      <c r="R58" s="61" t="s">
        <v>94</v>
      </c>
      <c r="S58" s="61" t="s">
        <v>94</v>
      </c>
      <c r="T58" s="66">
        <v>46246.0</v>
      </c>
      <c r="U58" s="143"/>
      <c r="V58" s="30"/>
      <c r="W58" s="143"/>
      <c r="X58" s="143"/>
      <c r="Y58" s="143"/>
      <c r="Z58" s="143"/>
    </row>
    <row r="59" ht="45.0" customHeight="1">
      <c r="A59" s="67"/>
      <c r="B59" s="67"/>
      <c r="C59" s="67"/>
      <c r="D59" s="67"/>
      <c r="E59" s="61" t="s">
        <v>2262</v>
      </c>
      <c r="F59" s="68"/>
      <c r="G59" s="63" t="s">
        <v>2263</v>
      </c>
      <c r="H59" s="61" t="s">
        <v>88</v>
      </c>
      <c r="I59" s="61" t="s">
        <v>60</v>
      </c>
      <c r="J59" s="151" t="s">
        <v>2263</v>
      </c>
      <c r="K59" s="90"/>
      <c r="L59" s="67"/>
      <c r="M59" s="61"/>
      <c r="N59" s="61"/>
      <c r="O59" s="61"/>
      <c r="P59" s="61"/>
      <c r="Q59" s="61" t="s">
        <v>93</v>
      </c>
      <c r="R59" s="61" t="s">
        <v>94</v>
      </c>
      <c r="S59" s="61" t="s">
        <v>94</v>
      </c>
      <c r="T59" s="66">
        <v>46246.0</v>
      </c>
      <c r="U59" s="143"/>
      <c r="V59" s="30"/>
      <c r="W59" s="143"/>
      <c r="X59" s="143"/>
      <c r="Y59" s="143"/>
      <c r="Z59" s="143"/>
    </row>
    <row r="60" ht="45.0" customHeight="1">
      <c r="A60" s="67"/>
      <c r="B60" s="67"/>
      <c r="C60" s="67"/>
      <c r="D60" s="67"/>
      <c r="E60" s="61" t="s">
        <v>2264</v>
      </c>
      <c r="F60" s="68"/>
      <c r="G60" s="63" t="s">
        <v>2265</v>
      </c>
      <c r="H60" s="61" t="s">
        <v>88</v>
      </c>
      <c r="I60" s="61" t="s">
        <v>60</v>
      </c>
      <c r="J60" s="151" t="s">
        <v>2266</v>
      </c>
      <c r="K60" s="90"/>
      <c r="L60" s="67"/>
      <c r="M60" s="61"/>
      <c r="N60" s="61"/>
      <c r="O60" s="61"/>
      <c r="P60" s="61"/>
      <c r="Q60" s="61" t="s">
        <v>93</v>
      </c>
      <c r="R60" s="61" t="s">
        <v>94</v>
      </c>
      <c r="S60" s="61" t="s">
        <v>94</v>
      </c>
      <c r="T60" s="66">
        <v>46246.0</v>
      </c>
      <c r="U60" s="143"/>
      <c r="V60" s="30"/>
      <c r="W60" s="143"/>
      <c r="X60" s="143"/>
      <c r="Y60" s="143"/>
      <c r="Z60" s="143"/>
    </row>
    <row r="61" ht="13.5" customHeight="1">
      <c r="A61" s="67"/>
      <c r="B61" s="67"/>
      <c r="C61" s="67"/>
      <c r="D61" s="67"/>
      <c r="E61" s="61" t="s">
        <v>2267</v>
      </c>
      <c r="F61" s="62" t="s">
        <v>2268</v>
      </c>
      <c r="G61" s="63" t="s">
        <v>2269</v>
      </c>
      <c r="H61" s="89" t="s">
        <v>88</v>
      </c>
      <c r="I61" s="89" t="s">
        <v>60</v>
      </c>
      <c r="J61" s="151" t="s">
        <v>2270</v>
      </c>
      <c r="K61" s="90"/>
      <c r="L61" s="67"/>
      <c r="M61" s="61"/>
      <c r="N61" s="61"/>
      <c r="O61" s="61"/>
      <c r="P61" s="61"/>
      <c r="Q61" s="61" t="s">
        <v>93</v>
      </c>
      <c r="R61" s="61" t="s">
        <v>94</v>
      </c>
      <c r="S61" s="61" t="s">
        <v>94</v>
      </c>
      <c r="T61" s="66">
        <v>46246.0</v>
      </c>
      <c r="U61" s="143"/>
      <c r="V61" s="30"/>
      <c r="W61" s="143"/>
      <c r="X61" s="143"/>
      <c r="Y61" s="143"/>
      <c r="Z61" s="143"/>
    </row>
    <row r="62" ht="13.5" customHeight="1">
      <c r="A62" s="67"/>
      <c r="B62" s="67"/>
      <c r="C62" s="67"/>
      <c r="D62" s="67"/>
      <c r="E62" s="61" t="s">
        <v>2271</v>
      </c>
      <c r="F62" s="62" t="s">
        <v>2272</v>
      </c>
      <c r="G62" s="63" t="s">
        <v>2269</v>
      </c>
      <c r="H62" s="89" t="s">
        <v>88</v>
      </c>
      <c r="I62" s="89" t="s">
        <v>60</v>
      </c>
      <c r="J62" s="151" t="s">
        <v>2273</v>
      </c>
      <c r="K62" s="90"/>
      <c r="L62" s="67"/>
      <c r="M62" s="61"/>
      <c r="N62" s="61"/>
      <c r="O62" s="61"/>
      <c r="P62" s="61"/>
      <c r="Q62" s="61" t="s">
        <v>93</v>
      </c>
      <c r="R62" s="61" t="s">
        <v>94</v>
      </c>
      <c r="S62" s="61" t="s">
        <v>94</v>
      </c>
      <c r="T62" s="66">
        <v>46246.0</v>
      </c>
      <c r="U62" s="143"/>
      <c r="V62" s="30"/>
      <c r="W62" s="143"/>
      <c r="X62" s="143"/>
      <c r="Y62" s="143"/>
      <c r="Z62" s="143"/>
    </row>
    <row r="63" ht="13.5" customHeight="1">
      <c r="A63" s="67"/>
      <c r="B63" s="67"/>
      <c r="C63" s="67"/>
      <c r="D63" s="67"/>
      <c r="E63" s="61" t="s">
        <v>2274</v>
      </c>
      <c r="F63" s="62" t="s">
        <v>2275</v>
      </c>
      <c r="G63" s="63" t="s">
        <v>2276</v>
      </c>
      <c r="H63" s="89" t="s">
        <v>88</v>
      </c>
      <c r="I63" s="89" t="s">
        <v>60</v>
      </c>
      <c r="J63" s="151" t="s">
        <v>2277</v>
      </c>
      <c r="K63" s="90"/>
      <c r="L63" s="67"/>
      <c r="M63" s="61"/>
      <c r="N63" s="61"/>
      <c r="O63" s="61"/>
      <c r="P63" s="61"/>
      <c r="Q63" s="61" t="s">
        <v>93</v>
      </c>
      <c r="R63" s="61" t="s">
        <v>94</v>
      </c>
      <c r="S63" s="61" t="s">
        <v>94</v>
      </c>
      <c r="T63" s="66">
        <v>46246.0</v>
      </c>
      <c r="U63" s="143"/>
      <c r="V63" s="30"/>
      <c r="W63" s="143"/>
      <c r="X63" s="143"/>
      <c r="Y63" s="143"/>
      <c r="Z63" s="143"/>
    </row>
    <row r="64" ht="13.5" customHeight="1">
      <c r="A64" s="67"/>
      <c r="B64" s="67"/>
      <c r="C64" s="67"/>
      <c r="D64" s="67"/>
      <c r="E64" s="61" t="s">
        <v>2278</v>
      </c>
      <c r="F64" s="62" t="s">
        <v>2279</v>
      </c>
      <c r="G64" s="63" t="s">
        <v>2280</v>
      </c>
      <c r="H64" s="89" t="s">
        <v>88</v>
      </c>
      <c r="I64" s="89" t="s">
        <v>60</v>
      </c>
      <c r="J64" s="151" t="s">
        <v>2281</v>
      </c>
      <c r="K64" s="90"/>
      <c r="L64" s="67"/>
      <c r="M64" s="61"/>
      <c r="N64" s="61"/>
      <c r="O64" s="61"/>
      <c r="P64" s="61"/>
      <c r="Q64" s="61" t="s">
        <v>93</v>
      </c>
      <c r="R64" s="61" t="s">
        <v>94</v>
      </c>
      <c r="S64" s="61" t="s">
        <v>94</v>
      </c>
      <c r="T64" s="66">
        <v>46246.0</v>
      </c>
      <c r="U64" s="143"/>
      <c r="V64" s="30"/>
      <c r="W64" s="143"/>
      <c r="X64" s="143"/>
      <c r="Y64" s="143"/>
      <c r="Z64" s="143"/>
    </row>
    <row r="65" ht="45.0" customHeight="1">
      <c r="A65" s="67"/>
      <c r="B65" s="67"/>
      <c r="C65" s="67"/>
      <c r="D65" s="67"/>
      <c r="E65" s="61" t="s">
        <v>2282</v>
      </c>
      <c r="F65" s="62" t="s">
        <v>2283</v>
      </c>
      <c r="G65" s="63" t="s">
        <v>2284</v>
      </c>
      <c r="H65" s="89" t="s">
        <v>88</v>
      </c>
      <c r="I65" s="89" t="s">
        <v>60</v>
      </c>
      <c r="J65" s="151" t="s">
        <v>2285</v>
      </c>
      <c r="K65" s="90"/>
      <c r="L65" s="67"/>
      <c r="M65" s="61"/>
      <c r="N65" s="61"/>
      <c r="O65" s="61"/>
      <c r="P65" s="61"/>
      <c r="Q65" s="61" t="s">
        <v>93</v>
      </c>
      <c r="R65" s="61" t="s">
        <v>94</v>
      </c>
      <c r="S65" s="61" t="s">
        <v>94</v>
      </c>
      <c r="T65" s="66">
        <v>46246.0</v>
      </c>
      <c r="U65" s="143"/>
      <c r="V65" s="30"/>
      <c r="W65" s="143"/>
      <c r="X65" s="143"/>
      <c r="Y65" s="143"/>
      <c r="Z65" s="143"/>
    </row>
    <row r="66" ht="13.5" customHeight="1">
      <c r="A66" s="67"/>
      <c r="B66" s="67"/>
      <c r="C66" s="67"/>
      <c r="D66" s="67"/>
      <c r="E66" s="61" t="s">
        <v>2286</v>
      </c>
      <c r="F66" s="62" t="s">
        <v>2287</v>
      </c>
      <c r="G66" s="63" t="s">
        <v>2288</v>
      </c>
      <c r="H66" s="89" t="s">
        <v>88</v>
      </c>
      <c r="I66" s="89" t="s">
        <v>60</v>
      </c>
      <c r="J66" s="151" t="s">
        <v>2289</v>
      </c>
      <c r="K66" s="90"/>
      <c r="L66" s="67"/>
      <c r="M66" s="61"/>
      <c r="N66" s="61"/>
      <c r="O66" s="61"/>
      <c r="P66" s="61"/>
      <c r="Q66" s="61" t="s">
        <v>93</v>
      </c>
      <c r="R66" s="61" t="s">
        <v>94</v>
      </c>
      <c r="S66" s="61" t="s">
        <v>94</v>
      </c>
      <c r="T66" s="66">
        <v>46246.0</v>
      </c>
      <c r="U66" s="143"/>
      <c r="V66" s="30"/>
      <c r="W66" s="143"/>
      <c r="X66" s="143"/>
      <c r="Y66" s="143"/>
      <c r="Z66" s="143"/>
    </row>
    <row r="67" ht="13.5" customHeight="1">
      <c r="A67" s="77"/>
      <c r="B67" s="77"/>
      <c r="C67" s="77"/>
      <c r="D67" s="77"/>
      <c r="E67" s="61" t="s">
        <v>2290</v>
      </c>
      <c r="F67" s="62" t="s">
        <v>2291</v>
      </c>
      <c r="G67" s="63" t="s">
        <v>2292</v>
      </c>
      <c r="H67" s="89" t="s">
        <v>88</v>
      </c>
      <c r="I67" s="89" t="s">
        <v>60</v>
      </c>
      <c r="J67" s="151" t="s">
        <v>2293</v>
      </c>
      <c r="K67" s="90"/>
      <c r="L67" s="77"/>
      <c r="M67" s="61"/>
      <c r="N67" s="61"/>
      <c r="O67" s="61"/>
      <c r="P67" s="61"/>
      <c r="Q67" s="61" t="s">
        <v>93</v>
      </c>
      <c r="R67" s="61" t="s">
        <v>94</v>
      </c>
      <c r="S67" s="61" t="s">
        <v>94</v>
      </c>
      <c r="T67" s="66">
        <v>46246.0</v>
      </c>
      <c r="U67" s="143"/>
      <c r="V67" s="30"/>
      <c r="W67" s="143"/>
      <c r="X67" s="143"/>
      <c r="Y67" s="143"/>
      <c r="Z67" s="143"/>
    </row>
    <row r="68" ht="33.75" customHeight="1">
      <c r="A68" s="78" t="s">
        <v>2007</v>
      </c>
      <c r="B68" s="78" t="s">
        <v>424</v>
      </c>
      <c r="C68" s="79" t="s">
        <v>2294</v>
      </c>
      <c r="D68" s="79" t="s">
        <v>2295</v>
      </c>
      <c r="E68" s="89" t="s">
        <v>2296</v>
      </c>
      <c r="F68" s="70" t="s">
        <v>2297</v>
      </c>
      <c r="G68" s="83" t="s">
        <v>2298</v>
      </c>
      <c r="H68" s="81" t="s">
        <v>88</v>
      </c>
      <c r="I68" s="81" t="s">
        <v>2299</v>
      </c>
      <c r="J68" s="117" t="s">
        <v>2300</v>
      </c>
      <c r="K68" s="90"/>
      <c r="L68" s="79" t="s">
        <v>2301</v>
      </c>
      <c r="M68" s="85"/>
      <c r="N68" s="85"/>
      <c r="O68" s="85"/>
      <c r="P68" s="85"/>
      <c r="Q68" s="147" t="s">
        <v>93</v>
      </c>
      <c r="R68" s="81" t="s">
        <v>94</v>
      </c>
      <c r="S68" s="81" t="s">
        <v>94</v>
      </c>
      <c r="T68" s="84">
        <v>46246.0</v>
      </c>
      <c r="U68" s="143"/>
      <c r="V68" s="30"/>
      <c r="W68" s="143"/>
      <c r="X68" s="143"/>
      <c r="Y68" s="143"/>
      <c r="Z68" s="143"/>
    </row>
    <row r="69" ht="33.75" customHeight="1">
      <c r="A69" s="67"/>
      <c r="B69" s="67"/>
      <c r="C69" s="67"/>
      <c r="D69" s="67"/>
      <c r="E69" s="89" t="s">
        <v>2302</v>
      </c>
      <c r="F69" s="70"/>
      <c r="G69" s="83" t="s">
        <v>2303</v>
      </c>
      <c r="H69" s="81" t="s">
        <v>88</v>
      </c>
      <c r="I69" s="81" t="s">
        <v>2299</v>
      </c>
      <c r="J69" s="117" t="s">
        <v>2304</v>
      </c>
      <c r="K69" s="90"/>
      <c r="L69" s="67"/>
      <c r="M69" s="85"/>
      <c r="N69" s="85"/>
      <c r="O69" s="85"/>
      <c r="P69" s="85"/>
      <c r="Q69" s="147" t="s">
        <v>93</v>
      </c>
      <c r="R69" s="81" t="s">
        <v>94</v>
      </c>
      <c r="S69" s="81" t="s">
        <v>94</v>
      </c>
      <c r="T69" s="148">
        <v>46246.0</v>
      </c>
      <c r="U69" s="143"/>
      <c r="V69" s="30"/>
      <c r="W69" s="143"/>
      <c r="X69" s="143"/>
      <c r="Y69" s="143"/>
      <c r="Z69" s="143"/>
    </row>
    <row r="70" ht="33.75" customHeight="1">
      <c r="A70" s="67"/>
      <c r="B70" s="67"/>
      <c r="C70" s="67"/>
      <c r="D70" s="67"/>
      <c r="E70" s="89" t="s">
        <v>2305</v>
      </c>
      <c r="F70" s="70"/>
      <c r="G70" s="83" t="s">
        <v>2306</v>
      </c>
      <c r="H70" s="81" t="s">
        <v>88</v>
      </c>
      <c r="I70" s="81" t="s">
        <v>2299</v>
      </c>
      <c r="J70" s="117" t="s">
        <v>2307</v>
      </c>
      <c r="K70" s="90"/>
      <c r="L70" s="67"/>
      <c r="M70" s="85"/>
      <c r="N70" s="85"/>
      <c r="O70" s="85"/>
      <c r="P70" s="85"/>
      <c r="Q70" s="147" t="s">
        <v>93</v>
      </c>
      <c r="R70" s="81" t="s">
        <v>94</v>
      </c>
      <c r="S70" s="81" t="s">
        <v>94</v>
      </c>
      <c r="T70" s="148">
        <v>46246.0</v>
      </c>
      <c r="U70" s="143"/>
      <c r="V70" s="30"/>
      <c r="W70" s="143"/>
      <c r="X70" s="143"/>
      <c r="Y70" s="143"/>
      <c r="Z70" s="143"/>
    </row>
    <row r="71" ht="33.75" customHeight="1">
      <c r="A71" s="67"/>
      <c r="B71" s="67"/>
      <c r="C71" s="67"/>
      <c r="D71" s="67"/>
      <c r="E71" s="89" t="s">
        <v>2308</v>
      </c>
      <c r="F71" s="70"/>
      <c r="G71" s="83" t="s">
        <v>2309</v>
      </c>
      <c r="H71" s="81" t="s">
        <v>88</v>
      </c>
      <c r="I71" s="81" t="s">
        <v>2299</v>
      </c>
      <c r="J71" s="117" t="s">
        <v>2310</v>
      </c>
      <c r="K71" s="90"/>
      <c r="L71" s="67"/>
      <c r="M71" s="85"/>
      <c r="N71" s="85"/>
      <c r="O71" s="85"/>
      <c r="P71" s="85"/>
      <c r="Q71" s="147" t="s">
        <v>93</v>
      </c>
      <c r="R71" s="81" t="s">
        <v>94</v>
      </c>
      <c r="S71" s="81" t="s">
        <v>94</v>
      </c>
      <c r="T71" s="148">
        <v>46246.0</v>
      </c>
      <c r="U71" s="143"/>
      <c r="V71" s="30"/>
      <c r="W71" s="143"/>
      <c r="X71" s="143"/>
      <c r="Y71" s="143"/>
      <c r="Z71" s="143"/>
    </row>
    <row r="72" ht="13.5" customHeight="1">
      <c r="A72" s="67"/>
      <c r="B72" s="67"/>
      <c r="C72" s="67"/>
      <c r="D72" s="67"/>
      <c r="E72" s="89" t="s">
        <v>2311</v>
      </c>
      <c r="F72" s="70"/>
      <c r="G72" s="83" t="s">
        <v>2312</v>
      </c>
      <c r="H72" s="81" t="s">
        <v>88</v>
      </c>
      <c r="I72" s="81" t="s">
        <v>2299</v>
      </c>
      <c r="J72" s="117" t="s">
        <v>2313</v>
      </c>
      <c r="K72" s="90"/>
      <c r="L72" s="67"/>
      <c r="M72" s="85"/>
      <c r="N72" s="85"/>
      <c r="O72" s="85"/>
      <c r="P72" s="85"/>
      <c r="Q72" s="147" t="s">
        <v>93</v>
      </c>
      <c r="R72" s="81" t="s">
        <v>94</v>
      </c>
      <c r="S72" s="81" t="s">
        <v>94</v>
      </c>
      <c r="T72" s="148">
        <v>46246.0</v>
      </c>
      <c r="U72" s="143"/>
      <c r="V72" s="30"/>
      <c r="W72" s="143"/>
      <c r="X72" s="143"/>
      <c r="Y72" s="143"/>
      <c r="Z72" s="143"/>
    </row>
    <row r="73" ht="33.75" customHeight="1">
      <c r="A73" s="67"/>
      <c r="B73" s="67"/>
      <c r="C73" s="67"/>
      <c r="D73" s="67"/>
      <c r="E73" s="89" t="s">
        <v>2314</v>
      </c>
      <c r="F73" s="70"/>
      <c r="G73" s="83" t="s">
        <v>2315</v>
      </c>
      <c r="H73" s="81" t="s">
        <v>88</v>
      </c>
      <c r="I73" s="81" t="s">
        <v>2299</v>
      </c>
      <c r="J73" s="117" t="s">
        <v>2315</v>
      </c>
      <c r="K73" s="90"/>
      <c r="L73" s="67"/>
      <c r="M73" s="85"/>
      <c r="N73" s="85"/>
      <c r="O73" s="85"/>
      <c r="P73" s="85"/>
      <c r="Q73" s="147" t="s">
        <v>93</v>
      </c>
      <c r="R73" s="81" t="s">
        <v>94</v>
      </c>
      <c r="S73" s="81" t="s">
        <v>94</v>
      </c>
      <c r="T73" s="148">
        <v>46246.0</v>
      </c>
      <c r="U73" s="143"/>
      <c r="V73" s="30"/>
      <c r="W73" s="143"/>
      <c r="X73" s="143"/>
      <c r="Y73" s="143"/>
      <c r="Z73" s="143"/>
    </row>
    <row r="74" ht="33.75" customHeight="1">
      <c r="A74" s="67"/>
      <c r="B74" s="67"/>
      <c r="C74" s="67"/>
      <c r="D74" s="67"/>
      <c r="E74" s="89" t="s">
        <v>2316</v>
      </c>
      <c r="F74" s="70" t="s">
        <v>2317</v>
      </c>
      <c r="G74" s="83" t="s">
        <v>2318</v>
      </c>
      <c r="H74" s="81" t="s">
        <v>88</v>
      </c>
      <c r="I74" s="81" t="s">
        <v>2299</v>
      </c>
      <c r="J74" s="117" t="s">
        <v>2319</v>
      </c>
      <c r="K74" s="90"/>
      <c r="L74" s="67"/>
      <c r="M74" s="85"/>
      <c r="N74" s="85"/>
      <c r="O74" s="85"/>
      <c r="P74" s="85"/>
      <c r="Q74" s="147" t="s">
        <v>93</v>
      </c>
      <c r="R74" s="81" t="s">
        <v>94</v>
      </c>
      <c r="S74" s="81" t="s">
        <v>94</v>
      </c>
      <c r="T74" s="148">
        <v>46246.0</v>
      </c>
      <c r="U74" s="143"/>
      <c r="V74" s="30"/>
      <c r="W74" s="143"/>
      <c r="X74" s="143"/>
      <c r="Y74" s="143"/>
      <c r="Z74" s="143"/>
    </row>
    <row r="75" ht="13.5" customHeight="1">
      <c r="A75" s="67"/>
      <c r="B75" s="67"/>
      <c r="C75" s="67"/>
      <c r="D75" s="67"/>
      <c r="E75" s="89" t="s">
        <v>2320</v>
      </c>
      <c r="F75" s="70"/>
      <c r="G75" s="83" t="s">
        <v>2321</v>
      </c>
      <c r="H75" s="81" t="s">
        <v>88</v>
      </c>
      <c r="I75" s="81" t="s">
        <v>2299</v>
      </c>
      <c r="J75" s="117" t="s">
        <v>2322</v>
      </c>
      <c r="K75" s="90"/>
      <c r="L75" s="67"/>
      <c r="M75" s="85"/>
      <c r="N75" s="85"/>
      <c r="O75" s="85"/>
      <c r="P75" s="85"/>
      <c r="Q75" s="147" t="s">
        <v>93</v>
      </c>
      <c r="R75" s="81" t="s">
        <v>94</v>
      </c>
      <c r="S75" s="81" t="s">
        <v>94</v>
      </c>
      <c r="T75" s="148">
        <v>46246.0</v>
      </c>
      <c r="U75" s="143"/>
      <c r="V75" s="30"/>
      <c r="W75" s="143"/>
      <c r="X75" s="143"/>
      <c r="Y75" s="143"/>
      <c r="Z75" s="143"/>
    </row>
    <row r="76" ht="13.5" customHeight="1">
      <c r="A76" s="67"/>
      <c r="B76" s="67"/>
      <c r="C76" s="67"/>
      <c r="D76" s="67"/>
      <c r="E76" s="89" t="s">
        <v>2323</v>
      </c>
      <c r="F76" s="70" t="s">
        <v>2324</v>
      </c>
      <c r="G76" s="90" t="s">
        <v>2325</v>
      </c>
      <c r="H76" s="89" t="s">
        <v>88</v>
      </c>
      <c r="I76" s="89" t="s">
        <v>2299</v>
      </c>
      <c r="J76" s="122" t="s">
        <v>2326</v>
      </c>
      <c r="K76" s="90"/>
      <c r="L76" s="67"/>
      <c r="M76" s="85"/>
      <c r="N76" s="85"/>
      <c r="O76" s="85"/>
      <c r="P76" s="85"/>
      <c r="Q76" s="147" t="s">
        <v>93</v>
      </c>
      <c r="R76" s="81" t="s">
        <v>94</v>
      </c>
      <c r="S76" s="81" t="s">
        <v>94</v>
      </c>
      <c r="T76" s="148">
        <v>46246.0</v>
      </c>
      <c r="U76" s="143"/>
      <c r="V76" s="30"/>
      <c r="W76" s="143"/>
      <c r="X76" s="143"/>
      <c r="Y76" s="143"/>
      <c r="Z76" s="143"/>
    </row>
    <row r="77" ht="13.5" customHeight="1">
      <c r="A77" s="67"/>
      <c r="B77" s="67"/>
      <c r="C77" s="67"/>
      <c r="D77" s="67"/>
      <c r="E77" s="89" t="s">
        <v>2327</v>
      </c>
      <c r="F77" s="70"/>
      <c r="G77" s="90" t="s">
        <v>2328</v>
      </c>
      <c r="H77" s="89" t="s">
        <v>88</v>
      </c>
      <c r="I77" s="89" t="s">
        <v>2299</v>
      </c>
      <c r="J77" s="163" t="s">
        <v>2328</v>
      </c>
      <c r="K77" s="90"/>
      <c r="L77" s="67"/>
      <c r="M77" s="85"/>
      <c r="N77" s="85"/>
      <c r="O77" s="85"/>
      <c r="P77" s="85"/>
      <c r="Q77" s="147" t="s">
        <v>93</v>
      </c>
      <c r="R77" s="81" t="s">
        <v>94</v>
      </c>
      <c r="S77" s="81" t="s">
        <v>94</v>
      </c>
      <c r="T77" s="148">
        <v>46246.0</v>
      </c>
      <c r="U77" s="143"/>
      <c r="V77" s="30"/>
      <c r="W77" s="143"/>
      <c r="X77" s="143"/>
      <c r="Y77" s="143"/>
      <c r="Z77" s="143"/>
    </row>
    <row r="78" ht="33.75" customHeight="1">
      <c r="A78" s="67"/>
      <c r="B78" s="67"/>
      <c r="C78" s="67"/>
      <c r="D78" s="67"/>
      <c r="E78" s="89" t="s">
        <v>2329</v>
      </c>
      <c r="F78" s="70" t="s">
        <v>2330</v>
      </c>
      <c r="G78" s="83" t="s">
        <v>2331</v>
      </c>
      <c r="H78" s="81" t="s">
        <v>88</v>
      </c>
      <c r="I78" s="81" t="s">
        <v>2299</v>
      </c>
      <c r="J78" s="117" t="s">
        <v>2332</v>
      </c>
      <c r="K78" s="90"/>
      <c r="L78" s="67"/>
      <c r="M78" s="85"/>
      <c r="N78" s="85"/>
      <c r="O78" s="85"/>
      <c r="P78" s="85"/>
      <c r="Q78" s="147" t="s">
        <v>93</v>
      </c>
      <c r="R78" s="81" t="s">
        <v>94</v>
      </c>
      <c r="S78" s="81" t="s">
        <v>94</v>
      </c>
      <c r="T78" s="148">
        <v>46246.0</v>
      </c>
      <c r="U78" s="143"/>
      <c r="V78" s="30"/>
      <c r="W78" s="143"/>
      <c r="X78" s="143"/>
      <c r="Y78" s="143"/>
      <c r="Z78" s="143"/>
    </row>
    <row r="79" ht="33.75" customHeight="1">
      <c r="A79" s="67"/>
      <c r="B79" s="67"/>
      <c r="C79" s="67"/>
      <c r="D79" s="67"/>
      <c r="E79" s="89" t="s">
        <v>2333</v>
      </c>
      <c r="F79" s="70"/>
      <c r="G79" s="83" t="s">
        <v>2334</v>
      </c>
      <c r="H79" s="81" t="s">
        <v>88</v>
      </c>
      <c r="I79" s="81" t="s">
        <v>2299</v>
      </c>
      <c r="J79" s="117" t="s">
        <v>2335</v>
      </c>
      <c r="K79" s="90"/>
      <c r="L79" s="67"/>
      <c r="M79" s="85"/>
      <c r="N79" s="85"/>
      <c r="O79" s="85"/>
      <c r="P79" s="85"/>
      <c r="Q79" s="147" t="s">
        <v>93</v>
      </c>
      <c r="R79" s="81" t="s">
        <v>94</v>
      </c>
      <c r="S79" s="81" t="s">
        <v>94</v>
      </c>
      <c r="T79" s="148">
        <v>46246.0</v>
      </c>
      <c r="U79" s="143"/>
      <c r="V79" s="30"/>
      <c r="W79" s="143"/>
      <c r="X79" s="143"/>
      <c r="Y79" s="143"/>
      <c r="Z79" s="143"/>
    </row>
    <row r="80" ht="13.5" customHeight="1">
      <c r="A80" s="67"/>
      <c r="B80" s="67"/>
      <c r="C80" s="67"/>
      <c r="D80" s="67"/>
      <c r="E80" s="89" t="s">
        <v>2336</v>
      </c>
      <c r="F80" s="70"/>
      <c r="G80" s="83" t="s">
        <v>2337</v>
      </c>
      <c r="H80" s="81" t="s">
        <v>88</v>
      </c>
      <c r="I80" s="81" t="s">
        <v>2299</v>
      </c>
      <c r="J80" s="117" t="s">
        <v>2338</v>
      </c>
      <c r="K80" s="90"/>
      <c r="L80" s="67"/>
      <c r="M80" s="85"/>
      <c r="N80" s="85"/>
      <c r="O80" s="85"/>
      <c r="P80" s="85"/>
      <c r="Q80" s="147" t="s">
        <v>93</v>
      </c>
      <c r="R80" s="81" t="s">
        <v>94</v>
      </c>
      <c r="S80" s="81" t="s">
        <v>94</v>
      </c>
      <c r="T80" s="148">
        <v>46246.0</v>
      </c>
      <c r="U80" s="143"/>
      <c r="V80" s="30"/>
      <c r="W80" s="143"/>
      <c r="X80" s="143"/>
      <c r="Y80" s="143"/>
      <c r="Z80" s="143"/>
    </row>
    <row r="81" ht="33.75" customHeight="1">
      <c r="A81" s="67"/>
      <c r="B81" s="67"/>
      <c r="C81" s="67"/>
      <c r="D81" s="67"/>
      <c r="E81" s="89" t="s">
        <v>2339</v>
      </c>
      <c r="F81" s="70"/>
      <c r="G81" s="83" t="s">
        <v>2340</v>
      </c>
      <c r="H81" s="81" t="s">
        <v>88</v>
      </c>
      <c r="I81" s="81" t="s">
        <v>2299</v>
      </c>
      <c r="J81" s="117" t="s">
        <v>2341</v>
      </c>
      <c r="K81" s="90"/>
      <c r="L81" s="67"/>
      <c r="M81" s="85"/>
      <c r="N81" s="85"/>
      <c r="O81" s="85"/>
      <c r="P81" s="85"/>
      <c r="Q81" s="147" t="s">
        <v>93</v>
      </c>
      <c r="R81" s="81" t="s">
        <v>94</v>
      </c>
      <c r="S81" s="81" t="s">
        <v>94</v>
      </c>
      <c r="T81" s="148">
        <v>46246.0</v>
      </c>
      <c r="U81" s="143"/>
      <c r="V81" s="30"/>
      <c r="W81" s="143"/>
      <c r="X81" s="143"/>
      <c r="Y81" s="143"/>
      <c r="Z81" s="143"/>
    </row>
    <row r="82" ht="33.75" customHeight="1">
      <c r="A82" s="77"/>
      <c r="B82" s="77"/>
      <c r="C82" s="77"/>
      <c r="D82" s="77"/>
      <c r="E82" s="89" t="s">
        <v>2342</v>
      </c>
      <c r="F82" s="70"/>
      <c r="G82" s="83" t="s">
        <v>2343</v>
      </c>
      <c r="H82" s="81" t="s">
        <v>88</v>
      </c>
      <c r="I82" s="81" t="s">
        <v>2299</v>
      </c>
      <c r="J82" s="117" t="s">
        <v>2344</v>
      </c>
      <c r="K82" s="90"/>
      <c r="L82" s="77"/>
      <c r="M82" s="85"/>
      <c r="N82" s="85"/>
      <c r="O82" s="85"/>
      <c r="P82" s="85"/>
      <c r="Q82" s="147" t="s">
        <v>93</v>
      </c>
      <c r="R82" s="81" t="s">
        <v>94</v>
      </c>
      <c r="S82" s="81" t="s">
        <v>94</v>
      </c>
      <c r="T82" s="148">
        <v>46246.0</v>
      </c>
      <c r="U82" s="143"/>
      <c r="V82" s="30"/>
      <c r="W82" s="143"/>
      <c r="X82" s="143"/>
      <c r="Y82" s="143"/>
      <c r="Z82" s="143"/>
    </row>
    <row r="83" ht="45.0" customHeight="1">
      <c r="A83" s="59" t="s">
        <v>2007</v>
      </c>
      <c r="B83" s="59" t="s">
        <v>431</v>
      </c>
      <c r="C83" s="60" t="s">
        <v>432</v>
      </c>
      <c r="D83" s="60" t="s">
        <v>2345</v>
      </c>
      <c r="E83" s="61" t="s">
        <v>2346</v>
      </c>
      <c r="F83" s="62" t="s">
        <v>2330</v>
      </c>
      <c r="G83" s="63" t="s">
        <v>2347</v>
      </c>
      <c r="H83" s="61" t="s">
        <v>88</v>
      </c>
      <c r="I83" s="61" t="s">
        <v>60</v>
      </c>
      <c r="J83" s="151" t="s">
        <v>2348</v>
      </c>
      <c r="K83" s="90"/>
      <c r="L83" s="60" t="s">
        <v>2349</v>
      </c>
      <c r="M83" s="61"/>
      <c r="N83" s="61"/>
      <c r="O83" s="61"/>
      <c r="P83" s="61"/>
      <c r="Q83" s="61" t="s">
        <v>93</v>
      </c>
      <c r="R83" s="61" t="s">
        <v>94</v>
      </c>
      <c r="S83" s="61" t="s">
        <v>94</v>
      </c>
      <c r="T83" s="66">
        <v>46246.0</v>
      </c>
      <c r="U83" s="143"/>
      <c r="V83" s="30"/>
      <c r="W83" s="143"/>
      <c r="X83" s="143"/>
      <c r="Y83" s="143"/>
      <c r="Z83" s="143"/>
    </row>
    <row r="84" ht="45.0" customHeight="1">
      <c r="A84" s="67"/>
      <c r="B84" s="67"/>
      <c r="C84" s="67"/>
      <c r="D84" s="67"/>
      <c r="E84" s="61" t="s">
        <v>2350</v>
      </c>
      <c r="F84" s="62"/>
      <c r="G84" s="63" t="s">
        <v>2351</v>
      </c>
      <c r="H84" s="61" t="s">
        <v>88</v>
      </c>
      <c r="I84" s="61" t="s">
        <v>60</v>
      </c>
      <c r="J84" s="151" t="s">
        <v>2352</v>
      </c>
      <c r="K84" s="90"/>
      <c r="L84" s="67"/>
      <c r="M84" s="61"/>
      <c r="N84" s="61"/>
      <c r="O84" s="61"/>
      <c r="P84" s="61"/>
      <c r="Q84" s="61" t="s">
        <v>93</v>
      </c>
      <c r="R84" s="61" t="s">
        <v>94</v>
      </c>
      <c r="S84" s="61" t="s">
        <v>94</v>
      </c>
      <c r="T84" s="66">
        <v>46246.0</v>
      </c>
      <c r="U84" s="143"/>
      <c r="V84" s="30"/>
      <c r="W84" s="143"/>
      <c r="X84" s="143"/>
      <c r="Y84" s="143"/>
      <c r="Z84" s="143"/>
    </row>
    <row r="85" ht="45.0" customHeight="1">
      <c r="A85" s="67"/>
      <c r="B85" s="67"/>
      <c r="C85" s="67"/>
      <c r="D85" s="67"/>
      <c r="E85" s="61" t="s">
        <v>2353</v>
      </c>
      <c r="F85" s="62"/>
      <c r="G85" s="63" t="s">
        <v>2354</v>
      </c>
      <c r="H85" s="61" t="s">
        <v>88</v>
      </c>
      <c r="I85" s="61" t="s">
        <v>60</v>
      </c>
      <c r="J85" s="151" t="s">
        <v>2355</v>
      </c>
      <c r="K85" s="90"/>
      <c r="L85" s="67"/>
      <c r="M85" s="61"/>
      <c r="N85" s="61"/>
      <c r="O85" s="61"/>
      <c r="P85" s="61"/>
      <c r="Q85" s="61" t="s">
        <v>93</v>
      </c>
      <c r="R85" s="61" t="s">
        <v>94</v>
      </c>
      <c r="S85" s="61" t="s">
        <v>94</v>
      </c>
      <c r="T85" s="66">
        <v>46246.0</v>
      </c>
      <c r="U85" s="143"/>
      <c r="V85" s="30"/>
      <c r="W85" s="143"/>
      <c r="X85" s="143"/>
      <c r="Y85" s="143"/>
      <c r="Z85" s="143"/>
    </row>
    <row r="86" ht="45.0" customHeight="1">
      <c r="A86" s="67"/>
      <c r="B86" s="67"/>
      <c r="C86" s="67"/>
      <c r="D86" s="67"/>
      <c r="E86" s="61" t="s">
        <v>2356</v>
      </c>
      <c r="F86" s="62"/>
      <c r="G86" s="63" t="s">
        <v>2357</v>
      </c>
      <c r="H86" s="61" t="s">
        <v>88</v>
      </c>
      <c r="I86" s="61" t="s">
        <v>60</v>
      </c>
      <c r="J86" s="151" t="s">
        <v>2358</v>
      </c>
      <c r="K86" s="90"/>
      <c r="L86" s="67"/>
      <c r="M86" s="61"/>
      <c r="N86" s="61"/>
      <c r="O86" s="61"/>
      <c r="P86" s="61"/>
      <c r="Q86" s="61" t="s">
        <v>93</v>
      </c>
      <c r="R86" s="61" t="s">
        <v>94</v>
      </c>
      <c r="S86" s="61" t="s">
        <v>94</v>
      </c>
      <c r="T86" s="66">
        <v>46246.0</v>
      </c>
      <c r="U86" s="143"/>
      <c r="V86" s="30"/>
      <c r="W86" s="143"/>
      <c r="X86" s="143"/>
      <c r="Y86" s="143"/>
      <c r="Z86" s="143"/>
    </row>
    <row r="87" ht="45.0" customHeight="1">
      <c r="A87" s="67"/>
      <c r="B87" s="67"/>
      <c r="C87" s="67"/>
      <c r="D87" s="67"/>
      <c r="E87" s="61" t="s">
        <v>2359</v>
      </c>
      <c r="F87" s="62"/>
      <c r="G87" s="63" t="s">
        <v>2360</v>
      </c>
      <c r="H87" s="61" t="s">
        <v>88</v>
      </c>
      <c r="I87" s="61" t="s">
        <v>60</v>
      </c>
      <c r="J87" s="151" t="s">
        <v>2361</v>
      </c>
      <c r="K87" s="164"/>
      <c r="L87" s="67"/>
      <c r="M87" s="61"/>
      <c r="N87" s="61"/>
      <c r="O87" s="61"/>
      <c r="P87" s="61"/>
      <c r="Q87" s="61" t="s">
        <v>93</v>
      </c>
      <c r="R87" s="61" t="s">
        <v>94</v>
      </c>
      <c r="S87" s="61" t="s">
        <v>94</v>
      </c>
      <c r="T87" s="66">
        <v>46246.0</v>
      </c>
      <c r="U87" s="143"/>
      <c r="V87" s="30"/>
      <c r="W87" s="143"/>
      <c r="X87" s="143"/>
      <c r="Y87" s="143"/>
      <c r="Z87" s="143"/>
    </row>
    <row r="88" ht="86.25" customHeight="1">
      <c r="A88" s="165"/>
      <c r="B88" s="165"/>
      <c r="C88" s="165"/>
      <c r="D88" s="165"/>
      <c r="E88" s="166" t="s">
        <v>2362</v>
      </c>
      <c r="F88" s="167" t="s">
        <v>2363</v>
      </c>
      <c r="G88" s="151" t="s">
        <v>2364</v>
      </c>
      <c r="H88" s="166" t="s">
        <v>88</v>
      </c>
      <c r="I88" s="166" t="s">
        <v>60</v>
      </c>
      <c r="J88" s="151" t="s">
        <v>2365</v>
      </c>
      <c r="K88" s="168"/>
      <c r="L88" s="165"/>
      <c r="M88" s="166"/>
      <c r="N88" s="166"/>
      <c r="O88" s="166"/>
      <c r="P88" s="166"/>
      <c r="Q88" s="166" t="s">
        <v>93</v>
      </c>
      <c r="R88" s="166" t="s">
        <v>94</v>
      </c>
      <c r="S88" s="166" t="s">
        <v>94</v>
      </c>
      <c r="T88" s="169">
        <v>46246.0</v>
      </c>
      <c r="U88" s="143"/>
      <c r="V88" s="30"/>
      <c r="W88" s="143"/>
      <c r="X88" s="143"/>
      <c r="Y88" s="143"/>
      <c r="Z88" s="143"/>
    </row>
    <row r="89" ht="195.75" customHeight="1">
      <c r="A89" s="170" t="s">
        <v>2007</v>
      </c>
      <c r="B89" s="170" t="s">
        <v>436</v>
      </c>
      <c r="C89" s="171" t="s">
        <v>2366</v>
      </c>
      <c r="D89" s="171" t="s">
        <v>2367</v>
      </c>
      <c r="E89" s="170" t="s">
        <v>2368</v>
      </c>
      <c r="F89" s="171" t="s">
        <v>2367</v>
      </c>
      <c r="G89" s="171" t="s">
        <v>2367</v>
      </c>
      <c r="H89" s="172" t="s">
        <v>1890</v>
      </c>
      <c r="I89" s="170" t="s">
        <v>60</v>
      </c>
      <c r="J89" s="171" t="s">
        <v>2369</v>
      </c>
      <c r="K89" s="171"/>
      <c r="L89" s="173"/>
      <c r="M89" s="173"/>
      <c r="N89" s="173"/>
      <c r="O89" s="173"/>
      <c r="P89" s="173"/>
      <c r="Q89" s="170" t="s">
        <v>93</v>
      </c>
      <c r="R89" s="170" t="s">
        <v>94</v>
      </c>
      <c r="S89" s="170" t="s">
        <v>94</v>
      </c>
      <c r="T89" s="174">
        <v>46246.0</v>
      </c>
      <c r="U89" s="143"/>
      <c r="V89" s="30"/>
      <c r="W89" s="143"/>
      <c r="X89" s="143"/>
      <c r="Y89" s="143"/>
      <c r="Z89" s="143"/>
    </row>
    <row r="90" ht="229.5" customHeight="1">
      <c r="A90" s="170" t="s">
        <v>2007</v>
      </c>
      <c r="B90" s="170" t="s">
        <v>443</v>
      </c>
      <c r="C90" s="171" t="s">
        <v>1892</v>
      </c>
      <c r="D90" s="171" t="s">
        <v>1892</v>
      </c>
      <c r="E90" s="170" t="s">
        <v>2370</v>
      </c>
      <c r="F90" s="171" t="s">
        <v>1892</v>
      </c>
      <c r="G90" s="171" t="s">
        <v>1894</v>
      </c>
      <c r="H90" s="175" t="s">
        <v>1890</v>
      </c>
      <c r="I90" s="175" t="s">
        <v>60</v>
      </c>
      <c r="J90" s="171" t="s">
        <v>2371</v>
      </c>
      <c r="K90" s="176" t="s">
        <v>2372</v>
      </c>
      <c r="L90" s="173"/>
      <c r="M90" s="173"/>
      <c r="N90" s="173"/>
      <c r="O90" s="173"/>
      <c r="P90" s="173"/>
      <c r="Q90" s="170" t="s">
        <v>93</v>
      </c>
      <c r="R90" s="170" t="s">
        <v>94</v>
      </c>
      <c r="S90" s="170" t="s">
        <v>94</v>
      </c>
      <c r="T90" s="174">
        <v>46259.0</v>
      </c>
      <c r="U90" s="143"/>
      <c r="V90" s="30"/>
      <c r="W90" s="143"/>
      <c r="X90" s="143"/>
      <c r="Y90" s="143"/>
      <c r="Z90" s="143"/>
    </row>
    <row r="91" ht="13.5" customHeight="1">
      <c r="A91" s="170" t="s">
        <v>2007</v>
      </c>
      <c r="B91" s="170" t="s">
        <v>448</v>
      </c>
      <c r="C91" s="171" t="s">
        <v>2373</v>
      </c>
      <c r="D91" s="171" t="s">
        <v>2373</v>
      </c>
      <c r="E91" s="170" t="s">
        <v>2374</v>
      </c>
      <c r="F91" s="171" t="s">
        <v>2373</v>
      </c>
      <c r="G91" s="171" t="s">
        <v>2375</v>
      </c>
      <c r="H91" s="170" t="s">
        <v>1890</v>
      </c>
      <c r="I91" s="170" t="s">
        <v>60</v>
      </c>
      <c r="J91" s="177" t="s">
        <v>2376</v>
      </c>
      <c r="K91" s="171"/>
      <c r="L91" s="171"/>
      <c r="M91" s="171"/>
      <c r="N91" s="171"/>
      <c r="O91" s="171"/>
      <c r="P91" s="171"/>
      <c r="Q91" s="170" t="s">
        <v>93</v>
      </c>
      <c r="R91" s="170" t="s">
        <v>94</v>
      </c>
      <c r="S91" s="170" t="s">
        <v>94</v>
      </c>
      <c r="T91" s="174">
        <v>46246.0</v>
      </c>
      <c r="U91" s="143"/>
      <c r="V91" s="30"/>
      <c r="W91" s="143"/>
      <c r="X91" s="143"/>
      <c r="Y91" s="143"/>
      <c r="Z91" s="143"/>
    </row>
    <row r="92" ht="13.5" customHeight="1">
      <c r="A92" s="170" t="s">
        <v>2007</v>
      </c>
      <c r="B92" s="170" t="s">
        <v>453</v>
      </c>
      <c r="C92" s="171" t="s">
        <v>2377</v>
      </c>
      <c r="D92" s="171" t="s">
        <v>2377</v>
      </c>
      <c r="E92" s="170" t="s">
        <v>2378</v>
      </c>
      <c r="F92" s="171" t="s">
        <v>2377</v>
      </c>
      <c r="G92" s="177" t="s">
        <v>2379</v>
      </c>
      <c r="H92" s="175" t="s">
        <v>1890</v>
      </c>
      <c r="I92" s="175" t="s">
        <v>60</v>
      </c>
      <c r="J92" s="171" t="s">
        <v>2380</v>
      </c>
      <c r="K92" s="176" t="s">
        <v>2372</v>
      </c>
      <c r="L92" s="171"/>
      <c r="M92" s="171"/>
      <c r="N92" s="171"/>
      <c r="O92" s="171"/>
      <c r="P92" s="171"/>
      <c r="Q92" s="170" t="s">
        <v>93</v>
      </c>
      <c r="R92" s="170" t="s">
        <v>94</v>
      </c>
      <c r="S92" s="170" t="s">
        <v>94</v>
      </c>
      <c r="T92" s="174">
        <v>46259.0</v>
      </c>
      <c r="U92" s="143"/>
      <c r="V92" s="30"/>
      <c r="W92" s="143"/>
      <c r="X92" s="143"/>
      <c r="Y92" s="143"/>
      <c r="Z92" s="143"/>
    </row>
    <row r="93" ht="13.5" customHeight="1">
      <c r="A93" s="143"/>
      <c r="B93" s="143"/>
      <c r="C93" s="143"/>
      <c r="D93" s="143"/>
      <c r="E93" s="143"/>
      <c r="F93" s="143"/>
      <c r="G93" s="143"/>
      <c r="H93" s="143"/>
      <c r="I93" s="143"/>
      <c r="J93" s="143"/>
      <c r="K93" s="143"/>
      <c r="L93" s="143"/>
      <c r="M93" s="143"/>
      <c r="N93" s="143"/>
      <c r="O93" s="143"/>
      <c r="P93" s="143"/>
      <c r="Q93" s="159"/>
      <c r="R93" s="159"/>
      <c r="S93" s="159"/>
      <c r="T93" s="160"/>
      <c r="U93" s="143"/>
      <c r="V93" s="30"/>
      <c r="W93" s="143"/>
      <c r="X93" s="143"/>
      <c r="Y93" s="143"/>
      <c r="Z93" s="143"/>
    </row>
    <row r="94" ht="13.5" customHeight="1">
      <c r="A94" s="143"/>
      <c r="B94" s="143"/>
      <c r="C94" s="143"/>
      <c r="D94" s="143"/>
      <c r="E94" s="143"/>
      <c r="F94" s="143"/>
      <c r="G94" s="143"/>
      <c r="H94" s="143"/>
      <c r="I94" s="143"/>
      <c r="J94" s="143"/>
      <c r="K94" s="143"/>
      <c r="L94" s="143"/>
      <c r="M94" s="143"/>
      <c r="N94" s="143"/>
      <c r="O94" s="143"/>
      <c r="P94" s="143"/>
      <c r="Q94" s="159"/>
      <c r="R94" s="159"/>
      <c r="S94" s="159"/>
      <c r="T94" s="160"/>
      <c r="U94" s="143"/>
      <c r="V94" s="30"/>
      <c r="W94" s="143"/>
      <c r="X94" s="143"/>
      <c r="Y94" s="143"/>
      <c r="Z94" s="143"/>
    </row>
    <row r="95" ht="13.5" customHeight="1">
      <c r="A95" s="143"/>
      <c r="B95" s="143"/>
      <c r="C95" s="143"/>
      <c r="D95" s="143"/>
      <c r="E95" s="143"/>
      <c r="F95" s="143"/>
      <c r="G95" s="143"/>
      <c r="H95" s="143"/>
      <c r="I95" s="143"/>
      <c r="J95" s="143"/>
      <c r="K95" s="143"/>
      <c r="L95" s="143"/>
      <c r="M95" s="143"/>
      <c r="N95" s="143"/>
      <c r="O95" s="143"/>
      <c r="P95" s="143"/>
      <c r="Q95" s="159"/>
      <c r="R95" s="159"/>
      <c r="S95" s="159"/>
      <c r="T95" s="160"/>
      <c r="U95" s="143"/>
      <c r="V95" s="30"/>
      <c r="W95" s="143"/>
      <c r="X95" s="143"/>
      <c r="Y95" s="143"/>
      <c r="Z95" s="143"/>
    </row>
    <row r="96" ht="13.5" customHeight="1">
      <c r="A96" s="143"/>
      <c r="B96" s="143"/>
      <c r="C96" s="143"/>
      <c r="D96" s="143"/>
      <c r="E96" s="143"/>
      <c r="F96" s="143"/>
      <c r="G96" s="143"/>
      <c r="H96" s="143"/>
      <c r="I96" s="143"/>
      <c r="J96" s="143"/>
      <c r="K96" s="143"/>
      <c r="L96" s="143"/>
      <c r="M96" s="143"/>
      <c r="N96" s="143"/>
      <c r="O96" s="143"/>
      <c r="P96" s="143"/>
      <c r="Q96" s="159"/>
      <c r="R96" s="159"/>
      <c r="S96" s="159"/>
      <c r="T96" s="160"/>
      <c r="U96" s="143"/>
      <c r="V96" s="30"/>
      <c r="W96" s="143"/>
      <c r="X96" s="143"/>
      <c r="Y96" s="143"/>
      <c r="Z96" s="143"/>
    </row>
    <row r="97" ht="13.5" customHeight="1">
      <c r="A97" s="143"/>
      <c r="B97" s="143"/>
      <c r="C97" s="143"/>
      <c r="D97" s="143"/>
      <c r="E97" s="143"/>
      <c r="F97" s="143"/>
      <c r="G97" s="143"/>
      <c r="H97" s="143"/>
      <c r="I97" s="143"/>
      <c r="J97" s="143"/>
      <c r="K97" s="143"/>
      <c r="L97" s="143"/>
      <c r="M97" s="143"/>
      <c r="N97" s="143"/>
      <c r="O97" s="143"/>
      <c r="P97" s="143"/>
      <c r="Q97" s="159"/>
      <c r="R97" s="159"/>
      <c r="S97" s="159"/>
      <c r="T97" s="160"/>
      <c r="U97" s="143"/>
      <c r="V97" s="30"/>
      <c r="W97" s="143"/>
      <c r="X97" s="143"/>
      <c r="Y97" s="143"/>
      <c r="Z97" s="143"/>
    </row>
    <row r="98" ht="13.5" customHeight="1">
      <c r="A98" s="143"/>
      <c r="B98" s="143"/>
      <c r="C98" s="143"/>
      <c r="D98" s="143"/>
      <c r="E98" s="143"/>
      <c r="F98" s="143"/>
      <c r="G98" s="143"/>
      <c r="H98" s="143"/>
      <c r="I98" s="143"/>
      <c r="J98" s="143"/>
      <c r="K98" s="143"/>
      <c r="L98" s="143"/>
      <c r="M98" s="143"/>
      <c r="N98" s="143"/>
      <c r="O98" s="143"/>
      <c r="P98" s="143"/>
      <c r="Q98" s="159"/>
      <c r="R98" s="159"/>
      <c r="S98" s="159"/>
      <c r="T98" s="160"/>
      <c r="U98" s="143"/>
      <c r="V98" s="30"/>
      <c r="W98" s="143"/>
      <c r="X98" s="143"/>
      <c r="Y98" s="143"/>
      <c r="Z98" s="143"/>
    </row>
    <row r="99" ht="13.5" customHeight="1">
      <c r="A99" s="143"/>
      <c r="B99" s="143"/>
      <c r="C99" s="143"/>
      <c r="D99" s="143"/>
      <c r="E99" s="143"/>
      <c r="F99" s="143"/>
      <c r="G99" s="143"/>
      <c r="H99" s="143"/>
      <c r="I99" s="143"/>
      <c r="J99" s="143"/>
      <c r="K99" s="143"/>
      <c r="L99" s="143"/>
      <c r="M99" s="143"/>
      <c r="N99" s="143"/>
      <c r="O99" s="143"/>
      <c r="P99" s="143"/>
      <c r="Q99" s="159"/>
      <c r="R99" s="159"/>
      <c r="S99" s="159"/>
      <c r="T99" s="160"/>
      <c r="U99" s="143"/>
      <c r="V99" s="30"/>
      <c r="W99" s="143"/>
      <c r="X99" s="143"/>
      <c r="Y99" s="143"/>
      <c r="Z99" s="143"/>
    </row>
    <row r="100" ht="13.5" customHeight="1">
      <c r="A100" s="143"/>
      <c r="B100" s="143"/>
      <c r="C100" s="143"/>
      <c r="D100" s="143"/>
      <c r="E100" s="143"/>
      <c r="F100" s="143"/>
      <c r="G100" s="143"/>
      <c r="H100" s="143"/>
      <c r="I100" s="143"/>
      <c r="J100" s="143"/>
      <c r="K100" s="143"/>
      <c r="L100" s="143"/>
      <c r="M100" s="143"/>
      <c r="N100" s="143"/>
      <c r="O100" s="143"/>
      <c r="P100" s="143"/>
      <c r="Q100" s="159"/>
      <c r="R100" s="159"/>
      <c r="S100" s="159"/>
      <c r="T100" s="160"/>
      <c r="U100" s="143"/>
      <c r="V100" s="30"/>
      <c r="W100" s="143"/>
      <c r="X100" s="143"/>
      <c r="Y100" s="143"/>
      <c r="Z100" s="143"/>
    </row>
    <row r="101" ht="13.5" customHeight="1">
      <c r="A101" s="143"/>
      <c r="B101" s="143"/>
      <c r="C101" s="143"/>
      <c r="D101" s="143"/>
      <c r="E101" s="143"/>
      <c r="F101" s="143"/>
      <c r="G101" s="143"/>
      <c r="H101" s="143"/>
      <c r="I101" s="143"/>
      <c r="J101" s="143"/>
      <c r="K101" s="143"/>
      <c r="L101" s="143"/>
      <c r="M101" s="143"/>
      <c r="N101" s="143"/>
      <c r="O101" s="143"/>
      <c r="P101" s="143"/>
      <c r="Q101" s="159"/>
      <c r="R101" s="159"/>
      <c r="S101" s="159"/>
      <c r="T101" s="160"/>
      <c r="U101" s="143"/>
      <c r="V101" s="30"/>
      <c r="W101" s="143"/>
      <c r="X101" s="143"/>
      <c r="Y101" s="143"/>
      <c r="Z101" s="143"/>
    </row>
    <row r="102" ht="13.5" customHeight="1">
      <c r="A102" s="143"/>
      <c r="B102" s="143"/>
      <c r="C102" s="143"/>
      <c r="D102" s="143"/>
      <c r="E102" s="143"/>
      <c r="F102" s="143"/>
      <c r="G102" s="143"/>
      <c r="H102" s="143"/>
      <c r="I102" s="143"/>
      <c r="J102" s="143"/>
      <c r="K102" s="143"/>
      <c r="L102" s="143"/>
      <c r="M102" s="143"/>
      <c r="N102" s="143"/>
      <c r="O102" s="143"/>
      <c r="P102" s="143"/>
      <c r="Q102" s="159"/>
      <c r="R102" s="159"/>
      <c r="S102" s="159"/>
      <c r="T102" s="160"/>
      <c r="U102" s="143"/>
      <c r="V102" s="30"/>
      <c r="W102" s="143"/>
      <c r="X102" s="143"/>
      <c r="Y102" s="143"/>
      <c r="Z102" s="143"/>
    </row>
    <row r="103" ht="13.5" customHeight="1">
      <c r="A103" s="143"/>
      <c r="B103" s="143"/>
      <c r="C103" s="143"/>
      <c r="D103" s="143"/>
      <c r="E103" s="143"/>
      <c r="F103" s="143"/>
      <c r="G103" s="143"/>
      <c r="H103" s="143"/>
      <c r="I103" s="143"/>
      <c r="J103" s="143"/>
      <c r="K103" s="143"/>
      <c r="L103" s="143"/>
      <c r="M103" s="143"/>
      <c r="N103" s="143"/>
      <c r="O103" s="143"/>
      <c r="P103" s="143"/>
      <c r="Q103" s="159"/>
      <c r="R103" s="159"/>
      <c r="S103" s="159"/>
      <c r="T103" s="160"/>
      <c r="U103" s="143"/>
      <c r="V103" s="30"/>
      <c r="W103" s="143"/>
      <c r="X103" s="143"/>
      <c r="Y103" s="143"/>
      <c r="Z103" s="143"/>
    </row>
    <row r="104" ht="13.5" customHeight="1">
      <c r="A104" s="143"/>
      <c r="B104" s="143"/>
      <c r="C104" s="143"/>
      <c r="D104" s="143"/>
      <c r="E104" s="143"/>
      <c r="F104" s="143"/>
      <c r="G104" s="143"/>
      <c r="H104" s="143"/>
      <c r="I104" s="143"/>
      <c r="J104" s="143"/>
      <c r="K104" s="143"/>
      <c r="L104" s="143"/>
      <c r="M104" s="143"/>
      <c r="N104" s="143"/>
      <c r="O104" s="143"/>
      <c r="P104" s="143"/>
      <c r="Q104" s="159"/>
      <c r="R104" s="159"/>
      <c r="S104" s="159"/>
      <c r="T104" s="160"/>
      <c r="U104" s="143"/>
      <c r="V104" s="30"/>
      <c r="W104" s="143"/>
      <c r="X104" s="143"/>
      <c r="Y104" s="143"/>
      <c r="Z104" s="143"/>
    </row>
    <row r="105" ht="13.5" customHeight="1">
      <c r="A105" s="143"/>
      <c r="B105" s="143"/>
      <c r="C105" s="143"/>
      <c r="D105" s="143"/>
      <c r="E105" s="143"/>
      <c r="F105" s="143"/>
      <c r="G105" s="143"/>
      <c r="H105" s="143"/>
      <c r="I105" s="143"/>
      <c r="J105" s="143"/>
      <c r="K105" s="143"/>
      <c r="L105" s="143"/>
      <c r="M105" s="143"/>
      <c r="N105" s="143"/>
      <c r="O105" s="143"/>
      <c r="P105" s="143"/>
      <c r="Q105" s="159"/>
      <c r="R105" s="159"/>
      <c r="S105" s="159"/>
      <c r="T105" s="160"/>
      <c r="U105" s="143"/>
      <c r="V105" s="30"/>
      <c r="W105" s="143"/>
      <c r="X105" s="143"/>
      <c r="Y105" s="143"/>
      <c r="Z105" s="143"/>
    </row>
    <row r="106" ht="13.5" customHeight="1">
      <c r="A106" s="143"/>
      <c r="B106" s="143"/>
      <c r="C106" s="143"/>
      <c r="D106" s="143"/>
      <c r="E106" s="143"/>
      <c r="F106" s="143"/>
      <c r="G106" s="143"/>
      <c r="H106" s="143"/>
      <c r="I106" s="143"/>
      <c r="J106" s="143"/>
      <c r="K106" s="143"/>
      <c r="L106" s="143"/>
      <c r="M106" s="143"/>
      <c r="N106" s="143"/>
      <c r="O106" s="143"/>
      <c r="P106" s="143"/>
      <c r="Q106" s="159"/>
      <c r="R106" s="159"/>
      <c r="S106" s="159"/>
      <c r="T106" s="160"/>
      <c r="U106" s="143"/>
      <c r="V106" s="30"/>
      <c r="W106" s="143"/>
      <c r="X106" s="143"/>
      <c r="Y106" s="143"/>
      <c r="Z106" s="143"/>
    </row>
    <row r="107" ht="13.5" customHeight="1">
      <c r="A107" s="143"/>
      <c r="B107" s="143"/>
      <c r="C107" s="143"/>
      <c r="D107" s="143"/>
      <c r="E107" s="143"/>
      <c r="F107" s="143"/>
      <c r="G107" s="143"/>
      <c r="H107" s="143"/>
      <c r="I107" s="143"/>
      <c r="J107" s="143"/>
      <c r="K107" s="143"/>
      <c r="L107" s="143"/>
      <c r="M107" s="143"/>
      <c r="N107" s="143"/>
      <c r="O107" s="143"/>
      <c r="P107" s="143"/>
      <c r="Q107" s="159"/>
      <c r="R107" s="159"/>
      <c r="S107" s="159"/>
      <c r="T107" s="160"/>
      <c r="U107" s="143"/>
      <c r="V107" s="30"/>
      <c r="W107" s="143"/>
      <c r="X107" s="143"/>
      <c r="Y107" s="143"/>
      <c r="Z107" s="143"/>
    </row>
    <row r="108" ht="13.5" customHeight="1">
      <c r="A108" s="143"/>
      <c r="B108" s="143"/>
      <c r="C108" s="143"/>
      <c r="D108" s="143"/>
      <c r="E108" s="143"/>
      <c r="F108" s="143"/>
      <c r="G108" s="143"/>
      <c r="H108" s="143"/>
      <c r="I108" s="143"/>
      <c r="J108" s="143"/>
      <c r="K108" s="143"/>
      <c r="L108" s="143"/>
      <c r="M108" s="143"/>
      <c r="N108" s="143"/>
      <c r="O108" s="143"/>
      <c r="P108" s="143"/>
      <c r="Q108" s="159"/>
      <c r="R108" s="159"/>
      <c r="S108" s="159"/>
      <c r="T108" s="160"/>
      <c r="U108" s="143"/>
      <c r="V108" s="30"/>
      <c r="W108" s="143"/>
      <c r="X108" s="143"/>
      <c r="Y108" s="143"/>
      <c r="Z108" s="143"/>
    </row>
    <row r="109" ht="13.5" customHeight="1">
      <c r="A109" s="143"/>
      <c r="B109" s="143"/>
      <c r="C109" s="143"/>
      <c r="D109" s="143"/>
      <c r="E109" s="143"/>
      <c r="F109" s="143"/>
      <c r="G109" s="143"/>
      <c r="H109" s="143"/>
      <c r="I109" s="143"/>
      <c r="J109" s="143"/>
      <c r="K109" s="143"/>
      <c r="L109" s="143"/>
      <c r="M109" s="143"/>
      <c r="N109" s="143"/>
      <c r="O109" s="143"/>
      <c r="P109" s="143"/>
      <c r="Q109" s="159"/>
      <c r="R109" s="159"/>
      <c r="S109" s="159"/>
      <c r="T109" s="160"/>
      <c r="U109" s="143"/>
      <c r="V109" s="30"/>
      <c r="W109" s="143"/>
      <c r="X109" s="143"/>
      <c r="Y109" s="143"/>
      <c r="Z109" s="143"/>
    </row>
    <row r="110" ht="13.5" customHeight="1">
      <c r="A110" s="143"/>
      <c r="B110" s="143"/>
      <c r="C110" s="143"/>
      <c r="D110" s="143"/>
      <c r="E110" s="143"/>
      <c r="F110" s="143"/>
      <c r="G110" s="143"/>
      <c r="H110" s="143"/>
      <c r="I110" s="143"/>
      <c r="J110" s="143"/>
      <c r="K110" s="143"/>
      <c r="L110" s="143"/>
      <c r="M110" s="143"/>
      <c r="N110" s="143"/>
      <c r="O110" s="143"/>
      <c r="P110" s="143"/>
      <c r="Q110" s="159"/>
      <c r="R110" s="159"/>
      <c r="S110" s="159"/>
      <c r="T110" s="160"/>
      <c r="U110" s="143"/>
      <c r="V110" s="30"/>
      <c r="W110" s="143"/>
      <c r="X110" s="143"/>
      <c r="Y110" s="143"/>
      <c r="Z110" s="143"/>
    </row>
    <row r="111" ht="13.5" customHeight="1">
      <c r="A111" s="143"/>
      <c r="B111" s="143"/>
      <c r="C111" s="143"/>
      <c r="D111" s="143"/>
      <c r="E111" s="143"/>
      <c r="F111" s="143"/>
      <c r="G111" s="143"/>
      <c r="H111" s="143"/>
      <c r="I111" s="143"/>
      <c r="J111" s="143"/>
      <c r="K111" s="143"/>
      <c r="L111" s="143"/>
      <c r="M111" s="143"/>
      <c r="N111" s="143"/>
      <c r="O111" s="143"/>
      <c r="P111" s="143"/>
      <c r="Q111" s="159"/>
      <c r="R111" s="159"/>
      <c r="S111" s="159"/>
      <c r="T111" s="160"/>
      <c r="U111" s="143"/>
      <c r="V111" s="30"/>
      <c r="W111" s="143"/>
      <c r="X111" s="143"/>
      <c r="Y111" s="143"/>
      <c r="Z111" s="143"/>
    </row>
    <row r="112" ht="13.5" customHeight="1">
      <c r="A112" s="143"/>
      <c r="B112" s="143"/>
      <c r="C112" s="143"/>
      <c r="D112" s="143"/>
      <c r="E112" s="143"/>
      <c r="F112" s="143"/>
      <c r="G112" s="143"/>
      <c r="H112" s="143"/>
      <c r="I112" s="143"/>
      <c r="J112" s="143"/>
      <c r="K112" s="143"/>
      <c r="L112" s="143"/>
      <c r="M112" s="143"/>
      <c r="N112" s="143"/>
      <c r="O112" s="143"/>
      <c r="P112" s="143"/>
      <c r="Q112" s="159"/>
      <c r="R112" s="159"/>
      <c r="S112" s="159"/>
      <c r="T112" s="160"/>
      <c r="U112" s="143"/>
      <c r="V112" s="30"/>
      <c r="W112" s="143"/>
      <c r="X112" s="143"/>
      <c r="Y112" s="143"/>
      <c r="Z112" s="143"/>
    </row>
    <row r="113" ht="13.5" customHeight="1">
      <c r="A113" s="143"/>
      <c r="B113" s="143"/>
      <c r="C113" s="143"/>
      <c r="D113" s="143"/>
      <c r="E113" s="143"/>
      <c r="F113" s="143"/>
      <c r="G113" s="143"/>
      <c r="H113" s="143"/>
      <c r="I113" s="143"/>
      <c r="J113" s="143"/>
      <c r="K113" s="143"/>
      <c r="L113" s="143"/>
      <c r="M113" s="143"/>
      <c r="N113" s="143"/>
      <c r="O113" s="143"/>
      <c r="P113" s="143"/>
      <c r="Q113" s="159"/>
      <c r="R113" s="159"/>
      <c r="S113" s="159"/>
      <c r="T113" s="160"/>
      <c r="U113" s="143"/>
      <c r="V113" s="30"/>
      <c r="W113" s="143"/>
      <c r="X113" s="143"/>
      <c r="Y113" s="143"/>
      <c r="Z113" s="143"/>
    </row>
    <row r="114" ht="13.5" customHeight="1">
      <c r="A114" s="143"/>
      <c r="B114" s="143"/>
      <c r="C114" s="143"/>
      <c r="D114" s="143"/>
      <c r="E114" s="143"/>
      <c r="F114" s="143"/>
      <c r="G114" s="143"/>
      <c r="H114" s="143"/>
      <c r="I114" s="143"/>
      <c r="J114" s="143"/>
      <c r="K114" s="143"/>
      <c r="L114" s="143"/>
      <c r="M114" s="143"/>
      <c r="N114" s="143"/>
      <c r="O114" s="143"/>
      <c r="P114" s="143"/>
      <c r="Q114" s="159"/>
      <c r="R114" s="159"/>
      <c r="S114" s="159"/>
      <c r="T114" s="160"/>
      <c r="U114" s="143"/>
      <c r="V114" s="30"/>
      <c r="W114" s="143"/>
      <c r="X114" s="143"/>
      <c r="Y114" s="143"/>
      <c r="Z114" s="143"/>
    </row>
    <row r="115" ht="13.5" customHeight="1">
      <c r="A115" s="143"/>
      <c r="B115" s="143"/>
      <c r="C115" s="143"/>
      <c r="D115" s="143"/>
      <c r="E115" s="143"/>
      <c r="F115" s="143"/>
      <c r="G115" s="143"/>
      <c r="H115" s="143"/>
      <c r="I115" s="143"/>
      <c r="J115" s="143"/>
      <c r="K115" s="143"/>
      <c r="L115" s="143"/>
      <c r="M115" s="143"/>
      <c r="N115" s="143"/>
      <c r="O115" s="143"/>
      <c r="P115" s="143"/>
      <c r="Q115" s="159"/>
      <c r="R115" s="159"/>
      <c r="S115" s="159"/>
      <c r="T115" s="160"/>
      <c r="U115" s="143"/>
      <c r="V115" s="30"/>
      <c r="W115" s="143"/>
      <c r="X115" s="143"/>
      <c r="Y115" s="143"/>
      <c r="Z115" s="143"/>
    </row>
    <row r="116" ht="13.5" customHeight="1">
      <c r="A116" s="143"/>
      <c r="B116" s="143"/>
      <c r="C116" s="143"/>
      <c r="D116" s="143"/>
      <c r="E116" s="143"/>
      <c r="F116" s="143"/>
      <c r="G116" s="143"/>
      <c r="H116" s="143"/>
      <c r="I116" s="143"/>
      <c r="J116" s="143"/>
      <c r="K116" s="143"/>
      <c r="L116" s="143"/>
      <c r="M116" s="143"/>
      <c r="N116" s="143"/>
      <c r="O116" s="143"/>
      <c r="P116" s="143"/>
      <c r="Q116" s="159"/>
      <c r="R116" s="159"/>
      <c r="S116" s="159"/>
      <c r="T116" s="160"/>
      <c r="U116" s="143"/>
      <c r="V116" s="30"/>
      <c r="W116" s="143"/>
      <c r="X116" s="143"/>
      <c r="Y116" s="143"/>
      <c r="Z116" s="143"/>
    </row>
    <row r="117" ht="13.5" customHeight="1">
      <c r="A117" s="143"/>
      <c r="B117" s="143"/>
      <c r="C117" s="143"/>
      <c r="D117" s="143"/>
      <c r="E117" s="143"/>
      <c r="F117" s="143"/>
      <c r="G117" s="143"/>
      <c r="H117" s="143"/>
      <c r="I117" s="143"/>
      <c r="J117" s="143"/>
      <c r="K117" s="143"/>
      <c r="L117" s="143"/>
      <c r="M117" s="143"/>
      <c r="N117" s="143"/>
      <c r="O117" s="143"/>
      <c r="P117" s="143"/>
      <c r="Q117" s="159"/>
      <c r="R117" s="159"/>
      <c r="S117" s="159"/>
      <c r="T117" s="160"/>
      <c r="U117" s="143"/>
      <c r="V117" s="30"/>
      <c r="W117" s="143"/>
      <c r="X117" s="143"/>
      <c r="Y117" s="143"/>
      <c r="Z117" s="143"/>
    </row>
    <row r="118" ht="13.5" customHeight="1">
      <c r="A118" s="143"/>
      <c r="B118" s="143"/>
      <c r="C118" s="143"/>
      <c r="D118" s="143"/>
      <c r="E118" s="143"/>
      <c r="F118" s="143"/>
      <c r="G118" s="143"/>
      <c r="H118" s="143"/>
      <c r="I118" s="143"/>
      <c r="J118" s="143"/>
      <c r="K118" s="143"/>
      <c r="L118" s="143"/>
      <c r="M118" s="143"/>
      <c r="N118" s="143"/>
      <c r="O118" s="143"/>
      <c r="P118" s="143"/>
      <c r="Q118" s="159"/>
      <c r="R118" s="159"/>
      <c r="S118" s="159"/>
      <c r="T118" s="160"/>
      <c r="U118" s="143"/>
      <c r="V118" s="30"/>
      <c r="W118" s="143"/>
      <c r="X118" s="143"/>
      <c r="Y118" s="143"/>
      <c r="Z118" s="143"/>
    </row>
    <row r="119" ht="13.5" customHeight="1">
      <c r="A119" s="143"/>
      <c r="B119" s="143"/>
      <c r="C119" s="143"/>
      <c r="D119" s="143"/>
      <c r="E119" s="143"/>
      <c r="F119" s="143"/>
      <c r="G119" s="143"/>
      <c r="H119" s="143"/>
      <c r="I119" s="143"/>
      <c r="J119" s="143"/>
      <c r="K119" s="143"/>
      <c r="L119" s="143"/>
      <c r="M119" s="143"/>
      <c r="N119" s="143"/>
      <c r="O119" s="143"/>
      <c r="P119" s="143"/>
      <c r="Q119" s="159"/>
      <c r="R119" s="159"/>
      <c r="S119" s="159"/>
      <c r="T119" s="160"/>
      <c r="U119" s="143"/>
      <c r="V119" s="30"/>
      <c r="W119" s="143"/>
      <c r="X119" s="143"/>
      <c r="Y119" s="143"/>
      <c r="Z119" s="143"/>
    </row>
    <row r="120" ht="13.5" customHeight="1">
      <c r="A120" s="143"/>
      <c r="B120" s="143"/>
      <c r="C120" s="143"/>
      <c r="D120" s="143"/>
      <c r="E120" s="143"/>
      <c r="F120" s="143"/>
      <c r="G120" s="143"/>
      <c r="H120" s="143"/>
      <c r="I120" s="143"/>
      <c r="J120" s="143"/>
      <c r="K120" s="143"/>
      <c r="L120" s="143"/>
      <c r="M120" s="143"/>
      <c r="N120" s="143"/>
      <c r="O120" s="143"/>
      <c r="P120" s="143"/>
      <c r="Q120" s="159"/>
      <c r="R120" s="159"/>
      <c r="S120" s="159"/>
      <c r="T120" s="160"/>
      <c r="U120" s="143"/>
      <c r="V120" s="30"/>
      <c r="W120" s="143"/>
      <c r="X120" s="143"/>
      <c r="Y120" s="143"/>
      <c r="Z120" s="143"/>
    </row>
    <row r="121" ht="13.5" customHeight="1">
      <c r="A121" s="143"/>
      <c r="B121" s="143"/>
      <c r="C121" s="143"/>
      <c r="D121" s="143"/>
      <c r="E121" s="143"/>
      <c r="F121" s="143"/>
      <c r="G121" s="143"/>
      <c r="H121" s="143"/>
      <c r="I121" s="143"/>
      <c r="J121" s="143"/>
      <c r="K121" s="143"/>
      <c r="L121" s="143"/>
      <c r="M121" s="143"/>
      <c r="N121" s="143"/>
      <c r="O121" s="143"/>
      <c r="P121" s="143"/>
      <c r="Q121" s="159"/>
      <c r="R121" s="159"/>
      <c r="S121" s="159"/>
      <c r="T121" s="160"/>
      <c r="U121" s="143"/>
      <c r="V121" s="30"/>
      <c r="W121" s="143"/>
      <c r="X121" s="143"/>
      <c r="Y121" s="143"/>
      <c r="Z121" s="143"/>
    </row>
    <row r="122" ht="13.5" customHeight="1">
      <c r="A122" s="143"/>
      <c r="B122" s="143"/>
      <c r="C122" s="143"/>
      <c r="D122" s="143"/>
      <c r="E122" s="143"/>
      <c r="F122" s="143"/>
      <c r="G122" s="143"/>
      <c r="H122" s="143"/>
      <c r="I122" s="143"/>
      <c r="J122" s="143"/>
      <c r="K122" s="143"/>
      <c r="L122" s="143"/>
      <c r="M122" s="143"/>
      <c r="N122" s="143"/>
      <c r="O122" s="143"/>
      <c r="P122" s="143"/>
      <c r="Q122" s="159"/>
      <c r="R122" s="159"/>
      <c r="S122" s="159"/>
      <c r="T122" s="160"/>
      <c r="U122" s="143"/>
      <c r="V122" s="30"/>
      <c r="W122" s="143"/>
      <c r="X122" s="143"/>
      <c r="Y122" s="143"/>
      <c r="Z122" s="143"/>
    </row>
    <row r="123" ht="13.5" customHeight="1">
      <c r="A123" s="143"/>
      <c r="B123" s="143"/>
      <c r="C123" s="143"/>
      <c r="D123" s="143"/>
      <c r="E123" s="143"/>
      <c r="F123" s="143"/>
      <c r="G123" s="143"/>
      <c r="H123" s="143"/>
      <c r="I123" s="143"/>
      <c r="J123" s="143"/>
      <c r="K123" s="143"/>
      <c r="L123" s="143"/>
      <c r="M123" s="143"/>
      <c r="N123" s="143"/>
      <c r="O123" s="143"/>
      <c r="P123" s="143"/>
      <c r="Q123" s="159"/>
      <c r="R123" s="159"/>
      <c r="S123" s="159"/>
      <c r="T123" s="160"/>
      <c r="U123" s="143"/>
      <c r="V123" s="30"/>
      <c r="W123" s="143"/>
      <c r="X123" s="143"/>
      <c r="Y123" s="143"/>
      <c r="Z123" s="143"/>
    </row>
    <row r="124" ht="13.5" customHeight="1">
      <c r="A124" s="143"/>
      <c r="B124" s="143"/>
      <c r="C124" s="143"/>
      <c r="D124" s="143"/>
      <c r="E124" s="143"/>
      <c r="F124" s="143"/>
      <c r="G124" s="143"/>
      <c r="H124" s="143"/>
      <c r="I124" s="143"/>
      <c r="J124" s="143"/>
      <c r="K124" s="143"/>
      <c r="L124" s="143"/>
      <c r="M124" s="143"/>
      <c r="N124" s="143"/>
      <c r="O124" s="143"/>
      <c r="P124" s="143"/>
      <c r="Q124" s="159"/>
      <c r="R124" s="159"/>
      <c r="S124" s="159"/>
      <c r="T124" s="160"/>
      <c r="U124" s="143"/>
      <c r="V124" s="30"/>
      <c r="W124" s="143"/>
      <c r="X124" s="143"/>
      <c r="Y124" s="143"/>
      <c r="Z124" s="143"/>
    </row>
    <row r="125" ht="13.5" customHeight="1">
      <c r="A125" s="143"/>
      <c r="B125" s="143"/>
      <c r="C125" s="143"/>
      <c r="D125" s="143"/>
      <c r="E125" s="143"/>
      <c r="F125" s="143"/>
      <c r="G125" s="143"/>
      <c r="H125" s="143"/>
      <c r="I125" s="143"/>
      <c r="J125" s="143"/>
      <c r="K125" s="143"/>
      <c r="L125" s="143"/>
      <c r="M125" s="143"/>
      <c r="N125" s="143"/>
      <c r="O125" s="143"/>
      <c r="P125" s="143"/>
      <c r="Q125" s="159"/>
      <c r="R125" s="159"/>
      <c r="S125" s="159"/>
      <c r="T125" s="160"/>
      <c r="U125" s="143"/>
      <c r="V125" s="30"/>
      <c r="W125" s="143"/>
      <c r="X125" s="143"/>
      <c r="Y125" s="143"/>
      <c r="Z125" s="143"/>
    </row>
    <row r="126" ht="13.5" customHeight="1">
      <c r="A126" s="143"/>
      <c r="B126" s="143"/>
      <c r="C126" s="143"/>
      <c r="D126" s="143"/>
      <c r="E126" s="143"/>
      <c r="F126" s="143"/>
      <c r="G126" s="143"/>
      <c r="H126" s="143"/>
      <c r="I126" s="143"/>
      <c r="J126" s="143"/>
      <c r="K126" s="143"/>
      <c r="L126" s="143"/>
      <c r="M126" s="143"/>
      <c r="N126" s="143"/>
      <c r="O126" s="143"/>
      <c r="P126" s="143"/>
      <c r="Q126" s="159"/>
      <c r="R126" s="159"/>
      <c r="S126" s="159"/>
      <c r="T126" s="160"/>
      <c r="U126" s="143"/>
      <c r="V126" s="30"/>
      <c r="W126" s="143"/>
      <c r="X126" s="143"/>
      <c r="Y126" s="143"/>
      <c r="Z126" s="143"/>
    </row>
    <row r="127" ht="13.5" customHeight="1">
      <c r="A127" s="143"/>
      <c r="B127" s="143"/>
      <c r="C127" s="143"/>
      <c r="D127" s="143"/>
      <c r="E127" s="143"/>
      <c r="F127" s="143"/>
      <c r="G127" s="143"/>
      <c r="H127" s="143"/>
      <c r="I127" s="143"/>
      <c r="J127" s="143"/>
      <c r="K127" s="143"/>
      <c r="L127" s="143"/>
      <c r="M127" s="143"/>
      <c r="N127" s="143"/>
      <c r="O127" s="143"/>
      <c r="P127" s="143"/>
      <c r="Q127" s="159"/>
      <c r="R127" s="159"/>
      <c r="S127" s="159"/>
      <c r="T127" s="160"/>
      <c r="U127" s="143"/>
      <c r="V127" s="30"/>
      <c r="W127" s="143"/>
      <c r="X127" s="143"/>
      <c r="Y127" s="143"/>
      <c r="Z127" s="143"/>
    </row>
    <row r="128" ht="13.5" customHeight="1">
      <c r="A128" s="143"/>
      <c r="B128" s="143"/>
      <c r="C128" s="143"/>
      <c r="D128" s="143"/>
      <c r="E128" s="143"/>
      <c r="F128" s="143"/>
      <c r="G128" s="143"/>
      <c r="H128" s="143"/>
      <c r="I128" s="143"/>
      <c r="J128" s="143"/>
      <c r="K128" s="143"/>
      <c r="L128" s="143"/>
      <c r="M128" s="143"/>
      <c r="N128" s="143"/>
      <c r="O128" s="143"/>
      <c r="P128" s="143"/>
      <c r="Q128" s="159"/>
      <c r="R128" s="159"/>
      <c r="S128" s="159"/>
      <c r="T128" s="160"/>
      <c r="U128" s="143"/>
      <c r="V128" s="30"/>
      <c r="W128" s="143"/>
      <c r="X128" s="143"/>
      <c r="Y128" s="143"/>
      <c r="Z128" s="143"/>
    </row>
    <row r="129" ht="13.5" customHeight="1">
      <c r="A129" s="143"/>
      <c r="B129" s="143"/>
      <c r="C129" s="143"/>
      <c r="D129" s="143"/>
      <c r="E129" s="143"/>
      <c r="F129" s="143"/>
      <c r="G129" s="143"/>
      <c r="H129" s="143"/>
      <c r="I129" s="143"/>
      <c r="J129" s="143"/>
      <c r="K129" s="143"/>
      <c r="L129" s="143"/>
      <c r="M129" s="143"/>
      <c r="N129" s="143"/>
      <c r="O129" s="143"/>
      <c r="P129" s="143"/>
      <c r="Q129" s="159"/>
      <c r="R129" s="159"/>
      <c r="S129" s="159"/>
      <c r="T129" s="160"/>
      <c r="U129" s="143"/>
      <c r="V129" s="30"/>
      <c r="W129" s="143"/>
      <c r="X129" s="143"/>
      <c r="Y129" s="143"/>
      <c r="Z129" s="143"/>
    </row>
    <row r="130" ht="13.5" customHeight="1">
      <c r="A130" s="143"/>
      <c r="B130" s="143"/>
      <c r="C130" s="143"/>
      <c r="D130" s="143"/>
      <c r="E130" s="143"/>
      <c r="F130" s="143"/>
      <c r="G130" s="143"/>
      <c r="H130" s="143"/>
      <c r="I130" s="143"/>
      <c r="J130" s="143"/>
      <c r="K130" s="143"/>
      <c r="L130" s="143"/>
      <c r="M130" s="143"/>
      <c r="N130" s="143"/>
      <c r="O130" s="143"/>
      <c r="P130" s="143"/>
      <c r="Q130" s="159"/>
      <c r="R130" s="159"/>
      <c r="S130" s="159"/>
      <c r="T130" s="160"/>
      <c r="U130" s="143"/>
      <c r="V130" s="30"/>
      <c r="W130" s="143"/>
      <c r="X130" s="143"/>
      <c r="Y130" s="143"/>
      <c r="Z130" s="143"/>
    </row>
    <row r="131" ht="13.5" customHeight="1">
      <c r="A131" s="143"/>
      <c r="B131" s="143"/>
      <c r="C131" s="143"/>
      <c r="D131" s="143"/>
      <c r="E131" s="143"/>
      <c r="F131" s="143"/>
      <c r="G131" s="143"/>
      <c r="H131" s="143"/>
      <c r="I131" s="143"/>
      <c r="J131" s="143"/>
      <c r="K131" s="143"/>
      <c r="L131" s="143"/>
      <c r="M131" s="143"/>
      <c r="N131" s="143"/>
      <c r="O131" s="143"/>
      <c r="P131" s="143"/>
      <c r="Q131" s="159"/>
      <c r="R131" s="159"/>
      <c r="S131" s="159"/>
      <c r="T131" s="160"/>
      <c r="U131" s="143"/>
      <c r="V131" s="30"/>
      <c r="W131" s="143"/>
      <c r="X131" s="143"/>
      <c r="Y131" s="143"/>
      <c r="Z131" s="143"/>
    </row>
    <row r="132" ht="13.5" customHeight="1">
      <c r="A132" s="143"/>
      <c r="B132" s="143"/>
      <c r="C132" s="143"/>
      <c r="D132" s="143"/>
      <c r="E132" s="143"/>
      <c r="F132" s="143"/>
      <c r="G132" s="143"/>
      <c r="H132" s="143"/>
      <c r="I132" s="143"/>
      <c r="J132" s="143"/>
      <c r="K132" s="143"/>
      <c r="L132" s="143"/>
      <c r="M132" s="143"/>
      <c r="N132" s="143"/>
      <c r="O132" s="143"/>
      <c r="P132" s="143"/>
      <c r="Q132" s="159"/>
      <c r="R132" s="159"/>
      <c r="S132" s="159"/>
      <c r="T132" s="160"/>
      <c r="U132" s="143"/>
      <c r="V132" s="30"/>
      <c r="W132" s="143"/>
      <c r="X132" s="143"/>
      <c r="Y132" s="143"/>
      <c r="Z132" s="143"/>
    </row>
    <row r="133" ht="13.5" customHeight="1">
      <c r="A133" s="143"/>
      <c r="B133" s="143"/>
      <c r="C133" s="143"/>
      <c r="D133" s="143"/>
      <c r="E133" s="143"/>
      <c r="F133" s="143"/>
      <c r="G133" s="143"/>
      <c r="H133" s="143"/>
      <c r="I133" s="143"/>
      <c r="J133" s="143"/>
      <c r="K133" s="143"/>
      <c r="L133" s="143"/>
      <c r="M133" s="143"/>
      <c r="N133" s="143"/>
      <c r="O133" s="143"/>
      <c r="P133" s="143"/>
      <c r="Q133" s="159"/>
      <c r="R133" s="159"/>
      <c r="S133" s="159"/>
      <c r="T133" s="160"/>
      <c r="U133" s="143"/>
      <c r="V133" s="30"/>
      <c r="W133" s="143"/>
      <c r="X133" s="143"/>
      <c r="Y133" s="143"/>
      <c r="Z133" s="143"/>
    </row>
    <row r="134" ht="13.5" customHeight="1">
      <c r="A134" s="143"/>
      <c r="B134" s="143"/>
      <c r="C134" s="143"/>
      <c r="D134" s="143"/>
      <c r="E134" s="143"/>
      <c r="F134" s="143"/>
      <c r="G134" s="143"/>
      <c r="H134" s="143"/>
      <c r="I134" s="143"/>
      <c r="J134" s="143"/>
      <c r="K134" s="143"/>
      <c r="L134" s="143"/>
      <c r="M134" s="143"/>
      <c r="N134" s="143"/>
      <c r="O134" s="143"/>
      <c r="P134" s="143"/>
      <c r="Q134" s="159"/>
      <c r="R134" s="159"/>
      <c r="S134" s="159"/>
      <c r="T134" s="160"/>
      <c r="U134" s="143"/>
      <c r="V134" s="30"/>
      <c r="W134" s="143"/>
      <c r="X134" s="143"/>
      <c r="Y134" s="143"/>
      <c r="Z134" s="143"/>
    </row>
    <row r="135" ht="13.5" customHeight="1">
      <c r="A135" s="143"/>
      <c r="B135" s="143"/>
      <c r="C135" s="143"/>
      <c r="D135" s="143"/>
      <c r="E135" s="143"/>
      <c r="F135" s="143"/>
      <c r="G135" s="143"/>
      <c r="H135" s="143"/>
      <c r="I135" s="143"/>
      <c r="J135" s="143"/>
      <c r="K135" s="143"/>
      <c r="L135" s="143"/>
      <c r="M135" s="143"/>
      <c r="N135" s="143"/>
      <c r="O135" s="143"/>
      <c r="P135" s="143"/>
      <c r="Q135" s="159"/>
      <c r="R135" s="159"/>
      <c r="S135" s="159"/>
      <c r="T135" s="160"/>
      <c r="U135" s="143"/>
      <c r="V135" s="30"/>
      <c r="W135" s="143"/>
      <c r="X135" s="143"/>
      <c r="Y135" s="143"/>
      <c r="Z135" s="143"/>
    </row>
    <row r="136" ht="13.5" customHeight="1">
      <c r="A136" s="143"/>
      <c r="B136" s="143"/>
      <c r="C136" s="143"/>
      <c r="D136" s="143"/>
      <c r="E136" s="143"/>
      <c r="F136" s="143"/>
      <c r="G136" s="143"/>
      <c r="H136" s="143"/>
      <c r="I136" s="143"/>
      <c r="J136" s="143"/>
      <c r="K136" s="143"/>
      <c r="L136" s="143"/>
      <c r="M136" s="143"/>
      <c r="N136" s="143"/>
      <c r="O136" s="143"/>
      <c r="P136" s="143"/>
      <c r="Q136" s="159"/>
      <c r="R136" s="159"/>
      <c r="S136" s="159"/>
      <c r="T136" s="160"/>
      <c r="U136" s="143"/>
      <c r="V136" s="30"/>
      <c r="W136" s="143"/>
      <c r="X136" s="143"/>
      <c r="Y136" s="143"/>
      <c r="Z136" s="143"/>
    </row>
    <row r="137" ht="13.5" customHeight="1">
      <c r="A137" s="143"/>
      <c r="B137" s="143"/>
      <c r="C137" s="143"/>
      <c r="D137" s="143"/>
      <c r="E137" s="143"/>
      <c r="F137" s="143"/>
      <c r="G137" s="143"/>
      <c r="H137" s="143"/>
      <c r="I137" s="143"/>
      <c r="J137" s="143"/>
      <c r="K137" s="143"/>
      <c r="L137" s="143"/>
      <c r="M137" s="143"/>
      <c r="N137" s="143"/>
      <c r="O137" s="143"/>
      <c r="P137" s="143"/>
      <c r="Q137" s="159"/>
      <c r="R137" s="159"/>
      <c r="S137" s="159"/>
      <c r="T137" s="160"/>
      <c r="U137" s="143"/>
      <c r="V137" s="30"/>
      <c r="W137" s="143"/>
      <c r="X137" s="143"/>
      <c r="Y137" s="143"/>
      <c r="Z137" s="143"/>
    </row>
    <row r="138" ht="13.5" customHeight="1">
      <c r="A138" s="143"/>
      <c r="B138" s="143"/>
      <c r="C138" s="143"/>
      <c r="D138" s="143"/>
      <c r="E138" s="143"/>
      <c r="F138" s="143"/>
      <c r="G138" s="143"/>
      <c r="H138" s="143"/>
      <c r="I138" s="143"/>
      <c r="J138" s="143"/>
      <c r="K138" s="143"/>
      <c r="L138" s="143"/>
      <c r="M138" s="143"/>
      <c r="N138" s="143"/>
      <c r="O138" s="143"/>
      <c r="P138" s="143"/>
      <c r="Q138" s="159"/>
      <c r="R138" s="159"/>
      <c r="S138" s="159"/>
      <c r="T138" s="160"/>
      <c r="U138" s="143"/>
      <c r="V138" s="30"/>
      <c r="W138" s="143"/>
      <c r="X138" s="143"/>
      <c r="Y138" s="143"/>
      <c r="Z138" s="143"/>
    </row>
    <row r="139" ht="13.5" customHeight="1">
      <c r="A139" s="143"/>
      <c r="B139" s="143"/>
      <c r="C139" s="143"/>
      <c r="D139" s="143"/>
      <c r="E139" s="143"/>
      <c r="F139" s="143"/>
      <c r="G139" s="143"/>
      <c r="H139" s="143"/>
      <c r="I139" s="143"/>
      <c r="J139" s="143"/>
      <c r="K139" s="143"/>
      <c r="L139" s="143"/>
      <c r="M139" s="143"/>
      <c r="N139" s="143"/>
      <c r="O139" s="143"/>
      <c r="P139" s="143"/>
      <c r="Q139" s="159"/>
      <c r="R139" s="159"/>
      <c r="S139" s="159"/>
      <c r="T139" s="160"/>
      <c r="U139" s="143"/>
      <c r="V139" s="30"/>
      <c r="W139" s="143"/>
      <c r="X139" s="143"/>
      <c r="Y139" s="143"/>
      <c r="Z139" s="143"/>
    </row>
    <row r="140" ht="13.5" customHeight="1">
      <c r="A140" s="143"/>
      <c r="B140" s="143"/>
      <c r="C140" s="143"/>
      <c r="D140" s="143"/>
      <c r="E140" s="143"/>
      <c r="F140" s="143"/>
      <c r="G140" s="143"/>
      <c r="H140" s="143"/>
      <c r="I140" s="143"/>
      <c r="J140" s="143"/>
      <c r="K140" s="143"/>
      <c r="L140" s="143"/>
      <c r="M140" s="143"/>
      <c r="N140" s="143"/>
      <c r="O140" s="143"/>
      <c r="P140" s="143"/>
      <c r="Q140" s="159"/>
      <c r="R140" s="159"/>
      <c r="S140" s="159"/>
      <c r="T140" s="160"/>
      <c r="U140" s="143"/>
      <c r="V140" s="30"/>
      <c r="W140" s="143"/>
      <c r="X140" s="143"/>
      <c r="Y140" s="143"/>
      <c r="Z140" s="143"/>
    </row>
    <row r="141" ht="13.5" customHeight="1">
      <c r="A141" s="143"/>
      <c r="B141" s="143"/>
      <c r="C141" s="143"/>
      <c r="D141" s="143"/>
      <c r="E141" s="143"/>
      <c r="F141" s="143"/>
      <c r="G141" s="143"/>
      <c r="H141" s="143"/>
      <c r="I141" s="143"/>
      <c r="J141" s="143"/>
      <c r="K141" s="143"/>
      <c r="L141" s="143"/>
      <c r="M141" s="143"/>
      <c r="N141" s="143"/>
      <c r="O141" s="143"/>
      <c r="P141" s="143"/>
      <c r="Q141" s="159"/>
      <c r="R141" s="159"/>
      <c r="S141" s="159"/>
      <c r="T141" s="160"/>
      <c r="U141" s="143"/>
      <c r="V141" s="30"/>
      <c r="W141" s="143"/>
      <c r="X141" s="143"/>
      <c r="Y141" s="143"/>
      <c r="Z141" s="143"/>
    </row>
    <row r="142" ht="13.5" customHeight="1">
      <c r="A142" s="143"/>
      <c r="B142" s="143"/>
      <c r="C142" s="143"/>
      <c r="D142" s="143"/>
      <c r="E142" s="143"/>
      <c r="F142" s="143"/>
      <c r="G142" s="143"/>
      <c r="H142" s="143"/>
      <c r="I142" s="143"/>
      <c r="J142" s="143"/>
      <c r="K142" s="143"/>
      <c r="L142" s="143"/>
      <c r="M142" s="143"/>
      <c r="N142" s="143"/>
      <c r="O142" s="143"/>
      <c r="P142" s="143"/>
      <c r="Q142" s="159"/>
      <c r="R142" s="159"/>
      <c r="S142" s="159"/>
      <c r="T142" s="160"/>
      <c r="U142" s="143"/>
      <c r="V142" s="30"/>
      <c r="W142" s="143"/>
      <c r="X142" s="143"/>
      <c r="Y142" s="143"/>
      <c r="Z142" s="143"/>
    </row>
    <row r="143" ht="13.5" customHeight="1">
      <c r="A143" s="143"/>
      <c r="B143" s="143"/>
      <c r="C143" s="143"/>
      <c r="D143" s="143"/>
      <c r="E143" s="143"/>
      <c r="F143" s="143"/>
      <c r="G143" s="143"/>
      <c r="H143" s="143"/>
      <c r="I143" s="143"/>
      <c r="J143" s="143"/>
      <c r="K143" s="143"/>
      <c r="L143" s="143"/>
      <c r="M143" s="143"/>
      <c r="N143" s="143"/>
      <c r="O143" s="143"/>
      <c r="P143" s="143"/>
      <c r="Q143" s="159"/>
      <c r="R143" s="159"/>
      <c r="S143" s="159"/>
      <c r="T143" s="160"/>
      <c r="U143" s="143"/>
      <c r="V143" s="30"/>
      <c r="W143" s="143"/>
      <c r="X143" s="143"/>
      <c r="Y143" s="143"/>
      <c r="Z143" s="143"/>
    </row>
    <row r="144" ht="13.5" customHeight="1">
      <c r="A144" s="143"/>
      <c r="B144" s="143"/>
      <c r="C144" s="143"/>
      <c r="D144" s="143"/>
      <c r="E144" s="143"/>
      <c r="F144" s="143"/>
      <c r="G144" s="143"/>
      <c r="H144" s="143"/>
      <c r="I144" s="143"/>
      <c r="J144" s="143"/>
      <c r="K144" s="143"/>
      <c r="L144" s="143"/>
      <c r="M144" s="143"/>
      <c r="N144" s="143"/>
      <c r="O144" s="143"/>
      <c r="P144" s="143"/>
      <c r="Q144" s="159"/>
      <c r="R144" s="159"/>
      <c r="S144" s="159"/>
      <c r="T144" s="160"/>
      <c r="U144" s="143"/>
      <c r="V144" s="30"/>
      <c r="W144" s="143"/>
      <c r="X144" s="143"/>
      <c r="Y144" s="143"/>
      <c r="Z144" s="143"/>
    </row>
    <row r="145" ht="13.5" customHeight="1">
      <c r="A145" s="143"/>
      <c r="B145" s="143"/>
      <c r="C145" s="143"/>
      <c r="D145" s="143"/>
      <c r="E145" s="143"/>
      <c r="F145" s="143"/>
      <c r="G145" s="143"/>
      <c r="H145" s="143"/>
      <c r="I145" s="143"/>
      <c r="J145" s="143"/>
      <c r="K145" s="143"/>
      <c r="L145" s="143"/>
      <c r="M145" s="143"/>
      <c r="N145" s="143"/>
      <c r="O145" s="143"/>
      <c r="P145" s="143"/>
      <c r="Q145" s="159"/>
      <c r="R145" s="159"/>
      <c r="S145" s="159"/>
      <c r="T145" s="160"/>
      <c r="U145" s="143"/>
      <c r="V145" s="30"/>
      <c r="W145" s="143"/>
      <c r="X145" s="143"/>
      <c r="Y145" s="143"/>
      <c r="Z145" s="143"/>
    </row>
    <row r="146" ht="13.5" customHeight="1">
      <c r="A146" s="143"/>
      <c r="B146" s="143"/>
      <c r="C146" s="143"/>
      <c r="D146" s="143"/>
      <c r="E146" s="143"/>
      <c r="F146" s="143"/>
      <c r="G146" s="143"/>
      <c r="H146" s="143"/>
      <c r="I146" s="143"/>
      <c r="J146" s="143"/>
      <c r="K146" s="143"/>
      <c r="L146" s="143"/>
      <c r="M146" s="143"/>
      <c r="N146" s="143"/>
      <c r="O146" s="143"/>
      <c r="P146" s="143"/>
      <c r="Q146" s="159"/>
      <c r="R146" s="159"/>
      <c r="S146" s="159"/>
      <c r="T146" s="160"/>
      <c r="U146" s="143"/>
      <c r="V146" s="30"/>
      <c r="W146" s="143"/>
      <c r="X146" s="143"/>
      <c r="Y146" s="143"/>
      <c r="Z146" s="143"/>
    </row>
    <row r="147" ht="13.5" customHeight="1">
      <c r="A147" s="143"/>
      <c r="B147" s="143"/>
      <c r="C147" s="143"/>
      <c r="D147" s="143"/>
      <c r="E147" s="143"/>
      <c r="F147" s="143"/>
      <c r="G147" s="143"/>
      <c r="H147" s="143"/>
      <c r="I147" s="143"/>
      <c r="J147" s="143"/>
      <c r="K147" s="143"/>
      <c r="L147" s="143"/>
      <c r="M147" s="143"/>
      <c r="N147" s="143"/>
      <c r="O147" s="143"/>
      <c r="P147" s="143"/>
      <c r="Q147" s="159"/>
      <c r="R147" s="159"/>
      <c r="S147" s="159"/>
      <c r="T147" s="160"/>
      <c r="U147" s="143"/>
      <c r="V147" s="30"/>
      <c r="W147" s="143"/>
      <c r="X147" s="143"/>
      <c r="Y147" s="143"/>
      <c r="Z147" s="143"/>
    </row>
    <row r="148" ht="13.5" customHeight="1">
      <c r="A148" s="143"/>
      <c r="B148" s="143"/>
      <c r="C148" s="143"/>
      <c r="D148" s="143"/>
      <c r="E148" s="143"/>
      <c r="F148" s="143"/>
      <c r="G148" s="143"/>
      <c r="H148" s="143"/>
      <c r="I148" s="143"/>
      <c r="J148" s="143"/>
      <c r="K148" s="143"/>
      <c r="L148" s="143"/>
      <c r="M148" s="143"/>
      <c r="N148" s="143"/>
      <c r="O148" s="143"/>
      <c r="P148" s="143"/>
      <c r="Q148" s="159"/>
      <c r="R148" s="159"/>
      <c r="S148" s="159"/>
      <c r="T148" s="160"/>
      <c r="U148" s="143"/>
      <c r="V148" s="30"/>
      <c r="W148" s="143"/>
      <c r="X148" s="143"/>
      <c r="Y148" s="143"/>
      <c r="Z148" s="143"/>
    </row>
    <row r="149" ht="13.5" customHeight="1">
      <c r="A149" s="143"/>
      <c r="B149" s="143"/>
      <c r="C149" s="143"/>
      <c r="D149" s="143"/>
      <c r="E149" s="143"/>
      <c r="F149" s="143"/>
      <c r="G149" s="143"/>
      <c r="H149" s="143"/>
      <c r="I149" s="143"/>
      <c r="J149" s="143"/>
      <c r="K149" s="143"/>
      <c r="L149" s="143"/>
      <c r="M149" s="143"/>
      <c r="N149" s="143"/>
      <c r="O149" s="143"/>
      <c r="P149" s="143"/>
      <c r="Q149" s="159"/>
      <c r="R149" s="159"/>
      <c r="S149" s="159"/>
      <c r="T149" s="160"/>
      <c r="U149" s="143"/>
      <c r="V149" s="30"/>
      <c r="W149" s="143"/>
      <c r="X149" s="143"/>
      <c r="Y149" s="143"/>
      <c r="Z149" s="143"/>
    </row>
    <row r="150" ht="13.5" customHeight="1">
      <c r="A150" s="143"/>
      <c r="B150" s="143"/>
      <c r="C150" s="143"/>
      <c r="D150" s="143"/>
      <c r="E150" s="143"/>
      <c r="F150" s="143"/>
      <c r="G150" s="143"/>
      <c r="H150" s="143"/>
      <c r="I150" s="143"/>
      <c r="J150" s="143"/>
      <c r="K150" s="143"/>
      <c r="L150" s="143"/>
      <c r="M150" s="143"/>
      <c r="N150" s="143"/>
      <c r="O150" s="143"/>
      <c r="P150" s="143"/>
      <c r="Q150" s="159"/>
      <c r="R150" s="159"/>
      <c r="S150" s="159"/>
      <c r="T150" s="160"/>
      <c r="U150" s="143"/>
      <c r="V150" s="30"/>
      <c r="W150" s="143"/>
      <c r="X150" s="143"/>
      <c r="Y150" s="143"/>
      <c r="Z150" s="143"/>
    </row>
    <row r="151" ht="13.5" customHeight="1">
      <c r="A151" s="143"/>
      <c r="B151" s="143"/>
      <c r="C151" s="143"/>
      <c r="D151" s="143"/>
      <c r="E151" s="143"/>
      <c r="F151" s="143"/>
      <c r="G151" s="143"/>
      <c r="H151" s="143"/>
      <c r="I151" s="143"/>
      <c r="J151" s="143"/>
      <c r="K151" s="143"/>
      <c r="L151" s="143"/>
      <c r="M151" s="143"/>
      <c r="N151" s="143"/>
      <c r="O151" s="143"/>
      <c r="P151" s="143"/>
      <c r="Q151" s="159"/>
      <c r="R151" s="159"/>
      <c r="S151" s="159"/>
      <c r="T151" s="160"/>
      <c r="U151" s="143"/>
      <c r="V151" s="30"/>
      <c r="W151" s="143"/>
      <c r="X151" s="143"/>
      <c r="Y151" s="143"/>
      <c r="Z151" s="143"/>
    </row>
    <row r="152" ht="13.5" customHeight="1">
      <c r="A152" s="143"/>
      <c r="B152" s="143"/>
      <c r="C152" s="143"/>
      <c r="D152" s="143"/>
      <c r="E152" s="143"/>
      <c r="F152" s="143"/>
      <c r="G152" s="143"/>
      <c r="H152" s="143"/>
      <c r="I152" s="143"/>
      <c r="J152" s="143"/>
      <c r="K152" s="143"/>
      <c r="L152" s="143"/>
      <c r="M152" s="143"/>
      <c r="N152" s="143"/>
      <c r="O152" s="143"/>
      <c r="P152" s="143"/>
      <c r="Q152" s="159"/>
      <c r="R152" s="159"/>
      <c r="S152" s="159"/>
      <c r="T152" s="160"/>
      <c r="U152" s="143"/>
      <c r="V152" s="30"/>
      <c r="W152" s="143"/>
      <c r="X152" s="143"/>
      <c r="Y152" s="143"/>
      <c r="Z152" s="143"/>
    </row>
    <row r="153" ht="13.5" customHeight="1">
      <c r="A153" s="143"/>
      <c r="B153" s="143"/>
      <c r="C153" s="143"/>
      <c r="D153" s="143"/>
      <c r="E153" s="143"/>
      <c r="F153" s="143"/>
      <c r="G153" s="143"/>
      <c r="H153" s="143"/>
      <c r="I153" s="143"/>
      <c r="J153" s="143"/>
      <c r="K153" s="143"/>
      <c r="L153" s="143"/>
      <c r="M153" s="143"/>
      <c r="N153" s="143"/>
      <c r="O153" s="143"/>
      <c r="P153" s="143"/>
      <c r="Q153" s="159"/>
      <c r="R153" s="159"/>
      <c r="S153" s="159"/>
      <c r="T153" s="160"/>
      <c r="U153" s="143"/>
      <c r="V153" s="30"/>
      <c r="W153" s="143"/>
      <c r="X153" s="143"/>
      <c r="Y153" s="143"/>
      <c r="Z153" s="143"/>
    </row>
    <row r="154" ht="13.5" customHeight="1">
      <c r="A154" s="143"/>
      <c r="B154" s="143"/>
      <c r="C154" s="143"/>
      <c r="D154" s="143"/>
      <c r="E154" s="143"/>
      <c r="F154" s="143"/>
      <c r="G154" s="143"/>
      <c r="H154" s="143"/>
      <c r="I154" s="143"/>
      <c r="J154" s="143"/>
      <c r="K154" s="143"/>
      <c r="L154" s="143"/>
      <c r="M154" s="143"/>
      <c r="N154" s="143"/>
      <c r="O154" s="143"/>
      <c r="P154" s="143"/>
      <c r="Q154" s="159"/>
      <c r="R154" s="159"/>
      <c r="S154" s="159"/>
      <c r="T154" s="160"/>
      <c r="U154" s="143"/>
      <c r="V154" s="30"/>
      <c r="W154" s="143"/>
      <c r="X154" s="143"/>
      <c r="Y154" s="143"/>
      <c r="Z154" s="143"/>
    </row>
    <row r="155" ht="13.5" customHeight="1">
      <c r="A155" s="143"/>
      <c r="B155" s="143"/>
      <c r="C155" s="143"/>
      <c r="D155" s="143"/>
      <c r="E155" s="143"/>
      <c r="F155" s="143"/>
      <c r="G155" s="143"/>
      <c r="H155" s="143"/>
      <c r="I155" s="143"/>
      <c r="J155" s="143"/>
      <c r="K155" s="143"/>
      <c r="L155" s="143"/>
      <c r="M155" s="143"/>
      <c r="N155" s="143"/>
      <c r="O155" s="143"/>
      <c r="P155" s="143"/>
      <c r="Q155" s="159"/>
      <c r="R155" s="159"/>
      <c r="S155" s="159"/>
      <c r="T155" s="160"/>
      <c r="U155" s="143"/>
      <c r="V155" s="30"/>
      <c r="W155" s="143"/>
      <c r="X155" s="143"/>
      <c r="Y155" s="143"/>
      <c r="Z155" s="143"/>
    </row>
    <row r="156" ht="13.5" customHeight="1">
      <c r="A156" s="143"/>
      <c r="B156" s="143"/>
      <c r="C156" s="143"/>
      <c r="D156" s="143"/>
      <c r="E156" s="143"/>
      <c r="F156" s="143"/>
      <c r="G156" s="143"/>
      <c r="H156" s="143"/>
      <c r="I156" s="143"/>
      <c r="J156" s="143"/>
      <c r="K156" s="143"/>
      <c r="L156" s="143"/>
      <c r="M156" s="143"/>
      <c r="N156" s="143"/>
      <c r="O156" s="143"/>
      <c r="P156" s="143"/>
      <c r="Q156" s="159"/>
      <c r="R156" s="159"/>
      <c r="S156" s="159"/>
      <c r="T156" s="160"/>
      <c r="U156" s="143"/>
      <c r="V156" s="30"/>
      <c r="W156" s="143"/>
      <c r="X156" s="143"/>
      <c r="Y156" s="143"/>
      <c r="Z156" s="143"/>
    </row>
    <row r="157" ht="13.5" customHeight="1">
      <c r="A157" s="143"/>
      <c r="B157" s="143"/>
      <c r="C157" s="143"/>
      <c r="D157" s="143"/>
      <c r="E157" s="143"/>
      <c r="F157" s="143"/>
      <c r="G157" s="143"/>
      <c r="H157" s="143"/>
      <c r="I157" s="143"/>
      <c r="J157" s="143"/>
      <c r="K157" s="143"/>
      <c r="L157" s="143"/>
      <c r="M157" s="143"/>
      <c r="N157" s="143"/>
      <c r="O157" s="143"/>
      <c r="P157" s="143"/>
      <c r="Q157" s="159"/>
      <c r="R157" s="159"/>
      <c r="S157" s="159"/>
      <c r="T157" s="160"/>
      <c r="U157" s="143"/>
      <c r="V157" s="30"/>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59"/>
      <c r="R158" s="159"/>
      <c r="S158" s="159"/>
      <c r="T158" s="160"/>
      <c r="U158" s="143"/>
      <c r="V158" s="30"/>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59"/>
      <c r="R159" s="159"/>
      <c r="S159" s="159"/>
      <c r="T159" s="160"/>
      <c r="U159" s="143"/>
      <c r="V159" s="30"/>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59"/>
      <c r="R160" s="159"/>
      <c r="S160" s="159"/>
      <c r="T160" s="160"/>
      <c r="U160" s="143"/>
      <c r="V160" s="30"/>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59"/>
      <c r="R161" s="159"/>
      <c r="S161" s="159"/>
      <c r="T161" s="160"/>
      <c r="U161" s="143"/>
      <c r="V161" s="30"/>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59"/>
      <c r="R162" s="159"/>
      <c r="S162" s="159"/>
      <c r="T162" s="160"/>
      <c r="U162" s="143"/>
      <c r="V162" s="30"/>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59"/>
      <c r="R163" s="159"/>
      <c r="S163" s="159"/>
      <c r="T163" s="160"/>
      <c r="U163" s="143"/>
      <c r="V163" s="30"/>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59"/>
      <c r="R164" s="159"/>
      <c r="S164" s="159"/>
      <c r="T164" s="160"/>
      <c r="U164" s="143"/>
      <c r="V164" s="30"/>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59"/>
      <c r="R165" s="159"/>
      <c r="S165" s="159"/>
      <c r="T165" s="160"/>
      <c r="U165" s="143"/>
      <c r="V165" s="30"/>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59"/>
      <c r="R166" s="159"/>
      <c r="S166" s="159"/>
      <c r="T166" s="160"/>
      <c r="U166" s="143"/>
      <c r="V166" s="30"/>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59"/>
      <c r="R167" s="159"/>
      <c r="S167" s="159"/>
      <c r="T167" s="160"/>
      <c r="U167" s="143"/>
      <c r="V167" s="30"/>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59"/>
      <c r="R168" s="159"/>
      <c r="S168" s="159"/>
      <c r="T168" s="160"/>
      <c r="U168" s="143"/>
      <c r="V168" s="30"/>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59"/>
      <c r="R169" s="159"/>
      <c r="S169" s="159"/>
      <c r="T169" s="160"/>
      <c r="U169" s="143"/>
      <c r="V169" s="30"/>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59"/>
      <c r="R170" s="159"/>
      <c r="S170" s="159"/>
      <c r="T170" s="160"/>
      <c r="U170" s="143"/>
      <c r="V170" s="30"/>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59"/>
      <c r="R171" s="159"/>
      <c r="S171" s="159"/>
      <c r="T171" s="160"/>
      <c r="U171" s="143"/>
      <c r="V171" s="30"/>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59"/>
      <c r="R172" s="159"/>
      <c r="S172" s="159"/>
      <c r="T172" s="160"/>
      <c r="U172" s="143"/>
      <c r="V172" s="30"/>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59"/>
      <c r="R173" s="159"/>
      <c r="S173" s="159"/>
      <c r="T173" s="160"/>
      <c r="U173" s="143"/>
      <c r="V173" s="30"/>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59"/>
      <c r="R174" s="159"/>
      <c r="S174" s="159"/>
      <c r="T174" s="160"/>
      <c r="U174" s="143"/>
      <c r="V174" s="30"/>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59"/>
      <c r="R175" s="159"/>
      <c r="S175" s="159"/>
      <c r="T175" s="160"/>
      <c r="U175" s="143"/>
      <c r="V175" s="30"/>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59"/>
      <c r="R176" s="159"/>
      <c r="S176" s="159"/>
      <c r="T176" s="160"/>
      <c r="U176" s="143"/>
      <c r="V176" s="30"/>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59"/>
      <c r="R177" s="159"/>
      <c r="S177" s="159"/>
      <c r="T177" s="160"/>
      <c r="U177" s="143"/>
      <c r="V177" s="30"/>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59"/>
      <c r="R178" s="159"/>
      <c r="S178" s="159"/>
      <c r="T178" s="160"/>
      <c r="U178" s="143"/>
      <c r="V178" s="30"/>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59"/>
      <c r="R179" s="159"/>
      <c r="S179" s="159"/>
      <c r="T179" s="160"/>
      <c r="U179" s="143"/>
      <c r="V179" s="30"/>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59"/>
      <c r="R180" s="159"/>
      <c r="S180" s="159"/>
      <c r="T180" s="160"/>
      <c r="U180" s="143"/>
      <c r="V180" s="30"/>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59"/>
      <c r="R181" s="159"/>
      <c r="S181" s="159"/>
      <c r="T181" s="160"/>
      <c r="U181" s="143"/>
      <c r="V181" s="30"/>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59"/>
      <c r="R182" s="159"/>
      <c r="S182" s="159"/>
      <c r="T182" s="160"/>
      <c r="U182" s="143"/>
      <c r="V182" s="30"/>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59"/>
      <c r="R183" s="159"/>
      <c r="S183" s="159"/>
      <c r="T183" s="160"/>
      <c r="U183" s="143"/>
      <c r="V183" s="30"/>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59"/>
      <c r="R184" s="159"/>
      <c r="S184" s="159"/>
      <c r="T184" s="160"/>
      <c r="U184" s="143"/>
      <c r="V184" s="30"/>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59"/>
      <c r="R185" s="159"/>
      <c r="S185" s="159"/>
      <c r="T185" s="160"/>
      <c r="U185" s="143"/>
      <c r="V185" s="30"/>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59"/>
      <c r="R186" s="159"/>
      <c r="S186" s="159"/>
      <c r="T186" s="160"/>
      <c r="U186" s="143"/>
      <c r="V186" s="30"/>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59"/>
      <c r="R187" s="159"/>
      <c r="S187" s="159"/>
      <c r="T187" s="160"/>
      <c r="U187" s="143"/>
      <c r="V187" s="30"/>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59"/>
      <c r="R188" s="159"/>
      <c r="S188" s="159"/>
      <c r="T188" s="160"/>
      <c r="U188" s="143"/>
      <c r="V188" s="30"/>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59"/>
      <c r="R189" s="159"/>
      <c r="S189" s="159"/>
      <c r="T189" s="160"/>
      <c r="U189" s="143"/>
      <c r="V189" s="30"/>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59"/>
      <c r="R190" s="159"/>
      <c r="S190" s="159"/>
      <c r="T190" s="160"/>
      <c r="U190" s="143"/>
      <c r="V190" s="30"/>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59"/>
      <c r="R191" s="159"/>
      <c r="S191" s="159"/>
      <c r="T191" s="160"/>
      <c r="U191" s="143"/>
      <c r="V191" s="30"/>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59"/>
      <c r="R192" s="159"/>
      <c r="S192" s="159"/>
      <c r="T192" s="160"/>
      <c r="U192" s="143"/>
      <c r="V192" s="30"/>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59"/>
      <c r="R193" s="159"/>
      <c r="S193" s="159"/>
      <c r="T193" s="160"/>
      <c r="U193" s="143"/>
      <c r="V193" s="30"/>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59"/>
      <c r="R194" s="159"/>
      <c r="S194" s="159"/>
      <c r="T194" s="160"/>
      <c r="U194" s="143"/>
      <c r="V194" s="30"/>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59"/>
      <c r="R195" s="159"/>
      <c r="S195" s="159"/>
      <c r="T195" s="160"/>
      <c r="U195" s="143"/>
      <c r="V195" s="30"/>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59"/>
      <c r="R196" s="159"/>
      <c r="S196" s="159"/>
      <c r="T196" s="160"/>
      <c r="U196" s="143"/>
      <c r="V196" s="30"/>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59"/>
      <c r="R197" s="159"/>
      <c r="S197" s="159"/>
      <c r="T197" s="160"/>
      <c r="U197" s="143"/>
      <c r="V197" s="30"/>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59"/>
      <c r="R198" s="159"/>
      <c r="S198" s="159"/>
      <c r="T198" s="160"/>
      <c r="U198" s="143"/>
      <c r="V198" s="30"/>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59"/>
      <c r="R199" s="159"/>
      <c r="S199" s="159"/>
      <c r="T199" s="160"/>
      <c r="U199" s="143"/>
      <c r="V199" s="30"/>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59"/>
      <c r="R200" s="159"/>
      <c r="S200" s="159"/>
      <c r="T200" s="160"/>
      <c r="U200" s="143"/>
      <c r="V200" s="30"/>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59"/>
      <c r="R201" s="159"/>
      <c r="S201" s="159"/>
      <c r="T201" s="160"/>
      <c r="U201" s="143"/>
      <c r="V201" s="30"/>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59"/>
      <c r="R202" s="159"/>
      <c r="S202" s="159"/>
      <c r="T202" s="160"/>
      <c r="U202" s="143"/>
      <c r="V202" s="30"/>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59"/>
      <c r="R203" s="159"/>
      <c r="S203" s="159"/>
      <c r="T203" s="160"/>
      <c r="U203" s="143"/>
      <c r="V203" s="30"/>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59"/>
      <c r="R204" s="159"/>
      <c r="S204" s="159"/>
      <c r="T204" s="160"/>
      <c r="U204" s="143"/>
      <c r="V204" s="30"/>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59"/>
      <c r="R205" s="159"/>
      <c r="S205" s="159"/>
      <c r="T205" s="160"/>
      <c r="U205" s="143"/>
      <c r="V205" s="30"/>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59"/>
      <c r="R206" s="159"/>
      <c r="S206" s="159"/>
      <c r="T206" s="160"/>
      <c r="U206" s="143"/>
      <c r="V206" s="30"/>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59"/>
      <c r="R207" s="159"/>
      <c r="S207" s="159"/>
      <c r="T207" s="160"/>
      <c r="U207" s="143"/>
      <c r="V207" s="30"/>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59"/>
      <c r="R208" s="159"/>
      <c r="S208" s="159"/>
      <c r="T208" s="160"/>
      <c r="U208" s="143"/>
      <c r="V208" s="30"/>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59"/>
      <c r="R209" s="159"/>
      <c r="S209" s="159"/>
      <c r="T209" s="160"/>
      <c r="U209" s="143"/>
      <c r="V209" s="30"/>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59"/>
      <c r="R210" s="159"/>
      <c r="S210" s="159"/>
      <c r="T210" s="160"/>
      <c r="U210" s="143"/>
      <c r="V210" s="30"/>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59"/>
      <c r="R211" s="159"/>
      <c r="S211" s="159"/>
      <c r="T211" s="160"/>
      <c r="U211" s="143"/>
      <c r="V211" s="30"/>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59"/>
      <c r="R212" s="159"/>
      <c r="S212" s="159"/>
      <c r="T212" s="160"/>
      <c r="U212" s="143"/>
      <c r="V212" s="30"/>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59"/>
      <c r="R213" s="159"/>
      <c r="S213" s="159"/>
      <c r="T213" s="160"/>
      <c r="U213" s="143"/>
      <c r="V213" s="30"/>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59"/>
      <c r="R214" s="159"/>
      <c r="S214" s="159"/>
      <c r="T214" s="160"/>
      <c r="U214" s="143"/>
      <c r="V214" s="30"/>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59"/>
      <c r="R215" s="159"/>
      <c r="S215" s="159"/>
      <c r="T215" s="160"/>
      <c r="U215" s="143"/>
      <c r="V215" s="30"/>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59"/>
      <c r="R216" s="159"/>
      <c r="S216" s="159"/>
      <c r="T216" s="160"/>
      <c r="U216" s="143"/>
      <c r="V216" s="30"/>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59"/>
      <c r="R217" s="159"/>
      <c r="S217" s="159"/>
      <c r="T217" s="160"/>
      <c r="U217" s="143"/>
      <c r="V217" s="30"/>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59"/>
      <c r="R218" s="159"/>
      <c r="S218" s="159"/>
      <c r="T218" s="160"/>
      <c r="U218" s="143"/>
      <c r="V218" s="30"/>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59"/>
      <c r="R219" s="159"/>
      <c r="S219" s="159"/>
      <c r="T219" s="160"/>
      <c r="U219" s="143"/>
      <c r="V219" s="30"/>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59"/>
      <c r="R220" s="159"/>
      <c r="S220" s="159"/>
      <c r="T220" s="160"/>
      <c r="U220" s="143"/>
      <c r="V220" s="30"/>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59"/>
      <c r="R221" s="159"/>
      <c r="S221" s="159"/>
      <c r="T221" s="160"/>
      <c r="U221" s="143"/>
      <c r="V221" s="30"/>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59"/>
      <c r="R222" s="159"/>
      <c r="S222" s="159"/>
      <c r="T222" s="160"/>
      <c r="U222" s="143"/>
      <c r="V222" s="30"/>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59"/>
      <c r="R223" s="159"/>
      <c r="S223" s="159"/>
      <c r="T223" s="160"/>
      <c r="U223" s="143"/>
      <c r="V223" s="30"/>
      <c r="W223" s="143"/>
      <c r="X223" s="143"/>
      <c r="Y223" s="143"/>
      <c r="Z223" s="143"/>
    </row>
    <row r="224" ht="13.5" customHeight="1">
      <c r="A224" s="143"/>
      <c r="B224" s="143"/>
      <c r="C224" s="143"/>
      <c r="D224" s="143"/>
      <c r="E224" s="143"/>
      <c r="F224" s="143"/>
      <c r="G224" s="143"/>
      <c r="H224" s="143"/>
      <c r="I224" s="143"/>
      <c r="J224" s="143"/>
      <c r="K224" s="143"/>
      <c r="L224" s="143"/>
      <c r="M224" s="143"/>
      <c r="N224" s="143"/>
      <c r="O224" s="143"/>
      <c r="P224" s="143"/>
      <c r="Q224" s="159"/>
      <c r="R224" s="159"/>
      <c r="S224" s="159"/>
      <c r="T224" s="160"/>
      <c r="U224" s="143"/>
      <c r="V224" s="30"/>
      <c r="W224" s="143"/>
      <c r="X224" s="143"/>
      <c r="Y224" s="143"/>
      <c r="Z224" s="143"/>
    </row>
    <row r="225" ht="13.5" customHeight="1">
      <c r="A225" s="143"/>
      <c r="B225" s="143"/>
      <c r="C225" s="143"/>
      <c r="D225" s="143"/>
      <c r="E225" s="143"/>
      <c r="F225" s="143"/>
      <c r="G225" s="143"/>
      <c r="H225" s="143"/>
      <c r="I225" s="143"/>
      <c r="J225" s="143"/>
      <c r="K225" s="143"/>
      <c r="L225" s="143"/>
      <c r="M225" s="143"/>
      <c r="N225" s="143"/>
      <c r="O225" s="143"/>
      <c r="P225" s="143"/>
      <c r="Q225" s="159"/>
      <c r="R225" s="159"/>
      <c r="S225" s="159"/>
      <c r="T225" s="160"/>
      <c r="U225" s="143"/>
      <c r="V225" s="30"/>
      <c r="W225" s="143"/>
      <c r="X225" s="143"/>
      <c r="Y225" s="143"/>
      <c r="Z225" s="143"/>
    </row>
    <row r="226" ht="13.5" customHeight="1">
      <c r="A226" s="143"/>
      <c r="B226" s="143"/>
      <c r="C226" s="143"/>
      <c r="D226" s="143"/>
      <c r="E226" s="143"/>
      <c r="F226" s="143"/>
      <c r="G226" s="143"/>
      <c r="H226" s="143"/>
      <c r="I226" s="143"/>
      <c r="J226" s="143"/>
      <c r="K226" s="143"/>
      <c r="L226" s="143"/>
      <c r="M226" s="143"/>
      <c r="N226" s="143"/>
      <c r="O226" s="143"/>
      <c r="P226" s="143"/>
      <c r="Q226" s="159"/>
      <c r="R226" s="159"/>
      <c r="S226" s="159"/>
      <c r="T226" s="160"/>
      <c r="U226" s="143"/>
      <c r="V226" s="30"/>
      <c r="W226" s="143"/>
      <c r="X226" s="143"/>
      <c r="Y226" s="143"/>
      <c r="Z226" s="143"/>
    </row>
    <row r="227" ht="13.5" customHeight="1">
      <c r="A227" s="143"/>
      <c r="B227" s="143"/>
      <c r="C227" s="143"/>
      <c r="D227" s="143"/>
      <c r="E227" s="143"/>
      <c r="F227" s="143"/>
      <c r="G227" s="143"/>
      <c r="H227" s="143"/>
      <c r="I227" s="143"/>
      <c r="J227" s="143"/>
      <c r="K227" s="143"/>
      <c r="L227" s="143"/>
      <c r="M227" s="143"/>
      <c r="N227" s="143"/>
      <c r="O227" s="143"/>
      <c r="P227" s="143"/>
      <c r="Q227" s="159"/>
      <c r="R227" s="159"/>
      <c r="S227" s="159"/>
      <c r="T227" s="160"/>
      <c r="U227" s="143"/>
      <c r="V227" s="30"/>
      <c r="W227" s="143"/>
      <c r="X227" s="143"/>
      <c r="Y227" s="143"/>
      <c r="Z227" s="143"/>
    </row>
    <row r="228" ht="13.5" customHeight="1">
      <c r="A228" s="143"/>
      <c r="B228" s="143"/>
      <c r="C228" s="143"/>
      <c r="D228" s="143"/>
      <c r="E228" s="143"/>
      <c r="F228" s="143"/>
      <c r="G228" s="143"/>
      <c r="H228" s="143"/>
      <c r="I228" s="143"/>
      <c r="J228" s="143"/>
      <c r="K228" s="143"/>
      <c r="L228" s="143"/>
      <c r="M228" s="143"/>
      <c r="N228" s="143"/>
      <c r="O228" s="143"/>
      <c r="P228" s="143"/>
      <c r="Q228" s="159"/>
      <c r="R228" s="159"/>
      <c r="S228" s="159"/>
      <c r="T228" s="160"/>
      <c r="U228" s="143"/>
      <c r="V228" s="30"/>
      <c r="W228" s="143"/>
      <c r="X228" s="143"/>
      <c r="Y228" s="143"/>
      <c r="Z228" s="143"/>
    </row>
    <row r="229" ht="13.5" customHeight="1">
      <c r="A229" s="143"/>
      <c r="B229" s="143"/>
      <c r="C229" s="143"/>
      <c r="D229" s="143"/>
      <c r="E229" s="143"/>
      <c r="F229" s="143"/>
      <c r="G229" s="143"/>
      <c r="H229" s="143"/>
      <c r="I229" s="143"/>
      <c r="J229" s="143"/>
      <c r="K229" s="143"/>
      <c r="L229" s="143"/>
      <c r="M229" s="143"/>
      <c r="N229" s="143"/>
      <c r="O229" s="143"/>
      <c r="P229" s="143"/>
      <c r="Q229" s="159"/>
      <c r="R229" s="159"/>
      <c r="S229" s="159"/>
      <c r="T229" s="160"/>
      <c r="U229" s="143"/>
      <c r="V229" s="30"/>
      <c r="W229" s="143"/>
      <c r="X229" s="143"/>
      <c r="Y229" s="143"/>
      <c r="Z229" s="143"/>
    </row>
    <row r="230" ht="13.5" customHeight="1">
      <c r="A230" s="143"/>
      <c r="B230" s="143"/>
      <c r="C230" s="143"/>
      <c r="D230" s="143"/>
      <c r="E230" s="143"/>
      <c r="F230" s="143"/>
      <c r="G230" s="143"/>
      <c r="H230" s="143"/>
      <c r="I230" s="143"/>
      <c r="J230" s="143"/>
      <c r="K230" s="143"/>
      <c r="L230" s="143"/>
      <c r="M230" s="143"/>
      <c r="N230" s="143"/>
      <c r="O230" s="143"/>
      <c r="P230" s="143"/>
      <c r="Q230" s="159"/>
      <c r="R230" s="159"/>
      <c r="S230" s="159"/>
      <c r="T230" s="160"/>
      <c r="U230" s="143"/>
      <c r="V230" s="30"/>
      <c r="W230" s="143"/>
      <c r="X230" s="143"/>
      <c r="Y230" s="143"/>
      <c r="Z230" s="143"/>
    </row>
    <row r="231" ht="13.5" customHeight="1">
      <c r="A231" s="143"/>
      <c r="B231" s="143"/>
      <c r="C231" s="143"/>
      <c r="D231" s="143"/>
      <c r="E231" s="143"/>
      <c r="F231" s="143"/>
      <c r="G231" s="143"/>
      <c r="H231" s="143"/>
      <c r="I231" s="143"/>
      <c r="J231" s="143"/>
      <c r="K231" s="143"/>
      <c r="L231" s="143"/>
      <c r="M231" s="143"/>
      <c r="N231" s="143"/>
      <c r="O231" s="143"/>
      <c r="P231" s="143"/>
      <c r="Q231" s="159"/>
      <c r="R231" s="159"/>
      <c r="S231" s="159"/>
      <c r="T231" s="160"/>
      <c r="U231" s="143"/>
      <c r="V231" s="30"/>
      <c r="W231" s="143"/>
      <c r="X231" s="143"/>
      <c r="Y231" s="143"/>
      <c r="Z231" s="143"/>
    </row>
    <row r="232" ht="13.5" customHeight="1">
      <c r="A232" s="143"/>
      <c r="B232" s="143"/>
      <c r="C232" s="143"/>
      <c r="D232" s="143"/>
      <c r="E232" s="143"/>
      <c r="F232" s="143"/>
      <c r="G232" s="143"/>
      <c r="H232" s="143"/>
      <c r="I232" s="143"/>
      <c r="J232" s="143"/>
      <c r="K232" s="143"/>
      <c r="L232" s="143"/>
      <c r="M232" s="143"/>
      <c r="N232" s="143"/>
      <c r="O232" s="143"/>
      <c r="P232" s="143"/>
      <c r="Q232" s="159"/>
      <c r="R232" s="159"/>
      <c r="S232" s="159"/>
      <c r="T232" s="160"/>
      <c r="U232" s="143"/>
      <c r="V232" s="30"/>
      <c r="W232" s="143"/>
      <c r="X232" s="143"/>
      <c r="Y232" s="143"/>
      <c r="Z232" s="143"/>
    </row>
    <row r="233" ht="13.5" customHeight="1">
      <c r="A233" s="143"/>
      <c r="B233" s="143"/>
      <c r="C233" s="143"/>
      <c r="D233" s="143"/>
      <c r="E233" s="143"/>
      <c r="F233" s="143"/>
      <c r="G233" s="143"/>
      <c r="H233" s="143"/>
      <c r="I233" s="143"/>
      <c r="J233" s="143"/>
      <c r="K233" s="143"/>
      <c r="L233" s="143"/>
      <c r="M233" s="143"/>
      <c r="N233" s="143"/>
      <c r="O233" s="143"/>
      <c r="P233" s="143"/>
      <c r="Q233" s="159"/>
      <c r="R233" s="159"/>
      <c r="S233" s="159"/>
      <c r="T233" s="160"/>
      <c r="U233" s="143"/>
      <c r="V233" s="30"/>
      <c r="W233" s="143"/>
      <c r="X233" s="143"/>
      <c r="Y233" s="143"/>
      <c r="Z233" s="143"/>
    </row>
    <row r="234" ht="13.5" customHeight="1">
      <c r="A234" s="143"/>
      <c r="B234" s="143"/>
      <c r="C234" s="143"/>
      <c r="D234" s="143"/>
      <c r="E234" s="143"/>
      <c r="F234" s="143"/>
      <c r="G234" s="143"/>
      <c r="H234" s="143"/>
      <c r="I234" s="143"/>
      <c r="J234" s="143"/>
      <c r="K234" s="143"/>
      <c r="L234" s="143"/>
      <c r="M234" s="143"/>
      <c r="N234" s="143"/>
      <c r="O234" s="143"/>
      <c r="P234" s="143"/>
      <c r="Q234" s="159"/>
      <c r="R234" s="159"/>
      <c r="S234" s="159"/>
      <c r="T234" s="160"/>
      <c r="U234" s="143"/>
      <c r="V234" s="30"/>
      <c r="W234" s="143"/>
      <c r="X234" s="143"/>
      <c r="Y234" s="143"/>
      <c r="Z234" s="143"/>
    </row>
    <row r="235" ht="13.5" customHeight="1">
      <c r="A235" s="143"/>
      <c r="B235" s="143"/>
      <c r="C235" s="143"/>
      <c r="D235" s="143"/>
      <c r="E235" s="143"/>
      <c r="F235" s="143"/>
      <c r="G235" s="143"/>
      <c r="H235" s="143"/>
      <c r="I235" s="143"/>
      <c r="J235" s="143"/>
      <c r="K235" s="143"/>
      <c r="L235" s="143"/>
      <c r="M235" s="143"/>
      <c r="N235" s="143"/>
      <c r="O235" s="143"/>
      <c r="P235" s="143"/>
      <c r="Q235" s="159"/>
      <c r="R235" s="159"/>
      <c r="S235" s="159"/>
      <c r="T235" s="160"/>
      <c r="U235" s="143"/>
      <c r="V235" s="30"/>
      <c r="W235" s="143"/>
      <c r="X235" s="143"/>
      <c r="Y235" s="143"/>
      <c r="Z235" s="143"/>
    </row>
    <row r="236" ht="13.5" customHeight="1">
      <c r="A236" s="143"/>
      <c r="B236" s="143"/>
      <c r="C236" s="143"/>
      <c r="D236" s="143"/>
      <c r="E236" s="143"/>
      <c r="F236" s="143"/>
      <c r="G236" s="143"/>
      <c r="H236" s="143"/>
      <c r="I236" s="143"/>
      <c r="J236" s="143"/>
      <c r="K236" s="143"/>
      <c r="L236" s="143"/>
      <c r="M236" s="143"/>
      <c r="N236" s="143"/>
      <c r="O236" s="143"/>
      <c r="P236" s="143"/>
      <c r="Q236" s="159"/>
      <c r="R236" s="159"/>
      <c r="S236" s="159"/>
      <c r="T236" s="160"/>
      <c r="U236" s="143"/>
      <c r="V236" s="30"/>
      <c r="W236" s="143"/>
      <c r="X236" s="143"/>
      <c r="Y236" s="143"/>
      <c r="Z236" s="143"/>
    </row>
    <row r="237" ht="13.5" customHeight="1">
      <c r="A237" s="143"/>
      <c r="B237" s="143"/>
      <c r="C237" s="143"/>
      <c r="D237" s="143"/>
      <c r="E237" s="143"/>
      <c r="F237" s="143"/>
      <c r="G237" s="143"/>
      <c r="H237" s="143"/>
      <c r="I237" s="143"/>
      <c r="J237" s="143"/>
      <c r="K237" s="143"/>
      <c r="L237" s="143"/>
      <c r="M237" s="143"/>
      <c r="N237" s="143"/>
      <c r="O237" s="143"/>
      <c r="P237" s="143"/>
      <c r="Q237" s="159"/>
      <c r="R237" s="159"/>
      <c r="S237" s="159"/>
      <c r="T237" s="160"/>
      <c r="U237" s="143"/>
      <c r="V237" s="30"/>
      <c r="W237" s="143"/>
      <c r="X237" s="143"/>
      <c r="Y237" s="143"/>
      <c r="Z237" s="143"/>
    </row>
    <row r="238" ht="13.5" customHeight="1">
      <c r="A238" s="143"/>
      <c r="B238" s="143"/>
      <c r="C238" s="143"/>
      <c r="D238" s="143"/>
      <c r="E238" s="143"/>
      <c r="F238" s="143"/>
      <c r="G238" s="143"/>
      <c r="H238" s="143"/>
      <c r="I238" s="143"/>
      <c r="J238" s="143"/>
      <c r="K238" s="143"/>
      <c r="L238" s="143"/>
      <c r="M238" s="143"/>
      <c r="N238" s="143"/>
      <c r="O238" s="143"/>
      <c r="P238" s="143"/>
      <c r="Q238" s="159"/>
      <c r="R238" s="159"/>
      <c r="S238" s="159"/>
      <c r="T238" s="160"/>
      <c r="U238" s="143"/>
      <c r="V238" s="30"/>
      <c r="W238" s="143"/>
      <c r="X238" s="143"/>
      <c r="Y238" s="143"/>
      <c r="Z238" s="143"/>
    </row>
    <row r="239" ht="13.5" customHeight="1">
      <c r="A239" s="143"/>
      <c r="B239" s="143"/>
      <c r="C239" s="143"/>
      <c r="D239" s="143"/>
      <c r="E239" s="143"/>
      <c r="F239" s="143"/>
      <c r="G239" s="143"/>
      <c r="H239" s="143"/>
      <c r="I239" s="143"/>
      <c r="J239" s="143"/>
      <c r="K239" s="143"/>
      <c r="L239" s="143"/>
      <c r="M239" s="143"/>
      <c r="N239" s="143"/>
      <c r="O239" s="143"/>
      <c r="P239" s="143"/>
      <c r="Q239" s="159"/>
      <c r="R239" s="159"/>
      <c r="S239" s="159"/>
      <c r="T239" s="160"/>
      <c r="U239" s="143"/>
      <c r="V239" s="30"/>
      <c r="W239" s="143"/>
      <c r="X239" s="143"/>
      <c r="Y239" s="143"/>
      <c r="Z239" s="143"/>
    </row>
    <row r="240" ht="13.5" customHeight="1">
      <c r="A240" s="143"/>
      <c r="B240" s="143"/>
      <c r="C240" s="143"/>
      <c r="D240" s="143"/>
      <c r="E240" s="143"/>
      <c r="F240" s="143"/>
      <c r="G240" s="143"/>
      <c r="H240" s="143"/>
      <c r="I240" s="143"/>
      <c r="J240" s="143"/>
      <c r="K240" s="143"/>
      <c r="L240" s="143"/>
      <c r="M240" s="143"/>
      <c r="N240" s="143"/>
      <c r="O240" s="143"/>
      <c r="P240" s="143"/>
      <c r="Q240" s="159"/>
      <c r="R240" s="159"/>
      <c r="S240" s="159"/>
      <c r="T240" s="160"/>
      <c r="U240" s="143"/>
      <c r="V240" s="30"/>
      <c r="W240" s="143"/>
      <c r="X240" s="143"/>
      <c r="Y240" s="143"/>
      <c r="Z240" s="143"/>
    </row>
    <row r="241" ht="13.5" customHeight="1">
      <c r="A241" s="143"/>
      <c r="B241" s="143"/>
      <c r="C241" s="143"/>
      <c r="D241" s="143"/>
      <c r="E241" s="143"/>
      <c r="F241" s="143"/>
      <c r="G241" s="143"/>
      <c r="H241" s="143"/>
      <c r="I241" s="143"/>
      <c r="J241" s="143"/>
      <c r="K241" s="143"/>
      <c r="L241" s="143"/>
      <c r="M241" s="143"/>
      <c r="N241" s="143"/>
      <c r="O241" s="143"/>
      <c r="P241" s="143"/>
      <c r="Q241" s="159"/>
      <c r="R241" s="159"/>
      <c r="S241" s="159"/>
      <c r="T241" s="160"/>
      <c r="U241" s="143"/>
      <c r="V241" s="30"/>
      <c r="W241" s="143"/>
      <c r="X241" s="143"/>
      <c r="Y241" s="143"/>
      <c r="Z241" s="143"/>
    </row>
    <row r="242" ht="13.5" customHeight="1">
      <c r="A242" s="143"/>
      <c r="B242" s="143"/>
      <c r="C242" s="143"/>
      <c r="D242" s="143"/>
      <c r="E242" s="143"/>
      <c r="F242" s="143"/>
      <c r="G242" s="143"/>
      <c r="H242" s="143"/>
      <c r="I242" s="143"/>
      <c r="J242" s="143"/>
      <c r="K242" s="143"/>
      <c r="L242" s="143"/>
      <c r="M242" s="143"/>
      <c r="N242" s="143"/>
      <c r="O242" s="143"/>
      <c r="P242" s="143"/>
      <c r="Q242" s="159"/>
      <c r="R242" s="159"/>
      <c r="S242" s="159"/>
      <c r="T242" s="160"/>
      <c r="U242" s="143"/>
      <c r="V242" s="30"/>
      <c r="W242" s="143"/>
      <c r="X242" s="143"/>
      <c r="Y242" s="143"/>
      <c r="Z242" s="143"/>
    </row>
    <row r="243" ht="13.5" customHeight="1">
      <c r="A243" s="143"/>
      <c r="B243" s="143"/>
      <c r="C243" s="143"/>
      <c r="D243" s="143"/>
      <c r="E243" s="143"/>
      <c r="F243" s="143"/>
      <c r="G243" s="143"/>
      <c r="H243" s="143"/>
      <c r="I243" s="143"/>
      <c r="J243" s="143"/>
      <c r="K243" s="143"/>
      <c r="L243" s="143"/>
      <c r="M243" s="143"/>
      <c r="N243" s="143"/>
      <c r="O243" s="143"/>
      <c r="P243" s="143"/>
      <c r="Q243" s="159"/>
      <c r="R243" s="159"/>
      <c r="S243" s="159"/>
      <c r="T243" s="160"/>
      <c r="U243" s="143"/>
      <c r="V243" s="30"/>
      <c r="W243" s="143"/>
      <c r="X243" s="143"/>
      <c r="Y243" s="143"/>
      <c r="Z243" s="143"/>
    </row>
    <row r="244" ht="13.5" customHeight="1">
      <c r="A244" s="143"/>
      <c r="B244" s="143"/>
      <c r="C244" s="143"/>
      <c r="D244" s="143"/>
      <c r="E244" s="143"/>
      <c r="F244" s="143"/>
      <c r="G244" s="143"/>
      <c r="H244" s="143"/>
      <c r="I244" s="143"/>
      <c r="J244" s="143"/>
      <c r="K244" s="143"/>
      <c r="L244" s="143"/>
      <c r="M244" s="143"/>
      <c r="N244" s="143"/>
      <c r="O244" s="143"/>
      <c r="P244" s="143"/>
      <c r="Q244" s="159"/>
      <c r="R244" s="159"/>
      <c r="S244" s="159"/>
      <c r="T244" s="160"/>
      <c r="U244" s="143"/>
      <c r="V244" s="30"/>
      <c r="W244" s="143"/>
      <c r="X244" s="143"/>
      <c r="Y244" s="143"/>
      <c r="Z244" s="143"/>
    </row>
    <row r="245" ht="13.5" customHeight="1">
      <c r="A245" s="143"/>
      <c r="B245" s="143"/>
      <c r="C245" s="143"/>
      <c r="D245" s="143"/>
      <c r="E245" s="143"/>
      <c r="F245" s="143"/>
      <c r="G245" s="143"/>
      <c r="H245" s="143"/>
      <c r="I245" s="143"/>
      <c r="J245" s="143"/>
      <c r="K245" s="143"/>
      <c r="L245" s="143"/>
      <c r="M245" s="143"/>
      <c r="N245" s="143"/>
      <c r="O245" s="143"/>
      <c r="P245" s="143"/>
      <c r="Q245" s="159"/>
      <c r="R245" s="159"/>
      <c r="S245" s="159"/>
      <c r="T245" s="160"/>
      <c r="U245" s="143"/>
      <c r="V245" s="30"/>
      <c r="W245" s="143"/>
      <c r="X245" s="143"/>
      <c r="Y245" s="143"/>
      <c r="Z245" s="143"/>
    </row>
    <row r="246" ht="13.5" customHeight="1">
      <c r="A246" s="143"/>
      <c r="B246" s="143"/>
      <c r="C246" s="143"/>
      <c r="D246" s="143"/>
      <c r="E246" s="143"/>
      <c r="F246" s="143"/>
      <c r="G246" s="143"/>
      <c r="H246" s="143"/>
      <c r="I246" s="143"/>
      <c r="J246" s="143"/>
      <c r="K246" s="143"/>
      <c r="L246" s="143"/>
      <c r="M246" s="143"/>
      <c r="N246" s="143"/>
      <c r="O246" s="143"/>
      <c r="P246" s="143"/>
      <c r="Q246" s="159"/>
      <c r="R246" s="159"/>
      <c r="S246" s="159"/>
      <c r="T246" s="160"/>
      <c r="U246" s="143"/>
      <c r="V246" s="30"/>
      <c r="W246" s="143"/>
      <c r="X246" s="143"/>
      <c r="Y246" s="143"/>
      <c r="Z246" s="143"/>
    </row>
    <row r="247" ht="13.5" customHeight="1">
      <c r="A247" s="143"/>
      <c r="B247" s="143"/>
      <c r="C247" s="143"/>
      <c r="D247" s="143"/>
      <c r="E247" s="143"/>
      <c r="F247" s="143"/>
      <c r="G247" s="143"/>
      <c r="H247" s="143"/>
      <c r="I247" s="143"/>
      <c r="J247" s="143"/>
      <c r="K247" s="143"/>
      <c r="L247" s="143"/>
      <c r="M247" s="143"/>
      <c r="N247" s="143"/>
      <c r="O247" s="143"/>
      <c r="P247" s="143"/>
      <c r="Q247" s="159"/>
      <c r="R247" s="159"/>
      <c r="S247" s="159"/>
      <c r="T247" s="160"/>
      <c r="U247" s="143"/>
      <c r="V247" s="30"/>
      <c r="W247" s="143"/>
      <c r="X247" s="143"/>
      <c r="Y247" s="143"/>
      <c r="Z247" s="143"/>
    </row>
    <row r="248" ht="13.5" customHeight="1">
      <c r="A248" s="143"/>
      <c r="B248" s="143"/>
      <c r="C248" s="143"/>
      <c r="D248" s="143"/>
      <c r="E248" s="143"/>
      <c r="F248" s="143"/>
      <c r="G248" s="143"/>
      <c r="H248" s="143"/>
      <c r="I248" s="143"/>
      <c r="J248" s="143"/>
      <c r="K248" s="143"/>
      <c r="L248" s="143"/>
      <c r="M248" s="143"/>
      <c r="N248" s="143"/>
      <c r="O248" s="143"/>
      <c r="P248" s="143"/>
      <c r="Q248" s="159"/>
      <c r="R248" s="159"/>
      <c r="S248" s="159"/>
      <c r="T248" s="160"/>
      <c r="U248" s="143"/>
      <c r="V248" s="30"/>
      <c r="W248" s="143"/>
      <c r="X248" s="143"/>
      <c r="Y248" s="143"/>
      <c r="Z248" s="143"/>
    </row>
    <row r="249" ht="13.5" customHeight="1">
      <c r="A249" s="143"/>
      <c r="B249" s="143"/>
      <c r="C249" s="143"/>
      <c r="D249" s="143"/>
      <c r="E249" s="143"/>
      <c r="F249" s="143"/>
      <c r="G249" s="143"/>
      <c r="H249" s="143"/>
      <c r="I249" s="143"/>
      <c r="J249" s="143"/>
      <c r="K249" s="143"/>
      <c r="L249" s="143"/>
      <c r="M249" s="143"/>
      <c r="N249" s="143"/>
      <c r="O249" s="143"/>
      <c r="P249" s="143"/>
      <c r="Q249" s="159"/>
      <c r="R249" s="159"/>
      <c r="S249" s="159"/>
      <c r="T249" s="160"/>
      <c r="U249" s="143"/>
      <c r="V249" s="30"/>
      <c r="W249" s="143"/>
      <c r="X249" s="143"/>
      <c r="Y249" s="143"/>
      <c r="Z249" s="143"/>
    </row>
    <row r="250" ht="13.5" customHeight="1">
      <c r="A250" s="143"/>
      <c r="B250" s="143"/>
      <c r="C250" s="143"/>
      <c r="D250" s="143"/>
      <c r="E250" s="143"/>
      <c r="F250" s="143"/>
      <c r="G250" s="143"/>
      <c r="H250" s="143"/>
      <c r="I250" s="143"/>
      <c r="J250" s="143"/>
      <c r="K250" s="143"/>
      <c r="L250" s="143"/>
      <c r="M250" s="143"/>
      <c r="N250" s="143"/>
      <c r="O250" s="143"/>
      <c r="P250" s="143"/>
      <c r="Q250" s="159"/>
      <c r="R250" s="159"/>
      <c r="S250" s="159"/>
      <c r="T250" s="160"/>
      <c r="U250" s="143"/>
      <c r="V250" s="30"/>
      <c r="W250" s="143"/>
      <c r="X250" s="143"/>
      <c r="Y250" s="143"/>
      <c r="Z250" s="143"/>
    </row>
    <row r="251" ht="13.5" customHeight="1">
      <c r="A251" s="143"/>
      <c r="B251" s="143"/>
      <c r="C251" s="143"/>
      <c r="D251" s="143"/>
      <c r="E251" s="143"/>
      <c r="F251" s="143"/>
      <c r="G251" s="143"/>
      <c r="H251" s="143"/>
      <c r="I251" s="143"/>
      <c r="J251" s="143"/>
      <c r="K251" s="143"/>
      <c r="L251" s="143"/>
      <c r="M251" s="143"/>
      <c r="N251" s="143"/>
      <c r="O251" s="143"/>
      <c r="P251" s="143"/>
      <c r="Q251" s="159"/>
      <c r="R251" s="159"/>
      <c r="S251" s="159"/>
      <c r="T251" s="160"/>
      <c r="U251" s="143"/>
      <c r="V251" s="30"/>
      <c r="W251" s="143"/>
      <c r="X251" s="143"/>
      <c r="Y251" s="143"/>
      <c r="Z251" s="143"/>
    </row>
    <row r="252" ht="13.5" customHeight="1">
      <c r="A252" s="143"/>
      <c r="B252" s="143"/>
      <c r="C252" s="143"/>
      <c r="D252" s="143"/>
      <c r="E252" s="143"/>
      <c r="F252" s="143"/>
      <c r="G252" s="143"/>
      <c r="H252" s="143"/>
      <c r="I252" s="143"/>
      <c r="J252" s="143"/>
      <c r="K252" s="143"/>
      <c r="L252" s="143"/>
      <c r="M252" s="143"/>
      <c r="N252" s="143"/>
      <c r="O252" s="143"/>
      <c r="P252" s="143"/>
      <c r="Q252" s="159"/>
      <c r="R252" s="159"/>
      <c r="S252" s="159"/>
      <c r="T252" s="160"/>
      <c r="U252" s="143"/>
      <c r="V252" s="30"/>
      <c r="W252" s="143"/>
      <c r="X252" s="143"/>
      <c r="Y252" s="143"/>
      <c r="Z252" s="143"/>
    </row>
    <row r="253" ht="13.5" customHeight="1">
      <c r="A253" s="143"/>
      <c r="B253" s="143"/>
      <c r="C253" s="143"/>
      <c r="D253" s="143"/>
      <c r="E253" s="143"/>
      <c r="F253" s="143"/>
      <c r="G253" s="143"/>
      <c r="H253" s="143"/>
      <c r="I253" s="143"/>
      <c r="J253" s="143"/>
      <c r="K253" s="143"/>
      <c r="L253" s="143"/>
      <c r="M253" s="143"/>
      <c r="N253" s="143"/>
      <c r="O253" s="143"/>
      <c r="P253" s="143"/>
      <c r="Q253" s="159"/>
      <c r="R253" s="159"/>
      <c r="S253" s="159"/>
      <c r="T253" s="160"/>
      <c r="U253" s="143"/>
      <c r="V253" s="30"/>
      <c r="W253" s="143"/>
      <c r="X253" s="143"/>
      <c r="Y253" s="143"/>
      <c r="Z253" s="143"/>
    </row>
    <row r="254" ht="13.5" customHeight="1">
      <c r="A254" s="143"/>
      <c r="B254" s="143"/>
      <c r="C254" s="143"/>
      <c r="D254" s="143"/>
      <c r="E254" s="143"/>
      <c r="F254" s="143"/>
      <c r="G254" s="143"/>
      <c r="H254" s="143"/>
      <c r="I254" s="143"/>
      <c r="J254" s="143"/>
      <c r="K254" s="143"/>
      <c r="L254" s="143"/>
      <c r="M254" s="143"/>
      <c r="N254" s="143"/>
      <c r="O254" s="143"/>
      <c r="P254" s="143"/>
      <c r="Q254" s="159"/>
      <c r="R254" s="159"/>
      <c r="S254" s="159"/>
      <c r="T254" s="160"/>
      <c r="U254" s="143"/>
      <c r="V254" s="30"/>
      <c r="W254" s="143"/>
      <c r="X254" s="143"/>
      <c r="Y254" s="143"/>
      <c r="Z254" s="143"/>
    </row>
    <row r="255" ht="13.5" customHeight="1">
      <c r="A255" s="143"/>
      <c r="B255" s="143"/>
      <c r="C255" s="143"/>
      <c r="D255" s="143"/>
      <c r="E255" s="143"/>
      <c r="F255" s="143"/>
      <c r="G255" s="143"/>
      <c r="H255" s="143"/>
      <c r="I255" s="143"/>
      <c r="J255" s="143"/>
      <c r="K255" s="143"/>
      <c r="L255" s="143"/>
      <c r="M255" s="143"/>
      <c r="N255" s="143"/>
      <c r="O255" s="143"/>
      <c r="P255" s="143"/>
      <c r="Q255" s="159"/>
      <c r="R255" s="159"/>
      <c r="S255" s="159"/>
      <c r="T255" s="160"/>
      <c r="U255" s="143"/>
      <c r="V255" s="30"/>
      <c r="W255" s="143"/>
      <c r="X255" s="143"/>
      <c r="Y255" s="143"/>
      <c r="Z255" s="143"/>
    </row>
    <row r="256" ht="13.5" customHeight="1">
      <c r="A256" s="143"/>
      <c r="B256" s="143"/>
      <c r="C256" s="143"/>
      <c r="D256" s="143"/>
      <c r="E256" s="143"/>
      <c r="F256" s="143"/>
      <c r="G256" s="143"/>
      <c r="H256" s="143"/>
      <c r="I256" s="143"/>
      <c r="J256" s="143"/>
      <c r="K256" s="143"/>
      <c r="L256" s="143"/>
      <c r="M256" s="143"/>
      <c r="N256" s="143"/>
      <c r="O256" s="143"/>
      <c r="P256" s="143"/>
      <c r="Q256" s="159"/>
      <c r="R256" s="159"/>
      <c r="S256" s="159"/>
      <c r="T256" s="160"/>
      <c r="U256" s="143"/>
      <c r="V256" s="30"/>
      <c r="W256" s="143"/>
      <c r="X256" s="143"/>
      <c r="Y256" s="143"/>
      <c r="Z256" s="143"/>
    </row>
    <row r="257" ht="13.5" customHeight="1">
      <c r="A257" s="143"/>
      <c r="B257" s="143"/>
      <c r="C257" s="143"/>
      <c r="D257" s="143"/>
      <c r="E257" s="143"/>
      <c r="F257" s="143"/>
      <c r="G257" s="143"/>
      <c r="H257" s="143"/>
      <c r="I257" s="143"/>
      <c r="J257" s="143"/>
      <c r="K257" s="143"/>
      <c r="L257" s="143"/>
      <c r="M257" s="143"/>
      <c r="N257" s="143"/>
      <c r="O257" s="143"/>
      <c r="P257" s="143"/>
      <c r="Q257" s="159"/>
      <c r="R257" s="159"/>
      <c r="S257" s="159"/>
      <c r="T257" s="160"/>
      <c r="U257" s="143"/>
      <c r="V257" s="30"/>
      <c r="W257" s="143"/>
      <c r="X257" s="143"/>
      <c r="Y257" s="143"/>
      <c r="Z257" s="143"/>
    </row>
    <row r="258" ht="13.5" customHeight="1">
      <c r="A258" s="143"/>
      <c r="B258" s="143"/>
      <c r="C258" s="143"/>
      <c r="D258" s="143"/>
      <c r="E258" s="143"/>
      <c r="F258" s="143"/>
      <c r="G258" s="143"/>
      <c r="H258" s="143"/>
      <c r="I258" s="143"/>
      <c r="J258" s="143"/>
      <c r="K258" s="143"/>
      <c r="L258" s="143"/>
      <c r="M258" s="143"/>
      <c r="N258" s="143"/>
      <c r="O258" s="143"/>
      <c r="P258" s="143"/>
      <c r="Q258" s="159"/>
      <c r="R258" s="159"/>
      <c r="S258" s="159"/>
      <c r="T258" s="160"/>
      <c r="U258" s="143"/>
      <c r="V258" s="30"/>
      <c r="W258" s="143"/>
      <c r="X258" s="143"/>
      <c r="Y258" s="143"/>
      <c r="Z258" s="143"/>
    </row>
    <row r="259" ht="13.5" customHeight="1">
      <c r="A259" s="143"/>
      <c r="B259" s="143"/>
      <c r="C259" s="143"/>
      <c r="D259" s="143"/>
      <c r="E259" s="143"/>
      <c r="F259" s="143"/>
      <c r="G259" s="143"/>
      <c r="H259" s="143"/>
      <c r="I259" s="143"/>
      <c r="J259" s="143"/>
      <c r="K259" s="143"/>
      <c r="L259" s="143"/>
      <c r="M259" s="143"/>
      <c r="N259" s="143"/>
      <c r="O259" s="143"/>
      <c r="P259" s="143"/>
      <c r="Q259" s="159"/>
      <c r="R259" s="159"/>
      <c r="S259" s="159"/>
      <c r="T259" s="160"/>
      <c r="U259" s="143"/>
      <c r="V259" s="30"/>
      <c r="W259" s="143"/>
      <c r="X259" s="143"/>
      <c r="Y259" s="143"/>
      <c r="Z259" s="143"/>
    </row>
    <row r="260" ht="13.5" customHeight="1">
      <c r="A260" s="143"/>
      <c r="B260" s="143"/>
      <c r="C260" s="143"/>
      <c r="D260" s="143"/>
      <c r="E260" s="143"/>
      <c r="F260" s="143"/>
      <c r="G260" s="143"/>
      <c r="H260" s="143"/>
      <c r="I260" s="143"/>
      <c r="J260" s="143"/>
      <c r="K260" s="143"/>
      <c r="L260" s="143"/>
      <c r="M260" s="143"/>
      <c r="N260" s="143"/>
      <c r="O260" s="143"/>
      <c r="P260" s="143"/>
      <c r="Q260" s="159"/>
      <c r="R260" s="159"/>
      <c r="S260" s="159"/>
      <c r="T260" s="160"/>
      <c r="U260" s="143"/>
      <c r="V260" s="30"/>
      <c r="W260" s="143"/>
      <c r="X260" s="143"/>
      <c r="Y260" s="143"/>
      <c r="Z260" s="143"/>
    </row>
    <row r="261" ht="13.5" customHeight="1">
      <c r="A261" s="143"/>
      <c r="B261" s="143"/>
      <c r="C261" s="143"/>
      <c r="D261" s="143"/>
      <c r="E261" s="143"/>
      <c r="F261" s="143"/>
      <c r="G261" s="143"/>
      <c r="H261" s="143"/>
      <c r="I261" s="143"/>
      <c r="J261" s="143"/>
      <c r="K261" s="143"/>
      <c r="L261" s="143"/>
      <c r="M261" s="143"/>
      <c r="N261" s="143"/>
      <c r="O261" s="143"/>
      <c r="P261" s="143"/>
      <c r="Q261" s="159"/>
      <c r="R261" s="159"/>
      <c r="S261" s="159"/>
      <c r="T261" s="160"/>
      <c r="U261" s="143"/>
      <c r="V261" s="30"/>
      <c r="W261" s="143"/>
      <c r="X261" s="143"/>
      <c r="Y261" s="143"/>
      <c r="Z261" s="143"/>
    </row>
    <row r="262" ht="13.5" customHeight="1">
      <c r="A262" s="143"/>
      <c r="B262" s="143"/>
      <c r="C262" s="143"/>
      <c r="D262" s="143"/>
      <c r="E262" s="143"/>
      <c r="F262" s="143"/>
      <c r="G262" s="143"/>
      <c r="H262" s="143"/>
      <c r="I262" s="143"/>
      <c r="J262" s="143"/>
      <c r="K262" s="143"/>
      <c r="L262" s="143"/>
      <c r="M262" s="143"/>
      <c r="N262" s="143"/>
      <c r="O262" s="143"/>
      <c r="P262" s="143"/>
      <c r="Q262" s="159"/>
      <c r="R262" s="159"/>
      <c r="S262" s="159"/>
      <c r="T262" s="160"/>
      <c r="U262" s="143"/>
      <c r="V262" s="30"/>
      <c r="W262" s="143"/>
      <c r="X262" s="143"/>
      <c r="Y262" s="143"/>
      <c r="Z262" s="143"/>
    </row>
    <row r="263" ht="13.5" customHeight="1">
      <c r="A263" s="143"/>
      <c r="B263" s="143"/>
      <c r="C263" s="143"/>
      <c r="D263" s="143"/>
      <c r="E263" s="143"/>
      <c r="F263" s="143"/>
      <c r="G263" s="143"/>
      <c r="H263" s="143"/>
      <c r="I263" s="143"/>
      <c r="J263" s="143"/>
      <c r="K263" s="143"/>
      <c r="L263" s="143"/>
      <c r="M263" s="143"/>
      <c r="N263" s="143"/>
      <c r="O263" s="143"/>
      <c r="P263" s="143"/>
      <c r="Q263" s="159"/>
      <c r="R263" s="159"/>
      <c r="S263" s="159"/>
      <c r="T263" s="160"/>
      <c r="U263" s="143"/>
      <c r="V263" s="30"/>
      <c r="W263" s="143"/>
      <c r="X263" s="143"/>
      <c r="Y263" s="143"/>
      <c r="Z263" s="143"/>
    </row>
    <row r="264" ht="13.5" customHeight="1">
      <c r="A264" s="143"/>
      <c r="B264" s="143"/>
      <c r="C264" s="143"/>
      <c r="D264" s="143"/>
      <c r="E264" s="143"/>
      <c r="F264" s="143"/>
      <c r="G264" s="143"/>
      <c r="H264" s="143"/>
      <c r="I264" s="143"/>
      <c r="J264" s="143"/>
      <c r="K264" s="143"/>
      <c r="L264" s="143"/>
      <c r="M264" s="143"/>
      <c r="N264" s="143"/>
      <c r="O264" s="143"/>
      <c r="P264" s="143"/>
      <c r="Q264" s="159"/>
      <c r="R264" s="159"/>
      <c r="S264" s="159"/>
      <c r="T264" s="160"/>
      <c r="U264" s="143"/>
      <c r="V264" s="30"/>
      <c r="W264" s="143"/>
      <c r="X264" s="143"/>
      <c r="Y264" s="143"/>
      <c r="Z264" s="143"/>
    </row>
    <row r="265" ht="13.5" customHeight="1">
      <c r="A265" s="143"/>
      <c r="B265" s="143"/>
      <c r="C265" s="143"/>
      <c r="D265" s="143"/>
      <c r="E265" s="143"/>
      <c r="F265" s="143"/>
      <c r="G265" s="143"/>
      <c r="H265" s="143"/>
      <c r="I265" s="143"/>
      <c r="J265" s="143"/>
      <c r="K265" s="143"/>
      <c r="L265" s="143"/>
      <c r="M265" s="143"/>
      <c r="N265" s="143"/>
      <c r="O265" s="143"/>
      <c r="P265" s="143"/>
      <c r="Q265" s="159"/>
      <c r="R265" s="159"/>
      <c r="S265" s="159"/>
      <c r="T265" s="160"/>
      <c r="U265" s="143"/>
      <c r="V265" s="30"/>
      <c r="W265" s="143"/>
      <c r="X265" s="143"/>
      <c r="Y265" s="143"/>
      <c r="Z265" s="143"/>
    </row>
    <row r="266" ht="13.5" customHeight="1">
      <c r="A266" s="143"/>
      <c r="B266" s="143"/>
      <c r="C266" s="143"/>
      <c r="D266" s="143"/>
      <c r="E266" s="143"/>
      <c r="F266" s="143"/>
      <c r="G266" s="143"/>
      <c r="H266" s="143"/>
      <c r="I266" s="143"/>
      <c r="J266" s="143"/>
      <c r="K266" s="143"/>
      <c r="L266" s="143"/>
      <c r="M266" s="143"/>
      <c r="N266" s="143"/>
      <c r="O266" s="143"/>
      <c r="P266" s="143"/>
      <c r="Q266" s="159"/>
      <c r="R266" s="159"/>
      <c r="S266" s="159"/>
      <c r="T266" s="160"/>
      <c r="U266" s="143"/>
      <c r="V266" s="30"/>
      <c r="W266" s="143"/>
      <c r="X266" s="143"/>
      <c r="Y266" s="143"/>
      <c r="Z266" s="143"/>
    </row>
    <row r="267" ht="13.5" customHeight="1">
      <c r="A267" s="143"/>
      <c r="B267" s="143"/>
      <c r="C267" s="143"/>
      <c r="D267" s="143"/>
      <c r="E267" s="143"/>
      <c r="F267" s="143"/>
      <c r="G267" s="143"/>
      <c r="H267" s="143"/>
      <c r="I267" s="143"/>
      <c r="J267" s="143"/>
      <c r="K267" s="143"/>
      <c r="L267" s="143"/>
      <c r="M267" s="143"/>
      <c r="N267" s="143"/>
      <c r="O267" s="143"/>
      <c r="P267" s="143"/>
      <c r="Q267" s="159"/>
      <c r="R267" s="159"/>
      <c r="S267" s="159"/>
      <c r="T267" s="160"/>
      <c r="U267" s="143"/>
      <c r="V267" s="30"/>
      <c r="W267" s="143"/>
      <c r="X267" s="143"/>
      <c r="Y267" s="143"/>
      <c r="Z267" s="143"/>
    </row>
    <row r="268" ht="13.5" customHeight="1">
      <c r="A268" s="143"/>
      <c r="B268" s="143"/>
      <c r="C268" s="143"/>
      <c r="D268" s="143"/>
      <c r="E268" s="143"/>
      <c r="F268" s="143"/>
      <c r="G268" s="143"/>
      <c r="H268" s="143"/>
      <c r="I268" s="143"/>
      <c r="J268" s="143"/>
      <c r="K268" s="143"/>
      <c r="L268" s="143"/>
      <c r="M268" s="143"/>
      <c r="N268" s="143"/>
      <c r="O268" s="143"/>
      <c r="P268" s="143"/>
      <c r="Q268" s="159"/>
      <c r="R268" s="159"/>
      <c r="S268" s="159"/>
      <c r="T268" s="160"/>
      <c r="U268" s="143"/>
      <c r="V268" s="30"/>
      <c r="W268" s="143"/>
      <c r="X268" s="143"/>
      <c r="Y268" s="143"/>
      <c r="Z268" s="143"/>
    </row>
    <row r="269" ht="13.5" customHeight="1">
      <c r="A269" s="143"/>
      <c r="B269" s="143"/>
      <c r="C269" s="143"/>
      <c r="D269" s="143"/>
      <c r="E269" s="143"/>
      <c r="F269" s="143"/>
      <c r="G269" s="143"/>
      <c r="H269" s="143"/>
      <c r="I269" s="143"/>
      <c r="J269" s="143"/>
      <c r="K269" s="143"/>
      <c r="L269" s="143"/>
      <c r="M269" s="143"/>
      <c r="N269" s="143"/>
      <c r="O269" s="143"/>
      <c r="P269" s="143"/>
      <c r="Q269" s="159"/>
      <c r="R269" s="159"/>
      <c r="S269" s="159"/>
      <c r="T269" s="160"/>
      <c r="U269" s="143"/>
      <c r="V269" s="30"/>
      <c r="W269" s="143"/>
      <c r="X269" s="143"/>
      <c r="Y269" s="143"/>
      <c r="Z269" s="143"/>
    </row>
    <row r="270" ht="13.5" customHeight="1">
      <c r="A270" s="143"/>
      <c r="B270" s="143"/>
      <c r="C270" s="143"/>
      <c r="D270" s="143"/>
      <c r="E270" s="143"/>
      <c r="F270" s="143"/>
      <c r="G270" s="143"/>
      <c r="H270" s="143"/>
      <c r="I270" s="143"/>
      <c r="J270" s="143"/>
      <c r="K270" s="143"/>
      <c r="L270" s="143"/>
      <c r="M270" s="143"/>
      <c r="N270" s="143"/>
      <c r="O270" s="143"/>
      <c r="P270" s="143"/>
      <c r="Q270" s="159"/>
      <c r="R270" s="159"/>
      <c r="S270" s="159"/>
      <c r="T270" s="160"/>
      <c r="U270" s="143"/>
      <c r="V270" s="30"/>
      <c r="W270" s="143"/>
      <c r="X270" s="143"/>
      <c r="Y270" s="143"/>
      <c r="Z270" s="143"/>
    </row>
    <row r="271" ht="13.5" customHeight="1">
      <c r="A271" s="143"/>
      <c r="B271" s="143"/>
      <c r="C271" s="143"/>
      <c r="D271" s="143"/>
      <c r="E271" s="143"/>
      <c r="F271" s="143"/>
      <c r="G271" s="143"/>
      <c r="H271" s="143"/>
      <c r="I271" s="143"/>
      <c r="J271" s="143"/>
      <c r="K271" s="143"/>
      <c r="L271" s="143"/>
      <c r="M271" s="143"/>
      <c r="N271" s="143"/>
      <c r="O271" s="143"/>
      <c r="P271" s="143"/>
      <c r="Q271" s="159"/>
      <c r="R271" s="159"/>
      <c r="S271" s="159"/>
      <c r="T271" s="160"/>
      <c r="U271" s="143"/>
      <c r="V271" s="30"/>
      <c r="W271" s="143"/>
      <c r="X271" s="143"/>
      <c r="Y271" s="143"/>
      <c r="Z271" s="143"/>
    </row>
    <row r="272" ht="13.5" customHeight="1">
      <c r="A272" s="143"/>
      <c r="B272" s="143"/>
      <c r="C272" s="143"/>
      <c r="D272" s="143"/>
      <c r="E272" s="143"/>
      <c r="F272" s="143"/>
      <c r="G272" s="143"/>
      <c r="H272" s="143"/>
      <c r="I272" s="143"/>
      <c r="J272" s="143"/>
      <c r="K272" s="143"/>
      <c r="L272" s="143"/>
      <c r="M272" s="143"/>
      <c r="N272" s="143"/>
      <c r="O272" s="143"/>
      <c r="P272" s="143"/>
      <c r="Q272" s="159"/>
      <c r="R272" s="159"/>
      <c r="S272" s="159"/>
      <c r="T272" s="160"/>
      <c r="U272" s="143"/>
      <c r="V272" s="30"/>
      <c r="W272" s="143"/>
      <c r="X272" s="143"/>
      <c r="Y272" s="143"/>
      <c r="Z272" s="143"/>
    </row>
    <row r="273" ht="13.5" customHeight="1">
      <c r="A273" s="143"/>
      <c r="B273" s="143"/>
      <c r="C273" s="143"/>
      <c r="D273" s="143"/>
      <c r="E273" s="143"/>
      <c r="F273" s="143"/>
      <c r="G273" s="143"/>
      <c r="H273" s="143"/>
      <c r="I273" s="143"/>
      <c r="J273" s="143"/>
      <c r="K273" s="143"/>
      <c r="L273" s="143"/>
      <c r="M273" s="143"/>
      <c r="N273" s="143"/>
      <c r="O273" s="143"/>
      <c r="P273" s="143"/>
      <c r="Q273" s="159"/>
      <c r="R273" s="159"/>
      <c r="S273" s="159"/>
      <c r="T273" s="160"/>
      <c r="U273" s="143"/>
      <c r="V273" s="30"/>
      <c r="W273" s="143"/>
      <c r="X273" s="143"/>
      <c r="Y273" s="143"/>
      <c r="Z273" s="143"/>
    </row>
    <row r="274" ht="13.5" customHeight="1">
      <c r="A274" s="143"/>
      <c r="B274" s="143"/>
      <c r="C274" s="143"/>
      <c r="D274" s="143"/>
      <c r="E274" s="143"/>
      <c r="F274" s="143"/>
      <c r="G274" s="143"/>
      <c r="H274" s="143"/>
      <c r="I274" s="143"/>
      <c r="J274" s="143"/>
      <c r="K274" s="143"/>
      <c r="L274" s="143"/>
      <c r="M274" s="143"/>
      <c r="N274" s="143"/>
      <c r="O274" s="143"/>
      <c r="P274" s="143"/>
      <c r="Q274" s="159"/>
      <c r="R274" s="159"/>
      <c r="S274" s="159"/>
      <c r="T274" s="160"/>
      <c r="U274" s="143"/>
      <c r="V274" s="30"/>
      <c r="W274" s="143"/>
      <c r="X274" s="143"/>
      <c r="Y274" s="143"/>
      <c r="Z274" s="143"/>
    </row>
    <row r="275" ht="13.5" customHeight="1">
      <c r="A275" s="143"/>
      <c r="B275" s="143"/>
      <c r="C275" s="143"/>
      <c r="D275" s="143"/>
      <c r="E275" s="143"/>
      <c r="F275" s="143"/>
      <c r="G275" s="143"/>
      <c r="H275" s="143"/>
      <c r="I275" s="143"/>
      <c r="J275" s="143"/>
      <c r="K275" s="143"/>
      <c r="L275" s="143"/>
      <c r="M275" s="143"/>
      <c r="N275" s="143"/>
      <c r="O275" s="143"/>
      <c r="P275" s="143"/>
      <c r="Q275" s="159"/>
      <c r="R275" s="159"/>
      <c r="S275" s="159"/>
      <c r="T275" s="160"/>
      <c r="U275" s="143"/>
      <c r="V275" s="30"/>
      <c r="W275" s="143"/>
      <c r="X275" s="143"/>
      <c r="Y275" s="143"/>
      <c r="Z275" s="143"/>
    </row>
    <row r="276" ht="13.5" customHeight="1">
      <c r="A276" s="143"/>
      <c r="B276" s="143"/>
      <c r="C276" s="143"/>
      <c r="D276" s="143"/>
      <c r="E276" s="143"/>
      <c r="F276" s="143"/>
      <c r="G276" s="143"/>
      <c r="H276" s="143"/>
      <c r="I276" s="143"/>
      <c r="J276" s="143"/>
      <c r="K276" s="143"/>
      <c r="L276" s="143"/>
      <c r="M276" s="143"/>
      <c r="N276" s="143"/>
      <c r="O276" s="143"/>
      <c r="P276" s="143"/>
      <c r="Q276" s="159"/>
      <c r="R276" s="159"/>
      <c r="S276" s="159"/>
      <c r="T276" s="160"/>
      <c r="U276" s="143"/>
      <c r="V276" s="30"/>
      <c r="W276" s="143"/>
      <c r="X276" s="143"/>
      <c r="Y276" s="143"/>
      <c r="Z276" s="143"/>
    </row>
    <row r="277" ht="13.5" customHeight="1">
      <c r="A277" s="143"/>
      <c r="B277" s="143"/>
      <c r="C277" s="143"/>
      <c r="D277" s="143"/>
      <c r="E277" s="143"/>
      <c r="F277" s="143"/>
      <c r="G277" s="143"/>
      <c r="H277" s="143"/>
      <c r="I277" s="143"/>
      <c r="J277" s="143"/>
      <c r="K277" s="143"/>
      <c r="L277" s="143"/>
      <c r="M277" s="143"/>
      <c r="N277" s="143"/>
      <c r="O277" s="143"/>
      <c r="P277" s="143"/>
      <c r="Q277" s="159"/>
      <c r="R277" s="159"/>
      <c r="S277" s="159"/>
      <c r="T277" s="160"/>
      <c r="U277" s="143"/>
      <c r="V277" s="30"/>
      <c r="W277" s="143"/>
      <c r="X277" s="143"/>
      <c r="Y277" s="143"/>
      <c r="Z277" s="143"/>
    </row>
    <row r="278" ht="13.5" customHeight="1">
      <c r="A278" s="143"/>
      <c r="B278" s="143"/>
      <c r="C278" s="143"/>
      <c r="D278" s="143"/>
      <c r="E278" s="143"/>
      <c r="F278" s="143"/>
      <c r="G278" s="143"/>
      <c r="H278" s="143"/>
      <c r="I278" s="143"/>
      <c r="J278" s="143"/>
      <c r="K278" s="143"/>
      <c r="L278" s="143"/>
      <c r="M278" s="143"/>
      <c r="N278" s="143"/>
      <c r="O278" s="143"/>
      <c r="P278" s="143"/>
      <c r="Q278" s="159"/>
      <c r="R278" s="159"/>
      <c r="S278" s="159"/>
      <c r="T278" s="160"/>
      <c r="U278" s="143"/>
      <c r="V278" s="30"/>
      <c r="W278" s="143"/>
      <c r="X278" s="143"/>
      <c r="Y278" s="143"/>
      <c r="Z278" s="143"/>
    </row>
    <row r="279" ht="13.5" customHeight="1">
      <c r="A279" s="143"/>
      <c r="B279" s="143"/>
      <c r="C279" s="143"/>
      <c r="D279" s="143"/>
      <c r="E279" s="143"/>
      <c r="F279" s="143"/>
      <c r="G279" s="143"/>
      <c r="H279" s="143"/>
      <c r="I279" s="143"/>
      <c r="J279" s="143"/>
      <c r="K279" s="143"/>
      <c r="L279" s="143"/>
      <c r="M279" s="143"/>
      <c r="N279" s="143"/>
      <c r="O279" s="143"/>
      <c r="P279" s="143"/>
      <c r="Q279" s="159"/>
      <c r="R279" s="159"/>
      <c r="S279" s="159"/>
      <c r="T279" s="160"/>
      <c r="U279" s="143"/>
      <c r="V279" s="30"/>
      <c r="W279" s="143"/>
      <c r="X279" s="143"/>
      <c r="Y279" s="143"/>
      <c r="Z279" s="143"/>
    </row>
    <row r="280" ht="13.5" customHeight="1">
      <c r="A280" s="143"/>
      <c r="B280" s="143"/>
      <c r="C280" s="143"/>
      <c r="D280" s="143"/>
      <c r="E280" s="143"/>
      <c r="F280" s="143"/>
      <c r="G280" s="143"/>
      <c r="H280" s="143"/>
      <c r="I280" s="143"/>
      <c r="J280" s="143"/>
      <c r="K280" s="143"/>
      <c r="L280" s="143"/>
      <c r="M280" s="143"/>
      <c r="N280" s="143"/>
      <c r="O280" s="143"/>
      <c r="P280" s="143"/>
      <c r="Q280" s="159"/>
      <c r="R280" s="159"/>
      <c r="S280" s="159"/>
      <c r="T280" s="160"/>
      <c r="U280" s="143"/>
      <c r="V280" s="30"/>
      <c r="W280" s="143"/>
      <c r="X280" s="143"/>
      <c r="Y280" s="143"/>
      <c r="Z280" s="143"/>
    </row>
    <row r="281" ht="13.5" customHeight="1">
      <c r="A281" s="143"/>
      <c r="B281" s="143"/>
      <c r="C281" s="143"/>
      <c r="D281" s="143"/>
      <c r="E281" s="143"/>
      <c r="F281" s="143"/>
      <c r="G281" s="143"/>
      <c r="H281" s="143"/>
      <c r="I281" s="143"/>
      <c r="J281" s="143"/>
      <c r="K281" s="143"/>
      <c r="L281" s="143"/>
      <c r="M281" s="143"/>
      <c r="N281" s="143"/>
      <c r="O281" s="143"/>
      <c r="P281" s="143"/>
      <c r="Q281" s="159"/>
      <c r="R281" s="159"/>
      <c r="S281" s="159"/>
      <c r="T281" s="160"/>
      <c r="U281" s="143"/>
      <c r="V281" s="30"/>
      <c r="W281" s="143"/>
      <c r="X281" s="143"/>
      <c r="Y281" s="143"/>
      <c r="Z281" s="143"/>
    </row>
    <row r="282" ht="13.5" customHeight="1">
      <c r="A282" s="143"/>
      <c r="B282" s="143"/>
      <c r="C282" s="143"/>
      <c r="D282" s="143"/>
      <c r="E282" s="143"/>
      <c r="F282" s="143"/>
      <c r="G282" s="143"/>
      <c r="H282" s="143"/>
      <c r="I282" s="143"/>
      <c r="J282" s="143"/>
      <c r="K282" s="143"/>
      <c r="L282" s="143"/>
      <c r="M282" s="143"/>
      <c r="N282" s="143"/>
      <c r="O282" s="143"/>
      <c r="P282" s="143"/>
      <c r="Q282" s="159"/>
      <c r="R282" s="159"/>
      <c r="S282" s="159"/>
      <c r="T282" s="160"/>
      <c r="U282" s="143"/>
      <c r="V282" s="30"/>
      <c r="W282" s="143"/>
      <c r="X282" s="143"/>
      <c r="Y282" s="143"/>
      <c r="Z282" s="143"/>
    </row>
    <row r="283" ht="13.5" customHeight="1">
      <c r="A283" s="143"/>
      <c r="B283" s="143"/>
      <c r="C283" s="143"/>
      <c r="D283" s="143"/>
      <c r="E283" s="143"/>
      <c r="F283" s="143"/>
      <c r="G283" s="143"/>
      <c r="H283" s="143"/>
      <c r="I283" s="143"/>
      <c r="J283" s="143"/>
      <c r="K283" s="143"/>
      <c r="L283" s="143"/>
      <c r="M283" s="143"/>
      <c r="N283" s="143"/>
      <c r="O283" s="143"/>
      <c r="P283" s="143"/>
      <c r="Q283" s="159"/>
      <c r="R283" s="159"/>
      <c r="S283" s="159"/>
      <c r="T283" s="160"/>
      <c r="U283" s="143"/>
      <c r="V283" s="30"/>
      <c r="W283" s="143"/>
      <c r="X283" s="143"/>
      <c r="Y283" s="143"/>
      <c r="Z283" s="143"/>
    </row>
    <row r="284" ht="13.5" customHeight="1">
      <c r="A284" s="143"/>
      <c r="B284" s="143"/>
      <c r="C284" s="143"/>
      <c r="D284" s="143"/>
      <c r="E284" s="143"/>
      <c r="F284" s="143"/>
      <c r="G284" s="143"/>
      <c r="H284" s="143"/>
      <c r="I284" s="143"/>
      <c r="J284" s="143"/>
      <c r="K284" s="143"/>
      <c r="L284" s="143"/>
      <c r="M284" s="143"/>
      <c r="N284" s="143"/>
      <c r="O284" s="143"/>
      <c r="P284" s="143"/>
      <c r="Q284" s="159"/>
      <c r="R284" s="159"/>
      <c r="S284" s="159"/>
      <c r="T284" s="160"/>
      <c r="U284" s="143"/>
      <c r="V284" s="30"/>
      <c r="W284" s="143"/>
      <c r="X284" s="143"/>
      <c r="Y284" s="143"/>
      <c r="Z284" s="143"/>
    </row>
    <row r="285" ht="13.5" customHeight="1">
      <c r="A285" s="143"/>
      <c r="B285" s="143"/>
      <c r="C285" s="143"/>
      <c r="D285" s="143"/>
      <c r="E285" s="143"/>
      <c r="F285" s="143"/>
      <c r="G285" s="143"/>
      <c r="H285" s="143"/>
      <c r="I285" s="143"/>
      <c r="J285" s="143"/>
      <c r="K285" s="143"/>
      <c r="L285" s="143"/>
      <c r="M285" s="143"/>
      <c r="N285" s="143"/>
      <c r="O285" s="143"/>
      <c r="P285" s="143"/>
      <c r="Q285" s="159"/>
      <c r="R285" s="159"/>
      <c r="S285" s="159"/>
      <c r="T285" s="160"/>
      <c r="U285" s="143"/>
      <c r="V285" s="30"/>
      <c r="W285" s="143"/>
      <c r="X285" s="143"/>
      <c r="Y285" s="143"/>
      <c r="Z285" s="143"/>
    </row>
    <row r="286" ht="13.5" customHeight="1">
      <c r="A286" s="143"/>
      <c r="B286" s="143"/>
      <c r="C286" s="143"/>
      <c r="D286" s="143"/>
      <c r="E286" s="143"/>
      <c r="F286" s="143"/>
      <c r="G286" s="143"/>
      <c r="H286" s="143"/>
      <c r="I286" s="143"/>
      <c r="J286" s="143"/>
      <c r="K286" s="143"/>
      <c r="L286" s="143"/>
      <c r="M286" s="143"/>
      <c r="N286" s="143"/>
      <c r="O286" s="143"/>
      <c r="P286" s="143"/>
      <c r="Q286" s="159"/>
      <c r="R286" s="159"/>
      <c r="S286" s="159"/>
      <c r="T286" s="160"/>
      <c r="U286" s="143"/>
      <c r="V286" s="30"/>
      <c r="W286" s="143"/>
      <c r="X286" s="143"/>
      <c r="Y286" s="143"/>
      <c r="Z286" s="143"/>
    </row>
    <row r="287" ht="13.5" customHeight="1">
      <c r="A287" s="143"/>
      <c r="B287" s="143"/>
      <c r="C287" s="143"/>
      <c r="D287" s="143"/>
      <c r="E287" s="143"/>
      <c r="F287" s="143"/>
      <c r="G287" s="143"/>
      <c r="H287" s="143"/>
      <c r="I287" s="143"/>
      <c r="J287" s="143"/>
      <c r="K287" s="143"/>
      <c r="L287" s="143"/>
      <c r="M287" s="143"/>
      <c r="N287" s="143"/>
      <c r="O287" s="143"/>
      <c r="P287" s="143"/>
      <c r="Q287" s="159"/>
      <c r="R287" s="159"/>
      <c r="S287" s="159"/>
      <c r="T287" s="160"/>
      <c r="U287" s="143"/>
      <c r="V287" s="30"/>
      <c r="W287" s="143"/>
      <c r="X287" s="143"/>
      <c r="Y287" s="143"/>
      <c r="Z287" s="143"/>
    </row>
    <row r="288" ht="13.5" customHeight="1">
      <c r="A288" s="143"/>
      <c r="B288" s="143"/>
      <c r="C288" s="143"/>
      <c r="D288" s="143"/>
      <c r="E288" s="143"/>
      <c r="F288" s="143"/>
      <c r="G288" s="143"/>
      <c r="H288" s="143"/>
      <c r="I288" s="143"/>
      <c r="J288" s="143"/>
      <c r="K288" s="143"/>
      <c r="L288" s="143"/>
      <c r="M288" s="143"/>
      <c r="N288" s="143"/>
      <c r="O288" s="143"/>
      <c r="P288" s="143"/>
      <c r="Q288" s="159"/>
      <c r="R288" s="159"/>
      <c r="S288" s="159"/>
      <c r="T288" s="160"/>
      <c r="U288" s="143"/>
      <c r="V288" s="30"/>
      <c r="W288" s="143"/>
      <c r="X288" s="143"/>
      <c r="Y288" s="143"/>
      <c r="Z288" s="143"/>
    </row>
    <row r="289" ht="13.5" customHeight="1">
      <c r="A289" s="143"/>
      <c r="B289" s="143"/>
      <c r="C289" s="143"/>
      <c r="D289" s="143"/>
      <c r="E289" s="143"/>
      <c r="F289" s="143"/>
      <c r="G289" s="143"/>
      <c r="H289" s="143"/>
      <c r="I289" s="143"/>
      <c r="J289" s="143"/>
      <c r="K289" s="143"/>
      <c r="L289" s="143"/>
      <c r="M289" s="143"/>
      <c r="N289" s="143"/>
      <c r="O289" s="143"/>
      <c r="P289" s="143"/>
      <c r="Q289" s="159"/>
      <c r="R289" s="159"/>
      <c r="S289" s="159"/>
      <c r="T289" s="160"/>
      <c r="U289" s="143"/>
      <c r="V289" s="30"/>
      <c r="W289" s="143"/>
      <c r="X289" s="143"/>
      <c r="Y289" s="143"/>
      <c r="Z289" s="143"/>
    </row>
    <row r="290" ht="13.5" customHeight="1">
      <c r="A290" s="143"/>
      <c r="B290" s="143"/>
      <c r="C290" s="143"/>
      <c r="D290" s="143"/>
      <c r="E290" s="143"/>
      <c r="F290" s="143"/>
      <c r="G290" s="143"/>
      <c r="H290" s="143"/>
      <c r="I290" s="143"/>
      <c r="J290" s="143"/>
      <c r="K290" s="143"/>
      <c r="L290" s="143"/>
      <c r="M290" s="143"/>
      <c r="N290" s="143"/>
      <c r="O290" s="143"/>
      <c r="P290" s="143"/>
      <c r="Q290" s="159"/>
      <c r="R290" s="159"/>
      <c r="S290" s="159"/>
      <c r="T290" s="160"/>
      <c r="U290" s="143"/>
      <c r="V290" s="30"/>
      <c r="W290" s="143"/>
      <c r="X290" s="143"/>
      <c r="Y290" s="143"/>
      <c r="Z290" s="143"/>
    </row>
    <row r="291" ht="13.5" customHeight="1">
      <c r="A291" s="143"/>
      <c r="B291" s="143"/>
      <c r="C291" s="143"/>
      <c r="D291" s="143"/>
      <c r="E291" s="143"/>
      <c r="F291" s="143"/>
      <c r="G291" s="143"/>
      <c r="H291" s="143"/>
      <c r="I291" s="143"/>
      <c r="J291" s="143"/>
      <c r="K291" s="143"/>
      <c r="L291" s="143"/>
      <c r="M291" s="143"/>
      <c r="N291" s="143"/>
      <c r="O291" s="143"/>
      <c r="P291" s="143"/>
      <c r="Q291" s="159"/>
      <c r="R291" s="159"/>
      <c r="S291" s="159"/>
      <c r="T291" s="160"/>
      <c r="U291" s="143"/>
      <c r="V291" s="30"/>
      <c r="W291" s="143"/>
      <c r="X291" s="143"/>
      <c r="Y291" s="143"/>
      <c r="Z291" s="143"/>
    </row>
    <row r="292" ht="13.5" customHeight="1">
      <c r="A292" s="143"/>
      <c r="B292" s="143"/>
      <c r="C292" s="143"/>
      <c r="D292" s="143"/>
      <c r="E292" s="143"/>
      <c r="F292" s="143"/>
      <c r="G292" s="143"/>
      <c r="H292" s="143"/>
      <c r="I292" s="143"/>
      <c r="J292" s="143"/>
      <c r="K292" s="143"/>
      <c r="L292" s="143"/>
      <c r="M292" s="143"/>
      <c r="N292" s="143"/>
      <c r="O292" s="143"/>
      <c r="P292" s="143"/>
      <c r="Q292" s="159"/>
      <c r="R292" s="159"/>
      <c r="S292" s="159"/>
      <c r="T292" s="160"/>
      <c r="U292" s="143"/>
      <c r="V292" s="30"/>
      <c r="W292" s="143"/>
      <c r="X292" s="143"/>
      <c r="Y292" s="143"/>
      <c r="Z292" s="143"/>
    </row>
    <row r="293" ht="13.5" customHeight="1">
      <c r="A293" s="2"/>
      <c r="B293" s="2"/>
      <c r="C293" s="2"/>
      <c r="D293" s="2"/>
      <c r="E293" s="2"/>
      <c r="F293" s="2"/>
      <c r="G293" s="2"/>
      <c r="H293" s="2"/>
      <c r="I293" s="2"/>
      <c r="J293" s="2"/>
      <c r="K293" s="2"/>
      <c r="L293" s="2"/>
      <c r="M293" s="2"/>
      <c r="N293" s="2"/>
      <c r="O293" s="2"/>
      <c r="P293" s="2"/>
      <c r="Q293" s="157"/>
      <c r="R293" s="157"/>
      <c r="S293" s="157"/>
      <c r="T293" s="158"/>
      <c r="U293" s="2"/>
      <c r="V293" s="30"/>
      <c r="W293" s="2"/>
      <c r="X293" s="2"/>
      <c r="Y293" s="2"/>
      <c r="Z293" s="2"/>
    </row>
    <row r="294" ht="13.5" customHeight="1">
      <c r="A294" s="2"/>
      <c r="B294" s="2"/>
      <c r="C294" s="2"/>
      <c r="D294" s="2"/>
      <c r="E294" s="2"/>
      <c r="F294" s="2"/>
      <c r="G294" s="2"/>
      <c r="H294" s="2"/>
      <c r="I294" s="2"/>
      <c r="J294" s="2"/>
      <c r="K294" s="2"/>
      <c r="L294" s="2"/>
      <c r="M294" s="2"/>
      <c r="N294" s="2"/>
      <c r="O294" s="2"/>
      <c r="P294" s="2"/>
      <c r="Q294" s="157"/>
      <c r="R294" s="157"/>
      <c r="S294" s="157"/>
      <c r="T294" s="158"/>
      <c r="U294" s="2"/>
      <c r="V294" s="30"/>
      <c r="W294" s="2"/>
      <c r="X294" s="2"/>
      <c r="Y294" s="2"/>
      <c r="Z294" s="2"/>
    </row>
    <row r="295" ht="13.5" customHeight="1">
      <c r="A295" s="2"/>
      <c r="B295" s="2"/>
      <c r="C295" s="2"/>
      <c r="D295" s="2"/>
      <c r="E295" s="2"/>
      <c r="F295" s="2"/>
      <c r="G295" s="2"/>
      <c r="H295" s="2"/>
      <c r="I295" s="2"/>
      <c r="J295" s="2"/>
      <c r="K295" s="2"/>
      <c r="L295" s="2"/>
      <c r="M295" s="2"/>
      <c r="N295" s="2"/>
      <c r="O295" s="2"/>
      <c r="P295" s="2"/>
      <c r="Q295" s="157"/>
      <c r="R295" s="157"/>
      <c r="S295" s="157"/>
      <c r="T295" s="158"/>
      <c r="U295" s="2"/>
      <c r="V295" s="30"/>
      <c r="W295" s="2"/>
      <c r="X295" s="2"/>
      <c r="Y295" s="2"/>
      <c r="Z295" s="2"/>
    </row>
    <row r="296" ht="13.5" customHeight="1">
      <c r="A296" s="2"/>
      <c r="B296" s="2"/>
      <c r="C296" s="2"/>
      <c r="D296" s="2"/>
      <c r="E296" s="2"/>
      <c r="F296" s="2"/>
      <c r="G296" s="2"/>
      <c r="H296" s="2"/>
      <c r="I296" s="2"/>
      <c r="J296" s="2"/>
      <c r="K296" s="2"/>
      <c r="L296" s="2"/>
      <c r="M296" s="2"/>
      <c r="N296" s="2"/>
      <c r="O296" s="2"/>
      <c r="P296" s="2"/>
      <c r="Q296" s="157"/>
      <c r="R296" s="157"/>
      <c r="S296" s="157"/>
      <c r="T296" s="158"/>
      <c r="U296" s="2"/>
      <c r="V296" s="30"/>
      <c r="W296" s="2"/>
      <c r="X296" s="2"/>
      <c r="Y296" s="2"/>
      <c r="Z296" s="2"/>
    </row>
    <row r="297" ht="13.5" customHeight="1">
      <c r="A297" s="2"/>
      <c r="B297" s="2"/>
      <c r="C297" s="2"/>
      <c r="D297" s="2"/>
      <c r="E297" s="2"/>
      <c r="F297" s="2"/>
      <c r="G297" s="2"/>
      <c r="H297" s="2"/>
      <c r="I297" s="2"/>
      <c r="J297" s="2"/>
      <c r="K297" s="2"/>
      <c r="L297" s="2"/>
      <c r="M297" s="2"/>
      <c r="N297" s="2"/>
      <c r="O297" s="2"/>
      <c r="P297" s="2"/>
      <c r="Q297" s="157"/>
      <c r="R297" s="157"/>
      <c r="S297" s="157"/>
      <c r="T297" s="158"/>
      <c r="U297" s="2"/>
      <c r="V297" s="30"/>
      <c r="W297" s="2"/>
      <c r="X297" s="2"/>
      <c r="Y297" s="2"/>
      <c r="Z297" s="2"/>
    </row>
    <row r="298" ht="13.5" customHeight="1">
      <c r="A298" s="2"/>
      <c r="B298" s="2"/>
      <c r="C298" s="2"/>
      <c r="D298" s="2"/>
      <c r="E298" s="2"/>
      <c r="F298" s="2"/>
      <c r="G298" s="2"/>
      <c r="H298" s="2"/>
      <c r="I298" s="2"/>
      <c r="J298" s="2"/>
      <c r="K298" s="2"/>
      <c r="L298" s="2"/>
      <c r="M298" s="2"/>
      <c r="N298" s="2"/>
      <c r="O298" s="2"/>
      <c r="P298" s="2"/>
      <c r="Q298" s="157"/>
      <c r="R298" s="157"/>
      <c r="S298" s="157"/>
      <c r="T298" s="158"/>
      <c r="U298" s="2"/>
      <c r="V298" s="30"/>
      <c r="W298" s="2"/>
      <c r="X298" s="2"/>
      <c r="Y298" s="2"/>
      <c r="Z298" s="2"/>
    </row>
    <row r="299" ht="13.5" customHeight="1">
      <c r="A299" s="2"/>
      <c r="B299" s="2"/>
      <c r="C299" s="2"/>
      <c r="D299" s="2"/>
      <c r="E299" s="2"/>
      <c r="F299" s="2"/>
      <c r="G299" s="2"/>
      <c r="H299" s="2"/>
      <c r="I299" s="2"/>
      <c r="J299" s="2"/>
      <c r="K299" s="2"/>
      <c r="L299" s="2"/>
      <c r="M299" s="2"/>
      <c r="N299" s="2"/>
      <c r="O299" s="2"/>
      <c r="P299" s="2"/>
      <c r="Q299" s="157"/>
      <c r="R299" s="157"/>
      <c r="S299" s="157"/>
      <c r="T299" s="158"/>
      <c r="U299" s="2"/>
      <c r="V299" s="30"/>
      <c r="W299" s="2"/>
      <c r="X299" s="2"/>
      <c r="Y299" s="2"/>
      <c r="Z299" s="2"/>
    </row>
    <row r="300" ht="13.5" customHeight="1">
      <c r="A300" s="2"/>
      <c r="B300" s="2"/>
      <c r="C300" s="2"/>
      <c r="D300" s="2"/>
      <c r="E300" s="2"/>
      <c r="F300" s="2"/>
      <c r="G300" s="2"/>
      <c r="H300" s="2"/>
      <c r="I300" s="2"/>
      <c r="J300" s="2"/>
      <c r="K300" s="2"/>
      <c r="L300" s="2"/>
      <c r="M300" s="2"/>
      <c r="N300" s="2"/>
      <c r="O300" s="2"/>
      <c r="P300" s="2"/>
      <c r="Q300" s="157"/>
      <c r="R300" s="157"/>
      <c r="S300" s="157"/>
      <c r="T300" s="158"/>
      <c r="U300" s="2"/>
      <c r="V300" s="30"/>
      <c r="W300" s="2"/>
      <c r="X300" s="2"/>
      <c r="Y300" s="2"/>
      <c r="Z300" s="2"/>
    </row>
    <row r="301" ht="13.5" customHeight="1">
      <c r="A301" s="2"/>
      <c r="B301" s="2"/>
      <c r="C301" s="2"/>
      <c r="D301" s="2"/>
      <c r="E301" s="2"/>
      <c r="F301" s="2"/>
      <c r="G301" s="2"/>
      <c r="H301" s="2"/>
      <c r="I301" s="2"/>
      <c r="J301" s="2"/>
      <c r="K301" s="2"/>
      <c r="L301" s="2"/>
      <c r="M301" s="2"/>
      <c r="N301" s="2"/>
      <c r="O301" s="2"/>
      <c r="P301" s="2"/>
      <c r="Q301" s="157"/>
      <c r="R301" s="157"/>
      <c r="S301" s="157"/>
      <c r="T301" s="158"/>
      <c r="U301" s="2"/>
      <c r="V301" s="30"/>
      <c r="W301" s="2"/>
      <c r="X301" s="2"/>
      <c r="Y301" s="2"/>
      <c r="Z301" s="2"/>
    </row>
    <row r="302" ht="13.5" customHeight="1">
      <c r="A302" s="2"/>
      <c r="B302" s="2"/>
      <c r="C302" s="2"/>
      <c r="D302" s="2"/>
      <c r="E302" s="2"/>
      <c r="F302" s="2"/>
      <c r="G302" s="2"/>
      <c r="H302" s="2"/>
      <c r="I302" s="2"/>
      <c r="J302" s="2"/>
      <c r="K302" s="2"/>
      <c r="L302" s="2"/>
      <c r="M302" s="2"/>
      <c r="N302" s="2"/>
      <c r="O302" s="2"/>
      <c r="P302" s="2"/>
      <c r="Q302" s="157"/>
      <c r="R302" s="157"/>
      <c r="S302" s="157"/>
      <c r="T302" s="158"/>
      <c r="U302" s="2"/>
      <c r="V302" s="30"/>
      <c r="W302" s="2"/>
      <c r="X302" s="2"/>
      <c r="Y302" s="2"/>
      <c r="Z302" s="2"/>
    </row>
    <row r="303" ht="13.5" customHeight="1">
      <c r="A303" s="2"/>
      <c r="B303" s="2"/>
      <c r="C303" s="2"/>
      <c r="D303" s="2"/>
      <c r="E303" s="2"/>
      <c r="F303" s="2"/>
      <c r="G303" s="2"/>
      <c r="H303" s="2"/>
      <c r="I303" s="2"/>
      <c r="J303" s="2"/>
      <c r="K303" s="2"/>
      <c r="L303" s="2"/>
      <c r="M303" s="2"/>
      <c r="N303" s="2"/>
      <c r="O303" s="2"/>
      <c r="P303" s="2"/>
      <c r="Q303" s="157"/>
      <c r="R303" s="157"/>
      <c r="S303" s="157"/>
      <c r="T303" s="158"/>
      <c r="U303" s="2"/>
      <c r="V303" s="30"/>
      <c r="W303" s="2"/>
      <c r="X303" s="2"/>
      <c r="Y303" s="2"/>
      <c r="Z303" s="2"/>
    </row>
    <row r="304" ht="13.5" customHeight="1">
      <c r="A304" s="2"/>
      <c r="B304" s="2"/>
      <c r="C304" s="2"/>
      <c r="D304" s="2"/>
      <c r="E304" s="2"/>
      <c r="F304" s="2"/>
      <c r="G304" s="2"/>
      <c r="H304" s="2"/>
      <c r="I304" s="2"/>
      <c r="J304" s="2"/>
      <c r="K304" s="2"/>
      <c r="L304" s="2"/>
      <c r="M304" s="2"/>
      <c r="N304" s="2"/>
      <c r="O304" s="2"/>
      <c r="P304" s="2"/>
      <c r="Q304" s="157"/>
      <c r="R304" s="157"/>
      <c r="S304" s="157"/>
      <c r="T304" s="158"/>
      <c r="U304" s="2"/>
      <c r="V304" s="30"/>
      <c r="W304" s="2"/>
      <c r="X304" s="2"/>
      <c r="Y304" s="2"/>
      <c r="Z304" s="2"/>
    </row>
    <row r="305" ht="13.5" customHeight="1">
      <c r="A305" s="2"/>
      <c r="B305" s="2"/>
      <c r="C305" s="2"/>
      <c r="D305" s="2"/>
      <c r="E305" s="2"/>
      <c r="F305" s="2"/>
      <c r="G305" s="2"/>
      <c r="H305" s="2"/>
      <c r="I305" s="2"/>
      <c r="J305" s="2"/>
      <c r="K305" s="2"/>
      <c r="L305" s="2"/>
      <c r="M305" s="2"/>
      <c r="N305" s="2"/>
      <c r="O305" s="2"/>
      <c r="P305" s="2"/>
      <c r="Q305" s="157"/>
      <c r="R305" s="157"/>
      <c r="S305" s="157"/>
      <c r="T305" s="158"/>
      <c r="U305" s="2"/>
      <c r="V305" s="30"/>
      <c r="W305" s="2"/>
      <c r="X305" s="2"/>
      <c r="Y305" s="2"/>
      <c r="Z305" s="2"/>
    </row>
    <row r="306" ht="13.5" customHeight="1">
      <c r="A306" s="2"/>
      <c r="B306" s="2"/>
      <c r="C306" s="2"/>
      <c r="D306" s="2"/>
      <c r="E306" s="2"/>
      <c r="F306" s="2"/>
      <c r="G306" s="2"/>
      <c r="H306" s="2"/>
      <c r="I306" s="2"/>
      <c r="J306" s="2"/>
      <c r="K306" s="2"/>
      <c r="L306" s="2"/>
      <c r="M306" s="2"/>
      <c r="N306" s="2"/>
      <c r="O306" s="2"/>
      <c r="P306" s="2"/>
      <c r="Q306" s="157"/>
      <c r="R306" s="157"/>
      <c r="S306" s="157"/>
      <c r="T306" s="158"/>
      <c r="U306" s="2"/>
      <c r="V306" s="30"/>
      <c r="W306" s="2"/>
      <c r="X306" s="2"/>
      <c r="Y306" s="2"/>
      <c r="Z306" s="2"/>
    </row>
    <row r="307" ht="13.5" customHeight="1">
      <c r="A307" s="2"/>
      <c r="B307" s="2"/>
      <c r="C307" s="2"/>
      <c r="D307" s="2"/>
      <c r="E307" s="2"/>
      <c r="F307" s="2"/>
      <c r="G307" s="2"/>
      <c r="H307" s="2"/>
      <c r="I307" s="2"/>
      <c r="J307" s="2"/>
      <c r="K307" s="2"/>
      <c r="L307" s="2"/>
      <c r="M307" s="2"/>
      <c r="N307" s="2"/>
      <c r="O307" s="2"/>
      <c r="P307" s="2"/>
      <c r="Q307" s="157"/>
      <c r="R307" s="157"/>
      <c r="S307" s="157"/>
      <c r="T307" s="158"/>
      <c r="U307" s="2"/>
      <c r="V307" s="30"/>
      <c r="W307" s="2"/>
      <c r="X307" s="2"/>
      <c r="Y307" s="2"/>
      <c r="Z307" s="2"/>
    </row>
    <row r="308" ht="13.5" customHeight="1">
      <c r="A308" s="2"/>
      <c r="B308" s="2"/>
      <c r="C308" s="2"/>
      <c r="D308" s="2"/>
      <c r="E308" s="2"/>
      <c r="F308" s="2"/>
      <c r="G308" s="2"/>
      <c r="H308" s="2"/>
      <c r="I308" s="2"/>
      <c r="J308" s="2"/>
      <c r="K308" s="2"/>
      <c r="L308" s="2"/>
      <c r="M308" s="2"/>
      <c r="N308" s="2"/>
      <c r="O308" s="2"/>
      <c r="P308" s="2"/>
      <c r="Q308" s="157"/>
      <c r="R308" s="157"/>
      <c r="S308" s="157"/>
      <c r="T308" s="158"/>
      <c r="U308" s="2"/>
      <c r="V308" s="30"/>
      <c r="W308" s="2"/>
      <c r="X308" s="2"/>
      <c r="Y308" s="2"/>
      <c r="Z308" s="2"/>
    </row>
    <row r="309" ht="13.5" customHeight="1">
      <c r="A309" s="2"/>
      <c r="B309" s="2"/>
      <c r="C309" s="2"/>
      <c r="D309" s="2"/>
      <c r="E309" s="2"/>
      <c r="F309" s="2"/>
      <c r="G309" s="2"/>
      <c r="H309" s="2"/>
      <c r="I309" s="2"/>
      <c r="J309" s="2"/>
      <c r="K309" s="2"/>
      <c r="L309" s="2"/>
      <c r="M309" s="2"/>
      <c r="N309" s="2"/>
      <c r="O309" s="2"/>
      <c r="P309" s="2"/>
      <c r="Q309" s="157"/>
      <c r="R309" s="157"/>
      <c r="S309" s="157"/>
      <c r="T309" s="158"/>
      <c r="U309" s="2"/>
      <c r="V309" s="30"/>
      <c r="W309" s="2"/>
      <c r="X309" s="2"/>
      <c r="Y309" s="2"/>
      <c r="Z309" s="2"/>
    </row>
    <row r="310" ht="13.5" customHeight="1">
      <c r="A310" s="2"/>
      <c r="B310" s="2"/>
      <c r="C310" s="2"/>
      <c r="D310" s="2"/>
      <c r="E310" s="2"/>
      <c r="F310" s="2"/>
      <c r="G310" s="2"/>
      <c r="H310" s="2"/>
      <c r="I310" s="2"/>
      <c r="J310" s="2"/>
      <c r="K310" s="2"/>
      <c r="L310" s="2"/>
      <c r="M310" s="2"/>
      <c r="N310" s="2"/>
      <c r="O310" s="2"/>
      <c r="P310" s="2"/>
      <c r="Q310" s="157"/>
      <c r="R310" s="157"/>
      <c r="S310" s="157"/>
      <c r="T310" s="158"/>
      <c r="U310" s="2"/>
      <c r="V310" s="30"/>
      <c r="W310" s="2"/>
      <c r="X310" s="2"/>
      <c r="Y310" s="2"/>
      <c r="Z310" s="2"/>
    </row>
    <row r="311" ht="13.5" customHeight="1">
      <c r="A311" s="2"/>
      <c r="B311" s="2"/>
      <c r="C311" s="2"/>
      <c r="D311" s="2"/>
      <c r="E311" s="2"/>
      <c r="F311" s="2"/>
      <c r="G311" s="2"/>
      <c r="H311" s="2"/>
      <c r="I311" s="2"/>
      <c r="J311" s="2"/>
      <c r="K311" s="2"/>
      <c r="L311" s="2"/>
      <c r="M311" s="2"/>
      <c r="N311" s="2"/>
      <c r="O311" s="2"/>
      <c r="P311" s="2"/>
      <c r="Q311" s="157"/>
      <c r="R311" s="157"/>
      <c r="S311" s="157"/>
      <c r="T311" s="158"/>
      <c r="U311" s="2"/>
      <c r="V311" s="30"/>
      <c r="W311" s="2"/>
      <c r="X311" s="2"/>
      <c r="Y311" s="2"/>
      <c r="Z311" s="2"/>
    </row>
    <row r="312" ht="13.5" customHeight="1">
      <c r="A312" s="2"/>
      <c r="B312" s="2"/>
      <c r="C312" s="2"/>
      <c r="D312" s="2"/>
      <c r="E312" s="2"/>
      <c r="F312" s="2"/>
      <c r="G312" s="2"/>
      <c r="H312" s="2"/>
      <c r="I312" s="2"/>
      <c r="J312" s="2"/>
      <c r="K312" s="2"/>
      <c r="L312" s="2"/>
      <c r="M312" s="2"/>
      <c r="N312" s="2"/>
      <c r="O312" s="2"/>
      <c r="P312" s="2"/>
      <c r="Q312" s="157"/>
      <c r="R312" s="157"/>
      <c r="S312" s="157"/>
      <c r="T312" s="158"/>
      <c r="U312" s="2"/>
      <c r="V312" s="30"/>
      <c r="W312" s="2"/>
      <c r="X312" s="2"/>
      <c r="Y312" s="2"/>
      <c r="Z312" s="2"/>
    </row>
    <row r="313" ht="13.5" customHeight="1">
      <c r="A313" s="2"/>
      <c r="B313" s="2"/>
      <c r="C313" s="2"/>
      <c r="D313" s="2"/>
      <c r="E313" s="2"/>
      <c r="F313" s="2"/>
      <c r="G313" s="2"/>
      <c r="H313" s="2"/>
      <c r="I313" s="2"/>
      <c r="J313" s="2"/>
      <c r="K313" s="2"/>
      <c r="L313" s="2"/>
      <c r="M313" s="2"/>
      <c r="N313" s="2"/>
      <c r="O313" s="2"/>
      <c r="P313" s="2"/>
      <c r="Q313" s="157"/>
      <c r="R313" s="157"/>
      <c r="S313" s="157"/>
      <c r="T313" s="158"/>
      <c r="U313" s="2"/>
      <c r="V313" s="30"/>
      <c r="W313" s="2"/>
      <c r="X313" s="2"/>
      <c r="Y313" s="2"/>
      <c r="Z313" s="2"/>
    </row>
    <row r="314" ht="13.5" customHeight="1">
      <c r="A314" s="2"/>
      <c r="B314" s="2"/>
      <c r="C314" s="2"/>
      <c r="D314" s="2"/>
      <c r="E314" s="2"/>
      <c r="F314" s="2"/>
      <c r="G314" s="2"/>
      <c r="H314" s="2"/>
      <c r="I314" s="2"/>
      <c r="J314" s="2"/>
      <c r="K314" s="2"/>
      <c r="L314" s="2"/>
      <c r="M314" s="2"/>
      <c r="N314" s="2"/>
      <c r="O314" s="2"/>
      <c r="P314" s="2"/>
      <c r="Q314" s="157"/>
      <c r="R314" s="157"/>
      <c r="S314" s="157"/>
      <c r="T314" s="158"/>
      <c r="U314" s="2"/>
      <c r="V314" s="30"/>
      <c r="W314" s="2"/>
      <c r="X314" s="2"/>
      <c r="Y314" s="2"/>
      <c r="Z314" s="2"/>
    </row>
    <row r="315" ht="13.5" customHeight="1">
      <c r="A315" s="2"/>
      <c r="B315" s="2"/>
      <c r="C315" s="2"/>
      <c r="D315" s="2"/>
      <c r="E315" s="2"/>
      <c r="F315" s="2"/>
      <c r="G315" s="2"/>
      <c r="H315" s="2"/>
      <c r="I315" s="2"/>
      <c r="J315" s="2"/>
      <c r="K315" s="2"/>
      <c r="L315" s="2"/>
      <c r="M315" s="2"/>
      <c r="N315" s="2"/>
      <c r="O315" s="2"/>
      <c r="P315" s="2"/>
      <c r="Q315" s="157"/>
      <c r="R315" s="157"/>
      <c r="S315" s="157"/>
      <c r="T315" s="158"/>
      <c r="U315" s="2"/>
      <c r="V315" s="30"/>
      <c r="W315" s="2"/>
      <c r="X315" s="2"/>
      <c r="Y315" s="2"/>
      <c r="Z315" s="2"/>
    </row>
    <row r="316" ht="13.5" customHeight="1">
      <c r="A316" s="2"/>
      <c r="B316" s="2"/>
      <c r="C316" s="2"/>
      <c r="D316" s="2"/>
      <c r="E316" s="2"/>
      <c r="F316" s="2"/>
      <c r="G316" s="2"/>
      <c r="H316" s="2"/>
      <c r="I316" s="2"/>
      <c r="J316" s="2"/>
      <c r="K316" s="2"/>
      <c r="L316" s="2"/>
      <c r="M316" s="2"/>
      <c r="N316" s="2"/>
      <c r="O316" s="2"/>
      <c r="P316" s="2"/>
      <c r="Q316" s="157"/>
      <c r="R316" s="157"/>
      <c r="S316" s="157"/>
      <c r="T316" s="158"/>
      <c r="U316" s="2"/>
      <c r="V316" s="30"/>
      <c r="W316" s="2"/>
      <c r="X316" s="2"/>
      <c r="Y316" s="2"/>
      <c r="Z316" s="2"/>
    </row>
    <row r="317" ht="13.5" customHeight="1">
      <c r="A317" s="2"/>
      <c r="B317" s="2"/>
      <c r="C317" s="2"/>
      <c r="D317" s="2"/>
      <c r="E317" s="2"/>
      <c r="F317" s="2"/>
      <c r="G317" s="2"/>
      <c r="H317" s="2"/>
      <c r="I317" s="2"/>
      <c r="J317" s="2"/>
      <c r="K317" s="2"/>
      <c r="L317" s="2"/>
      <c r="M317" s="2"/>
      <c r="N317" s="2"/>
      <c r="O317" s="2"/>
      <c r="P317" s="2"/>
      <c r="Q317" s="157"/>
      <c r="R317" s="157"/>
      <c r="S317" s="157"/>
      <c r="T317" s="158"/>
      <c r="U317" s="2"/>
      <c r="V317" s="30"/>
      <c r="W317" s="2"/>
      <c r="X317" s="2"/>
      <c r="Y317" s="2"/>
      <c r="Z317" s="2"/>
    </row>
    <row r="318" ht="13.5" customHeight="1">
      <c r="A318" s="2"/>
      <c r="B318" s="2"/>
      <c r="C318" s="2"/>
      <c r="D318" s="2"/>
      <c r="E318" s="2"/>
      <c r="F318" s="2"/>
      <c r="G318" s="2"/>
      <c r="H318" s="2"/>
      <c r="I318" s="2"/>
      <c r="J318" s="2"/>
      <c r="K318" s="2"/>
      <c r="L318" s="2"/>
      <c r="M318" s="2"/>
      <c r="N318" s="2"/>
      <c r="O318" s="2"/>
      <c r="P318" s="2"/>
      <c r="Q318" s="157"/>
      <c r="R318" s="157"/>
      <c r="S318" s="157"/>
      <c r="T318" s="158"/>
      <c r="U318" s="2"/>
      <c r="V318" s="30"/>
      <c r="W318" s="2"/>
      <c r="X318" s="2"/>
      <c r="Y318" s="2"/>
      <c r="Z318" s="2"/>
    </row>
    <row r="319" ht="13.5" customHeight="1">
      <c r="A319" s="2"/>
      <c r="B319" s="2"/>
      <c r="C319" s="2"/>
      <c r="D319" s="2"/>
      <c r="E319" s="2"/>
      <c r="F319" s="2"/>
      <c r="G319" s="2"/>
      <c r="H319" s="2"/>
      <c r="I319" s="2"/>
      <c r="J319" s="2"/>
      <c r="K319" s="2"/>
      <c r="L319" s="2"/>
      <c r="M319" s="2"/>
      <c r="N319" s="2"/>
      <c r="O319" s="2"/>
      <c r="P319" s="2"/>
      <c r="Q319" s="157"/>
      <c r="R319" s="157"/>
      <c r="S319" s="157"/>
      <c r="T319" s="158"/>
      <c r="U319" s="2"/>
      <c r="V319" s="30"/>
      <c r="W319" s="2"/>
      <c r="X319" s="2"/>
      <c r="Y319" s="2"/>
      <c r="Z319" s="2"/>
    </row>
    <row r="320" ht="13.5" customHeight="1">
      <c r="A320" s="2"/>
      <c r="B320" s="2"/>
      <c r="C320" s="2"/>
      <c r="D320" s="2"/>
      <c r="E320" s="2"/>
      <c r="F320" s="2"/>
      <c r="G320" s="2"/>
      <c r="H320" s="2"/>
      <c r="I320" s="2"/>
      <c r="J320" s="2"/>
      <c r="K320" s="2"/>
      <c r="L320" s="2"/>
      <c r="M320" s="2"/>
      <c r="N320" s="2"/>
      <c r="O320" s="2"/>
      <c r="P320" s="2"/>
      <c r="Q320" s="157"/>
      <c r="R320" s="157"/>
      <c r="S320" s="157"/>
      <c r="T320" s="158"/>
      <c r="U320" s="2"/>
      <c r="V320" s="30"/>
      <c r="W320" s="2"/>
      <c r="X320" s="2"/>
      <c r="Y320" s="2"/>
      <c r="Z320" s="2"/>
    </row>
    <row r="321" ht="13.5" customHeight="1">
      <c r="A321" s="2"/>
      <c r="B321" s="2"/>
      <c r="C321" s="2"/>
      <c r="D321" s="2"/>
      <c r="E321" s="2"/>
      <c r="F321" s="2"/>
      <c r="G321" s="2"/>
      <c r="H321" s="2"/>
      <c r="I321" s="2"/>
      <c r="J321" s="2"/>
      <c r="K321" s="2"/>
      <c r="L321" s="2"/>
      <c r="M321" s="2"/>
      <c r="N321" s="2"/>
      <c r="O321" s="2"/>
      <c r="P321" s="2"/>
      <c r="Q321" s="157"/>
      <c r="R321" s="157"/>
      <c r="S321" s="157"/>
      <c r="T321" s="158"/>
      <c r="U321" s="2"/>
      <c r="V321" s="30"/>
      <c r="W321" s="2"/>
      <c r="X321" s="2"/>
      <c r="Y321" s="2"/>
      <c r="Z321" s="2"/>
    </row>
    <row r="322" ht="13.5" customHeight="1">
      <c r="A322" s="2"/>
      <c r="B322" s="2"/>
      <c r="C322" s="2"/>
      <c r="D322" s="2"/>
      <c r="E322" s="2"/>
      <c r="F322" s="2"/>
      <c r="G322" s="2"/>
      <c r="H322" s="2"/>
      <c r="I322" s="2"/>
      <c r="J322" s="2"/>
      <c r="K322" s="2"/>
      <c r="L322" s="2"/>
      <c r="M322" s="2"/>
      <c r="N322" s="2"/>
      <c r="O322" s="2"/>
      <c r="P322" s="2"/>
      <c r="Q322" s="157"/>
      <c r="R322" s="157"/>
      <c r="S322" s="157"/>
      <c r="T322" s="158"/>
      <c r="U322" s="2"/>
      <c r="V322" s="30"/>
      <c r="W322" s="2"/>
      <c r="X322" s="2"/>
      <c r="Y322" s="2"/>
      <c r="Z322" s="2"/>
    </row>
    <row r="323" ht="13.5" customHeight="1">
      <c r="A323" s="2"/>
      <c r="B323" s="2"/>
      <c r="C323" s="2"/>
      <c r="D323" s="2"/>
      <c r="E323" s="2"/>
      <c r="F323" s="2"/>
      <c r="G323" s="2"/>
      <c r="H323" s="2"/>
      <c r="I323" s="2"/>
      <c r="J323" s="2"/>
      <c r="K323" s="2"/>
      <c r="L323" s="2"/>
      <c r="M323" s="2"/>
      <c r="N323" s="2"/>
      <c r="O323" s="2"/>
      <c r="P323" s="2"/>
      <c r="Q323" s="157"/>
      <c r="R323" s="157"/>
      <c r="S323" s="157"/>
      <c r="T323" s="158"/>
      <c r="U323" s="2"/>
      <c r="V323" s="30"/>
      <c r="W323" s="2"/>
      <c r="X323" s="2"/>
      <c r="Y323" s="2"/>
      <c r="Z323" s="2"/>
    </row>
    <row r="324" ht="13.5" customHeight="1">
      <c r="A324" s="2"/>
      <c r="B324" s="2"/>
      <c r="C324" s="2"/>
      <c r="D324" s="2"/>
      <c r="E324" s="2"/>
      <c r="F324" s="2"/>
      <c r="G324" s="2"/>
      <c r="H324" s="2"/>
      <c r="I324" s="2"/>
      <c r="J324" s="2"/>
      <c r="K324" s="2"/>
      <c r="L324" s="2"/>
      <c r="M324" s="2"/>
      <c r="N324" s="2"/>
      <c r="O324" s="2"/>
      <c r="P324" s="2"/>
      <c r="Q324" s="157"/>
      <c r="R324" s="157"/>
      <c r="S324" s="157"/>
      <c r="T324" s="158"/>
      <c r="U324" s="2"/>
      <c r="V324" s="30"/>
      <c r="W324" s="2"/>
      <c r="X324" s="2"/>
      <c r="Y324" s="2"/>
      <c r="Z324" s="2"/>
    </row>
    <row r="325" ht="13.5" customHeight="1">
      <c r="A325" s="2"/>
      <c r="B325" s="2"/>
      <c r="C325" s="2"/>
      <c r="D325" s="2"/>
      <c r="E325" s="2"/>
      <c r="F325" s="2"/>
      <c r="G325" s="2"/>
      <c r="H325" s="2"/>
      <c r="I325" s="2"/>
      <c r="J325" s="2"/>
      <c r="K325" s="2"/>
      <c r="L325" s="2"/>
      <c r="M325" s="2"/>
      <c r="N325" s="2"/>
      <c r="O325" s="2"/>
      <c r="P325" s="2"/>
      <c r="Q325" s="157"/>
      <c r="R325" s="157"/>
      <c r="S325" s="157"/>
      <c r="T325" s="158"/>
      <c r="U325" s="2"/>
      <c r="V325" s="30"/>
      <c r="W325" s="2"/>
      <c r="X325" s="2"/>
      <c r="Y325" s="2"/>
      <c r="Z325" s="2"/>
    </row>
    <row r="326" ht="13.5" customHeight="1">
      <c r="A326" s="2"/>
      <c r="B326" s="2"/>
      <c r="C326" s="2"/>
      <c r="D326" s="2"/>
      <c r="E326" s="2"/>
      <c r="F326" s="2"/>
      <c r="G326" s="2"/>
      <c r="H326" s="2"/>
      <c r="I326" s="2"/>
      <c r="J326" s="2"/>
      <c r="K326" s="2"/>
      <c r="L326" s="2"/>
      <c r="M326" s="2"/>
      <c r="N326" s="2"/>
      <c r="O326" s="2"/>
      <c r="P326" s="2"/>
      <c r="Q326" s="157"/>
      <c r="R326" s="157"/>
      <c r="S326" s="157"/>
      <c r="T326" s="158"/>
      <c r="U326" s="2"/>
      <c r="V326" s="30"/>
      <c r="W326" s="2"/>
      <c r="X326" s="2"/>
      <c r="Y326" s="2"/>
      <c r="Z326" s="2"/>
    </row>
    <row r="327" ht="13.5" customHeight="1">
      <c r="A327" s="2"/>
      <c r="B327" s="2"/>
      <c r="C327" s="2"/>
      <c r="D327" s="2"/>
      <c r="E327" s="2"/>
      <c r="F327" s="2"/>
      <c r="G327" s="2"/>
      <c r="H327" s="2"/>
      <c r="I327" s="2"/>
      <c r="J327" s="2"/>
      <c r="K327" s="2"/>
      <c r="L327" s="2"/>
      <c r="M327" s="2"/>
      <c r="N327" s="2"/>
      <c r="O327" s="2"/>
      <c r="P327" s="2"/>
      <c r="Q327" s="157"/>
      <c r="R327" s="157"/>
      <c r="S327" s="157"/>
      <c r="T327" s="158"/>
      <c r="U327" s="2"/>
      <c r="V327" s="30"/>
      <c r="W327" s="2"/>
      <c r="X327" s="2"/>
      <c r="Y327" s="2"/>
      <c r="Z327" s="2"/>
    </row>
    <row r="328" ht="13.5" customHeight="1">
      <c r="A328" s="2"/>
      <c r="B328" s="2"/>
      <c r="C328" s="2"/>
      <c r="D328" s="2"/>
      <c r="E328" s="2"/>
      <c r="F328" s="2"/>
      <c r="G328" s="2"/>
      <c r="H328" s="2"/>
      <c r="I328" s="2"/>
      <c r="J328" s="2"/>
      <c r="K328" s="2"/>
      <c r="L328" s="2"/>
      <c r="M328" s="2"/>
      <c r="N328" s="2"/>
      <c r="O328" s="2"/>
      <c r="P328" s="2"/>
      <c r="Q328" s="157"/>
      <c r="R328" s="157"/>
      <c r="S328" s="157"/>
      <c r="T328" s="158"/>
      <c r="U328" s="2"/>
      <c r="V328" s="30"/>
      <c r="W328" s="2"/>
      <c r="X328" s="2"/>
      <c r="Y328" s="2"/>
      <c r="Z328" s="2"/>
    </row>
    <row r="329" ht="13.5" customHeight="1">
      <c r="A329" s="2"/>
      <c r="B329" s="2"/>
      <c r="C329" s="2"/>
      <c r="D329" s="2"/>
      <c r="E329" s="2"/>
      <c r="F329" s="2"/>
      <c r="G329" s="2"/>
      <c r="H329" s="2"/>
      <c r="I329" s="2"/>
      <c r="J329" s="2"/>
      <c r="K329" s="2"/>
      <c r="L329" s="2"/>
      <c r="M329" s="2"/>
      <c r="N329" s="2"/>
      <c r="O329" s="2"/>
      <c r="P329" s="2"/>
      <c r="Q329" s="157"/>
      <c r="R329" s="157"/>
      <c r="S329" s="157"/>
      <c r="T329" s="158"/>
      <c r="U329" s="2"/>
      <c r="V329" s="30"/>
      <c r="W329" s="2"/>
      <c r="X329" s="2"/>
      <c r="Y329" s="2"/>
      <c r="Z329" s="2"/>
    </row>
    <row r="330" ht="13.5" customHeight="1">
      <c r="A330" s="2"/>
      <c r="B330" s="2"/>
      <c r="C330" s="2"/>
      <c r="D330" s="2"/>
      <c r="E330" s="2"/>
      <c r="F330" s="2"/>
      <c r="G330" s="2"/>
      <c r="H330" s="2"/>
      <c r="I330" s="2"/>
      <c r="J330" s="2"/>
      <c r="K330" s="2"/>
      <c r="L330" s="2"/>
      <c r="M330" s="2"/>
      <c r="N330" s="2"/>
      <c r="O330" s="2"/>
      <c r="P330" s="2"/>
      <c r="Q330" s="157"/>
      <c r="R330" s="157"/>
      <c r="S330" s="157"/>
      <c r="T330" s="158"/>
      <c r="U330" s="2"/>
      <c r="V330" s="30"/>
      <c r="W330" s="2"/>
      <c r="X330" s="2"/>
      <c r="Y330" s="2"/>
      <c r="Z330" s="2"/>
    </row>
    <row r="331" ht="13.5" customHeight="1">
      <c r="A331" s="2"/>
      <c r="B331" s="2"/>
      <c r="C331" s="2"/>
      <c r="D331" s="2"/>
      <c r="E331" s="2"/>
      <c r="F331" s="2"/>
      <c r="G331" s="2"/>
      <c r="H331" s="2"/>
      <c r="I331" s="2"/>
      <c r="J331" s="2"/>
      <c r="K331" s="2"/>
      <c r="L331" s="2"/>
      <c r="M331" s="2"/>
      <c r="N331" s="2"/>
      <c r="O331" s="2"/>
      <c r="P331" s="2"/>
      <c r="Q331" s="157"/>
      <c r="R331" s="157"/>
      <c r="S331" s="157"/>
      <c r="T331" s="158"/>
      <c r="U331" s="2"/>
      <c r="V331" s="30"/>
      <c r="W331" s="2"/>
      <c r="X331" s="2"/>
      <c r="Y331" s="2"/>
      <c r="Z331" s="2"/>
    </row>
    <row r="332" ht="13.5" customHeight="1">
      <c r="A332" s="2"/>
      <c r="B332" s="2"/>
      <c r="C332" s="2"/>
      <c r="D332" s="2"/>
      <c r="E332" s="2"/>
      <c r="F332" s="2"/>
      <c r="G332" s="2"/>
      <c r="H332" s="2"/>
      <c r="I332" s="2"/>
      <c r="J332" s="2"/>
      <c r="K332" s="2"/>
      <c r="L332" s="2"/>
      <c r="M332" s="2"/>
      <c r="N332" s="2"/>
      <c r="O332" s="2"/>
      <c r="P332" s="2"/>
      <c r="Q332" s="157"/>
      <c r="R332" s="157"/>
      <c r="S332" s="157"/>
      <c r="T332" s="158"/>
      <c r="U332" s="2"/>
      <c r="V332" s="30"/>
      <c r="W332" s="2"/>
      <c r="X332" s="2"/>
      <c r="Y332" s="2"/>
      <c r="Z332" s="2"/>
    </row>
    <row r="333" ht="13.5" customHeight="1">
      <c r="A333" s="2"/>
      <c r="B333" s="2"/>
      <c r="C333" s="2"/>
      <c r="D333" s="2"/>
      <c r="E333" s="2"/>
      <c r="F333" s="2"/>
      <c r="G333" s="2"/>
      <c r="H333" s="2"/>
      <c r="I333" s="2"/>
      <c r="J333" s="2"/>
      <c r="K333" s="2"/>
      <c r="L333" s="2"/>
      <c r="M333" s="2"/>
      <c r="N333" s="2"/>
      <c r="O333" s="2"/>
      <c r="P333" s="2"/>
      <c r="Q333" s="157"/>
      <c r="R333" s="157"/>
      <c r="S333" s="157"/>
      <c r="T333" s="158"/>
      <c r="U333" s="2"/>
      <c r="V333" s="30"/>
      <c r="W333" s="2"/>
      <c r="X333" s="2"/>
      <c r="Y333" s="2"/>
      <c r="Z333" s="2"/>
    </row>
    <row r="334" ht="13.5" customHeight="1">
      <c r="A334" s="2"/>
      <c r="B334" s="2"/>
      <c r="C334" s="2"/>
      <c r="D334" s="2"/>
      <c r="E334" s="2"/>
      <c r="F334" s="2"/>
      <c r="G334" s="2"/>
      <c r="H334" s="2"/>
      <c r="I334" s="2"/>
      <c r="J334" s="2"/>
      <c r="K334" s="2"/>
      <c r="L334" s="2"/>
      <c r="M334" s="2"/>
      <c r="N334" s="2"/>
      <c r="O334" s="2"/>
      <c r="P334" s="2"/>
      <c r="Q334" s="157"/>
      <c r="R334" s="157"/>
      <c r="S334" s="157"/>
      <c r="T334" s="158"/>
      <c r="U334" s="2"/>
      <c r="V334" s="30"/>
      <c r="W334" s="2"/>
      <c r="X334" s="2"/>
      <c r="Y334" s="2"/>
      <c r="Z334" s="2"/>
    </row>
    <row r="335" ht="13.5" customHeight="1">
      <c r="A335" s="2"/>
      <c r="B335" s="2"/>
      <c r="C335" s="2"/>
      <c r="D335" s="2"/>
      <c r="E335" s="2"/>
      <c r="F335" s="2"/>
      <c r="G335" s="2"/>
      <c r="H335" s="2"/>
      <c r="I335" s="2"/>
      <c r="J335" s="2"/>
      <c r="K335" s="2"/>
      <c r="L335" s="2"/>
      <c r="M335" s="2"/>
      <c r="N335" s="2"/>
      <c r="O335" s="2"/>
      <c r="P335" s="2"/>
      <c r="Q335" s="157"/>
      <c r="R335" s="157"/>
      <c r="S335" s="157"/>
      <c r="T335" s="158"/>
      <c r="U335" s="2"/>
      <c r="V335" s="30"/>
      <c r="W335" s="2"/>
      <c r="X335" s="2"/>
      <c r="Y335" s="2"/>
      <c r="Z335" s="2"/>
    </row>
    <row r="336" ht="13.5" customHeight="1">
      <c r="A336" s="2"/>
      <c r="B336" s="2"/>
      <c r="C336" s="2"/>
      <c r="D336" s="2"/>
      <c r="E336" s="2"/>
      <c r="F336" s="2"/>
      <c r="G336" s="2"/>
      <c r="H336" s="2"/>
      <c r="I336" s="2"/>
      <c r="J336" s="2"/>
      <c r="K336" s="2"/>
      <c r="L336" s="2"/>
      <c r="M336" s="2"/>
      <c r="N336" s="2"/>
      <c r="O336" s="2"/>
      <c r="P336" s="2"/>
      <c r="Q336" s="157"/>
      <c r="R336" s="157"/>
      <c r="S336" s="157"/>
      <c r="T336" s="158"/>
      <c r="U336" s="2"/>
      <c r="V336" s="30"/>
      <c r="W336" s="2"/>
      <c r="X336" s="2"/>
      <c r="Y336" s="2"/>
      <c r="Z336" s="2"/>
    </row>
    <row r="337" ht="13.5" customHeight="1">
      <c r="A337" s="2"/>
      <c r="B337" s="2"/>
      <c r="C337" s="2"/>
      <c r="D337" s="2"/>
      <c r="E337" s="2"/>
      <c r="F337" s="2"/>
      <c r="G337" s="2"/>
      <c r="H337" s="2"/>
      <c r="I337" s="2"/>
      <c r="J337" s="2"/>
      <c r="K337" s="2"/>
      <c r="L337" s="2"/>
      <c r="M337" s="2"/>
      <c r="N337" s="2"/>
      <c r="O337" s="2"/>
      <c r="P337" s="2"/>
      <c r="Q337" s="157"/>
      <c r="R337" s="157"/>
      <c r="S337" s="157"/>
      <c r="T337" s="158"/>
      <c r="U337" s="2"/>
      <c r="V337" s="30"/>
      <c r="W337" s="2"/>
      <c r="X337" s="2"/>
      <c r="Y337" s="2"/>
      <c r="Z337" s="2"/>
    </row>
    <row r="338" ht="13.5" customHeight="1">
      <c r="A338" s="2"/>
      <c r="B338" s="2"/>
      <c r="C338" s="2"/>
      <c r="D338" s="2"/>
      <c r="E338" s="2"/>
      <c r="F338" s="2"/>
      <c r="G338" s="2"/>
      <c r="H338" s="2"/>
      <c r="I338" s="2"/>
      <c r="J338" s="2"/>
      <c r="K338" s="2"/>
      <c r="L338" s="2"/>
      <c r="M338" s="2"/>
      <c r="N338" s="2"/>
      <c r="O338" s="2"/>
      <c r="P338" s="2"/>
      <c r="Q338" s="157"/>
      <c r="R338" s="157"/>
      <c r="S338" s="157"/>
      <c r="T338" s="158"/>
      <c r="U338" s="2"/>
      <c r="V338" s="30"/>
      <c r="W338" s="2"/>
      <c r="X338" s="2"/>
      <c r="Y338" s="2"/>
      <c r="Z338" s="2"/>
    </row>
    <row r="339" ht="13.5" customHeight="1">
      <c r="A339" s="2"/>
      <c r="B339" s="2"/>
      <c r="C339" s="2"/>
      <c r="D339" s="2"/>
      <c r="E339" s="2"/>
      <c r="F339" s="2"/>
      <c r="G339" s="2"/>
      <c r="H339" s="2"/>
      <c r="I339" s="2"/>
      <c r="J339" s="2"/>
      <c r="K339" s="2"/>
      <c r="L339" s="2"/>
      <c r="M339" s="2"/>
      <c r="N339" s="2"/>
      <c r="O339" s="2"/>
      <c r="P339" s="2"/>
      <c r="Q339" s="157"/>
      <c r="R339" s="157"/>
      <c r="S339" s="157"/>
      <c r="T339" s="158"/>
      <c r="U339" s="2"/>
      <c r="V339" s="30"/>
      <c r="W339" s="2"/>
      <c r="X339" s="2"/>
      <c r="Y339" s="2"/>
      <c r="Z339" s="2"/>
    </row>
    <row r="340" ht="13.5" customHeight="1">
      <c r="A340" s="2"/>
      <c r="B340" s="2"/>
      <c r="C340" s="2"/>
      <c r="D340" s="2"/>
      <c r="E340" s="2"/>
      <c r="F340" s="2"/>
      <c r="G340" s="2"/>
      <c r="H340" s="2"/>
      <c r="I340" s="2"/>
      <c r="J340" s="2"/>
      <c r="K340" s="2"/>
      <c r="L340" s="2"/>
      <c r="M340" s="2"/>
      <c r="N340" s="2"/>
      <c r="O340" s="2"/>
      <c r="P340" s="2"/>
      <c r="Q340" s="157"/>
      <c r="R340" s="157"/>
      <c r="S340" s="157"/>
      <c r="T340" s="158"/>
      <c r="U340" s="2"/>
      <c r="V340" s="30"/>
      <c r="W340" s="2"/>
      <c r="X340" s="2"/>
      <c r="Y340" s="2"/>
      <c r="Z340" s="2"/>
    </row>
    <row r="341" ht="13.5" customHeight="1">
      <c r="A341" s="2"/>
      <c r="B341" s="2"/>
      <c r="C341" s="2"/>
      <c r="D341" s="2"/>
      <c r="E341" s="2"/>
      <c r="F341" s="2"/>
      <c r="G341" s="2"/>
      <c r="H341" s="2"/>
      <c r="I341" s="2"/>
      <c r="J341" s="2"/>
      <c r="K341" s="2"/>
      <c r="L341" s="2"/>
      <c r="M341" s="2"/>
      <c r="N341" s="2"/>
      <c r="O341" s="2"/>
      <c r="P341" s="2"/>
      <c r="Q341" s="157"/>
      <c r="R341" s="157"/>
      <c r="S341" s="157"/>
      <c r="T341" s="158"/>
      <c r="U341" s="2"/>
      <c r="V341" s="30"/>
      <c r="W341" s="2"/>
      <c r="X341" s="2"/>
      <c r="Y341" s="2"/>
      <c r="Z341" s="2"/>
    </row>
    <row r="342" ht="13.5" customHeight="1">
      <c r="A342" s="2"/>
      <c r="B342" s="2"/>
      <c r="C342" s="2"/>
      <c r="D342" s="2"/>
      <c r="E342" s="2"/>
      <c r="F342" s="2"/>
      <c r="G342" s="2"/>
      <c r="H342" s="2"/>
      <c r="I342" s="2"/>
      <c r="J342" s="2"/>
      <c r="K342" s="2"/>
      <c r="L342" s="2"/>
      <c r="M342" s="2"/>
      <c r="N342" s="2"/>
      <c r="O342" s="2"/>
      <c r="P342" s="2"/>
      <c r="Q342" s="157"/>
      <c r="R342" s="157"/>
      <c r="S342" s="157"/>
      <c r="T342" s="158"/>
      <c r="U342" s="2"/>
      <c r="V342" s="30"/>
      <c r="W342" s="2"/>
      <c r="X342" s="2"/>
      <c r="Y342" s="2"/>
      <c r="Z342" s="2"/>
    </row>
    <row r="343" ht="13.5" customHeight="1">
      <c r="A343" s="2"/>
      <c r="B343" s="2"/>
      <c r="C343" s="2"/>
      <c r="D343" s="2"/>
      <c r="E343" s="2"/>
      <c r="F343" s="2"/>
      <c r="G343" s="2"/>
      <c r="H343" s="2"/>
      <c r="I343" s="2"/>
      <c r="J343" s="2"/>
      <c r="K343" s="2"/>
      <c r="L343" s="2"/>
      <c r="M343" s="2"/>
      <c r="N343" s="2"/>
      <c r="O343" s="2"/>
      <c r="P343" s="2"/>
      <c r="Q343" s="157"/>
      <c r="R343" s="157"/>
      <c r="S343" s="157"/>
      <c r="T343" s="158"/>
      <c r="U343" s="2"/>
      <c r="V343" s="30"/>
      <c r="W343" s="2"/>
      <c r="X343" s="2"/>
      <c r="Y343" s="2"/>
      <c r="Z343" s="2"/>
    </row>
    <row r="344" ht="13.5" customHeight="1">
      <c r="A344" s="2"/>
      <c r="B344" s="2"/>
      <c r="C344" s="2"/>
      <c r="D344" s="2"/>
      <c r="E344" s="2"/>
      <c r="F344" s="2"/>
      <c r="G344" s="2"/>
      <c r="H344" s="2"/>
      <c r="I344" s="2"/>
      <c r="J344" s="2"/>
      <c r="K344" s="2"/>
      <c r="L344" s="2"/>
      <c r="M344" s="2"/>
      <c r="N344" s="2"/>
      <c r="O344" s="2"/>
      <c r="P344" s="2"/>
      <c r="Q344" s="157"/>
      <c r="R344" s="157"/>
      <c r="S344" s="157"/>
      <c r="T344" s="158"/>
      <c r="U344" s="2"/>
      <c r="V344" s="30"/>
      <c r="W344" s="2"/>
      <c r="X344" s="2"/>
      <c r="Y344" s="2"/>
      <c r="Z344" s="2"/>
    </row>
    <row r="345" ht="13.5" customHeight="1">
      <c r="A345" s="2"/>
      <c r="B345" s="2"/>
      <c r="C345" s="2"/>
      <c r="D345" s="2"/>
      <c r="E345" s="2"/>
      <c r="F345" s="2"/>
      <c r="G345" s="2"/>
      <c r="H345" s="2"/>
      <c r="I345" s="2"/>
      <c r="J345" s="2"/>
      <c r="K345" s="2"/>
      <c r="L345" s="2"/>
      <c r="M345" s="2"/>
      <c r="N345" s="2"/>
      <c r="O345" s="2"/>
      <c r="P345" s="2"/>
      <c r="Q345" s="157"/>
      <c r="R345" s="157"/>
      <c r="S345" s="157"/>
      <c r="T345" s="158"/>
      <c r="U345" s="2"/>
      <c r="V345" s="30"/>
      <c r="W345" s="2"/>
      <c r="X345" s="2"/>
      <c r="Y345" s="2"/>
      <c r="Z345" s="2"/>
    </row>
    <row r="346" ht="13.5" customHeight="1">
      <c r="A346" s="2"/>
      <c r="B346" s="2"/>
      <c r="C346" s="2"/>
      <c r="D346" s="2"/>
      <c r="E346" s="2"/>
      <c r="F346" s="2"/>
      <c r="G346" s="2"/>
      <c r="H346" s="2"/>
      <c r="I346" s="2"/>
      <c r="J346" s="2"/>
      <c r="K346" s="2"/>
      <c r="L346" s="2"/>
      <c r="M346" s="2"/>
      <c r="N346" s="2"/>
      <c r="O346" s="2"/>
      <c r="P346" s="2"/>
      <c r="Q346" s="157"/>
      <c r="R346" s="157"/>
      <c r="S346" s="157"/>
      <c r="T346" s="158"/>
      <c r="U346" s="2"/>
      <c r="V346" s="30"/>
      <c r="W346" s="2"/>
      <c r="X346" s="2"/>
      <c r="Y346" s="2"/>
      <c r="Z346" s="2"/>
    </row>
    <row r="347" ht="13.5" customHeight="1">
      <c r="A347" s="2"/>
      <c r="B347" s="2"/>
      <c r="C347" s="2"/>
      <c r="D347" s="2"/>
      <c r="E347" s="2"/>
      <c r="F347" s="2"/>
      <c r="G347" s="2"/>
      <c r="H347" s="2"/>
      <c r="I347" s="2"/>
      <c r="J347" s="2"/>
      <c r="K347" s="2"/>
      <c r="L347" s="2"/>
      <c r="M347" s="2"/>
      <c r="N347" s="2"/>
      <c r="O347" s="2"/>
      <c r="P347" s="2"/>
      <c r="Q347" s="157"/>
      <c r="R347" s="157"/>
      <c r="S347" s="157"/>
      <c r="T347" s="158"/>
      <c r="U347" s="2"/>
      <c r="V347" s="30"/>
      <c r="W347" s="2"/>
      <c r="X347" s="2"/>
      <c r="Y347" s="2"/>
      <c r="Z347" s="2"/>
    </row>
    <row r="348" ht="13.5" customHeight="1">
      <c r="A348" s="2"/>
      <c r="B348" s="2"/>
      <c r="C348" s="2"/>
      <c r="D348" s="2"/>
      <c r="E348" s="2"/>
      <c r="F348" s="2"/>
      <c r="G348" s="2"/>
      <c r="H348" s="2"/>
      <c r="I348" s="2"/>
      <c r="J348" s="2"/>
      <c r="K348" s="2"/>
      <c r="L348" s="2"/>
      <c r="M348" s="2"/>
      <c r="N348" s="2"/>
      <c r="O348" s="2"/>
      <c r="P348" s="2"/>
      <c r="Q348" s="157"/>
      <c r="R348" s="157"/>
      <c r="S348" s="157"/>
      <c r="T348" s="158"/>
      <c r="U348" s="2"/>
      <c r="V348" s="30"/>
      <c r="W348" s="2"/>
      <c r="X348" s="2"/>
      <c r="Y348" s="2"/>
      <c r="Z348" s="2"/>
    </row>
    <row r="349" ht="13.5" customHeight="1">
      <c r="A349" s="2"/>
      <c r="B349" s="2"/>
      <c r="C349" s="2"/>
      <c r="D349" s="2"/>
      <c r="E349" s="2"/>
      <c r="F349" s="2"/>
      <c r="G349" s="2"/>
      <c r="H349" s="2"/>
      <c r="I349" s="2"/>
      <c r="J349" s="2"/>
      <c r="K349" s="2"/>
      <c r="L349" s="2"/>
      <c r="M349" s="2"/>
      <c r="N349" s="2"/>
      <c r="O349" s="2"/>
      <c r="P349" s="2"/>
      <c r="Q349" s="157"/>
      <c r="R349" s="157"/>
      <c r="S349" s="157"/>
      <c r="T349" s="158"/>
      <c r="U349" s="2"/>
      <c r="V349" s="30"/>
      <c r="W349" s="2"/>
      <c r="X349" s="2"/>
      <c r="Y349" s="2"/>
      <c r="Z349" s="2"/>
    </row>
    <row r="350" ht="13.5" customHeight="1">
      <c r="A350" s="2"/>
      <c r="B350" s="2"/>
      <c r="C350" s="2"/>
      <c r="D350" s="2"/>
      <c r="E350" s="2"/>
      <c r="F350" s="2"/>
      <c r="G350" s="2"/>
      <c r="H350" s="2"/>
      <c r="I350" s="2"/>
      <c r="J350" s="2"/>
      <c r="K350" s="2"/>
      <c r="L350" s="2"/>
      <c r="M350" s="2"/>
      <c r="N350" s="2"/>
      <c r="O350" s="2"/>
      <c r="P350" s="2"/>
      <c r="Q350" s="157"/>
      <c r="R350" s="157"/>
      <c r="S350" s="157"/>
      <c r="T350" s="158"/>
      <c r="U350" s="2"/>
      <c r="V350" s="30"/>
      <c r="W350" s="2"/>
      <c r="X350" s="2"/>
      <c r="Y350" s="2"/>
      <c r="Z350" s="2"/>
    </row>
    <row r="351" ht="13.5" customHeight="1">
      <c r="A351" s="2"/>
      <c r="B351" s="2"/>
      <c r="C351" s="2"/>
      <c r="D351" s="2"/>
      <c r="E351" s="2"/>
      <c r="F351" s="2"/>
      <c r="G351" s="2"/>
      <c r="H351" s="2"/>
      <c r="I351" s="2"/>
      <c r="J351" s="2"/>
      <c r="K351" s="2"/>
      <c r="L351" s="2"/>
      <c r="M351" s="2"/>
      <c r="N351" s="2"/>
      <c r="O351" s="2"/>
      <c r="P351" s="2"/>
      <c r="Q351" s="157"/>
      <c r="R351" s="157"/>
      <c r="S351" s="157"/>
      <c r="T351" s="158"/>
      <c r="U351" s="2"/>
      <c r="V351" s="30"/>
      <c r="W351" s="2"/>
      <c r="X351" s="2"/>
      <c r="Y351" s="2"/>
      <c r="Z351" s="2"/>
    </row>
    <row r="352" ht="13.5" customHeight="1">
      <c r="A352" s="2"/>
      <c r="B352" s="2"/>
      <c r="C352" s="2"/>
      <c r="D352" s="2"/>
      <c r="E352" s="2"/>
      <c r="F352" s="2"/>
      <c r="G352" s="2"/>
      <c r="H352" s="2"/>
      <c r="I352" s="2"/>
      <c r="J352" s="2"/>
      <c r="K352" s="2"/>
      <c r="L352" s="2"/>
      <c r="M352" s="2"/>
      <c r="N352" s="2"/>
      <c r="O352" s="2"/>
      <c r="P352" s="2"/>
      <c r="Q352" s="157"/>
      <c r="R352" s="157"/>
      <c r="S352" s="157"/>
      <c r="T352" s="158"/>
      <c r="U352" s="2"/>
      <c r="V352" s="30"/>
      <c r="W352" s="2"/>
      <c r="X352" s="2"/>
      <c r="Y352" s="2"/>
      <c r="Z352" s="2"/>
    </row>
    <row r="353" ht="13.5" customHeight="1">
      <c r="A353" s="2"/>
      <c r="B353" s="2"/>
      <c r="C353" s="2"/>
      <c r="D353" s="2"/>
      <c r="E353" s="2"/>
      <c r="F353" s="2"/>
      <c r="G353" s="2"/>
      <c r="H353" s="2"/>
      <c r="I353" s="2"/>
      <c r="J353" s="2"/>
      <c r="K353" s="2"/>
      <c r="L353" s="2"/>
      <c r="M353" s="2"/>
      <c r="N353" s="2"/>
      <c r="O353" s="2"/>
      <c r="P353" s="2"/>
      <c r="Q353" s="157"/>
      <c r="R353" s="157"/>
      <c r="S353" s="157"/>
      <c r="T353" s="158"/>
      <c r="U353" s="2"/>
      <c r="V353" s="30"/>
      <c r="W353" s="2"/>
      <c r="X353" s="2"/>
      <c r="Y353" s="2"/>
      <c r="Z353" s="2"/>
    </row>
    <row r="354" ht="13.5" customHeight="1">
      <c r="A354" s="2"/>
      <c r="B354" s="2"/>
      <c r="C354" s="2"/>
      <c r="D354" s="2"/>
      <c r="E354" s="2"/>
      <c r="F354" s="2"/>
      <c r="G354" s="2"/>
      <c r="H354" s="2"/>
      <c r="I354" s="2"/>
      <c r="J354" s="2"/>
      <c r="K354" s="2"/>
      <c r="L354" s="2"/>
      <c r="M354" s="2"/>
      <c r="N354" s="2"/>
      <c r="O354" s="2"/>
      <c r="P354" s="2"/>
      <c r="Q354" s="157"/>
      <c r="R354" s="157"/>
      <c r="S354" s="157"/>
      <c r="T354" s="158"/>
      <c r="U354" s="2"/>
      <c r="V354" s="30"/>
      <c r="W354" s="2"/>
      <c r="X354" s="2"/>
      <c r="Y354" s="2"/>
      <c r="Z354" s="2"/>
    </row>
    <row r="355" ht="13.5" customHeight="1">
      <c r="A355" s="2"/>
      <c r="B355" s="2"/>
      <c r="C355" s="2"/>
      <c r="D355" s="2"/>
      <c r="E355" s="2"/>
      <c r="F355" s="2"/>
      <c r="G355" s="2"/>
      <c r="H355" s="2"/>
      <c r="I355" s="2"/>
      <c r="J355" s="2"/>
      <c r="K355" s="2"/>
      <c r="L355" s="2"/>
      <c r="M355" s="2"/>
      <c r="N355" s="2"/>
      <c r="O355" s="2"/>
      <c r="P355" s="2"/>
      <c r="Q355" s="157"/>
      <c r="R355" s="157"/>
      <c r="S355" s="157"/>
      <c r="T355" s="158"/>
      <c r="U355" s="2"/>
      <c r="V355" s="30"/>
      <c r="W355" s="2"/>
      <c r="X355" s="2"/>
      <c r="Y355" s="2"/>
      <c r="Z355" s="2"/>
    </row>
    <row r="356" ht="13.5" customHeight="1">
      <c r="A356" s="2"/>
      <c r="B356" s="2"/>
      <c r="C356" s="2"/>
      <c r="D356" s="2"/>
      <c r="E356" s="2"/>
      <c r="F356" s="2"/>
      <c r="G356" s="2"/>
      <c r="H356" s="2"/>
      <c r="I356" s="2"/>
      <c r="J356" s="2"/>
      <c r="K356" s="2"/>
      <c r="L356" s="2"/>
      <c r="M356" s="2"/>
      <c r="N356" s="2"/>
      <c r="O356" s="2"/>
      <c r="P356" s="2"/>
      <c r="Q356" s="157"/>
      <c r="R356" s="157"/>
      <c r="S356" s="157"/>
      <c r="T356" s="158"/>
      <c r="U356" s="2"/>
      <c r="V356" s="30"/>
      <c r="W356" s="2"/>
      <c r="X356" s="2"/>
      <c r="Y356" s="2"/>
      <c r="Z356" s="2"/>
    </row>
    <row r="357" ht="13.5" customHeight="1">
      <c r="A357" s="2"/>
      <c r="B357" s="2"/>
      <c r="C357" s="2"/>
      <c r="D357" s="2"/>
      <c r="E357" s="2"/>
      <c r="F357" s="2"/>
      <c r="G357" s="2"/>
      <c r="H357" s="2"/>
      <c r="I357" s="2"/>
      <c r="J357" s="2"/>
      <c r="K357" s="2"/>
      <c r="L357" s="2"/>
      <c r="M357" s="2"/>
      <c r="N357" s="2"/>
      <c r="O357" s="2"/>
      <c r="P357" s="2"/>
      <c r="Q357" s="157"/>
      <c r="R357" s="157"/>
      <c r="S357" s="157"/>
      <c r="T357" s="158"/>
      <c r="U357" s="2"/>
      <c r="V357" s="30"/>
      <c r="W357" s="2"/>
      <c r="X357" s="2"/>
      <c r="Y357" s="2"/>
      <c r="Z357" s="2"/>
    </row>
    <row r="358" ht="13.5" customHeight="1">
      <c r="A358" s="2"/>
      <c r="B358" s="2"/>
      <c r="C358" s="2"/>
      <c r="D358" s="2"/>
      <c r="E358" s="2"/>
      <c r="F358" s="2"/>
      <c r="G358" s="2"/>
      <c r="H358" s="2"/>
      <c r="I358" s="2"/>
      <c r="J358" s="2"/>
      <c r="K358" s="2"/>
      <c r="L358" s="2"/>
      <c r="M358" s="2"/>
      <c r="N358" s="2"/>
      <c r="O358" s="2"/>
      <c r="P358" s="2"/>
      <c r="Q358" s="157"/>
      <c r="R358" s="157"/>
      <c r="S358" s="157"/>
      <c r="T358" s="158"/>
      <c r="U358" s="2"/>
      <c r="V358" s="30"/>
      <c r="W358" s="2"/>
      <c r="X358" s="2"/>
      <c r="Y358" s="2"/>
      <c r="Z358" s="2"/>
    </row>
    <row r="359" ht="13.5" customHeight="1">
      <c r="A359" s="2"/>
      <c r="B359" s="2"/>
      <c r="C359" s="2"/>
      <c r="D359" s="2"/>
      <c r="E359" s="2"/>
      <c r="F359" s="2"/>
      <c r="G359" s="2"/>
      <c r="H359" s="2"/>
      <c r="I359" s="2"/>
      <c r="J359" s="2"/>
      <c r="K359" s="2"/>
      <c r="L359" s="2"/>
      <c r="M359" s="2"/>
      <c r="N359" s="2"/>
      <c r="O359" s="2"/>
      <c r="P359" s="2"/>
      <c r="Q359" s="157"/>
      <c r="R359" s="157"/>
      <c r="S359" s="157"/>
      <c r="T359" s="158"/>
      <c r="U359" s="2"/>
      <c r="V359" s="30"/>
      <c r="W359" s="2"/>
      <c r="X359" s="2"/>
      <c r="Y359" s="2"/>
      <c r="Z359" s="2"/>
    </row>
    <row r="360" ht="13.5" customHeight="1">
      <c r="A360" s="2"/>
      <c r="B360" s="2"/>
      <c r="C360" s="2"/>
      <c r="D360" s="2"/>
      <c r="E360" s="2"/>
      <c r="F360" s="2"/>
      <c r="G360" s="2"/>
      <c r="H360" s="2"/>
      <c r="I360" s="2"/>
      <c r="J360" s="2"/>
      <c r="K360" s="2"/>
      <c r="L360" s="2"/>
      <c r="M360" s="2"/>
      <c r="N360" s="2"/>
      <c r="O360" s="2"/>
      <c r="P360" s="2"/>
      <c r="Q360" s="157"/>
      <c r="R360" s="157"/>
      <c r="S360" s="157"/>
      <c r="T360" s="158"/>
      <c r="U360" s="2"/>
      <c r="V360" s="30"/>
      <c r="W360" s="2"/>
      <c r="X360" s="2"/>
      <c r="Y360" s="2"/>
      <c r="Z360" s="2"/>
    </row>
    <row r="361" ht="13.5" customHeight="1">
      <c r="A361" s="2"/>
      <c r="B361" s="2"/>
      <c r="C361" s="2"/>
      <c r="D361" s="2"/>
      <c r="E361" s="2"/>
      <c r="F361" s="2"/>
      <c r="G361" s="2"/>
      <c r="H361" s="2"/>
      <c r="I361" s="2"/>
      <c r="J361" s="2"/>
      <c r="K361" s="2"/>
      <c r="L361" s="2"/>
      <c r="M361" s="2"/>
      <c r="N361" s="2"/>
      <c r="O361" s="2"/>
      <c r="P361" s="2"/>
      <c r="Q361" s="157"/>
      <c r="R361" s="157"/>
      <c r="S361" s="157"/>
      <c r="T361" s="158"/>
      <c r="U361" s="2"/>
      <c r="V361" s="30"/>
      <c r="W361" s="2"/>
      <c r="X361" s="2"/>
      <c r="Y361" s="2"/>
      <c r="Z361" s="2"/>
    </row>
    <row r="362" ht="13.5" customHeight="1">
      <c r="A362" s="2"/>
      <c r="B362" s="2"/>
      <c r="C362" s="2"/>
      <c r="D362" s="2"/>
      <c r="E362" s="2"/>
      <c r="F362" s="2"/>
      <c r="G362" s="2"/>
      <c r="H362" s="2"/>
      <c r="I362" s="2"/>
      <c r="J362" s="2"/>
      <c r="K362" s="2"/>
      <c r="L362" s="2"/>
      <c r="M362" s="2"/>
      <c r="N362" s="2"/>
      <c r="O362" s="2"/>
      <c r="P362" s="2"/>
      <c r="Q362" s="157"/>
      <c r="R362" s="157"/>
      <c r="S362" s="157"/>
      <c r="T362" s="158"/>
      <c r="U362" s="2"/>
      <c r="V362" s="30"/>
      <c r="W362" s="2"/>
      <c r="X362" s="2"/>
      <c r="Y362" s="2"/>
      <c r="Z362" s="2"/>
    </row>
    <row r="363" ht="13.5" customHeight="1">
      <c r="A363" s="2"/>
      <c r="B363" s="2"/>
      <c r="C363" s="2"/>
      <c r="D363" s="2"/>
      <c r="E363" s="2"/>
      <c r="F363" s="2"/>
      <c r="G363" s="2"/>
      <c r="H363" s="2"/>
      <c r="I363" s="2"/>
      <c r="J363" s="2"/>
      <c r="K363" s="2"/>
      <c r="L363" s="2"/>
      <c r="M363" s="2"/>
      <c r="N363" s="2"/>
      <c r="O363" s="2"/>
      <c r="P363" s="2"/>
      <c r="Q363" s="157"/>
      <c r="R363" s="157"/>
      <c r="S363" s="157"/>
      <c r="T363" s="158"/>
      <c r="U363" s="2"/>
      <c r="V363" s="30"/>
      <c r="W363" s="2"/>
      <c r="X363" s="2"/>
      <c r="Y363" s="2"/>
      <c r="Z363" s="2"/>
    </row>
    <row r="364" ht="13.5" customHeight="1">
      <c r="A364" s="2"/>
      <c r="B364" s="2"/>
      <c r="C364" s="2"/>
      <c r="D364" s="2"/>
      <c r="E364" s="2"/>
      <c r="F364" s="2"/>
      <c r="G364" s="2"/>
      <c r="H364" s="2"/>
      <c r="I364" s="2"/>
      <c r="J364" s="2"/>
      <c r="K364" s="2"/>
      <c r="L364" s="2"/>
      <c r="M364" s="2"/>
      <c r="N364" s="2"/>
      <c r="O364" s="2"/>
      <c r="P364" s="2"/>
      <c r="Q364" s="157"/>
      <c r="R364" s="157"/>
      <c r="S364" s="157"/>
      <c r="T364" s="158"/>
      <c r="U364" s="2"/>
      <c r="V364" s="30"/>
      <c r="W364" s="2"/>
      <c r="X364" s="2"/>
      <c r="Y364" s="2"/>
      <c r="Z364" s="2"/>
    </row>
    <row r="365" ht="13.5" customHeight="1">
      <c r="A365" s="2"/>
      <c r="B365" s="2"/>
      <c r="C365" s="2"/>
      <c r="D365" s="2"/>
      <c r="E365" s="2"/>
      <c r="F365" s="2"/>
      <c r="G365" s="2"/>
      <c r="H365" s="2"/>
      <c r="I365" s="2"/>
      <c r="J365" s="2"/>
      <c r="K365" s="2"/>
      <c r="L365" s="2"/>
      <c r="M365" s="2"/>
      <c r="N365" s="2"/>
      <c r="O365" s="2"/>
      <c r="P365" s="2"/>
      <c r="Q365" s="157"/>
      <c r="R365" s="157"/>
      <c r="S365" s="157"/>
      <c r="T365" s="158"/>
      <c r="U365" s="2"/>
      <c r="V365" s="30"/>
      <c r="W365" s="2"/>
      <c r="X365" s="2"/>
      <c r="Y365" s="2"/>
      <c r="Z365" s="2"/>
    </row>
    <row r="366" ht="13.5" customHeight="1">
      <c r="A366" s="2"/>
      <c r="B366" s="2"/>
      <c r="C366" s="2"/>
      <c r="D366" s="2"/>
      <c r="E366" s="2"/>
      <c r="F366" s="2"/>
      <c r="G366" s="2"/>
      <c r="H366" s="2"/>
      <c r="I366" s="2"/>
      <c r="J366" s="2"/>
      <c r="K366" s="2"/>
      <c r="L366" s="2"/>
      <c r="M366" s="2"/>
      <c r="N366" s="2"/>
      <c r="O366" s="2"/>
      <c r="P366" s="2"/>
      <c r="Q366" s="157"/>
      <c r="R366" s="157"/>
      <c r="S366" s="157"/>
      <c r="T366" s="158"/>
      <c r="U366" s="2"/>
      <c r="V366" s="30"/>
      <c r="W366" s="2"/>
      <c r="X366" s="2"/>
      <c r="Y366" s="2"/>
      <c r="Z366" s="2"/>
    </row>
    <row r="367" ht="13.5" customHeight="1">
      <c r="A367" s="2"/>
      <c r="B367" s="2"/>
      <c r="C367" s="2"/>
      <c r="D367" s="2"/>
      <c r="E367" s="2"/>
      <c r="F367" s="2"/>
      <c r="G367" s="2"/>
      <c r="H367" s="2"/>
      <c r="I367" s="2"/>
      <c r="J367" s="2"/>
      <c r="K367" s="2"/>
      <c r="L367" s="2"/>
      <c r="M367" s="2"/>
      <c r="N367" s="2"/>
      <c r="O367" s="2"/>
      <c r="P367" s="2"/>
      <c r="Q367" s="157"/>
      <c r="R367" s="157"/>
      <c r="S367" s="157"/>
      <c r="T367" s="158"/>
      <c r="U367" s="2"/>
      <c r="V367" s="30"/>
      <c r="W367" s="2"/>
      <c r="X367" s="2"/>
      <c r="Y367" s="2"/>
      <c r="Z367" s="2"/>
    </row>
    <row r="368" ht="13.5" customHeight="1">
      <c r="A368" s="2"/>
      <c r="B368" s="2"/>
      <c r="C368" s="2"/>
      <c r="D368" s="2"/>
      <c r="E368" s="2"/>
      <c r="F368" s="2"/>
      <c r="G368" s="2"/>
      <c r="H368" s="2"/>
      <c r="I368" s="2"/>
      <c r="J368" s="2"/>
      <c r="K368" s="2"/>
      <c r="L368" s="2"/>
      <c r="M368" s="2"/>
      <c r="N368" s="2"/>
      <c r="O368" s="2"/>
      <c r="P368" s="2"/>
      <c r="Q368" s="157"/>
      <c r="R368" s="157"/>
      <c r="S368" s="157"/>
      <c r="T368" s="158"/>
      <c r="U368" s="2"/>
      <c r="V368" s="30"/>
      <c r="W368" s="2"/>
      <c r="X368" s="2"/>
      <c r="Y368" s="2"/>
      <c r="Z368" s="2"/>
    </row>
    <row r="369" ht="13.5" customHeight="1">
      <c r="A369" s="2"/>
      <c r="B369" s="2"/>
      <c r="C369" s="2"/>
      <c r="D369" s="2"/>
      <c r="E369" s="2"/>
      <c r="F369" s="2"/>
      <c r="G369" s="2"/>
      <c r="H369" s="2"/>
      <c r="I369" s="2"/>
      <c r="J369" s="2"/>
      <c r="K369" s="2"/>
      <c r="L369" s="2"/>
      <c r="M369" s="2"/>
      <c r="N369" s="2"/>
      <c r="O369" s="2"/>
      <c r="P369" s="2"/>
      <c r="Q369" s="157"/>
      <c r="R369" s="157"/>
      <c r="S369" s="157"/>
      <c r="T369" s="158"/>
      <c r="U369" s="2"/>
      <c r="V369" s="30"/>
      <c r="W369" s="2"/>
      <c r="X369" s="2"/>
      <c r="Y369" s="2"/>
      <c r="Z369" s="2"/>
    </row>
    <row r="370" ht="13.5" customHeight="1">
      <c r="A370" s="2"/>
      <c r="B370" s="2"/>
      <c r="C370" s="2"/>
      <c r="D370" s="2"/>
      <c r="E370" s="2"/>
      <c r="F370" s="2"/>
      <c r="G370" s="2"/>
      <c r="H370" s="2"/>
      <c r="I370" s="2"/>
      <c r="J370" s="2"/>
      <c r="K370" s="2"/>
      <c r="L370" s="2"/>
      <c r="M370" s="2"/>
      <c r="N370" s="2"/>
      <c r="O370" s="2"/>
      <c r="P370" s="2"/>
      <c r="Q370" s="157"/>
      <c r="R370" s="157"/>
      <c r="S370" s="157"/>
      <c r="T370" s="158"/>
      <c r="U370" s="2"/>
      <c r="V370" s="30"/>
      <c r="W370" s="2"/>
      <c r="X370" s="2"/>
      <c r="Y370" s="2"/>
      <c r="Z370" s="2"/>
    </row>
    <row r="371" ht="13.5" customHeight="1">
      <c r="A371" s="2"/>
      <c r="B371" s="2"/>
      <c r="C371" s="2"/>
      <c r="D371" s="2"/>
      <c r="E371" s="2"/>
      <c r="F371" s="2"/>
      <c r="G371" s="2"/>
      <c r="H371" s="2"/>
      <c r="I371" s="2"/>
      <c r="J371" s="2"/>
      <c r="K371" s="2"/>
      <c r="L371" s="2"/>
      <c r="M371" s="2"/>
      <c r="N371" s="2"/>
      <c r="O371" s="2"/>
      <c r="P371" s="2"/>
      <c r="Q371" s="157"/>
      <c r="R371" s="157"/>
      <c r="S371" s="157"/>
      <c r="T371" s="158"/>
      <c r="U371" s="2"/>
      <c r="V371" s="30"/>
      <c r="W371" s="2"/>
      <c r="X371" s="2"/>
      <c r="Y371" s="2"/>
      <c r="Z371" s="2"/>
    </row>
    <row r="372" ht="13.5" customHeight="1">
      <c r="A372" s="2"/>
      <c r="B372" s="2"/>
      <c r="C372" s="2"/>
      <c r="D372" s="2"/>
      <c r="E372" s="2"/>
      <c r="F372" s="2"/>
      <c r="G372" s="2"/>
      <c r="H372" s="2"/>
      <c r="I372" s="2"/>
      <c r="J372" s="2"/>
      <c r="K372" s="2"/>
      <c r="L372" s="2"/>
      <c r="M372" s="2"/>
      <c r="N372" s="2"/>
      <c r="O372" s="2"/>
      <c r="P372" s="2"/>
      <c r="Q372" s="157"/>
      <c r="R372" s="157"/>
      <c r="S372" s="157"/>
      <c r="T372" s="158"/>
      <c r="U372" s="2"/>
      <c r="V372" s="30"/>
      <c r="W372" s="2"/>
      <c r="X372" s="2"/>
      <c r="Y372" s="2"/>
      <c r="Z372" s="2"/>
    </row>
    <row r="373" ht="13.5" customHeight="1">
      <c r="A373" s="2"/>
      <c r="B373" s="2"/>
      <c r="C373" s="2"/>
      <c r="D373" s="2"/>
      <c r="E373" s="2"/>
      <c r="F373" s="2"/>
      <c r="G373" s="2"/>
      <c r="H373" s="2"/>
      <c r="I373" s="2"/>
      <c r="J373" s="2"/>
      <c r="K373" s="2"/>
      <c r="L373" s="2"/>
      <c r="M373" s="2"/>
      <c r="N373" s="2"/>
      <c r="O373" s="2"/>
      <c r="P373" s="2"/>
      <c r="Q373" s="157"/>
      <c r="R373" s="157"/>
      <c r="S373" s="157"/>
      <c r="T373" s="158"/>
      <c r="U373" s="2"/>
      <c r="V373" s="30"/>
      <c r="W373" s="2"/>
      <c r="X373" s="2"/>
      <c r="Y373" s="2"/>
      <c r="Z373" s="2"/>
    </row>
    <row r="374" ht="13.5" customHeight="1">
      <c r="A374" s="2"/>
      <c r="B374" s="2"/>
      <c r="C374" s="2"/>
      <c r="D374" s="2"/>
      <c r="E374" s="2"/>
      <c r="F374" s="2"/>
      <c r="G374" s="2"/>
      <c r="H374" s="2"/>
      <c r="I374" s="2"/>
      <c r="J374" s="2"/>
      <c r="K374" s="2"/>
      <c r="L374" s="2"/>
      <c r="M374" s="2"/>
      <c r="N374" s="2"/>
      <c r="O374" s="2"/>
      <c r="P374" s="2"/>
      <c r="Q374" s="157"/>
      <c r="R374" s="157"/>
      <c r="S374" s="157"/>
      <c r="T374" s="158"/>
      <c r="U374" s="2"/>
      <c r="V374" s="30"/>
      <c r="W374" s="2"/>
      <c r="X374" s="2"/>
      <c r="Y374" s="2"/>
      <c r="Z374" s="2"/>
    </row>
    <row r="375" ht="13.5" customHeight="1">
      <c r="A375" s="2"/>
      <c r="B375" s="2"/>
      <c r="C375" s="2"/>
      <c r="D375" s="2"/>
      <c r="E375" s="2"/>
      <c r="F375" s="2"/>
      <c r="G375" s="2"/>
      <c r="H375" s="2"/>
      <c r="I375" s="2"/>
      <c r="J375" s="2"/>
      <c r="K375" s="2"/>
      <c r="L375" s="2"/>
      <c r="M375" s="2"/>
      <c r="N375" s="2"/>
      <c r="O375" s="2"/>
      <c r="P375" s="2"/>
      <c r="Q375" s="157"/>
      <c r="R375" s="157"/>
      <c r="S375" s="157"/>
      <c r="T375" s="158"/>
      <c r="U375" s="2"/>
      <c r="V375" s="30"/>
      <c r="W375" s="2"/>
      <c r="X375" s="2"/>
      <c r="Y375" s="2"/>
      <c r="Z375" s="2"/>
    </row>
    <row r="376" ht="13.5" customHeight="1">
      <c r="A376" s="2"/>
      <c r="B376" s="2"/>
      <c r="C376" s="2"/>
      <c r="D376" s="2"/>
      <c r="E376" s="2"/>
      <c r="F376" s="2"/>
      <c r="G376" s="2"/>
      <c r="H376" s="2"/>
      <c r="I376" s="2"/>
      <c r="J376" s="2"/>
      <c r="K376" s="2"/>
      <c r="L376" s="2"/>
      <c r="M376" s="2"/>
      <c r="N376" s="2"/>
      <c r="O376" s="2"/>
      <c r="P376" s="2"/>
      <c r="Q376" s="157"/>
      <c r="R376" s="157"/>
      <c r="S376" s="157"/>
      <c r="T376" s="158"/>
      <c r="U376" s="2"/>
      <c r="V376" s="30"/>
      <c r="W376" s="2"/>
      <c r="X376" s="2"/>
      <c r="Y376" s="2"/>
      <c r="Z376" s="2"/>
    </row>
    <row r="377" ht="13.5" customHeight="1">
      <c r="A377" s="2"/>
      <c r="B377" s="2"/>
      <c r="C377" s="2"/>
      <c r="D377" s="2"/>
      <c r="E377" s="2"/>
      <c r="F377" s="2"/>
      <c r="G377" s="2"/>
      <c r="H377" s="2"/>
      <c r="I377" s="2"/>
      <c r="J377" s="2"/>
      <c r="K377" s="2"/>
      <c r="L377" s="2"/>
      <c r="M377" s="2"/>
      <c r="N377" s="2"/>
      <c r="O377" s="2"/>
      <c r="P377" s="2"/>
      <c r="Q377" s="157"/>
      <c r="R377" s="157"/>
      <c r="S377" s="157"/>
      <c r="T377" s="158"/>
      <c r="U377" s="2"/>
      <c r="V377" s="30"/>
      <c r="W377" s="2"/>
      <c r="X377" s="2"/>
      <c r="Y377" s="2"/>
      <c r="Z377" s="2"/>
    </row>
    <row r="378" ht="13.5" customHeight="1">
      <c r="A378" s="2"/>
      <c r="B378" s="2"/>
      <c r="C378" s="2"/>
      <c r="D378" s="2"/>
      <c r="E378" s="2"/>
      <c r="F378" s="2"/>
      <c r="G378" s="2"/>
      <c r="H378" s="2"/>
      <c r="I378" s="2"/>
      <c r="J378" s="2"/>
      <c r="K378" s="2"/>
      <c r="L378" s="2"/>
      <c r="M378" s="2"/>
      <c r="N378" s="2"/>
      <c r="O378" s="2"/>
      <c r="P378" s="2"/>
      <c r="Q378" s="157"/>
      <c r="R378" s="157"/>
      <c r="S378" s="157"/>
      <c r="T378" s="158"/>
      <c r="U378" s="2"/>
      <c r="V378" s="30"/>
      <c r="W378" s="2"/>
      <c r="X378" s="2"/>
      <c r="Y378" s="2"/>
      <c r="Z378" s="2"/>
    </row>
    <row r="379" ht="13.5" customHeight="1">
      <c r="A379" s="2"/>
      <c r="B379" s="2"/>
      <c r="C379" s="2"/>
      <c r="D379" s="2"/>
      <c r="E379" s="2"/>
      <c r="F379" s="2"/>
      <c r="G379" s="2"/>
      <c r="H379" s="2"/>
      <c r="I379" s="2"/>
      <c r="J379" s="2"/>
      <c r="K379" s="2"/>
      <c r="L379" s="2"/>
      <c r="M379" s="2"/>
      <c r="N379" s="2"/>
      <c r="O379" s="2"/>
      <c r="P379" s="2"/>
      <c r="Q379" s="157"/>
      <c r="R379" s="157"/>
      <c r="S379" s="157"/>
      <c r="T379" s="158"/>
      <c r="U379" s="2"/>
      <c r="V379" s="30"/>
      <c r="W379" s="2"/>
      <c r="X379" s="2"/>
      <c r="Y379" s="2"/>
      <c r="Z379" s="2"/>
    </row>
    <row r="380" ht="13.5" customHeight="1">
      <c r="A380" s="2"/>
      <c r="B380" s="2"/>
      <c r="C380" s="2"/>
      <c r="D380" s="2"/>
      <c r="E380" s="2"/>
      <c r="F380" s="2"/>
      <c r="G380" s="2"/>
      <c r="H380" s="2"/>
      <c r="I380" s="2"/>
      <c r="J380" s="2"/>
      <c r="K380" s="2"/>
      <c r="L380" s="2"/>
      <c r="M380" s="2"/>
      <c r="N380" s="2"/>
      <c r="O380" s="2"/>
      <c r="P380" s="2"/>
      <c r="Q380" s="157"/>
      <c r="R380" s="157"/>
      <c r="S380" s="157"/>
      <c r="T380" s="158"/>
      <c r="U380" s="2"/>
      <c r="V380" s="30"/>
      <c r="W380" s="2"/>
      <c r="X380" s="2"/>
      <c r="Y380" s="2"/>
      <c r="Z380" s="2"/>
    </row>
    <row r="381" ht="13.5" customHeight="1">
      <c r="A381" s="2"/>
      <c r="B381" s="2"/>
      <c r="C381" s="2"/>
      <c r="D381" s="2"/>
      <c r="E381" s="2"/>
      <c r="F381" s="2"/>
      <c r="G381" s="2"/>
      <c r="H381" s="2"/>
      <c r="I381" s="2"/>
      <c r="J381" s="2"/>
      <c r="K381" s="2"/>
      <c r="L381" s="2"/>
      <c r="M381" s="2"/>
      <c r="N381" s="2"/>
      <c r="O381" s="2"/>
      <c r="P381" s="2"/>
      <c r="Q381" s="157"/>
      <c r="R381" s="157"/>
      <c r="S381" s="157"/>
      <c r="T381" s="158"/>
      <c r="U381" s="2"/>
      <c r="V381" s="30"/>
      <c r="W381" s="2"/>
      <c r="X381" s="2"/>
      <c r="Y381" s="2"/>
      <c r="Z381" s="2"/>
    </row>
    <row r="382" ht="13.5" customHeight="1">
      <c r="A382" s="2"/>
      <c r="B382" s="2"/>
      <c r="C382" s="2"/>
      <c r="D382" s="2"/>
      <c r="E382" s="2"/>
      <c r="F382" s="2"/>
      <c r="G382" s="2"/>
      <c r="H382" s="2"/>
      <c r="I382" s="2"/>
      <c r="J382" s="2"/>
      <c r="K382" s="2"/>
      <c r="L382" s="2"/>
      <c r="M382" s="2"/>
      <c r="N382" s="2"/>
      <c r="O382" s="2"/>
      <c r="P382" s="2"/>
      <c r="Q382" s="157"/>
      <c r="R382" s="157"/>
      <c r="S382" s="157"/>
      <c r="T382" s="158"/>
      <c r="U382" s="2"/>
      <c r="V382" s="30"/>
      <c r="W382" s="2"/>
      <c r="X382" s="2"/>
      <c r="Y382" s="2"/>
      <c r="Z382" s="2"/>
    </row>
    <row r="383" ht="13.5" customHeight="1">
      <c r="A383" s="2"/>
      <c r="B383" s="2"/>
      <c r="C383" s="2"/>
      <c r="D383" s="2"/>
      <c r="E383" s="2"/>
      <c r="F383" s="2"/>
      <c r="G383" s="2"/>
      <c r="H383" s="2"/>
      <c r="I383" s="2"/>
      <c r="J383" s="2"/>
      <c r="K383" s="2"/>
      <c r="L383" s="2"/>
      <c r="M383" s="2"/>
      <c r="N383" s="2"/>
      <c r="O383" s="2"/>
      <c r="P383" s="2"/>
      <c r="Q383" s="157"/>
      <c r="R383" s="157"/>
      <c r="S383" s="157"/>
      <c r="T383" s="158"/>
      <c r="U383" s="2"/>
      <c r="V383" s="30"/>
      <c r="W383" s="2"/>
      <c r="X383" s="2"/>
      <c r="Y383" s="2"/>
      <c r="Z383" s="2"/>
    </row>
    <row r="384" ht="13.5" customHeight="1">
      <c r="A384" s="2"/>
      <c r="B384" s="2"/>
      <c r="C384" s="2"/>
      <c r="D384" s="2"/>
      <c r="E384" s="2"/>
      <c r="F384" s="2"/>
      <c r="G384" s="2"/>
      <c r="H384" s="2"/>
      <c r="I384" s="2"/>
      <c r="J384" s="2"/>
      <c r="K384" s="2"/>
      <c r="L384" s="2"/>
      <c r="M384" s="2"/>
      <c r="N384" s="2"/>
      <c r="O384" s="2"/>
      <c r="P384" s="2"/>
      <c r="Q384" s="157"/>
      <c r="R384" s="157"/>
      <c r="S384" s="157"/>
      <c r="T384" s="158"/>
      <c r="U384" s="2"/>
      <c r="V384" s="30"/>
      <c r="W384" s="2"/>
      <c r="X384" s="2"/>
      <c r="Y384" s="2"/>
      <c r="Z384" s="2"/>
    </row>
    <row r="385" ht="13.5" customHeight="1">
      <c r="A385" s="2"/>
      <c r="B385" s="2"/>
      <c r="C385" s="2"/>
      <c r="D385" s="2"/>
      <c r="E385" s="2"/>
      <c r="F385" s="2"/>
      <c r="G385" s="2"/>
      <c r="H385" s="2"/>
      <c r="I385" s="2"/>
      <c r="J385" s="2"/>
      <c r="K385" s="2"/>
      <c r="L385" s="2"/>
      <c r="M385" s="2"/>
      <c r="N385" s="2"/>
      <c r="O385" s="2"/>
      <c r="P385" s="2"/>
      <c r="Q385" s="157"/>
      <c r="R385" s="157"/>
      <c r="S385" s="157"/>
      <c r="T385" s="158"/>
      <c r="U385" s="2"/>
      <c r="V385" s="30"/>
      <c r="W385" s="2"/>
      <c r="X385" s="2"/>
      <c r="Y385" s="2"/>
      <c r="Z385" s="2"/>
    </row>
    <row r="386" ht="13.5" customHeight="1">
      <c r="A386" s="2"/>
      <c r="B386" s="2"/>
      <c r="C386" s="2"/>
      <c r="D386" s="2"/>
      <c r="E386" s="2"/>
      <c r="F386" s="2"/>
      <c r="G386" s="2"/>
      <c r="H386" s="2"/>
      <c r="I386" s="2"/>
      <c r="J386" s="2"/>
      <c r="K386" s="2"/>
      <c r="L386" s="2"/>
      <c r="M386" s="2"/>
      <c r="N386" s="2"/>
      <c r="O386" s="2"/>
      <c r="P386" s="2"/>
      <c r="Q386" s="157"/>
      <c r="R386" s="157"/>
      <c r="S386" s="157"/>
      <c r="T386" s="158"/>
      <c r="U386" s="2"/>
      <c r="V386" s="30"/>
      <c r="W386" s="2"/>
      <c r="X386" s="2"/>
      <c r="Y386" s="2"/>
      <c r="Z386" s="2"/>
    </row>
    <row r="387" ht="13.5" customHeight="1">
      <c r="A387" s="2"/>
      <c r="B387" s="2"/>
      <c r="C387" s="2"/>
      <c r="D387" s="2"/>
      <c r="E387" s="2"/>
      <c r="F387" s="2"/>
      <c r="G387" s="2"/>
      <c r="H387" s="2"/>
      <c r="I387" s="2"/>
      <c r="J387" s="2"/>
      <c r="K387" s="2"/>
      <c r="L387" s="2"/>
      <c r="M387" s="2"/>
      <c r="N387" s="2"/>
      <c r="O387" s="2"/>
      <c r="P387" s="2"/>
      <c r="Q387" s="157"/>
      <c r="R387" s="157"/>
      <c r="S387" s="157"/>
      <c r="T387" s="158"/>
      <c r="U387" s="2"/>
      <c r="V387" s="30"/>
      <c r="W387" s="2"/>
      <c r="X387" s="2"/>
      <c r="Y387" s="2"/>
      <c r="Z387" s="2"/>
    </row>
    <row r="388" ht="13.5" customHeight="1">
      <c r="A388" s="2"/>
      <c r="B388" s="2"/>
      <c r="C388" s="2"/>
      <c r="D388" s="2"/>
      <c r="E388" s="2"/>
      <c r="F388" s="2"/>
      <c r="G388" s="2"/>
      <c r="H388" s="2"/>
      <c r="I388" s="2"/>
      <c r="J388" s="2"/>
      <c r="K388" s="2"/>
      <c r="L388" s="2"/>
      <c r="M388" s="2"/>
      <c r="N388" s="2"/>
      <c r="O388" s="2"/>
      <c r="P388" s="2"/>
      <c r="Q388" s="157"/>
      <c r="R388" s="157"/>
      <c r="S388" s="157"/>
      <c r="T388" s="158"/>
      <c r="U388" s="2"/>
      <c r="V388" s="30"/>
      <c r="W388" s="2"/>
      <c r="X388" s="2"/>
      <c r="Y388" s="2"/>
      <c r="Z388" s="2"/>
    </row>
    <row r="389" ht="13.5" customHeight="1">
      <c r="A389" s="2"/>
      <c r="B389" s="2"/>
      <c r="C389" s="2"/>
      <c r="D389" s="2"/>
      <c r="E389" s="2"/>
      <c r="F389" s="2"/>
      <c r="G389" s="2"/>
      <c r="H389" s="2"/>
      <c r="I389" s="2"/>
      <c r="J389" s="2"/>
      <c r="K389" s="2"/>
      <c r="L389" s="2"/>
      <c r="M389" s="2"/>
      <c r="N389" s="2"/>
      <c r="O389" s="2"/>
      <c r="P389" s="2"/>
      <c r="Q389" s="157"/>
      <c r="R389" s="157"/>
      <c r="S389" s="157"/>
      <c r="T389" s="158"/>
      <c r="U389" s="2"/>
      <c r="V389" s="30"/>
      <c r="W389" s="2"/>
      <c r="X389" s="2"/>
      <c r="Y389" s="2"/>
      <c r="Z389" s="2"/>
    </row>
    <row r="390" ht="13.5" customHeight="1">
      <c r="A390" s="2"/>
      <c r="B390" s="2"/>
      <c r="C390" s="2"/>
      <c r="D390" s="2"/>
      <c r="E390" s="2"/>
      <c r="F390" s="2"/>
      <c r="G390" s="2"/>
      <c r="H390" s="2"/>
      <c r="I390" s="2"/>
      <c r="J390" s="2"/>
      <c r="K390" s="2"/>
      <c r="L390" s="2"/>
      <c r="M390" s="2"/>
      <c r="N390" s="2"/>
      <c r="O390" s="2"/>
      <c r="P390" s="2"/>
      <c r="Q390" s="157"/>
      <c r="R390" s="157"/>
      <c r="S390" s="157"/>
      <c r="T390" s="158"/>
      <c r="U390" s="2"/>
      <c r="V390" s="30"/>
      <c r="W390" s="2"/>
      <c r="X390" s="2"/>
      <c r="Y390" s="2"/>
      <c r="Z390" s="2"/>
    </row>
    <row r="391" ht="13.5" customHeight="1">
      <c r="A391" s="2"/>
      <c r="B391" s="2"/>
      <c r="C391" s="2"/>
      <c r="D391" s="2"/>
      <c r="E391" s="2"/>
      <c r="F391" s="2"/>
      <c r="G391" s="2"/>
      <c r="H391" s="2"/>
      <c r="I391" s="2"/>
      <c r="J391" s="2"/>
      <c r="K391" s="2"/>
      <c r="L391" s="2"/>
      <c r="M391" s="2"/>
      <c r="N391" s="2"/>
      <c r="O391" s="2"/>
      <c r="P391" s="2"/>
      <c r="Q391" s="157"/>
      <c r="R391" s="157"/>
      <c r="S391" s="157"/>
      <c r="T391" s="158"/>
      <c r="U391" s="2"/>
      <c r="V391" s="30"/>
      <c r="W391" s="2"/>
      <c r="X391" s="2"/>
      <c r="Y391" s="2"/>
      <c r="Z391" s="2"/>
    </row>
    <row r="392" ht="13.5" customHeight="1">
      <c r="A392" s="2"/>
      <c r="B392" s="2"/>
      <c r="C392" s="2"/>
      <c r="D392" s="2"/>
      <c r="E392" s="2"/>
      <c r="F392" s="2"/>
      <c r="G392" s="2"/>
      <c r="H392" s="2"/>
      <c r="I392" s="2"/>
      <c r="J392" s="2"/>
      <c r="K392" s="2"/>
      <c r="L392" s="2"/>
      <c r="M392" s="2"/>
      <c r="N392" s="2"/>
      <c r="O392" s="2"/>
      <c r="P392" s="2"/>
      <c r="Q392" s="157"/>
      <c r="R392" s="157"/>
      <c r="S392" s="157"/>
      <c r="T392" s="158"/>
      <c r="U392" s="2"/>
      <c r="V392" s="30"/>
      <c r="W392" s="2"/>
      <c r="X392" s="2"/>
      <c r="Y392" s="2"/>
      <c r="Z392" s="2"/>
    </row>
    <row r="393" ht="13.5" customHeight="1">
      <c r="A393" s="2"/>
      <c r="B393" s="2"/>
      <c r="C393" s="2"/>
      <c r="D393" s="2"/>
      <c r="E393" s="2"/>
      <c r="F393" s="2"/>
      <c r="G393" s="2"/>
      <c r="H393" s="2"/>
      <c r="I393" s="2"/>
      <c r="J393" s="2"/>
      <c r="K393" s="2"/>
      <c r="L393" s="2"/>
      <c r="M393" s="2"/>
      <c r="N393" s="2"/>
      <c r="O393" s="2"/>
      <c r="P393" s="2"/>
      <c r="Q393" s="157"/>
      <c r="R393" s="157"/>
      <c r="S393" s="157"/>
      <c r="T393" s="158"/>
      <c r="U393" s="2"/>
      <c r="V393" s="30"/>
      <c r="W393" s="2"/>
      <c r="X393" s="2"/>
      <c r="Y393" s="2"/>
      <c r="Z393" s="2"/>
    </row>
    <row r="394" ht="13.5" customHeight="1">
      <c r="A394" s="2"/>
      <c r="B394" s="2"/>
      <c r="C394" s="2"/>
      <c r="D394" s="2"/>
      <c r="E394" s="2"/>
      <c r="F394" s="2"/>
      <c r="G394" s="2"/>
      <c r="H394" s="2"/>
      <c r="I394" s="2"/>
      <c r="J394" s="2"/>
      <c r="K394" s="2"/>
      <c r="L394" s="2"/>
      <c r="M394" s="2"/>
      <c r="N394" s="2"/>
      <c r="O394" s="2"/>
      <c r="P394" s="2"/>
      <c r="Q394" s="157"/>
      <c r="R394" s="157"/>
      <c r="S394" s="157"/>
      <c r="T394" s="158"/>
      <c r="U394" s="2"/>
      <c r="V394" s="30"/>
      <c r="W394" s="2"/>
      <c r="X394" s="2"/>
      <c r="Y394" s="2"/>
      <c r="Z394" s="2"/>
    </row>
    <row r="395" ht="13.5" customHeight="1">
      <c r="A395" s="2"/>
      <c r="B395" s="2"/>
      <c r="C395" s="2"/>
      <c r="D395" s="2"/>
      <c r="E395" s="2"/>
      <c r="F395" s="2"/>
      <c r="G395" s="2"/>
      <c r="H395" s="2"/>
      <c r="I395" s="2"/>
      <c r="J395" s="2"/>
      <c r="K395" s="2"/>
      <c r="L395" s="2"/>
      <c r="M395" s="2"/>
      <c r="N395" s="2"/>
      <c r="O395" s="2"/>
      <c r="P395" s="2"/>
      <c r="Q395" s="157"/>
      <c r="R395" s="157"/>
      <c r="S395" s="157"/>
      <c r="T395" s="158"/>
      <c r="U395" s="2"/>
      <c r="V395" s="30"/>
      <c r="W395" s="2"/>
      <c r="X395" s="2"/>
      <c r="Y395" s="2"/>
      <c r="Z395" s="2"/>
    </row>
    <row r="396" ht="13.5" customHeight="1">
      <c r="A396" s="2"/>
      <c r="B396" s="2"/>
      <c r="C396" s="2"/>
      <c r="D396" s="2"/>
      <c r="E396" s="2"/>
      <c r="F396" s="2"/>
      <c r="G396" s="2"/>
      <c r="H396" s="2"/>
      <c r="I396" s="2"/>
      <c r="J396" s="2"/>
      <c r="K396" s="2"/>
      <c r="L396" s="2"/>
      <c r="M396" s="2"/>
      <c r="N396" s="2"/>
      <c r="O396" s="2"/>
      <c r="P396" s="2"/>
      <c r="Q396" s="157"/>
      <c r="R396" s="157"/>
      <c r="S396" s="157"/>
      <c r="T396" s="158"/>
      <c r="U396" s="2"/>
      <c r="V396" s="30"/>
      <c r="W396" s="2"/>
      <c r="X396" s="2"/>
      <c r="Y396" s="2"/>
      <c r="Z396" s="2"/>
    </row>
    <row r="397" ht="13.5" customHeight="1">
      <c r="A397" s="2"/>
      <c r="B397" s="2"/>
      <c r="C397" s="2"/>
      <c r="D397" s="2"/>
      <c r="E397" s="2"/>
      <c r="F397" s="2"/>
      <c r="G397" s="2"/>
      <c r="H397" s="2"/>
      <c r="I397" s="2"/>
      <c r="J397" s="2"/>
      <c r="K397" s="2"/>
      <c r="L397" s="2"/>
      <c r="M397" s="2"/>
      <c r="N397" s="2"/>
      <c r="O397" s="2"/>
      <c r="P397" s="2"/>
      <c r="Q397" s="157"/>
      <c r="R397" s="157"/>
      <c r="S397" s="157"/>
      <c r="T397" s="158"/>
      <c r="U397" s="2"/>
      <c r="V397" s="30"/>
      <c r="W397" s="2"/>
      <c r="X397" s="2"/>
      <c r="Y397" s="2"/>
      <c r="Z397" s="2"/>
    </row>
    <row r="398" ht="13.5" customHeight="1">
      <c r="A398" s="2"/>
      <c r="B398" s="2"/>
      <c r="C398" s="2"/>
      <c r="D398" s="2"/>
      <c r="E398" s="2"/>
      <c r="F398" s="2"/>
      <c r="G398" s="2"/>
      <c r="H398" s="2"/>
      <c r="I398" s="2"/>
      <c r="J398" s="2"/>
      <c r="K398" s="2"/>
      <c r="L398" s="2"/>
      <c r="M398" s="2"/>
      <c r="N398" s="2"/>
      <c r="O398" s="2"/>
      <c r="P398" s="2"/>
      <c r="Q398" s="157"/>
      <c r="R398" s="157"/>
      <c r="S398" s="157"/>
      <c r="T398" s="158"/>
      <c r="U398" s="2"/>
      <c r="V398" s="30"/>
      <c r="W398" s="2"/>
      <c r="X398" s="2"/>
      <c r="Y398" s="2"/>
      <c r="Z398" s="2"/>
    </row>
    <row r="399" ht="13.5" customHeight="1">
      <c r="A399" s="2"/>
      <c r="B399" s="2"/>
      <c r="C399" s="2"/>
      <c r="D399" s="2"/>
      <c r="E399" s="2"/>
      <c r="F399" s="2"/>
      <c r="G399" s="2"/>
      <c r="H399" s="2"/>
      <c r="I399" s="2"/>
      <c r="J399" s="2"/>
      <c r="K399" s="2"/>
      <c r="L399" s="2"/>
      <c r="M399" s="2"/>
      <c r="N399" s="2"/>
      <c r="O399" s="2"/>
      <c r="P399" s="2"/>
      <c r="Q399" s="157"/>
      <c r="R399" s="157"/>
      <c r="S399" s="157"/>
      <c r="T399" s="158"/>
      <c r="U399" s="2"/>
      <c r="V399" s="30"/>
      <c r="W399" s="2"/>
      <c r="X399" s="2"/>
      <c r="Y399" s="2"/>
      <c r="Z399" s="2"/>
    </row>
    <row r="400" ht="13.5" customHeight="1">
      <c r="A400" s="2"/>
      <c r="B400" s="2"/>
      <c r="C400" s="2"/>
      <c r="D400" s="2"/>
      <c r="E400" s="2"/>
      <c r="F400" s="2"/>
      <c r="G400" s="2"/>
      <c r="H400" s="2"/>
      <c r="I400" s="2"/>
      <c r="J400" s="2"/>
      <c r="K400" s="2"/>
      <c r="L400" s="2"/>
      <c r="M400" s="2"/>
      <c r="N400" s="2"/>
      <c r="O400" s="2"/>
      <c r="P400" s="2"/>
      <c r="Q400" s="157"/>
      <c r="R400" s="157"/>
      <c r="S400" s="157"/>
      <c r="T400" s="158"/>
      <c r="U400" s="2"/>
      <c r="V400" s="30"/>
      <c r="W400" s="2"/>
      <c r="X400" s="2"/>
      <c r="Y400" s="2"/>
      <c r="Z400" s="2"/>
    </row>
    <row r="401" ht="13.5" customHeight="1">
      <c r="A401" s="2"/>
      <c r="B401" s="2"/>
      <c r="C401" s="2"/>
      <c r="D401" s="2"/>
      <c r="E401" s="2"/>
      <c r="F401" s="2"/>
      <c r="G401" s="2"/>
      <c r="H401" s="2"/>
      <c r="I401" s="2"/>
      <c r="J401" s="2"/>
      <c r="K401" s="2"/>
      <c r="L401" s="2"/>
      <c r="M401" s="2"/>
      <c r="N401" s="2"/>
      <c r="O401" s="2"/>
      <c r="P401" s="2"/>
      <c r="Q401" s="157"/>
      <c r="R401" s="157"/>
      <c r="S401" s="157"/>
      <c r="T401" s="158"/>
      <c r="U401" s="2"/>
      <c r="V401" s="30"/>
      <c r="W401" s="2"/>
      <c r="X401" s="2"/>
      <c r="Y401" s="2"/>
      <c r="Z401" s="2"/>
    </row>
    <row r="402" ht="13.5" customHeight="1">
      <c r="A402" s="2"/>
      <c r="B402" s="2"/>
      <c r="C402" s="2"/>
      <c r="D402" s="2"/>
      <c r="E402" s="2"/>
      <c r="F402" s="2"/>
      <c r="G402" s="2"/>
      <c r="H402" s="2"/>
      <c r="I402" s="2"/>
      <c r="J402" s="2"/>
      <c r="K402" s="2"/>
      <c r="L402" s="2"/>
      <c r="M402" s="2"/>
      <c r="N402" s="2"/>
      <c r="O402" s="2"/>
      <c r="P402" s="2"/>
      <c r="Q402" s="157"/>
      <c r="R402" s="157"/>
      <c r="S402" s="157"/>
      <c r="T402" s="158"/>
      <c r="U402" s="2"/>
      <c r="V402" s="30"/>
      <c r="W402" s="2"/>
      <c r="X402" s="2"/>
      <c r="Y402" s="2"/>
      <c r="Z402" s="2"/>
    </row>
    <row r="403" ht="13.5" customHeight="1">
      <c r="A403" s="2"/>
      <c r="B403" s="2"/>
      <c r="C403" s="2"/>
      <c r="D403" s="2"/>
      <c r="E403" s="2"/>
      <c r="F403" s="2"/>
      <c r="G403" s="2"/>
      <c r="H403" s="2"/>
      <c r="I403" s="2"/>
      <c r="J403" s="2"/>
      <c r="K403" s="2"/>
      <c r="L403" s="2"/>
      <c r="M403" s="2"/>
      <c r="N403" s="2"/>
      <c r="O403" s="2"/>
      <c r="P403" s="2"/>
      <c r="Q403" s="157"/>
      <c r="R403" s="157"/>
      <c r="S403" s="157"/>
      <c r="T403" s="158"/>
      <c r="U403" s="2"/>
      <c r="V403" s="30"/>
      <c r="W403" s="2"/>
      <c r="X403" s="2"/>
      <c r="Y403" s="2"/>
      <c r="Z403" s="2"/>
    </row>
    <row r="404" ht="13.5" customHeight="1">
      <c r="A404" s="2"/>
      <c r="B404" s="2"/>
      <c r="C404" s="2"/>
      <c r="D404" s="2"/>
      <c r="E404" s="2"/>
      <c r="F404" s="2"/>
      <c r="G404" s="2"/>
      <c r="H404" s="2"/>
      <c r="I404" s="2"/>
      <c r="J404" s="2"/>
      <c r="K404" s="2"/>
      <c r="L404" s="2"/>
      <c r="M404" s="2"/>
      <c r="N404" s="2"/>
      <c r="O404" s="2"/>
      <c r="P404" s="2"/>
      <c r="Q404" s="157"/>
      <c r="R404" s="157"/>
      <c r="S404" s="157"/>
      <c r="T404" s="158"/>
      <c r="U404" s="2"/>
      <c r="V404" s="30"/>
      <c r="W404" s="2"/>
      <c r="X404" s="2"/>
      <c r="Y404" s="2"/>
      <c r="Z404" s="2"/>
    </row>
    <row r="405" ht="13.5" customHeight="1">
      <c r="A405" s="2"/>
      <c r="B405" s="2"/>
      <c r="C405" s="2"/>
      <c r="D405" s="2"/>
      <c r="E405" s="2"/>
      <c r="F405" s="2"/>
      <c r="G405" s="2"/>
      <c r="H405" s="2"/>
      <c r="I405" s="2"/>
      <c r="J405" s="2"/>
      <c r="K405" s="2"/>
      <c r="L405" s="2"/>
      <c r="M405" s="2"/>
      <c r="N405" s="2"/>
      <c r="O405" s="2"/>
      <c r="P405" s="2"/>
      <c r="Q405" s="157"/>
      <c r="R405" s="157"/>
      <c r="S405" s="157"/>
      <c r="T405" s="158"/>
      <c r="U405" s="2"/>
      <c r="V405" s="30"/>
      <c r="W405" s="2"/>
      <c r="X405" s="2"/>
      <c r="Y405" s="2"/>
      <c r="Z405" s="2"/>
    </row>
    <row r="406" ht="13.5" customHeight="1">
      <c r="A406" s="2"/>
      <c r="B406" s="2"/>
      <c r="C406" s="2"/>
      <c r="D406" s="2"/>
      <c r="E406" s="2"/>
      <c r="F406" s="2"/>
      <c r="G406" s="2"/>
      <c r="H406" s="2"/>
      <c r="I406" s="2"/>
      <c r="J406" s="2"/>
      <c r="K406" s="2"/>
      <c r="L406" s="2"/>
      <c r="M406" s="2"/>
      <c r="N406" s="2"/>
      <c r="O406" s="2"/>
      <c r="P406" s="2"/>
      <c r="Q406" s="157"/>
      <c r="R406" s="157"/>
      <c r="S406" s="157"/>
      <c r="T406" s="158"/>
      <c r="U406" s="2"/>
      <c r="V406" s="30"/>
      <c r="W406" s="2"/>
      <c r="X406" s="2"/>
      <c r="Y406" s="2"/>
      <c r="Z406" s="2"/>
    </row>
    <row r="407" ht="13.5" customHeight="1">
      <c r="A407" s="2"/>
      <c r="B407" s="2"/>
      <c r="C407" s="2"/>
      <c r="D407" s="2"/>
      <c r="E407" s="2"/>
      <c r="F407" s="2"/>
      <c r="G407" s="2"/>
      <c r="H407" s="2"/>
      <c r="I407" s="2"/>
      <c r="J407" s="2"/>
      <c r="K407" s="2"/>
      <c r="L407" s="2"/>
      <c r="M407" s="2"/>
      <c r="N407" s="2"/>
      <c r="O407" s="2"/>
      <c r="P407" s="2"/>
      <c r="Q407" s="157"/>
      <c r="R407" s="157"/>
      <c r="S407" s="157"/>
      <c r="T407" s="158"/>
      <c r="U407" s="2"/>
      <c r="V407" s="30"/>
      <c r="W407" s="2"/>
      <c r="X407" s="2"/>
      <c r="Y407" s="2"/>
      <c r="Z407" s="2"/>
    </row>
    <row r="408" ht="13.5" customHeight="1">
      <c r="A408" s="2"/>
      <c r="B408" s="2"/>
      <c r="C408" s="2"/>
      <c r="D408" s="2"/>
      <c r="E408" s="2"/>
      <c r="F408" s="2"/>
      <c r="G408" s="2"/>
      <c r="H408" s="2"/>
      <c r="I408" s="2"/>
      <c r="J408" s="2"/>
      <c r="K408" s="2"/>
      <c r="L408" s="2"/>
      <c r="M408" s="2"/>
      <c r="N408" s="2"/>
      <c r="O408" s="2"/>
      <c r="P408" s="2"/>
      <c r="Q408" s="157"/>
      <c r="R408" s="157"/>
      <c r="S408" s="157"/>
      <c r="T408" s="158"/>
      <c r="U408" s="2"/>
      <c r="V408" s="30"/>
      <c r="W408" s="2"/>
      <c r="X408" s="2"/>
      <c r="Y408" s="2"/>
      <c r="Z408" s="2"/>
    </row>
    <row r="409" ht="13.5" customHeight="1">
      <c r="A409" s="2"/>
      <c r="B409" s="2"/>
      <c r="C409" s="2"/>
      <c r="D409" s="2"/>
      <c r="E409" s="2"/>
      <c r="F409" s="2"/>
      <c r="G409" s="2"/>
      <c r="H409" s="2"/>
      <c r="I409" s="2"/>
      <c r="J409" s="2"/>
      <c r="K409" s="2"/>
      <c r="L409" s="2"/>
      <c r="M409" s="2"/>
      <c r="N409" s="2"/>
      <c r="O409" s="2"/>
      <c r="P409" s="2"/>
      <c r="Q409" s="157"/>
      <c r="R409" s="157"/>
      <c r="S409" s="157"/>
      <c r="T409" s="158"/>
      <c r="U409" s="2"/>
      <c r="V409" s="30"/>
      <c r="W409" s="2"/>
      <c r="X409" s="2"/>
      <c r="Y409" s="2"/>
      <c r="Z409" s="2"/>
    </row>
    <row r="410" ht="13.5" customHeight="1">
      <c r="A410" s="2"/>
      <c r="B410" s="2"/>
      <c r="C410" s="2"/>
      <c r="D410" s="2"/>
      <c r="E410" s="2"/>
      <c r="F410" s="2"/>
      <c r="G410" s="2"/>
      <c r="H410" s="2"/>
      <c r="I410" s="2"/>
      <c r="J410" s="2"/>
      <c r="K410" s="2"/>
      <c r="L410" s="2"/>
      <c r="M410" s="2"/>
      <c r="N410" s="2"/>
      <c r="O410" s="2"/>
      <c r="P410" s="2"/>
      <c r="Q410" s="157"/>
      <c r="R410" s="157"/>
      <c r="S410" s="157"/>
      <c r="T410" s="158"/>
      <c r="U410" s="2"/>
      <c r="V410" s="30"/>
      <c r="W410" s="2"/>
      <c r="X410" s="2"/>
      <c r="Y410" s="2"/>
      <c r="Z410" s="2"/>
    </row>
    <row r="411" ht="13.5" customHeight="1">
      <c r="A411" s="2"/>
      <c r="B411" s="2"/>
      <c r="C411" s="2"/>
      <c r="D411" s="2"/>
      <c r="E411" s="2"/>
      <c r="F411" s="2"/>
      <c r="G411" s="2"/>
      <c r="H411" s="2"/>
      <c r="I411" s="2"/>
      <c r="J411" s="2"/>
      <c r="K411" s="2"/>
      <c r="L411" s="2"/>
      <c r="M411" s="2"/>
      <c r="N411" s="2"/>
      <c r="O411" s="2"/>
      <c r="P411" s="2"/>
      <c r="Q411" s="157"/>
      <c r="R411" s="157"/>
      <c r="S411" s="157"/>
      <c r="T411" s="158"/>
      <c r="U411" s="2"/>
      <c r="V411" s="30"/>
      <c r="W411" s="2"/>
      <c r="X411" s="2"/>
      <c r="Y411" s="2"/>
      <c r="Z411" s="2"/>
    </row>
    <row r="412" ht="13.5" customHeight="1">
      <c r="A412" s="2"/>
      <c r="B412" s="2"/>
      <c r="C412" s="2"/>
      <c r="D412" s="2"/>
      <c r="E412" s="2"/>
      <c r="F412" s="2"/>
      <c r="G412" s="2"/>
      <c r="H412" s="2"/>
      <c r="I412" s="2"/>
      <c r="J412" s="2"/>
      <c r="K412" s="2"/>
      <c r="L412" s="2"/>
      <c r="M412" s="2"/>
      <c r="N412" s="2"/>
      <c r="O412" s="2"/>
      <c r="P412" s="2"/>
      <c r="Q412" s="157"/>
      <c r="R412" s="157"/>
      <c r="S412" s="157"/>
      <c r="T412" s="158"/>
      <c r="U412" s="2"/>
      <c r="V412" s="30"/>
      <c r="W412" s="2"/>
      <c r="X412" s="2"/>
      <c r="Y412" s="2"/>
      <c r="Z412" s="2"/>
    </row>
    <row r="413" ht="13.5" customHeight="1">
      <c r="A413" s="2"/>
      <c r="B413" s="2"/>
      <c r="C413" s="2"/>
      <c r="D413" s="2"/>
      <c r="E413" s="2"/>
      <c r="F413" s="2"/>
      <c r="G413" s="2"/>
      <c r="H413" s="2"/>
      <c r="I413" s="2"/>
      <c r="J413" s="2"/>
      <c r="K413" s="2"/>
      <c r="L413" s="2"/>
      <c r="M413" s="2"/>
      <c r="N413" s="2"/>
      <c r="O413" s="2"/>
      <c r="P413" s="2"/>
      <c r="Q413" s="157"/>
      <c r="R413" s="157"/>
      <c r="S413" s="157"/>
      <c r="T413" s="158"/>
      <c r="U413" s="2"/>
      <c r="V413" s="30"/>
      <c r="W413" s="2"/>
      <c r="X413" s="2"/>
      <c r="Y413" s="2"/>
      <c r="Z413" s="2"/>
    </row>
    <row r="414" ht="13.5" customHeight="1">
      <c r="A414" s="2"/>
      <c r="B414" s="2"/>
      <c r="C414" s="2"/>
      <c r="D414" s="2"/>
      <c r="E414" s="2"/>
      <c r="F414" s="2"/>
      <c r="G414" s="2"/>
      <c r="H414" s="2"/>
      <c r="I414" s="2"/>
      <c r="J414" s="2"/>
      <c r="K414" s="2"/>
      <c r="L414" s="2"/>
      <c r="M414" s="2"/>
      <c r="N414" s="2"/>
      <c r="O414" s="2"/>
      <c r="P414" s="2"/>
      <c r="Q414" s="157"/>
      <c r="R414" s="157"/>
      <c r="S414" s="157"/>
      <c r="T414" s="158"/>
      <c r="U414" s="2"/>
      <c r="V414" s="30"/>
      <c r="W414" s="2"/>
      <c r="X414" s="2"/>
      <c r="Y414" s="2"/>
      <c r="Z414" s="2"/>
    </row>
    <row r="415" ht="13.5" customHeight="1">
      <c r="A415" s="2"/>
      <c r="B415" s="2"/>
      <c r="C415" s="2"/>
      <c r="D415" s="2"/>
      <c r="E415" s="2"/>
      <c r="F415" s="2"/>
      <c r="G415" s="2"/>
      <c r="H415" s="2"/>
      <c r="I415" s="2"/>
      <c r="J415" s="2"/>
      <c r="K415" s="2"/>
      <c r="L415" s="2"/>
      <c r="M415" s="2"/>
      <c r="N415" s="2"/>
      <c r="O415" s="2"/>
      <c r="P415" s="2"/>
      <c r="Q415" s="157"/>
      <c r="R415" s="157"/>
      <c r="S415" s="157"/>
      <c r="T415" s="158"/>
      <c r="U415" s="2"/>
      <c r="V415" s="30"/>
      <c r="W415" s="2"/>
      <c r="X415" s="2"/>
      <c r="Y415" s="2"/>
      <c r="Z415" s="2"/>
    </row>
    <row r="416" ht="13.5" customHeight="1">
      <c r="A416" s="2"/>
      <c r="B416" s="2"/>
      <c r="C416" s="2"/>
      <c r="D416" s="2"/>
      <c r="E416" s="2"/>
      <c r="F416" s="2"/>
      <c r="G416" s="2"/>
      <c r="H416" s="2"/>
      <c r="I416" s="2"/>
      <c r="J416" s="2"/>
      <c r="K416" s="2"/>
      <c r="L416" s="2"/>
      <c r="M416" s="2"/>
      <c r="N416" s="2"/>
      <c r="O416" s="2"/>
      <c r="P416" s="2"/>
      <c r="Q416" s="157"/>
      <c r="R416" s="157"/>
      <c r="S416" s="157"/>
      <c r="T416" s="158"/>
      <c r="U416" s="2"/>
      <c r="V416" s="30"/>
      <c r="W416" s="2"/>
      <c r="X416" s="2"/>
      <c r="Y416" s="2"/>
      <c r="Z416" s="2"/>
    </row>
    <row r="417" ht="13.5" customHeight="1">
      <c r="A417" s="2"/>
      <c r="B417" s="2"/>
      <c r="C417" s="2"/>
      <c r="D417" s="2"/>
      <c r="E417" s="2"/>
      <c r="F417" s="2"/>
      <c r="G417" s="2"/>
      <c r="H417" s="2"/>
      <c r="I417" s="2"/>
      <c r="J417" s="2"/>
      <c r="K417" s="2"/>
      <c r="L417" s="2"/>
      <c r="M417" s="2"/>
      <c r="N417" s="2"/>
      <c r="O417" s="2"/>
      <c r="P417" s="2"/>
      <c r="Q417" s="157"/>
      <c r="R417" s="157"/>
      <c r="S417" s="157"/>
      <c r="T417" s="158"/>
      <c r="U417" s="2"/>
      <c r="V417" s="30"/>
      <c r="W417" s="2"/>
      <c r="X417" s="2"/>
      <c r="Y417" s="2"/>
      <c r="Z417" s="2"/>
    </row>
    <row r="418" ht="13.5" customHeight="1">
      <c r="A418" s="2"/>
      <c r="B418" s="2"/>
      <c r="C418" s="2"/>
      <c r="D418" s="2"/>
      <c r="E418" s="2"/>
      <c r="F418" s="2"/>
      <c r="G418" s="2"/>
      <c r="H418" s="2"/>
      <c r="I418" s="2"/>
      <c r="J418" s="2"/>
      <c r="K418" s="2"/>
      <c r="L418" s="2"/>
      <c r="M418" s="2"/>
      <c r="N418" s="2"/>
      <c r="O418" s="2"/>
      <c r="P418" s="2"/>
      <c r="Q418" s="157"/>
      <c r="R418" s="157"/>
      <c r="S418" s="157"/>
      <c r="T418" s="158"/>
      <c r="U418" s="2"/>
      <c r="V418" s="30"/>
      <c r="W418" s="2"/>
      <c r="X418" s="2"/>
      <c r="Y418" s="2"/>
      <c r="Z418" s="2"/>
    </row>
    <row r="419" ht="13.5" customHeight="1">
      <c r="A419" s="2"/>
      <c r="B419" s="2"/>
      <c r="C419" s="2"/>
      <c r="D419" s="2"/>
      <c r="E419" s="2"/>
      <c r="F419" s="2"/>
      <c r="G419" s="2"/>
      <c r="H419" s="2"/>
      <c r="I419" s="2"/>
      <c r="J419" s="2"/>
      <c r="K419" s="2"/>
      <c r="L419" s="2"/>
      <c r="M419" s="2"/>
      <c r="N419" s="2"/>
      <c r="O419" s="2"/>
      <c r="P419" s="2"/>
      <c r="Q419" s="157"/>
      <c r="R419" s="157"/>
      <c r="S419" s="157"/>
      <c r="T419" s="158"/>
      <c r="U419" s="2"/>
      <c r="V419" s="30"/>
      <c r="W419" s="2"/>
      <c r="X419" s="2"/>
      <c r="Y419" s="2"/>
      <c r="Z419" s="2"/>
    </row>
    <row r="420" ht="13.5" customHeight="1">
      <c r="A420" s="2"/>
      <c r="B420" s="2"/>
      <c r="C420" s="2"/>
      <c r="D420" s="2"/>
      <c r="E420" s="2"/>
      <c r="F420" s="2"/>
      <c r="G420" s="2"/>
      <c r="H420" s="2"/>
      <c r="I420" s="2"/>
      <c r="J420" s="2"/>
      <c r="K420" s="2"/>
      <c r="L420" s="2"/>
      <c r="M420" s="2"/>
      <c r="N420" s="2"/>
      <c r="O420" s="2"/>
      <c r="P420" s="2"/>
      <c r="Q420" s="157"/>
      <c r="R420" s="157"/>
      <c r="S420" s="157"/>
      <c r="T420" s="158"/>
      <c r="U420" s="2"/>
      <c r="V420" s="30"/>
      <c r="W420" s="2"/>
      <c r="X420" s="2"/>
      <c r="Y420" s="2"/>
      <c r="Z420" s="2"/>
    </row>
    <row r="421" ht="13.5" customHeight="1">
      <c r="A421" s="2"/>
      <c r="B421" s="2"/>
      <c r="C421" s="2"/>
      <c r="D421" s="2"/>
      <c r="E421" s="2"/>
      <c r="F421" s="2"/>
      <c r="G421" s="2"/>
      <c r="H421" s="2"/>
      <c r="I421" s="2"/>
      <c r="J421" s="2"/>
      <c r="K421" s="2"/>
      <c r="L421" s="2"/>
      <c r="M421" s="2"/>
      <c r="N421" s="2"/>
      <c r="O421" s="2"/>
      <c r="P421" s="2"/>
      <c r="Q421" s="157"/>
      <c r="R421" s="157"/>
      <c r="S421" s="157"/>
      <c r="T421" s="158"/>
      <c r="U421" s="2"/>
      <c r="V421" s="30"/>
      <c r="W421" s="2"/>
      <c r="X421" s="2"/>
      <c r="Y421" s="2"/>
      <c r="Z421" s="2"/>
    </row>
    <row r="422" ht="13.5" customHeight="1">
      <c r="A422" s="2"/>
      <c r="B422" s="2"/>
      <c r="C422" s="2"/>
      <c r="D422" s="2"/>
      <c r="E422" s="2"/>
      <c r="F422" s="2"/>
      <c r="G422" s="2"/>
      <c r="H422" s="2"/>
      <c r="I422" s="2"/>
      <c r="J422" s="2"/>
      <c r="K422" s="2"/>
      <c r="L422" s="2"/>
      <c r="M422" s="2"/>
      <c r="N422" s="2"/>
      <c r="O422" s="2"/>
      <c r="P422" s="2"/>
      <c r="Q422" s="157"/>
      <c r="R422" s="157"/>
      <c r="S422" s="157"/>
      <c r="T422" s="158"/>
      <c r="U422" s="2"/>
      <c r="V422" s="30"/>
      <c r="W422" s="2"/>
      <c r="X422" s="2"/>
      <c r="Y422" s="2"/>
      <c r="Z422" s="2"/>
    </row>
    <row r="423" ht="13.5" customHeight="1">
      <c r="A423" s="2"/>
      <c r="B423" s="2"/>
      <c r="C423" s="2"/>
      <c r="D423" s="2"/>
      <c r="E423" s="2"/>
      <c r="F423" s="2"/>
      <c r="G423" s="2"/>
      <c r="H423" s="2"/>
      <c r="I423" s="2"/>
      <c r="J423" s="2"/>
      <c r="K423" s="2"/>
      <c r="L423" s="2"/>
      <c r="M423" s="2"/>
      <c r="N423" s="2"/>
      <c r="O423" s="2"/>
      <c r="P423" s="2"/>
      <c r="Q423" s="157"/>
      <c r="R423" s="157"/>
      <c r="S423" s="157"/>
      <c r="T423" s="158"/>
      <c r="U423" s="2"/>
      <c r="V423" s="30"/>
      <c r="W423" s="2"/>
      <c r="X423" s="2"/>
      <c r="Y423" s="2"/>
      <c r="Z423" s="2"/>
    </row>
    <row r="424" ht="13.5" customHeight="1">
      <c r="A424" s="2"/>
      <c r="B424" s="2"/>
      <c r="C424" s="2"/>
      <c r="D424" s="2"/>
      <c r="E424" s="2"/>
      <c r="F424" s="2"/>
      <c r="G424" s="2"/>
      <c r="H424" s="2"/>
      <c r="I424" s="2"/>
      <c r="J424" s="2"/>
      <c r="K424" s="2"/>
      <c r="L424" s="2"/>
      <c r="M424" s="2"/>
      <c r="N424" s="2"/>
      <c r="O424" s="2"/>
      <c r="P424" s="2"/>
      <c r="Q424" s="157"/>
      <c r="R424" s="157"/>
      <c r="S424" s="157"/>
      <c r="T424" s="158"/>
      <c r="U424" s="2"/>
      <c r="V424" s="30"/>
      <c r="W424" s="2"/>
      <c r="X424" s="2"/>
      <c r="Y424" s="2"/>
      <c r="Z424" s="2"/>
    </row>
    <row r="425" ht="13.5" customHeight="1">
      <c r="A425" s="2"/>
      <c r="B425" s="2"/>
      <c r="C425" s="2"/>
      <c r="D425" s="2"/>
      <c r="E425" s="2"/>
      <c r="F425" s="2"/>
      <c r="G425" s="2"/>
      <c r="H425" s="2"/>
      <c r="I425" s="2"/>
      <c r="J425" s="2"/>
      <c r="K425" s="2"/>
      <c r="L425" s="2"/>
      <c r="M425" s="2"/>
      <c r="N425" s="2"/>
      <c r="O425" s="2"/>
      <c r="P425" s="2"/>
      <c r="Q425" s="157"/>
      <c r="R425" s="157"/>
      <c r="S425" s="157"/>
      <c r="T425" s="158"/>
      <c r="U425" s="2"/>
      <c r="V425" s="30"/>
      <c r="W425" s="2"/>
      <c r="X425" s="2"/>
      <c r="Y425" s="2"/>
      <c r="Z425" s="2"/>
    </row>
    <row r="426" ht="13.5" customHeight="1">
      <c r="A426" s="2"/>
      <c r="B426" s="2"/>
      <c r="C426" s="2"/>
      <c r="D426" s="2"/>
      <c r="E426" s="2"/>
      <c r="F426" s="2"/>
      <c r="G426" s="2"/>
      <c r="H426" s="2"/>
      <c r="I426" s="2"/>
      <c r="J426" s="2"/>
      <c r="K426" s="2"/>
      <c r="L426" s="2"/>
      <c r="M426" s="2"/>
      <c r="N426" s="2"/>
      <c r="O426" s="2"/>
      <c r="P426" s="2"/>
      <c r="Q426" s="157"/>
      <c r="R426" s="157"/>
      <c r="S426" s="157"/>
      <c r="T426" s="158"/>
      <c r="U426" s="2"/>
      <c r="V426" s="30"/>
      <c r="W426" s="2"/>
      <c r="X426" s="2"/>
      <c r="Y426" s="2"/>
      <c r="Z426" s="2"/>
    </row>
    <row r="427" ht="13.5" customHeight="1">
      <c r="A427" s="2"/>
      <c r="B427" s="2"/>
      <c r="C427" s="2"/>
      <c r="D427" s="2"/>
      <c r="E427" s="2"/>
      <c r="F427" s="2"/>
      <c r="G427" s="2"/>
      <c r="H427" s="2"/>
      <c r="I427" s="2"/>
      <c r="J427" s="2"/>
      <c r="K427" s="2"/>
      <c r="L427" s="2"/>
      <c r="M427" s="2"/>
      <c r="N427" s="2"/>
      <c r="O427" s="2"/>
      <c r="P427" s="2"/>
      <c r="Q427" s="157"/>
      <c r="R427" s="157"/>
      <c r="S427" s="157"/>
      <c r="T427" s="158"/>
      <c r="U427" s="2"/>
      <c r="V427" s="30"/>
      <c r="W427" s="2"/>
      <c r="X427" s="2"/>
      <c r="Y427" s="2"/>
      <c r="Z427" s="2"/>
    </row>
    <row r="428" ht="13.5" customHeight="1">
      <c r="A428" s="2"/>
      <c r="B428" s="2"/>
      <c r="C428" s="2"/>
      <c r="D428" s="2"/>
      <c r="E428" s="2"/>
      <c r="F428" s="2"/>
      <c r="G428" s="2"/>
      <c r="H428" s="2"/>
      <c r="I428" s="2"/>
      <c r="J428" s="2"/>
      <c r="K428" s="2"/>
      <c r="L428" s="2"/>
      <c r="M428" s="2"/>
      <c r="N428" s="2"/>
      <c r="O428" s="2"/>
      <c r="P428" s="2"/>
      <c r="Q428" s="157"/>
      <c r="R428" s="157"/>
      <c r="S428" s="157"/>
      <c r="T428" s="158"/>
      <c r="U428" s="2"/>
      <c r="V428" s="30"/>
      <c r="W428" s="2"/>
      <c r="X428" s="2"/>
      <c r="Y428" s="2"/>
      <c r="Z428" s="2"/>
    </row>
    <row r="429" ht="13.5" customHeight="1">
      <c r="A429" s="2"/>
      <c r="B429" s="2"/>
      <c r="C429" s="2"/>
      <c r="D429" s="2"/>
      <c r="E429" s="2"/>
      <c r="F429" s="2"/>
      <c r="G429" s="2"/>
      <c r="H429" s="2"/>
      <c r="I429" s="2"/>
      <c r="J429" s="2"/>
      <c r="K429" s="2"/>
      <c r="L429" s="2"/>
      <c r="M429" s="2"/>
      <c r="N429" s="2"/>
      <c r="O429" s="2"/>
      <c r="P429" s="2"/>
      <c r="Q429" s="157"/>
      <c r="R429" s="157"/>
      <c r="S429" s="157"/>
      <c r="T429" s="158"/>
      <c r="U429" s="2"/>
      <c r="V429" s="30"/>
      <c r="W429" s="2"/>
      <c r="X429" s="2"/>
      <c r="Y429" s="2"/>
      <c r="Z429" s="2"/>
    </row>
    <row r="430" ht="13.5" customHeight="1">
      <c r="A430" s="2"/>
      <c r="B430" s="2"/>
      <c r="C430" s="2"/>
      <c r="D430" s="2"/>
      <c r="E430" s="2"/>
      <c r="F430" s="2"/>
      <c r="G430" s="2"/>
      <c r="H430" s="2"/>
      <c r="I430" s="2"/>
      <c r="J430" s="2"/>
      <c r="K430" s="2"/>
      <c r="L430" s="2"/>
      <c r="M430" s="2"/>
      <c r="N430" s="2"/>
      <c r="O430" s="2"/>
      <c r="P430" s="2"/>
      <c r="Q430" s="157"/>
      <c r="R430" s="157"/>
      <c r="S430" s="157"/>
      <c r="T430" s="158"/>
      <c r="U430" s="2"/>
      <c r="V430" s="30"/>
      <c r="W430" s="2"/>
      <c r="X430" s="2"/>
      <c r="Y430" s="2"/>
      <c r="Z430" s="2"/>
    </row>
    <row r="431" ht="13.5" customHeight="1">
      <c r="A431" s="2"/>
      <c r="B431" s="2"/>
      <c r="C431" s="2"/>
      <c r="D431" s="2"/>
      <c r="E431" s="2"/>
      <c r="F431" s="2"/>
      <c r="G431" s="2"/>
      <c r="H431" s="2"/>
      <c r="I431" s="2"/>
      <c r="J431" s="2"/>
      <c r="K431" s="2"/>
      <c r="L431" s="2"/>
      <c r="M431" s="2"/>
      <c r="N431" s="2"/>
      <c r="O431" s="2"/>
      <c r="P431" s="2"/>
      <c r="Q431" s="157"/>
      <c r="R431" s="157"/>
      <c r="S431" s="157"/>
      <c r="T431" s="158"/>
      <c r="U431" s="2"/>
      <c r="V431" s="30"/>
      <c r="W431" s="2"/>
      <c r="X431" s="2"/>
      <c r="Y431" s="2"/>
      <c r="Z431" s="2"/>
    </row>
    <row r="432" ht="13.5" customHeight="1">
      <c r="A432" s="2"/>
      <c r="B432" s="2"/>
      <c r="C432" s="2"/>
      <c r="D432" s="2"/>
      <c r="E432" s="2"/>
      <c r="F432" s="2"/>
      <c r="G432" s="2"/>
      <c r="H432" s="2"/>
      <c r="I432" s="2"/>
      <c r="J432" s="2"/>
      <c r="K432" s="2"/>
      <c r="L432" s="2"/>
      <c r="M432" s="2"/>
      <c r="N432" s="2"/>
      <c r="O432" s="2"/>
      <c r="P432" s="2"/>
      <c r="Q432" s="157"/>
      <c r="R432" s="157"/>
      <c r="S432" s="157"/>
      <c r="T432" s="158"/>
      <c r="U432" s="2"/>
      <c r="V432" s="30"/>
      <c r="W432" s="2"/>
      <c r="X432" s="2"/>
      <c r="Y432" s="2"/>
      <c r="Z432" s="2"/>
    </row>
    <row r="433" ht="13.5" customHeight="1">
      <c r="A433" s="2"/>
      <c r="B433" s="2"/>
      <c r="C433" s="2"/>
      <c r="D433" s="2"/>
      <c r="E433" s="2"/>
      <c r="F433" s="2"/>
      <c r="G433" s="2"/>
      <c r="H433" s="2"/>
      <c r="I433" s="2"/>
      <c r="J433" s="2"/>
      <c r="K433" s="2"/>
      <c r="L433" s="2"/>
      <c r="M433" s="2"/>
      <c r="N433" s="2"/>
      <c r="O433" s="2"/>
      <c r="P433" s="2"/>
      <c r="Q433" s="157"/>
      <c r="R433" s="157"/>
      <c r="S433" s="157"/>
      <c r="T433" s="158"/>
      <c r="U433" s="2"/>
      <c r="V433" s="30"/>
      <c r="W433" s="2"/>
      <c r="X433" s="2"/>
      <c r="Y433" s="2"/>
      <c r="Z433" s="2"/>
    </row>
    <row r="434" ht="13.5" customHeight="1">
      <c r="A434" s="2"/>
      <c r="B434" s="2"/>
      <c r="C434" s="2"/>
      <c r="D434" s="2"/>
      <c r="E434" s="2"/>
      <c r="F434" s="2"/>
      <c r="G434" s="2"/>
      <c r="H434" s="2"/>
      <c r="I434" s="2"/>
      <c r="J434" s="2"/>
      <c r="K434" s="2"/>
      <c r="L434" s="2"/>
      <c r="M434" s="2"/>
      <c r="N434" s="2"/>
      <c r="O434" s="2"/>
      <c r="P434" s="2"/>
      <c r="Q434" s="157"/>
      <c r="R434" s="157"/>
      <c r="S434" s="157"/>
      <c r="T434" s="158"/>
      <c r="U434" s="2"/>
      <c r="V434" s="30"/>
      <c r="W434" s="2"/>
      <c r="X434" s="2"/>
      <c r="Y434" s="2"/>
      <c r="Z434" s="2"/>
    </row>
    <row r="435" ht="13.5" customHeight="1">
      <c r="A435" s="2"/>
      <c r="B435" s="2"/>
      <c r="C435" s="2"/>
      <c r="D435" s="2"/>
      <c r="E435" s="2"/>
      <c r="F435" s="2"/>
      <c r="G435" s="2"/>
      <c r="H435" s="2"/>
      <c r="I435" s="2"/>
      <c r="J435" s="2"/>
      <c r="K435" s="2"/>
      <c r="L435" s="2"/>
      <c r="M435" s="2"/>
      <c r="N435" s="2"/>
      <c r="O435" s="2"/>
      <c r="P435" s="2"/>
      <c r="Q435" s="157"/>
      <c r="R435" s="157"/>
      <c r="S435" s="157"/>
      <c r="T435" s="158"/>
      <c r="U435" s="2"/>
      <c r="V435" s="30"/>
      <c r="W435" s="2"/>
      <c r="X435" s="2"/>
      <c r="Y435" s="2"/>
      <c r="Z435" s="2"/>
    </row>
    <row r="436" ht="13.5" customHeight="1">
      <c r="A436" s="2"/>
      <c r="B436" s="2"/>
      <c r="C436" s="2"/>
      <c r="D436" s="2"/>
      <c r="E436" s="2"/>
      <c r="F436" s="2"/>
      <c r="G436" s="2"/>
      <c r="H436" s="2"/>
      <c r="I436" s="2"/>
      <c r="J436" s="2"/>
      <c r="K436" s="2"/>
      <c r="L436" s="2"/>
      <c r="M436" s="2"/>
      <c r="N436" s="2"/>
      <c r="O436" s="2"/>
      <c r="P436" s="2"/>
      <c r="Q436" s="157"/>
      <c r="R436" s="157"/>
      <c r="S436" s="157"/>
      <c r="T436" s="158"/>
      <c r="U436" s="2"/>
      <c r="V436" s="30"/>
      <c r="W436" s="2"/>
      <c r="X436" s="2"/>
      <c r="Y436" s="2"/>
      <c r="Z436" s="2"/>
    </row>
    <row r="437" ht="13.5" customHeight="1">
      <c r="A437" s="2"/>
      <c r="B437" s="2"/>
      <c r="C437" s="2"/>
      <c r="D437" s="2"/>
      <c r="E437" s="2"/>
      <c r="F437" s="2"/>
      <c r="G437" s="2"/>
      <c r="H437" s="2"/>
      <c r="I437" s="2"/>
      <c r="J437" s="2"/>
      <c r="K437" s="2"/>
      <c r="L437" s="2"/>
      <c r="M437" s="2"/>
      <c r="N437" s="2"/>
      <c r="O437" s="2"/>
      <c r="P437" s="2"/>
      <c r="Q437" s="157"/>
      <c r="R437" s="157"/>
      <c r="S437" s="157"/>
      <c r="T437" s="158"/>
      <c r="U437" s="2"/>
      <c r="V437" s="30"/>
      <c r="W437" s="2"/>
      <c r="X437" s="2"/>
      <c r="Y437" s="2"/>
      <c r="Z437" s="2"/>
    </row>
    <row r="438" ht="13.5" customHeight="1">
      <c r="A438" s="2"/>
      <c r="B438" s="2"/>
      <c r="C438" s="2"/>
      <c r="D438" s="2"/>
      <c r="E438" s="2"/>
      <c r="F438" s="2"/>
      <c r="G438" s="2"/>
      <c r="H438" s="2"/>
      <c r="I438" s="2"/>
      <c r="J438" s="2"/>
      <c r="K438" s="2"/>
      <c r="L438" s="2"/>
      <c r="M438" s="2"/>
      <c r="N438" s="2"/>
      <c r="O438" s="2"/>
      <c r="P438" s="2"/>
      <c r="Q438" s="157"/>
      <c r="R438" s="157"/>
      <c r="S438" s="157"/>
      <c r="T438" s="158"/>
      <c r="U438" s="2"/>
      <c r="V438" s="30"/>
      <c r="W438" s="2"/>
      <c r="X438" s="2"/>
      <c r="Y438" s="2"/>
      <c r="Z438" s="2"/>
    </row>
    <row r="439" ht="13.5" customHeight="1">
      <c r="A439" s="2"/>
      <c r="B439" s="2"/>
      <c r="C439" s="2"/>
      <c r="D439" s="2"/>
      <c r="E439" s="2"/>
      <c r="F439" s="2"/>
      <c r="G439" s="2"/>
      <c r="H439" s="2"/>
      <c r="I439" s="2"/>
      <c r="J439" s="2"/>
      <c r="K439" s="2"/>
      <c r="L439" s="2"/>
      <c r="M439" s="2"/>
      <c r="N439" s="2"/>
      <c r="O439" s="2"/>
      <c r="P439" s="2"/>
      <c r="Q439" s="157"/>
      <c r="R439" s="157"/>
      <c r="S439" s="157"/>
      <c r="T439" s="158"/>
      <c r="U439" s="2"/>
      <c r="V439" s="30"/>
      <c r="W439" s="2"/>
      <c r="X439" s="2"/>
      <c r="Y439" s="2"/>
      <c r="Z439" s="2"/>
    </row>
    <row r="440" ht="13.5" customHeight="1">
      <c r="A440" s="2"/>
      <c r="B440" s="2"/>
      <c r="C440" s="2"/>
      <c r="D440" s="2"/>
      <c r="E440" s="2"/>
      <c r="F440" s="2"/>
      <c r="G440" s="2"/>
      <c r="H440" s="2"/>
      <c r="I440" s="2"/>
      <c r="J440" s="2"/>
      <c r="K440" s="2"/>
      <c r="L440" s="2"/>
      <c r="M440" s="2"/>
      <c r="N440" s="2"/>
      <c r="O440" s="2"/>
      <c r="P440" s="2"/>
      <c r="Q440" s="157"/>
      <c r="R440" s="157"/>
      <c r="S440" s="157"/>
      <c r="T440" s="158"/>
      <c r="U440" s="2"/>
      <c r="V440" s="30"/>
      <c r="W440" s="2"/>
      <c r="X440" s="2"/>
      <c r="Y440" s="2"/>
      <c r="Z440" s="2"/>
    </row>
    <row r="441" ht="13.5" customHeight="1">
      <c r="A441" s="2"/>
      <c r="B441" s="2"/>
      <c r="C441" s="2"/>
      <c r="D441" s="2"/>
      <c r="E441" s="2"/>
      <c r="F441" s="2"/>
      <c r="G441" s="2"/>
      <c r="H441" s="2"/>
      <c r="I441" s="2"/>
      <c r="J441" s="2"/>
      <c r="K441" s="2"/>
      <c r="L441" s="2"/>
      <c r="M441" s="2"/>
      <c r="N441" s="2"/>
      <c r="O441" s="2"/>
      <c r="P441" s="2"/>
      <c r="Q441" s="157"/>
      <c r="R441" s="157"/>
      <c r="S441" s="157"/>
      <c r="T441" s="158"/>
      <c r="U441" s="2"/>
      <c r="V441" s="30"/>
      <c r="W441" s="2"/>
      <c r="X441" s="2"/>
      <c r="Y441" s="2"/>
      <c r="Z441" s="2"/>
    </row>
    <row r="442" ht="13.5" customHeight="1">
      <c r="A442" s="2"/>
      <c r="B442" s="2"/>
      <c r="C442" s="2"/>
      <c r="D442" s="2"/>
      <c r="E442" s="2"/>
      <c r="F442" s="2"/>
      <c r="G442" s="2"/>
      <c r="H442" s="2"/>
      <c r="I442" s="2"/>
      <c r="J442" s="2"/>
      <c r="K442" s="2"/>
      <c r="L442" s="2"/>
      <c r="M442" s="2"/>
      <c r="N442" s="2"/>
      <c r="O442" s="2"/>
      <c r="P442" s="2"/>
      <c r="Q442" s="157"/>
      <c r="R442" s="157"/>
      <c r="S442" s="157"/>
      <c r="T442" s="158"/>
      <c r="U442" s="2"/>
      <c r="V442" s="30"/>
      <c r="W442" s="2"/>
      <c r="X442" s="2"/>
      <c r="Y442" s="2"/>
      <c r="Z442" s="2"/>
    </row>
    <row r="443" ht="13.5" customHeight="1">
      <c r="A443" s="2"/>
      <c r="B443" s="2"/>
      <c r="C443" s="2"/>
      <c r="D443" s="2"/>
      <c r="E443" s="2"/>
      <c r="F443" s="2"/>
      <c r="G443" s="2"/>
      <c r="H443" s="2"/>
      <c r="I443" s="2"/>
      <c r="J443" s="2"/>
      <c r="K443" s="2"/>
      <c r="L443" s="2"/>
      <c r="M443" s="2"/>
      <c r="N443" s="2"/>
      <c r="O443" s="2"/>
      <c r="P443" s="2"/>
      <c r="Q443" s="157"/>
      <c r="R443" s="157"/>
      <c r="S443" s="157"/>
      <c r="T443" s="158"/>
      <c r="U443" s="2"/>
      <c r="V443" s="30"/>
      <c r="W443" s="2"/>
      <c r="X443" s="2"/>
      <c r="Y443" s="2"/>
      <c r="Z443" s="2"/>
    </row>
    <row r="444" ht="13.5" customHeight="1">
      <c r="A444" s="2"/>
      <c r="B444" s="2"/>
      <c r="C444" s="2"/>
      <c r="D444" s="2"/>
      <c r="E444" s="2"/>
      <c r="F444" s="2"/>
      <c r="G444" s="2"/>
      <c r="H444" s="2"/>
      <c r="I444" s="2"/>
      <c r="J444" s="2"/>
      <c r="K444" s="2"/>
      <c r="L444" s="2"/>
      <c r="M444" s="2"/>
      <c r="N444" s="2"/>
      <c r="O444" s="2"/>
      <c r="P444" s="2"/>
      <c r="Q444" s="157"/>
      <c r="R444" s="157"/>
      <c r="S444" s="157"/>
      <c r="T444" s="158"/>
      <c r="U444" s="2"/>
      <c r="V444" s="30"/>
      <c r="W444" s="2"/>
      <c r="X444" s="2"/>
      <c r="Y444" s="2"/>
      <c r="Z444" s="2"/>
    </row>
    <row r="445" ht="13.5" customHeight="1">
      <c r="A445" s="2"/>
      <c r="B445" s="2"/>
      <c r="C445" s="2"/>
      <c r="D445" s="2"/>
      <c r="E445" s="2"/>
      <c r="F445" s="2"/>
      <c r="G445" s="2"/>
      <c r="H445" s="2"/>
      <c r="I445" s="2"/>
      <c r="J445" s="2"/>
      <c r="K445" s="2"/>
      <c r="L445" s="2"/>
      <c r="M445" s="2"/>
      <c r="N445" s="2"/>
      <c r="O445" s="2"/>
      <c r="P445" s="2"/>
      <c r="Q445" s="157"/>
      <c r="R445" s="157"/>
      <c r="S445" s="157"/>
      <c r="T445" s="158"/>
      <c r="U445" s="2"/>
      <c r="V445" s="30"/>
      <c r="W445" s="2"/>
      <c r="X445" s="2"/>
      <c r="Y445" s="2"/>
      <c r="Z445" s="2"/>
    </row>
    <row r="446" ht="13.5" customHeight="1">
      <c r="A446" s="2"/>
      <c r="B446" s="2"/>
      <c r="C446" s="2"/>
      <c r="D446" s="2"/>
      <c r="E446" s="2"/>
      <c r="F446" s="2"/>
      <c r="G446" s="2"/>
      <c r="H446" s="2"/>
      <c r="I446" s="2"/>
      <c r="J446" s="2"/>
      <c r="K446" s="2"/>
      <c r="L446" s="2"/>
      <c r="M446" s="2"/>
      <c r="N446" s="2"/>
      <c r="O446" s="2"/>
      <c r="P446" s="2"/>
      <c r="Q446" s="157"/>
      <c r="R446" s="157"/>
      <c r="S446" s="157"/>
      <c r="T446" s="158"/>
      <c r="U446" s="2"/>
      <c r="V446" s="30"/>
      <c r="W446" s="2"/>
      <c r="X446" s="2"/>
      <c r="Y446" s="2"/>
      <c r="Z446" s="2"/>
    </row>
    <row r="447" ht="13.5" customHeight="1">
      <c r="A447" s="2"/>
      <c r="B447" s="2"/>
      <c r="C447" s="2"/>
      <c r="D447" s="2"/>
      <c r="E447" s="2"/>
      <c r="F447" s="2"/>
      <c r="G447" s="2"/>
      <c r="H447" s="2"/>
      <c r="I447" s="2"/>
      <c r="J447" s="2"/>
      <c r="K447" s="2"/>
      <c r="L447" s="2"/>
      <c r="M447" s="2"/>
      <c r="N447" s="2"/>
      <c r="O447" s="2"/>
      <c r="P447" s="2"/>
      <c r="Q447" s="157"/>
      <c r="R447" s="157"/>
      <c r="S447" s="157"/>
      <c r="T447" s="158"/>
      <c r="U447" s="2"/>
      <c r="V447" s="30"/>
      <c r="W447" s="2"/>
      <c r="X447" s="2"/>
      <c r="Y447" s="2"/>
      <c r="Z447" s="2"/>
    </row>
    <row r="448" ht="13.5" customHeight="1">
      <c r="A448" s="2"/>
      <c r="B448" s="2"/>
      <c r="C448" s="2"/>
      <c r="D448" s="2"/>
      <c r="E448" s="2"/>
      <c r="F448" s="2"/>
      <c r="G448" s="2"/>
      <c r="H448" s="2"/>
      <c r="I448" s="2"/>
      <c r="J448" s="2"/>
      <c r="K448" s="2"/>
      <c r="L448" s="2"/>
      <c r="M448" s="2"/>
      <c r="N448" s="2"/>
      <c r="O448" s="2"/>
      <c r="P448" s="2"/>
      <c r="Q448" s="157"/>
      <c r="R448" s="157"/>
      <c r="S448" s="157"/>
      <c r="T448" s="158"/>
      <c r="U448" s="2"/>
      <c r="V448" s="30"/>
      <c r="W448" s="2"/>
      <c r="X448" s="2"/>
      <c r="Y448" s="2"/>
      <c r="Z448" s="2"/>
    </row>
    <row r="449" ht="13.5" customHeight="1">
      <c r="A449" s="2"/>
      <c r="B449" s="2"/>
      <c r="C449" s="2"/>
      <c r="D449" s="2"/>
      <c r="E449" s="2"/>
      <c r="F449" s="2"/>
      <c r="G449" s="2"/>
      <c r="H449" s="2"/>
      <c r="I449" s="2"/>
      <c r="J449" s="2"/>
      <c r="K449" s="2"/>
      <c r="L449" s="2"/>
      <c r="M449" s="2"/>
      <c r="N449" s="2"/>
      <c r="O449" s="2"/>
      <c r="P449" s="2"/>
      <c r="Q449" s="157"/>
      <c r="R449" s="157"/>
      <c r="S449" s="157"/>
      <c r="T449" s="158"/>
      <c r="U449" s="2"/>
      <c r="V449" s="30"/>
      <c r="W449" s="2"/>
      <c r="X449" s="2"/>
      <c r="Y449" s="2"/>
      <c r="Z449" s="2"/>
    </row>
    <row r="450" ht="13.5" customHeight="1">
      <c r="A450" s="2"/>
      <c r="B450" s="2"/>
      <c r="C450" s="2"/>
      <c r="D450" s="2"/>
      <c r="E450" s="2"/>
      <c r="F450" s="2"/>
      <c r="G450" s="2"/>
      <c r="H450" s="2"/>
      <c r="I450" s="2"/>
      <c r="J450" s="2"/>
      <c r="K450" s="2"/>
      <c r="L450" s="2"/>
      <c r="M450" s="2"/>
      <c r="N450" s="2"/>
      <c r="O450" s="2"/>
      <c r="P450" s="2"/>
      <c r="Q450" s="157"/>
      <c r="R450" s="157"/>
      <c r="S450" s="157"/>
      <c r="T450" s="158"/>
      <c r="U450" s="2"/>
      <c r="V450" s="30"/>
      <c r="W450" s="2"/>
      <c r="X450" s="2"/>
      <c r="Y450" s="2"/>
      <c r="Z450" s="2"/>
    </row>
    <row r="451" ht="13.5" customHeight="1">
      <c r="A451" s="2"/>
      <c r="B451" s="2"/>
      <c r="C451" s="2"/>
      <c r="D451" s="2"/>
      <c r="E451" s="2"/>
      <c r="F451" s="2"/>
      <c r="G451" s="2"/>
      <c r="H451" s="2"/>
      <c r="I451" s="2"/>
      <c r="J451" s="2"/>
      <c r="K451" s="2"/>
      <c r="L451" s="2"/>
      <c r="M451" s="2"/>
      <c r="N451" s="2"/>
      <c r="O451" s="2"/>
      <c r="P451" s="2"/>
      <c r="Q451" s="157"/>
      <c r="R451" s="157"/>
      <c r="S451" s="157"/>
      <c r="T451" s="158"/>
      <c r="U451" s="2"/>
      <c r="V451" s="30"/>
      <c r="W451" s="2"/>
      <c r="X451" s="2"/>
      <c r="Y451" s="2"/>
      <c r="Z451" s="2"/>
    </row>
    <row r="452" ht="13.5" customHeight="1">
      <c r="A452" s="2"/>
      <c r="B452" s="2"/>
      <c r="C452" s="2"/>
      <c r="D452" s="2"/>
      <c r="E452" s="2"/>
      <c r="F452" s="2"/>
      <c r="G452" s="2"/>
      <c r="H452" s="2"/>
      <c r="I452" s="2"/>
      <c r="J452" s="2"/>
      <c r="K452" s="2"/>
      <c r="L452" s="2"/>
      <c r="M452" s="2"/>
      <c r="N452" s="2"/>
      <c r="O452" s="2"/>
      <c r="P452" s="2"/>
      <c r="Q452" s="157"/>
      <c r="R452" s="157"/>
      <c r="S452" s="157"/>
      <c r="T452" s="158"/>
      <c r="U452" s="2"/>
      <c r="V452" s="30"/>
      <c r="W452" s="2"/>
      <c r="X452" s="2"/>
      <c r="Y452" s="2"/>
      <c r="Z452" s="2"/>
    </row>
    <row r="453" ht="13.5" customHeight="1">
      <c r="A453" s="2"/>
      <c r="B453" s="2"/>
      <c r="C453" s="2"/>
      <c r="D453" s="2"/>
      <c r="E453" s="2"/>
      <c r="F453" s="2"/>
      <c r="G453" s="2"/>
      <c r="H453" s="2"/>
      <c r="I453" s="2"/>
      <c r="J453" s="2"/>
      <c r="K453" s="2"/>
      <c r="L453" s="2"/>
      <c r="M453" s="2"/>
      <c r="N453" s="2"/>
      <c r="O453" s="2"/>
      <c r="P453" s="2"/>
      <c r="Q453" s="157"/>
      <c r="R453" s="157"/>
      <c r="S453" s="157"/>
      <c r="T453" s="158"/>
      <c r="U453" s="2"/>
      <c r="V453" s="30"/>
      <c r="W453" s="2"/>
      <c r="X453" s="2"/>
      <c r="Y453" s="2"/>
      <c r="Z453" s="2"/>
    </row>
    <row r="454" ht="13.5" customHeight="1">
      <c r="A454" s="2"/>
      <c r="B454" s="2"/>
      <c r="C454" s="2"/>
      <c r="D454" s="2"/>
      <c r="E454" s="2"/>
      <c r="F454" s="2"/>
      <c r="G454" s="2"/>
      <c r="H454" s="2"/>
      <c r="I454" s="2"/>
      <c r="J454" s="2"/>
      <c r="K454" s="2"/>
      <c r="L454" s="2"/>
      <c r="M454" s="2"/>
      <c r="N454" s="2"/>
      <c r="O454" s="2"/>
      <c r="P454" s="2"/>
      <c r="Q454" s="157"/>
      <c r="R454" s="157"/>
      <c r="S454" s="157"/>
      <c r="T454" s="158"/>
      <c r="U454" s="2"/>
      <c r="V454" s="30"/>
      <c r="W454" s="2"/>
      <c r="X454" s="2"/>
      <c r="Y454" s="2"/>
      <c r="Z454" s="2"/>
    </row>
    <row r="455" ht="13.5" customHeight="1">
      <c r="A455" s="2"/>
      <c r="B455" s="2"/>
      <c r="C455" s="2"/>
      <c r="D455" s="2"/>
      <c r="E455" s="2"/>
      <c r="F455" s="2"/>
      <c r="G455" s="2"/>
      <c r="H455" s="2"/>
      <c r="I455" s="2"/>
      <c r="J455" s="2"/>
      <c r="K455" s="2"/>
      <c r="L455" s="2"/>
      <c r="M455" s="2"/>
      <c r="N455" s="2"/>
      <c r="O455" s="2"/>
      <c r="P455" s="2"/>
      <c r="Q455" s="157"/>
      <c r="R455" s="157"/>
      <c r="S455" s="157"/>
      <c r="T455" s="158"/>
      <c r="U455" s="2"/>
      <c r="V455" s="30"/>
      <c r="W455" s="2"/>
      <c r="X455" s="2"/>
      <c r="Y455" s="2"/>
      <c r="Z455" s="2"/>
    </row>
    <row r="456" ht="13.5" customHeight="1">
      <c r="A456" s="2"/>
      <c r="B456" s="2"/>
      <c r="C456" s="2"/>
      <c r="D456" s="2"/>
      <c r="E456" s="2"/>
      <c r="F456" s="2"/>
      <c r="G456" s="2"/>
      <c r="H456" s="2"/>
      <c r="I456" s="2"/>
      <c r="J456" s="2"/>
      <c r="K456" s="2"/>
      <c r="L456" s="2"/>
      <c r="M456" s="2"/>
      <c r="N456" s="2"/>
      <c r="O456" s="2"/>
      <c r="P456" s="2"/>
      <c r="Q456" s="157"/>
      <c r="R456" s="157"/>
      <c r="S456" s="157"/>
      <c r="T456" s="158"/>
      <c r="U456" s="2"/>
      <c r="V456" s="30"/>
      <c r="W456" s="2"/>
      <c r="X456" s="2"/>
      <c r="Y456" s="2"/>
      <c r="Z456" s="2"/>
    </row>
    <row r="457" ht="13.5" customHeight="1">
      <c r="A457" s="2"/>
      <c r="B457" s="2"/>
      <c r="C457" s="2"/>
      <c r="D457" s="2"/>
      <c r="E457" s="2"/>
      <c r="F457" s="2"/>
      <c r="G457" s="2"/>
      <c r="H457" s="2"/>
      <c r="I457" s="2"/>
      <c r="J457" s="2"/>
      <c r="K457" s="2"/>
      <c r="L457" s="2"/>
      <c r="M457" s="2"/>
      <c r="N457" s="2"/>
      <c r="O457" s="2"/>
      <c r="P457" s="2"/>
      <c r="Q457" s="157"/>
      <c r="R457" s="157"/>
      <c r="S457" s="157"/>
      <c r="T457" s="158"/>
      <c r="U457" s="2"/>
      <c r="V457" s="30"/>
      <c r="W457" s="2"/>
      <c r="X457" s="2"/>
      <c r="Y457" s="2"/>
      <c r="Z457" s="2"/>
    </row>
    <row r="458" ht="13.5" customHeight="1">
      <c r="A458" s="2"/>
      <c r="B458" s="2"/>
      <c r="C458" s="2"/>
      <c r="D458" s="2"/>
      <c r="E458" s="2"/>
      <c r="F458" s="2"/>
      <c r="G458" s="2"/>
      <c r="H458" s="2"/>
      <c r="I458" s="2"/>
      <c r="J458" s="2"/>
      <c r="K458" s="2"/>
      <c r="L458" s="2"/>
      <c r="M458" s="2"/>
      <c r="N458" s="2"/>
      <c r="O458" s="2"/>
      <c r="P458" s="2"/>
      <c r="Q458" s="157"/>
      <c r="R458" s="157"/>
      <c r="S458" s="157"/>
      <c r="T458" s="158"/>
      <c r="U458" s="2"/>
      <c r="V458" s="30"/>
      <c r="W458" s="2"/>
      <c r="X458" s="2"/>
      <c r="Y458" s="2"/>
      <c r="Z458" s="2"/>
    </row>
    <row r="459" ht="13.5" customHeight="1">
      <c r="A459" s="2"/>
      <c r="B459" s="2"/>
      <c r="C459" s="2"/>
      <c r="D459" s="2"/>
      <c r="E459" s="2"/>
      <c r="F459" s="2"/>
      <c r="G459" s="2"/>
      <c r="H459" s="2"/>
      <c r="I459" s="2"/>
      <c r="J459" s="2"/>
      <c r="K459" s="2"/>
      <c r="L459" s="2"/>
      <c r="M459" s="2"/>
      <c r="N459" s="2"/>
      <c r="O459" s="2"/>
      <c r="P459" s="2"/>
      <c r="Q459" s="157"/>
      <c r="R459" s="157"/>
      <c r="S459" s="157"/>
      <c r="T459" s="158"/>
      <c r="U459" s="2"/>
      <c r="V459" s="30"/>
      <c r="W459" s="2"/>
      <c r="X459" s="2"/>
      <c r="Y459" s="2"/>
      <c r="Z459" s="2"/>
    </row>
    <row r="460" ht="13.5" customHeight="1">
      <c r="A460" s="2"/>
      <c r="B460" s="2"/>
      <c r="C460" s="2"/>
      <c r="D460" s="2"/>
      <c r="E460" s="2"/>
      <c r="F460" s="2"/>
      <c r="G460" s="2"/>
      <c r="H460" s="2"/>
      <c r="I460" s="2"/>
      <c r="J460" s="2"/>
      <c r="K460" s="2"/>
      <c r="L460" s="2"/>
      <c r="M460" s="2"/>
      <c r="N460" s="2"/>
      <c r="O460" s="2"/>
      <c r="P460" s="2"/>
      <c r="Q460" s="157"/>
      <c r="R460" s="157"/>
      <c r="S460" s="157"/>
      <c r="T460" s="158"/>
      <c r="U460" s="2"/>
      <c r="V460" s="30"/>
      <c r="W460" s="2"/>
      <c r="X460" s="2"/>
      <c r="Y460" s="2"/>
      <c r="Z460" s="2"/>
    </row>
    <row r="461" ht="13.5" customHeight="1">
      <c r="A461" s="2"/>
      <c r="B461" s="2"/>
      <c r="C461" s="2"/>
      <c r="D461" s="2"/>
      <c r="E461" s="2"/>
      <c r="F461" s="2"/>
      <c r="G461" s="2"/>
      <c r="H461" s="2"/>
      <c r="I461" s="2"/>
      <c r="J461" s="2"/>
      <c r="K461" s="2"/>
      <c r="L461" s="2"/>
      <c r="M461" s="2"/>
      <c r="N461" s="2"/>
      <c r="O461" s="2"/>
      <c r="P461" s="2"/>
      <c r="Q461" s="157"/>
      <c r="R461" s="157"/>
      <c r="S461" s="157"/>
      <c r="T461" s="158"/>
      <c r="U461" s="2"/>
      <c r="V461" s="30"/>
      <c r="W461" s="2"/>
      <c r="X461" s="2"/>
      <c r="Y461" s="2"/>
      <c r="Z461" s="2"/>
    </row>
    <row r="462" ht="13.5" customHeight="1">
      <c r="A462" s="2"/>
      <c r="B462" s="2"/>
      <c r="C462" s="2"/>
      <c r="D462" s="2"/>
      <c r="E462" s="2"/>
      <c r="F462" s="2"/>
      <c r="G462" s="2"/>
      <c r="H462" s="2"/>
      <c r="I462" s="2"/>
      <c r="J462" s="2"/>
      <c r="K462" s="2"/>
      <c r="L462" s="2"/>
      <c r="M462" s="2"/>
      <c r="N462" s="2"/>
      <c r="O462" s="2"/>
      <c r="P462" s="2"/>
      <c r="Q462" s="157"/>
      <c r="R462" s="157"/>
      <c r="S462" s="157"/>
      <c r="T462" s="158"/>
      <c r="U462" s="2"/>
      <c r="V462" s="30"/>
      <c r="W462" s="2"/>
      <c r="X462" s="2"/>
      <c r="Y462" s="2"/>
      <c r="Z462" s="2"/>
    </row>
    <row r="463" ht="13.5" customHeight="1">
      <c r="A463" s="2"/>
      <c r="B463" s="2"/>
      <c r="C463" s="2"/>
      <c r="D463" s="2"/>
      <c r="E463" s="2"/>
      <c r="F463" s="2"/>
      <c r="G463" s="2"/>
      <c r="H463" s="2"/>
      <c r="I463" s="2"/>
      <c r="J463" s="2"/>
      <c r="K463" s="2"/>
      <c r="L463" s="2"/>
      <c r="M463" s="2"/>
      <c r="N463" s="2"/>
      <c r="O463" s="2"/>
      <c r="P463" s="2"/>
      <c r="Q463" s="157"/>
      <c r="R463" s="157"/>
      <c r="S463" s="157"/>
      <c r="T463" s="158"/>
      <c r="U463" s="2"/>
      <c r="V463" s="30"/>
      <c r="W463" s="2"/>
      <c r="X463" s="2"/>
      <c r="Y463" s="2"/>
      <c r="Z463" s="2"/>
    </row>
    <row r="464" ht="13.5" customHeight="1">
      <c r="A464" s="2"/>
      <c r="B464" s="2"/>
      <c r="C464" s="2"/>
      <c r="D464" s="2"/>
      <c r="E464" s="2"/>
      <c r="F464" s="2"/>
      <c r="G464" s="2"/>
      <c r="H464" s="2"/>
      <c r="I464" s="2"/>
      <c r="J464" s="2"/>
      <c r="K464" s="2"/>
      <c r="L464" s="2"/>
      <c r="M464" s="2"/>
      <c r="N464" s="2"/>
      <c r="O464" s="2"/>
      <c r="P464" s="2"/>
      <c r="Q464" s="157"/>
      <c r="R464" s="157"/>
      <c r="S464" s="157"/>
      <c r="T464" s="158"/>
      <c r="U464" s="2"/>
      <c r="V464" s="30"/>
      <c r="W464" s="2"/>
      <c r="X464" s="2"/>
      <c r="Y464" s="2"/>
      <c r="Z464" s="2"/>
    </row>
    <row r="465" ht="13.5" customHeight="1">
      <c r="A465" s="2"/>
      <c r="B465" s="2"/>
      <c r="C465" s="2"/>
      <c r="D465" s="2"/>
      <c r="E465" s="2"/>
      <c r="F465" s="2"/>
      <c r="G465" s="2"/>
      <c r="H465" s="2"/>
      <c r="I465" s="2"/>
      <c r="J465" s="2"/>
      <c r="K465" s="2"/>
      <c r="L465" s="2"/>
      <c r="M465" s="2"/>
      <c r="N465" s="2"/>
      <c r="O465" s="2"/>
      <c r="P465" s="2"/>
      <c r="Q465" s="157"/>
      <c r="R465" s="157"/>
      <c r="S465" s="157"/>
      <c r="T465" s="158"/>
      <c r="U465" s="2"/>
      <c r="V465" s="30"/>
      <c r="W465" s="2"/>
      <c r="X465" s="2"/>
      <c r="Y465" s="2"/>
      <c r="Z465" s="2"/>
    </row>
    <row r="466" ht="13.5" customHeight="1">
      <c r="A466" s="2"/>
      <c r="B466" s="2"/>
      <c r="C466" s="2"/>
      <c r="D466" s="2"/>
      <c r="E466" s="2"/>
      <c r="F466" s="2"/>
      <c r="G466" s="2"/>
      <c r="H466" s="2"/>
      <c r="I466" s="2"/>
      <c r="J466" s="2"/>
      <c r="K466" s="2"/>
      <c r="L466" s="2"/>
      <c r="M466" s="2"/>
      <c r="N466" s="2"/>
      <c r="O466" s="2"/>
      <c r="P466" s="2"/>
      <c r="Q466" s="157"/>
      <c r="R466" s="157"/>
      <c r="S466" s="157"/>
      <c r="T466" s="158"/>
      <c r="U466" s="2"/>
      <c r="V466" s="30"/>
      <c r="W466" s="2"/>
      <c r="X466" s="2"/>
      <c r="Y466" s="2"/>
      <c r="Z466" s="2"/>
    </row>
    <row r="467" ht="13.5" customHeight="1">
      <c r="A467" s="2"/>
      <c r="B467" s="2"/>
      <c r="C467" s="2"/>
      <c r="D467" s="2"/>
      <c r="E467" s="2"/>
      <c r="F467" s="2"/>
      <c r="G467" s="2"/>
      <c r="H467" s="2"/>
      <c r="I467" s="2"/>
      <c r="J467" s="2"/>
      <c r="K467" s="2"/>
      <c r="L467" s="2"/>
      <c r="M467" s="2"/>
      <c r="N467" s="2"/>
      <c r="O467" s="2"/>
      <c r="P467" s="2"/>
      <c r="Q467" s="157"/>
      <c r="R467" s="157"/>
      <c r="S467" s="157"/>
      <c r="T467" s="158"/>
      <c r="U467" s="2"/>
      <c r="V467" s="30"/>
      <c r="W467" s="2"/>
      <c r="X467" s="2"/>
      <c r="Y467" s="2"/>
      <c r="Z467" s="2"/>
    </row>
    <row r="468" ht="13.5" customHeight="1">
      <c r="A468" s="2"/>
      <c r="B468" s="2"/>
      <c r="C468" s="2"/>
      <c r="D468" s="2"/>
      <c r="E468" s="2"/>
      <c r="F468" s="2"/>
      <c r="G468" s="2"/>
      <c r="H468" s="2"/>
      <c r="I468" s="2"/>
      <c r="J468" s="2"/>
      <c r="K468" s="2"/>
      <c r="L468" s="2"/>
      <c r="M468" s="2"/>
      <c r="N468" s="2"/>
      <c r="O468" s="2"/>
      <c r="P468" s="2"/>
      <c r="Q468" s="157"/>
      <c r="R468" s="157"/>
      <c r="S468" s="157"/>
      <c r="T468" s="158"/>
      <c r="U468" s="2"/>
      <c r="V468" s="30"/>
      <c r="W468" s="2"/>
      <c r="X468" s="2"/>
      <c r="Y468" s="2"/>
      <c r="Z468" s="2"/>
    </row>
    <row r="469" ht="13.5" customHeight="1">
      <c r="A469" s="2"/>
      <c r="B469" s="2"/>
      <c r="C469" s="2"/>
      <c r="D469" s="2"/>
      <c r="E469" s="2"/>
      <c r="F469" s="2"/>
      <c r="G469" s="2"/>
      <c r="H469" s="2"/>
      <c r="I469" s="2"/>
      <c r="J469" s="2"/>
      <c r="K469" s="2"/>
      <c r="L469" s="2"/>
      <c r="M469" s="2"/>
      <c r="N469" s="2"/>
      <c r="O469" s="2"/>
      <c r="P469" s="2"/>
      <c r="Q469" s="157"/>
      <c r="R469" s="157"/>
      <c r="S469" s="157"/>
      <c r="T469" s="158"/>
      <c r="U469" s="2"/>
      <c r="V469" s="30"/>
      <c r="W469" s="2"/>
      <c r="X469" s="2"/>
      <c r="Y469" s="2"/>
      <c r="Z469" s="2"/>
    </row>
    <row r="470" ht="13.5" customHeight="1">
      <c r="A470" s="2"/>
      <c r="B470" s="2"/>
      <c r="C470" s="2"/>
      <c r="D470" s="2"/>
      <c r="E470" s="2"/>
      <c r="F470" s="2"/>
      <c r="G470" s="2"/>
      <c r="H470" s="2"/>
      <c r="I470" s="2"/>
      <c r="J470" s="2"/>
      <c r="K470" s="2"/>
      <c r="L470" s="2"/>
      <c r="M470" s="2"/>
      <c r="N470" s="2"/>
      <c r="O470" s="2"/>
      <c r="P470" s="2"/>
      <c r="Q470" s="157"/>
      <c r="R470" s="157"/>
      <c r="S470" s="157"/>
      <c r="T470" s="158"/>
      <c r="U470" s="2"/>
      <c r="V470" s="30"/>
      <c r="W470" s="2"/>
      <c r="X470" s="2"/>
      <c r="Y470" s="2"/>
      <c r="Z470" s="2"/>
    </row>
    <row r="471" ht="13.5" customHeight="1">
      <c r="A471" s="2"/>
      <c r="B471" s="2"/>
      <c r="C471" s="2"/>
      <c r="D471" s="2"/>
      <c r="E471" s="2"/>
      <c r="F471" s="2"/>
      <c r="G471" s="2"/>
      <c r="H471" s="2"/>
      <c r="I471" s="2"/>
      <c r="J471" s="2"/>
      <c r="K471" s="2"/>
      <c r="L471" s="2"/>
      <c r="M471" s="2"/>
      <c r="N471" s="2"/>
      <c r="O471" s="2"/>
      <c r="P471" s="2"/>
      <c r="Q471" s="157"/>
      <c r="R471" s="157"/>
      <c r="S471" s="157"/>
      <c r="T471" s="158"/>
      <c r="U471" s="2"/>
      <c r="V471" s="30"/>
      <c r="W471" s="2"/>
      <c r="X471" s="2"/>
      <c r="Y471" s="2"/>
      <c r="Z471" s="2"/>
    </row>
    <row r="472" ht="13.5" customHeight="1">
      <c r="A472" s="2"/>
      <c r="B472" s="2"/>
      <c r="C472" s="2"/>
      <c r="D472" s="2"/>
      <c r="E472" s="2"/>
      <c r="F472" s="2"/>
      <c r="G472" s="2"/>
      <c r="H472" s="2"/>
      <c r="I472" s="2"/>
      <c r="J472" s="2"/>
      <c r="K472" s="2"/>
      <c r="L472" s="2"/>
      <c r="M472" s="2"/>
      <c r="N472" s="2"/>
      <c r="O472" s="2"/>
      <c r="P472" s="2"/>
      <c r="Q472" s="157"/>
      <c r="R472" s="157"/>
      <c r="S472" s="157"/>
      <c r="T472" s="158"/>
      <c r="U472" s="2"/>
      <c r="V472" s="30"/>
      <c r="W472" s="2"/>
      <c r="X472" s="2"/>
      <c r="Y472" s="2"/>
      <c r="Z472" s="2"/>
    </row>
    <row r="473" ht="13.5" customHeight="1">
      <c r="A473" s="2"/>
      <c r="B473" s="2"/>
      <c r="C473" s="2"/>
      <c r="D473" s="2"/>
      <c r="E473" s="2"/>
      <c r="F473" s="2"/>
      <c r="G473" s="2"/>
      <c r="H473" s="2"/>
      <c r="I473" s="2"/>
      <c r="J473" s="2"/>
      <c r="K473" s="2"/>
      <c r="L473" s="2"/>
      <c r="M473" s="2"/>
      <c r="N473" s="2"/>
      <c r="O473" s="2"/>
      <c r="P473" s="2"/>
      <c r="Q473" s="157"/>
      <c r="R473" s="157"/>
      <c r="S473" s="157"/>
      <c r="T473" s="158"/>
      <c r="U473" s="2"/>
      <c r="V473" s="30"/>
      <c r="W473" s="2"/>
      <c r="X473" s="2"/>
      <c r="Y473" s="2"/>
      <c r="Z473" s="2"/>
    </row>
    <row r="474" ht="13.5" customHeight="1">
      <c r="A474" s="2"/>
      <c r="B474" s="2"/>
      <c r="C474" s="2"/>
      <c r="D474" s="2"/>
      <c r="E474" s="2"/>
      <c r="F474" s="2"/>
      <c r="G474" s="2"/>
      <c r="H474" s="2"/>
      <c r="I474" s="2"/>
      <c r="J474" s="2"/>
      <c r="K474" s="2"/>
      <c r="L474" s="2"/>
      <c r="M474" s="2"/>
      <c r="N474" s="2"/>
      <c r="O474" s="2"/>
      <c r="P474" s="2"/>
      <c r="Q474" s="157"/>
      <c r="R474" s="157"/>
      <c r="S474" s="157"/>
      <c r="T474" s="158"/>
      <c r="U474" s="2"/>
      <c r="V474" s="30"/>
      <c r="W474" s="2"/>
      <c r="X474" s="2"/>
      <c r="Y474" s="2"/>
      <c r="Z474" s="2"/>
    </row>
    <row r="475" ht="13.5" customHeight="1">
      <c r="A475" s="2"/>
      <c r="B475" s="2"/>
      <c r="C475" s="2"/>
      <c r="D475" s="2"/>
      <c r="E475" s="2"/>
      <c r="F475" s="2"/>
      <c r="G475" s="2"/>
      <c r="H475" s="2"/>
      <c r="I475" s="2"/>
      <c r="J475" s="2"/>
      <c r="K475" s="2"/>
      <c r="L475" s="2"/>
      <c r="M475" s="2"/>
      <c r="N475" s="2"/>
      <c r="O475" s="2"/>
      <c r="P475" s="2"/>
      <c r="Q475" s="157"/>
      <c r="R475" s="157"/>
      <c r="S475" s="157"/>
      <c r="T475" s="158"/>
      <c r="U475" s="2"/>
      <c r="V475" s="30"/>
      <c r="W475" s="2"/>
      <c r="X475" s="2"/>
      <c r="Y475" s="2"/>
      <c r="Z475" s="2"/>
    </row>
    <row r="476" ht="13.5" customHeight="1">
      <c r="A476" s="2"/>
      <c r="B476" s="2"/>
      <c r="C476" s="2"/>
      <c r="D476" s="2"/>
      <c r="E476" s="2"/>
      <c r="F476" s="2"/>
      <c r="G476" s="2"/>
      <c r="H476" s="2"/>
      <c r="I476" s="2"/>
      <c r="J476" s="2"/>
      <c r="K476" s="2"/>
      <c r="L476" s="2"/>
      <c r="M476" s="2"/>
      <c r="N476" s="2"/>
      <c r="O476" s="2"/>
      <c r="P476" s="2"/>
      <c r="Q476" s="157"/>
      <c r="R476" s="157"/>
      <c r="S476" s="157"/>
      <c r="T476" s="158"/>
      <c r="U476" s="2"/>
      <c r="V476" s="30"/>
      <c r="W476" s="2"/>
      <c r="X476" s="2"/>
      <c r="Y476" s="2"/>
      <c r="Z476" s="2"/>
    </row>
    <row r="477" ht="13.5" customHeight="1">
      <c r="A477" s="2"/>
      <c r="B477" s="2"/>
      <c r="C477" s="2"/>
      <c r="D477" s="2"/>
      <c r="E477" s="2"/>
      <c r="F477" s="2"/>
      <c r="G477" s="2"/>
      <c r="H477" s="2"/>
      <c r="I477" s="2"/>
      <c r="J477" s="2"/>
      <c r="K477" s="2"/>
      <c r="L477" s="2"/>
      <c r="M477" s="2"/>
      <c r="N477" s="2"/>
      <c r="O477" s="2"/>
      <c r="P477" s="2"/>
      <c r="Q477" s="157"/>
      <c r="R477" s="157"/>
      <c r="S477" s="157"/>
      <c r="T477" s="158"/>
      <c r="U477" s="2"/>
      <c r="V477" s="30"/>
      <c r="W477" s="2"/>
      <c r="X477" s="2"/>
      <c r="Y477" s="2"/>
      <c r="Z477" s="2"/>
    </row>
    <row r="478" ht="13.5" customHeight="1">
      <c r="A478" s="2"/>
      <c r="B478" s="2"/>
      <c r="C478" s="2"/>
      <c r="D478" s="2"/>
      <c r="E478" s="2"/>
      <c r="F478" s="2"/>
      <c r="G478" s="2"/>
      <c r="H478" s="2"/>
      <c r="I478" s="2"/>
      <c r="J478" s="2"/>
      <c r="K478" s="2"/>
      <c r="L478" s="2"/>
      <c r="M478" s="2"/>
      <c r="N478" s="2"/>
      <c r="O478" s="2"/>
      <c r="P478" s="2"/>
      <c r="Q478" s="157"/>
      <c r="R478" s="157"/>
      <c r="S478" s="157"/>
      <c r="T478" s="158"/>
      <c r="U478" s="2"/>
      <c r="V478" s="30"/>
      <c r="W478" s="2"/>
      <c r="X478" s="2"/>
      <c r="Y478" s="2"/>
      <c r="Z478" s="2"/>
    </row>
    <row r="479" ht="13.5" customHeight="1">
      <c r="A479" s="2"/>
      <c r="B479" s="2"/>
      <c r="C479" s="2"/>
      <c r="D479" s="2"/>
      <c r="E479" s="2"/>
      <c r="F479" s="2"/>
      <c r="G479" s="2"/>
      <c r="H479" s="2"/>
      <c r="I479" s="2"/>
      <c r="J479" s="2"/>
      <c r="K479" s="2"/>
      <c r="L479" s="2"/>
      <c r="M479" s="2"/>
      <c r="N479" s="2"/>
      <c r="O479" s="2"/>
      <c r="P479" s="2"/>
      <c r="Q479" s="157"/>
      <c r="R479" s="157"/>
      <c r="S479" s="157"/>
      <c r="T479" s="158"/>
      <c r="U479" s="2"/>
      <c r="V479" s="30"/>
      <c r="W479" s="2"/>
      <c r="X479" s="2"/>
      <c r="Y479" s="2"/>
      <c r="Z479" s="2"/>
    </row>
    <row r="480" ht="13.5" customHeight="1">
      <c r="A480" s="2"/>
      <c r="B480" s="2"/>
      <c r="C480" s="2"/>
      <c r="D480" s="2"/>
      <c r="E480" s="2"/>
      <c r="F480" s="2"/>
      <c r="G480" s="2"/>
      <c r="H480" s="2"/>
      <c r="I480" s="2"/>
      <c r="J480" s="2"/>
      <c r="K480" s="2"/>
      <c r="L480" s="2"/>
      <c r="M480" s="2"/>
      <c r="N480" s="2"/>
      <c r="O480" s="2"/>
      <c r="P480" s="2"/>
      <c r="Q480" s="157"/>
      <c r="R480" s="157"/>
      <c r="S480" s="157"/>
      <c r="T480" s="158"/>
      <c r="U480" s="2"/>
      <c r="V480" s="30"/>
      <c r="W480" s="2"/>
      <c r="X480" s="2"/>
      <c r="Y480" s="2"/>
      <c r="Z480" s="2"/>
    </row>
    <row r="481" ht="13.5" customHeight="1">
      <c r="A481" s="2"/>
      <c r="B481" s="2"/>
      <c r="C481" s="2"/>
      <c r="D481" s="2"/>
      <c r="E481" s="2"/>
      <c r="F481" s="2"/>
      <c r="G481" s="2"/>
      <c r="H481" s="2"/>
      <c r="I481" s="2"/>
      <c r="J481" s="2"/>
      <c r="K481" s="2"/>
      <c r="L481" s="2"/>
      <c r="M481" s="2"/>
      <c r="N481" s="2"/>
      <c r="O481" s="2"/>
      <c r="P481" s="2"/>
      <c r="Q481" s="157"/>
      <c r="R481" s="157"/>
      <c r="S481" s="157"/>
      <c r="T481" s="158"/>
      <c r="U481" s="2"/>
      <c r="V481" s="30"/>
      <c r="W481" s="2"/>
      <c r="X481" s="2"/>
      <c r="Y481" s="2"/>
      <c r="Z481" s="2"/>
    </row>
    <row r="482" ht="13.5" customHeight="1">
      <c r="A482" s="2"/>
      <c r="B482" s="2"/>
      <c r="C482" s="2"/>
      <c r="D482" s="2"/>
      <c r="E482" s="2"/>
      <c r="F482" s="2"/>
      <c r="G482" s="2"/>
      <c r="H482" s="2"/>
      <c r="I482" s="2"/>
      <c r="J482" s="2"/>
      <c r="K482" s="2"/>
      <c r="L482" s="2"/>
      <c r="M482" s="2"/>
      <c r="N482" s="2"/>
      <c r="O482" s="2"/>
      <c r="P482" s="2"/>
      <c r="Q482" s="157"/>
      <c r="R482" s="157"/>
      <c r="S482" s="157"/>
      <c r="T482" s="158"/>
      <c r="U482" s="2"/>
      <c r="V482" s="30"/>
      <c r="W482" s="2"/>
      <c r="X482" s="2"/>
      <c r="Y482" s="2"/>
      <c r="Z482" s="2"/>
    </row>
    <row r="483" ht="13.5" customHeight="1">
      <c r="A483" s="2"/>
      <c r="B483" s="2"/>
      <c r="C483" s="2"/>
      <c r="D483" s="2"/>
      <c r="E483" s="2"/>
      <c r="F483" s="2"/>
      <c r="G483" s="2"/>
      <c r="H483" s="2"/>
      <c r="I483" s="2"/>
      <c r="J483" s="2"/>
      <c r="K483" s="2"/>
      <c r="L483" s="2"/>
      <c r="M483" s="2"/>
      <c r="N483" s="2"/>
      <c r="O483" s="2"/>
      <c r="P483" s="2"/>
      <c r="Q483" s="157"/>
      <c r="R483" s="157"/>
      <c r="S483" s="157"/>
      <c r="T483" s="158"/>
      <c r="U483" s="2"/>
      <c r="V483" s="30"/>
      <c r="W483" s="2"/>
      <c r="X483" s="2"/>
      <c r="Y483" s="2"/>
      <c r="Z483" s="2"/>
    </row>
    <row r="484" ht="13.5" customHeight="1">
      <c r="A484" s="2"/>
      <c r="B484" s="2"/>
      <c r="C484" s="2"/>
      <c r="D484" s="2"/>
      <c r="E484" s="2"/>
      <c r="F484" s="2"/>
      <c r="G484" s="2"/>
      <c r="H484" s="2"/>
      <c r="I484" s="2"/>
      <c r="J484" s="2"/>
      <c r="K484" s="2"/>
      <c r="L484" s="2"/>
      <c r="M484" s="2"/>
      <c r="N484" s="2"/>
      <c r="O484" s="2"/>
      <c r="P484" s="2"/>
      <c r="Q484" s="157"/>
      <c r="R484" s="157"/>
      <c r="S484" s="157"/>
      <c r="T484" s="158"/>
      <c r="U484" s="2"/>
      <c r="V484" s="30"/>
      <c r="W484" s="2"/>
      <c r="X484" s="2"/>
      <c r="Y484" s="2"/>
      <c r="Z484" s="2"/>
    </row>
    <row r="485" ht="13.5" customHeight="1">
      <c r="A485" s="2"/>
      <c r="B485" s="2"/>
      <c r="C485" s="2"/>
      <c r="D485" s="2"/>
      <c r="E485" s="2"/>
      <c r="F485" s="2"/>
      <c r="G485" s="2"/>
      <c r="H485" s="2"/>
      <c r="I485" s="2"/>
      <c r="J485" s="2"/>
      <c r="K485" s="2"/>
      <c r="L485" s="2"/>
      <c r="M485" s="2"/>
      <c r="N485" s="2"/>
      <c r="O485" s="2"/>
      <c r="P485" s="2"/>
      <c r="Q485" s="157"/>
      <c r="R485" s="157"/>
      <c r="S485" s="157"/>
      <c r="T485" s="158"/>
      <c r="U485" s="2"/>
      <c r="V485" s="30"/>
      <c r="W485" s="2"/>
      <c r="X485" s="2"/>
      <c r="Y485" s="2"/>
      <c r="Z485" s="2"/>
    </row>
    <row r="486" ht="13.5" customHeight="1">
      <c r="A486" s="2"/>
      <c r="B486" s="2"/>
      <c r="C486" s="2"/>
      <c r="D486" s="2"/>
      <c r="E486" s="2"/>
      <c r="F486" s="2"/>
      <c r="G486" s="2"/>
      <c r="H486" s="2"/>
      <c r="I486" s="2"/>
      <c r="J486" s="2"/>
      <c r="K486" s="2"/>
      <c r="L486" s="2"/>
      <c r="M486" s="2"/>
      <c r="N486" s="2"/>
      <c r="O486" s="2"/>
      <c r="P486" s="2"/>
      <c r="Q486" s="157"/>
      <c r="R486" s="157"/>
      <c r="S486" s="157"/>
      <c r="T486" s="158"/>
      <c r="U486" s="2"/>
      <c r="V486" s="30"/>
      <c r="W486" s="2"/>
      <c r="X486" s="2"/>
      <c r="Y486" s="2"/>
      <c r="Z486" s="2"/>
    </row>
    <row r="487" ht="13.5" customHeight="1">
      <c r="A487" s="2"/>
      <c r="B487" s="2"/>
      <c r="C487" s="2"/>
      <c r="D487" s="2"/>
      <c r="E487" s="2"/>
      <c r="F487" s="2"/>
      <c r="G487" s="2"/>
      <c r="H487" s="2"/>
      <c r="I487" s="2"/>
      <c r="J487" s="2"/>
      <c r="K487" s="2"/>
      <c r="L487" s="2"/>
      <c r="M487" s="2"/>
      <c r="N487" s="2"/>
      <c r="O487" s="2"/>
      <c r="P487" s="2"/>
      <c r="Q487" s="157"/>
      <c r="R487" s="157"/>
      <c r="S487" s="157"/>
      <c r="T487" s="158"/>
      <c r="U487" s="2"/>
      <c r="V487" s="30"/>
      <c r="W487" s="2"/>
      <c r="X487" s="2"/>
      <c r="Y487" s="2"/>
      <c r="Z487" s="2"/>
    </row>
    <row r="488" ht="13.5" customHeight="1">
      <c r="A488" s="2"/>
      <c r="B488" s="2"/>
      <c r="C488" s="2"/>
      <c r="D488" s="2"/>
      <c r="E488" s="2"/>
      <c r="F488" s="2"/>
      <c r="G488" s="2"/>
      <c r="H488" s="2"/>
      <c r="I488" s="2"/>
      <c r="J488" s="2"/>
      <c r="K488" s="2"/>
      <c r="L488" s="2"/>
      <c r="M488" s="2"/>
      <c r="N488" s="2"/>
      <c r="O488" s="2"/>
      <c r="P488" s="2"/>
      <c r="Q488" s="157"/>
      <c r="R488" s="157"/>
      <c r="S488" s="157"/>
      <c r="T488" s="158"/>
      <c r="U488" s="2"/>
      <c r="V488" s="30"/>
      <c r="W488" s="2"/>
      <c r="X488" s="2"/>
      <c r="Y488" s="2"/>
      <c r="Z488" s="2"/>
    </row>
    <row r="489" ht="13.5" customHeight="1">
      <c r="A489" s="2"/>
      <c r="B489" s="2"/>
      <c r="C489" s="2"/>
      <c r="D489" s="2"/>
      <c r="E489" s="2"/>
      <c r="F489" s="2"/>
      <c r="G489" s="2"/>
      <c r="H489" s="2"/>
      <c r="I489" s="2"/>
      <c r="J489" s="2"/>
      <c r="K489" s="2"/>
      <c r="L489" s="2"/>
      <c r="M489" s="2"/>
      <c r="N489" s="2"/>
      <c r="O489" s="2"/>
      <c r="P489" s="2"/>
      <c r="Q489" s="157"/>
      <c r="R489" s="157"/>
      <c r="S489" s="157"/>
      <c r="T489" s="158"/>
      <c r="U489" s="2"/>
      <c r="V489" s="30"/>
      <c r="W489" s="2"/>
      <c r="X489" s="2"/>
      <c r="Y489" s="2"/>
      <c r="Z489" s="2"/>
    </row>
    <row r="490" ht="13.5" customHeight="1">
      <c r="A490" s="2"/>
      <c r="B490" s="2"/>
      <c r="C490" s="2"/>
      <c r="D490" s="2"/>
      <c r="E490" s="2"/>
      <c r="F490" s="2"/>
      <c r="G490" s="2"/>
      <c r="H490" s="2"/>
      <c r="I490" s="2"/>
      <c r="J490" s="2"/>
      <c r="K490" s="2"/>
      <c r="L490" s="2"/>
      <c r="M490" s="2"/>
      <c r="N490" s="2"/>
      <c r="O490" s="2"/>
      <c r="P490" s="2"/>
      <c r="Q490" s="157"/>
      <c r="R490" s="157"/>
      <c r="S490" s="157"/>
      <c r="T490" s="158"/>
      <c r="U490" s="2"/>
      <c r="V490" s="30"/>
      <c r="W490" s="2"/>
      <c r="X490" s="2"/>
      <c r="Y490" s="2"/>
      <c r="Z490" s="2"/>
    </row>
    <row r="491" ht="13.5" customHeight="1">
      <c r="A491" s="2"/>
      <c r="B491" s="2"/>
      <c r="C491" s="2"/>
      <c r="D491" s="2"/>
      <c r="E491" s="2"/>
      <c r="F491" s="2"/>
      <c r="G491" s="2"/>
      <c r="H491" s="2"/>
      <c r="I491" s="2"/>
      <c r="J491" s="2"/>
      <c r="K491" s="2"/>
      <c r="L491" s="2"/>
      <c r="M491" s="2"/>
      <c r="N491" s="2"/>
      <c r="O491" s="2"/>
      <c r="P491" s="2"/>
      <c r="Q491" s="157"/>
      <c r="R491" s="157"/>
      <c r="S491" s="157"/>
      <c r="T491" s="158"/>
      <c r="U491" s="2"/>
      <c r="V491" s="30"/>
      <c r="W491" s="2"/>
      <c r="X491" s="2"/>
      <c r="Y491" s="2"/>
      <c r="Z491" s="2"/>
    </row>
    <row r="492" ht="13.5" customHeight="1">
      <c r="A492" s="2"/>
      <c r="B492" s="2"/>
      <c r="C492" s="2"/>
      <c r="D492" s="2"/>
      <c r="E492" s="2"/>
      <c r="F492" s="2"/>
      <c r="G492" s="2"/>
      <c r="H492" s="2"/>
      <c r="I492" s="2"/>
      <c r="J492" s="2"/>
      <c r="K492" s="2"/>
      <c r="L492" s="2"/>
      <c r="M492" s="2"/>
      <c r="N492" s="2"/>
      <c r="O492" s="2"/>
      <c r="P492" s="2"/>
      <c r="Q492" s="157"/>
      <c r="R492" s="157"/>
      <c r="S492" s="157"/>
      <c r="T492" s="158"/>
      <c r="U492" s="2"/>
      <c r="V492" s="30"/>
      <c r="W492" s="2"/>
      <c r="X492" s="2"/>
      <c r="Y492" s="2"/>
      <c r="Z492" s="2"/>
    </row>
    <row r="493" ht="13.5" customHeight="1">
      <c r="A493" s="2"/>
      <c r="B493" s="2"/>
      <c r="C493" s="2"/>
      <c r="D493" s="2"/>
      <c r="E493" s="2"/>
      <c r="F493" s="2"/>
      <c r="G493" s="2"/>
      <c r="H493" s="2"/>
      <c r="I493" s="2"/>
      <c r="J493" s="2"/>
      <c r="K493" s="2"/>
      <c r="L493" s="2"/>
      <c r="M493" s="2"/>
      <c r="N493" s="2"/>
      <c r="O493" s="2"/>
      <c r="P493" s="2"/>
      <c r="Q493" s="157"/>
      <c r="R493" s="157"/>
      <c r="S493" s="157"/>
      <c r="T493" s="158"/>
      <c r="U493" s="2"/>
      <c r="V493" s="30"/>
      <c r="W493" s="2"/>
      <c r="X493" s="2"/>
      <c r="Y493" s="2"/>
      <c r="Z493" s="2"/>
    </row>
    <row r="494" ht="13.5" customHeight="1">
      <c r="A494" s="2"/>
      <c r="B494" s="2"/>
      <c r="C494" s="2"/>
      <c r="D494" s="2"/>
      <c r="E494" s="2"/>
      <c r="F494" s="2"/>
      <c r="G494" s="2"/>
      <c r="H494" s="2"/>
      <c r="I494" s="2"/>
      <c r="J494" s="2"/>
      <c r="K494" s="2"/>
      <c r="L494" s="2"/>
      <c r="M494" s="2"/>
      <c r="N494" s="2"/>
      <c r="O494" s="2"/>
      <c r="P494" s="2"/>
      <c r="Q494" s="157"/>
      <c r="R494" s="157"/>
      <c r="S494" s="157"/>
      <c r="T494" s="158"/>
      <c r="U494" s="2"/>
      <c r="V494" s="30"/>
      <c r="W494" s="2"/>
      <c r="X494" s="2"/>
      <c r="Y494" s="2"/>
      <c r="Z494" s="2"/>
    </row>
    <row r="495" ht="13.5" customHeight="1">
      <c r="A495" s="2"/>
      <c r="B495" s="2"/>
      <c r="C495" s="2"/>
      <c r="D495" s="2"/>
      <c r="E495" s="2"/>
      <c r="F495" s="2"/>
      <c r="G495" s="2"/>
      <c r="H495" s="2"/>
      <c r="I495" s="2"/>
      <c r="J495" s="2"/>
      <c r="K495" s="2"/>
      <c r="L495" s="2"/>
      <c r="M495" s="2"/>
      <c r="N495" s="2"/>
      <c r="O495" s="2"/>
      <c r="P495" s="2"/>
      <c r="Q495" s="157"/>
      <c r="R495" s="157"/>
      <c r="S495" s="157"/>
      <c r="T495" s="158"/>
      <c r="U495" s="2"/>
      <c r="V495" s="30"/>
      <c r="W495" s="2"/>
      <c r="X495" s="2"/>
      <c r="Y495" s="2"/>
      <c r="Z495" s="2"/>
    </row>
    <row r="496" ht="13.5" customHeight="1">
      <c r="A496" s="2"/>
      <c r="B496" s="2"/>
      <c r="C496" s="2"/>
      <c r="D496" s="2"/>
      <c r="E496" s="2"/>
      <c r="F496" s="2"/>
      <c r="G496" s="2"/>
      <c r="H496" s="2"/>
      <c r="I496" s="2"/>
      <c r="J496" s="2"/>
      <c r="K496" s="2"/>
      <c r="L496" s="2"/>
      <c r="M496" s="2"/>
      <c r="N496" s="2"/>
      <c r="O496" s="2"/>
      <c r="P496" s="2"/>
      <c r="Q496" s="157"/>
      <c r="R496" s="157"/>
      <c r="S496" s="157"/>
      <c r="T496" s="158"/>
      <c r="U496" s="2"/>
      <c r="V496" s="30"/>
      <c r="W496" s="2"/>
      <c r="X496" s="2"/>
      <c r="Y496" s="2"/>
      <c r="Z496" s="2"/>
    </row>
    <row r="497" ht="13.5" customHeight="1">
      <c r="A497" s="2"/>
      <c r="B497" s="2"/>
      <c r="C497" s="2"/>
      <c r="D497" s="2"/>
      <c r="E497" s="2"/>
      <c r="F497" s="2"/>
      <c r="G497" s="2"/>
      <c r="H497" s="2"/>
      <c r="I497" s="2"/>
      <c r="J497" s="2"/>
      <c r="K497" s="2"/>
      <c r="L497" s="2"/>
      <c r="M497" s="2"/>
      <c r="N497" s="2"/>
      <c r="O497" s="2"/>
      <c r="P497" s="2"/>
      <c r="Q497" s="157"/>
      <c r="R497" s="157"/>
      <c r="S497" s="157"/>
      <c r="T497" s="158"/>
      <c r="U497" s="2"/>
      <c r="V497" s="30"/>
      <c r="W497" s="2"/>
      <c r="X497" s="2"/>
      <c r="Y497" s="2"/>
      <c r="Z497" s="2"/>
    </row>
    <row r="498" ht="13.5" customHeight="1">
      <c r="A498" s="2"/>
      <c r="B498" s="2"/>
      <c r="C498" s="2"/>
      <c r="D498" s="2"/>
      <c r="E498" s="2"/>
      <c r="F498" s="2"/>
      <c r="G498" s="2"/>
      <c r="H498" s="2"/>
      <c r="I498" s="2"/>
      <c r="J498" s="2"/>
      <c r="K498" s="2"/>
      <c r="L498" s="2"/>
      <c r="M498" s="2"/>
      <c r="N498" s="2"/>
      <c r="O498" s="2"/>
      <c r="P498" s="2"/>
      <c r="Q498" s="157"/>
      <c r="R498" s="157"/>
      <c r="S498" s="157"/>
      <c r="T498" s="158"/>
      <c r="U498" s="2"/>
      <c r="V498" s="30"/>
      <c r="W498" s="2"/>
      <c r="X498" s="2"/>
      <c r="Y498" s="2"/>
      <c r="Z498" s="2"/>
    </row>
    <row r="499" ht="13.5" customHeight="1">
      <c r="A499" s="2"/>
      <c r="B499" s="2"/>
      <c r="C499" s="2"/>
      <c r="D499" s="2"/>
      <c r="E499" s="2"/>
      <c r="F499" s="2"/>
      <c r="G499" s="2"/>
      <c r="H499" s="2"/>
      <c r="I499" s="2"/>
      <c r="J499" s="2"/>
      <c r="K499" s="2"/>
      <c r="L499" s="2"/>
      <c r="M499" s="2"/>
      <c r="N499" s="2"/>
      <c r="O499" s="2"/>
      <c r="P499" s="2"/>
      <c r="Q499" s="157"/>
      <c r="R499" s="157"/>
      <c r="S499" s="157"/>
      <c r="T499" s="158"/>
      <c r="U499" s="2"/>
      <c r="V499" s="30"/>
      <c r="W499" s="2"/>
      <c r="X499" s="2"/>
      <c r="Y499" s="2"/>
      <c r="Z499" s="2"/>
    </row>
    <row r="500" ht="13.5" customHeight="1">
      <c r="A500" s="2"/>
      <c r="B500" s="2"/>
      <c r="C500" s="2"/>
      <c r="D500" s="2"/>
      <c r="E500" s="2"/>
      <c r="F500" s="2"/>
      <c r="G500" s="2"/>
      <c r="H500" s="2"/>
      <c r="I500" s="2"/>
      <c r="J500" s="2"/>
      <c r="K500" s="2"/>
      <c r="L500" s="2"/>
      <c r="M500" s="2"/>
      <c r="N500" s="2"/>
      <c r="O500" s="2"/>
      <c r="P500" s="2"/>
      <c r="Q500" s="157"/>
      <c r="R500" s="157"/>
      <c r="S500" s="157"/>
      <c r="T500" s="158"/>
      <c r="U500" s="2"/>
      <c r="V500" s="30"/>
      <c r="W500" s="2"/>
      <c r="X500" s="2"/>
      <c r="Y500" s="2"/>
      <c r="Z500" s="2"/>
    </row>
    <row r="501" ht="13.5" customHeight="1">
      <c r="A501" s="2"/>
      <c r="B501" s="2"/>
      <c r="C501" s="2"/>
      <c r="D501" s="2"/>
      <c r="E501" s="2"/>
      <c r="F501" s="2"/>
      <c r="G501" s="2"/>
      <c r="H501" s="2"/>
      <c r="I501" s="2"/>
      <c r="J501" s="2"/>
      <c r="K501" s="2"/>
      <c r="L501" s="2"/>
      <c r="M501" s="2"/>
      <c r="N501" s="2"/>
      <c r="O501" s="2"/>
      <c r="P501" s="2"/>
      <c r="Q501" s="157"/>
      <c r="R501" s="157"/>
      <c r="S501" s="157"/>
      <c r="T501" s="158"/>
      <c r="U501" s="2"/>
      <c r="V501" s="30"/>
      <c r="W501" s="2"/>
      <c r="X501" s="2"/>
      <c r="Y501" s="2"/>
      <c r="Z501" s="2"/>
    </row>
    <row r="502" ht="13.5" customHeight="1">
      <c r="A502" s="2"/>
      <c r="B502" s="2"/>
      <c r="C502" s="2"/>
      <c r="D502" s="2"/>
      <c r="E502" s="2"/>
      <c r="F502" s="2"/>
      <c r="G502" s="2"/>
      <c r="H502" s="2"/>
      <c r="I502" s="2"/>
      <c r="J502" s="2"/>
      <c r="K502" s="2"/>
      <c r="L502" s="2"/>
      <c r="M502" s="2"/>
      <c r="N502" s="2"/>
      <c r="O502" s="2"/>
      <c r="P502" s="2"/>
      <c r="Q502" s="157"/>
      <c r="R502" s="157"/>
      <c r="S502" s="157"/>
      <c r="T502" s="158"/>
      <c r="U502" s="2"/>
      <c r="V502" s="30"/>
      <c r="W502" s="2"/>
      <c r="X502" s="2"/>
      <c r="Y502" s="2"/>
      <c r="Z502" s="2"/>
    </row>
    <row r="503" ht="13.5" customHeight="1">
      <c r="A503" s="2"/>
      <c r="B503" s="2"/>
      <c r="C503" s="2"/>
      <c r="D503" s="2"/>
      <c r="E503" s="2"/>
      <c r="F503" s="2"/>
      <c r="G503" s="2"/>
      <c r="H503" s="2"/>
      <c r="I503" s="2"/>
      <c r="J503" s="2"/>
      <c r="K503" s="2"/>
      <c r="L503" s="2"/>
      <c r="M503" s="2"/>
      <c r="N503" s="2"/>
      <c r="O503" s="2"/>
      <c r="P503" s="2"/>
      <c r="Q503" s="157"/>
      <c r="R503" s="157"/>
      <c r="S503" s="157"/>
      <c r="T503" s="158"/>
      <c r="U503" s="2"/>
      <c r="V503" s="30"/>
      <c r="W503" s="2"/>
      <c r="X503" s="2"/>
      <c r="Y503" s="2"/>
      <c r="Z503" s="2"/>
    </row>
    <row r="504" ht="13.5" customHeight="1">
      <c r="A504" s="2"/>
      <c r="B504" s="2"/>
      <c r="C504" s="2"/>
      <c r="D504" s="2"/>
      <c r="E504" s="2"/>
      <c r="F504" s="2"/>
      <c r="G504" s="2"/>
      <c r="H504" s="2"/>
      <c r="I504" s="2"/>
      <c r="J504" s="2"/>
      <c r="K504" s="2"/>
      <c r="L504" s="2"/>
      <c r="M504" s="2"/>
      <c r="N504" s="2"/>
      <c r="O504" s="2"/>
      <c r="P504" s="2"/>
      <c r="Q504" s="157"/>
      <c r="R504" s="157"/>
      <c r="S504" s="157"/>
      <c r="T504" s="158"/>
      <c r="U504" s="2"/>
      <c r="V504" s="30"/>
      <c r="W504" s="2"/>
      <c r="X504" s="2"/>
      <c r="Y504" s="2"/>
      <c r="Z504" s="2"/>
    </row>
    <row r="505" ht="13.5" customHeight="1">
      <c r="A505" s="2"/>
      <c r="B505" s="2"/>
      <c r="C505" s="2"/>
      <c r="D505" s="2"/>
      <c r="E505" s="2"/>
      <c r="F505" s="2"/>
      <c r="G505" s="2"/>
      <c r="H505" s="2"/>
      <c r="I505" s="2"/>
      <c r="J505" s="2"/>
      <c r="K505" s="2"/>
      <c r="L505" s="2"/>
      <c r="M505" s="2"/>
      <c r="N505" s="2"/>
      <c r="O505" s="2"/>
      <c r="P505" s="2"/>
      <c r="Q505" s="157"/>
      <c r="R505" s="157"/>
      <c r="S505" s="157"/>
      <c r="T505" s="158"/>
      <c r="U505" s="2"/>
      <c r="V505" s="30"/>
      <c r="W505" s="2"/>
      <c r="X505" s="2"/>
      <c r="Y505" s="2"/>
      <c r="Z505" s="2"/>
    </row>
    <row r="506" ht="13.5" customHeight="1">
      <c r="A506" s="2"/>
      <c r="B506" s="2"/>
      <c r="C506" s="2"/>
      <c r="D506" s="2"/>
      <c r="E506" s="2"/>
      <c r="F506" s="2"/>
      <c r="G506" s="2"/>
      <c r="H506" s="2"/>
      <c r="I506" s="2"/>
      <c r="J506" s="2"/>
      <c r="K506" s="2"/>
      <c r="L506" s="2"/>
      <c r="M506" s="2"/>
      <c r="N506" s="2"/>
      <c r="O506" s="2"/>
      <c r="P506" s="2"/>
      <c r="Q506" s="157"/>
      <c r="R506" s="157"/>
      <c r="S506" s="157"/>
      <c r="T506" s="158"/>
      <c r="U506" s="2"/>
      <c r="V506" s="30"/>
      <c r="W506" s="2"/>
      <c r="X506" s="2"/>
      <c r="Y506" s="2"/>
      <c r="Z506" s="2"/>
    </row>
    <row r="507" ht="13.5" customHeight="1">
      <c r="A507" s="2"/>
      <c r="B507" s="2"/>
      <c r="C507" s="2"/>
      <c r="D507" s="2"/>
      <c r="E507" s="2"/>
      <c r="F507" s="2"/>
      <c r="G507" s="2"/>
      <c r="H507" s="2"/>
      <c r="I507" s="2"/>
      <c r="J507" s="2"/>
      <c r="K507" s="2"/>
      <c r="L507" s="2"/>
      <c r="M507" s="2"/>
      <c r="N507" s="2"/>
      <c r="O507" s="2"/>
      <c r="P507" s="2"/>
      <c r="Q507" s="157"/>
      <c r="R507" s="157"/>
      <c r="S507" s="157"/>
      <c r="T507" s="158"/>
      <c r="U507" s="2"/>
      <c r="V507" s="30"/>
      <c r="W507" s="2"/>
      <c r="X507" s="2"/>
      <c r="Y507" s="2"/>
      <c r="Z507" s="2"/>
    </row>
    <row r="508" ht="13.5" customHeight="1">
      <c r="A508" s="2"/>
      <c r="B508" s="2"/>
      <c r="C508" s="2"/>
      <c r="D508" s="2"/>
      <c r="E508" s="2"/>
      <c r="F508" s="2"/>
      <c r="G508" s="2"/>
      <c r="H508" s="2"/>
      <c r="I508" s="2"/>
      <c r="J508" s="2"/>
      <c r="K508" s="2"/>
      <c r="L508" s="2"/>
      <c r="M508" s="2"/>
      <c r="N508" s="2"/>
      <c r="O508" s="2"/>
      <c r="P508" s="2"/>
      <c r="Q508" s="157"/>
      <c r="R508" s="157"/>
      <c r="S508" s="157"/>
      <c r="T508" s="158"/>
      <c r="U508" s="2"/>
      <c r="V508" s="30"/>
      <c r="W508" s="2"/>
      <c r="X508" s="2"/>
      <c r="Y508" s="2"/>
      <c r="Z508" s="2"/>
    </row>
    <row r="509" ht="13.5" customHeight="1">
      <c r="A509" s="2"/>
      <c r="B509" s="2"/>
      <c r="C509" s="2"/>
      <c r="D509" s="2"/>
      <c r="E509" s="2"/>
      <c r="F509" s="2"/>
      <c r="G509" s="2"/>
      <c r="H509" s="2"/>
      <c r="I509" s="2"/>
      <c r="J509" s="2"/>
      <c r="K509" s="2"/>
      <c r="L509" s="2"/>
      <c r="M509" s="2"/>
      <c r="N509" s="2"/>
      <c r="O509" s="2"/>
      <c r="P509" s="2"/>
      <c r="Q509" s="157"/>
      <c r="R509" s="157"/>
      <c r="S509" s="157"/>
      <c r="T509" s="158"/>
      <c r="U509" s="2"/>
      <c r="V509" s="30"/>
      <c r="W509" s="2"/>
      <c r="X509" s="2"/>
      <c r="Y509" s="2"/>
      <c r="Z509" s="2"/>
    </row>
    <row r="510" ht="13.5" customHeight="1">
      <c r="A510" s="2"/>
      <c r="B510" s="2"/>
      <c r="C510" s="2"/>
      <c r="D510" s="2"/>
      <c r="E510" s="2"/>
      <c r="F510" s="2"/>
      <c r="G510" s="2"/>
      <c r="H510" s="2"/>
      <c r="I510" s="2"/>
      <c r="J510" s="2"/>
      <c r="K510" s="2"/>
      <c r="L510" s="2"/>
      <c r="M510" s="2"/>
      <c r="N510" s="2"/>
      <c r="O510" s="2"/>
      <c r="P510" s="2"/>
      <c r="Q510" s="157"/>
      <c r="R510" s="157"/>
      <c r="S510" s="157"/>
      <c r="T510" s="158"/>
      <c r="U510" s="2"/>
      <c r="V510" s="30"/>
      <c r="W510" s="2"/>
      <c r="X510" s="2"/>
      <c r="Y510" s="2"/>
      <c r="Z510" s="2"/>
    </row>
    <row r="511" ht="13.5" customHeight="1">
      <c r="A511" s="2"/>
      <c r="B511" s="2"/>
      <c r="C511" s="2"/>
      <c r="D511" s="2"/>
      <c r="E511" s="2"/>
      <c r="F511" s="2"/>
      <c r="G511" s="2"/>
      <c r="H511" s="2"/>
      <c r="I511" s="2"/>
      <c r="J511" s="2"/>
      <c r="K511" s="2"/>
      <c r="L511" s="2"/>
      <c r="M511" s="2"/>
      <c r="N511" s="2"/>
      <c r="O511" s="2"/>
      <c r="P511" s="2"/>
      <c r="Q511" s="157"/>
      <c r="R511" s="157"/>
      <c r="S511" s="157"/>
      <c r="T511" s="158"/>
      <c r="U511" s="2"/>
      <c r="V511" s="30"/>
      <c r="W511" s="2"/>
      <c r="X511" s="2"/>
      <c r="Y511" s="2"/>
      <c r="Z511" s="2"/>
    </row>
    <row r="512" ht="13.5" customHeight="1">
      <c r="A512" s="2"/>
      <c r="B512" s="2"/>
      <c r="C512" s="2"/>
      <c r="D512" s="2"/>
      <c r="E512" s="2"/>
      <c r="F512" s="2"/>
      <c r="G512" s="2"/>
      <c r="H512" s="2"/>
      <c r="I512" s="2"/>
      <c r="J512" s="2"/>
      <c r="K512" s="2"/>
      <c r="L512" s="2"/>
      <c r="M512" s="2"/>
      <c r="N512" s="2"/>
      <c r="O512" s="2"/>
      <c r="P512" s="2"/>
      <c r="Q512" s="157"/>
      <c r="R512" s="157"/>
      <c r="S512" s="157"/>
      <c r="T512" s="158"/>
      <c r="U512" s="2"/>
      <c r="V512" s="30"/>
      <c r="W512" s="2"/>
      <c r="X512" s="2"/>
      <c r="Y512" s="2"/>
      <c r="Z512" s="2"/>
    </row>
    <row r="513" ht="13.5" customHeight="1">
      <c r="A513" s="2"/>
      <c r="B513" s="2"/>
      <c r="C513" s="2"/>
      <c r="D513" s="2"/>
      <c r="E513" s="2"/>
      <c r="F513" s="2"/>
      <c r="G513" s="2"/>
      <c r="H513" s="2"/>
      <c r="I513" s="2"/>
      <c r="J513" s="2"/>
      <c r="K513" s="2"/>
      <c r="L513" s="2"/>
      <c r="M513" s="2"/>
      <c r="N513" s="2"/>
      <c r="O513" s="2"/>
      <c r="P513" s="2"/>
      <c r="Q513" s="157"/>
      <c r="R513" s="157"/>
      <c r="S513" s="157"/>
      <c r="T513" s="158"/>
      <c r="U513" s="2"/>
      <c r="V513" s="30"/>
      <c r="W513" s="2"/>
      <c r="X513" s="2"/>
      <c r="Y513" s="2"/>
      <c r="Z513" s="2"/>
    </row>
    <row r="514" ht="13.5" customHeight="1">
      <c r="A514" s="2"/>
      <c r="B514" s="2"/>
      <c r="C514" s="2"/>
      <c r="D514" s="2"/>
      <c r="E514" s="2"/>
      <c r="F514" s="2"/>
      <c r="G514" s="2"/>
      <c r="H514" s="2"/>
      <c r="I514" s="2"/>
      <c r="J514" s="2"/>
      <c r="K514" s="2"/>
      <c r="L514" s="2"/>
      <c r="M514" s="2"/>
      <c r="N514" s="2"/>
      <c r="O514" s="2"/>
      <c r="P514" s="2"/>
      <c r="Q514" s="157"/>
      <c r="R514" s="157"/>
      <c r="S514" s="157"/>
      <c r="T514" s="158"/>
      <c r="U514" s="2"/>
      <c r="V514" s="30"/>
      <c r="W514" s="2"/>
      <c r="X514" s="2"/>
      <c r="Y514" s="2"/>
      <c r="Z514" s="2"/>
    </row>
    <row r="515" ht="13.5" customHeight="1">
      <c r="A515" s="2"/>
      <c r="B515" s="2"/>
      <c r="C515" s="2"/>
      <c r="D515" s="2"/>
      <c r="E515" s="2"/>
      <c r="F515" s="2"/>
      <c r="G515" s="2"/>
      <c r="H515" s="2"/>
      <c r="I515" s="2"/>
      <c r="J515" s="2"/>
      <c r="K515" s="2"/>
      <c r="L515" s="2"/>
      <c r="M515" s="2"/>
      <c r="N515" s="2"/>
      <c r="O515" s="2"/>
      <c r="P515" s="2"/>
      <c r="Q515" s="157"/>
      <c r="R515" s="157"/>
      <c r="S515" s="157"/>
      <c r="T515" s="158"/>
      <c r="U515" s="2"/>
      <c r="V515" s="30"/>
      <c r="W515" s="2"/>
      <c r="X515" s="2"/>
      <c r="Y515" s="2"/>
      <c r="Z515" s="2"/>
    </row>
    <row r="516" ht="13.5" customHeight="1">
      <c r="A516" s="2"/>
      <c r="B516" s="2"/>
      <c r="C516" s="2"/>
      <c r="D516" s="2"/>
      <c r="E516" s="2"/>
      <c r="F516" s="2"/>
      <c r="G516" s="2"/>
      <c r="H516" s="2"/>
      <c r="I516" s="2"/>
      <c r="J516" s="2"/>
      <c r="K516" s="2"/>
      <c r="L516" s="2"/>
      <c r="M516" s="2"/>
      <c r="N516" s="2"/>
      <c r="O516" s="2"/>
      <c r="P516" s="2"/>
      <c r="Q516" s="157"/>
      <c r="R516" s="157"/>
      <c r="S516" s="157"/>
      <c r="T516" s="158"/>
      <c r="U516" s="2"/>
      <c r="V516" s="30"/>
      <c r="W516" s="2"/>
      <c r="X516" s="2"/>
      <c r="Y516" s="2"/>
      <c r="Z516" s="2"/>
    </row>
    <row r="517" ht="13.5" customHeight="1">
      <c r="A517" s="2"/>
      <c r="B517" s="2"/>
      <c r="C517" s="2"/>
      <c r="D517" s="2"/>
      <c r="E517" s="2"/>
      <c r="F517" s="2"/>
      <c r="G517" s="2"/>
      <c r="H517" s="2"/>
      <c r="I517" s="2"/>
      <c r="J517" s="2"/>
      <c r="K517" s="2"/>
      <c r="L517" s="2"/>
      <c r="M517" s="2"/>
      <c r="N517" s="2"/>
      <c r="O517" s="2"/>
      <c r="P517" s="2"/>
      <c r="Q517" s="157"/>
      <c r="R517" s="157"/>
      <c r="S517" s="157"/>
      <c r="T517" s="158"/>
      <c r="U517" s="2"/>
      <c r="V517" s="30"/>
      <c r="W517" s="2"/>
      <c r="X517" s="2"/>
      <c r="Y517" s="2"/>
      <c r="Z517" s="2"/>
    </row>
    <row r="518" ht="13.5" customHeight="1">
      <c r="A518" s="2"/>
      <c r="B518" s="2"/>
      <c r="C518" s="2"/>
      <c r="D518" s="2"/>
      <c r="E518" s="2"/>
      <c r="F518" s="2"/>
      <c r="G518" s="2"/>
      <c r="H518" s="2"/>
      <c r="I518" s="2"/>
      <c r="J518" s="2"/>
      <c r="K518" s="2"/>
      <c r="L518" s="2"/>
      <c r="M518" s="2"/>
      <c r="N518" s="2"/>
      <c r="O518" s="2"/>
      <c r="P518" s="2"/>
      <c r="Q518" s="157"/>
      <c r="R518" s="157"/>
      <c r="S518" s="157"/>
      <c r="T518" s="158"/>
      <c r="U518" s="2"/>
      <c r="V518" s="30"/>
      <c r="W518" s="2"/>
      <c r="X518" s="2"/>
      <c r="Y518" s="2"/>
      <c r="Z518" s="2"/>
    </row>
    <row r="519" ht="13.5" customHeight="1">
      <c r="A519" s="2"/>
      <c r="B519" s="2"/>
      <c r="C519" s="2"/>
      <c r="D519" s="2"/>
      <c r="E519" s="2"/>
      <c r="F519" s="2"/>
      <c r="G519" s="2"/>
      <c r="H519" s="2"/>
      <c r="I519" s="2"/>
      <c r="J519" s="2"/>
      <c r="K519" s="2"/>
      <c r="L519" s="2"/>
      <c r="M519" s="2"/>
      <c r="N519" s="2"/>
      <c r="O519" s="2"/>
      <c r="P519" s="2"/>
      <c r="Q519" s="157"/>
      <c r="R519" s="157"/>
      <c r="S519" s="157"/>
      <c r="T519" s="158"/>
      <c r="U519" s="2"/>
      <c r="V519" s="30"/>
      <c r="W519" s="2"/>
      <c r="X519" s="2"/>
      <c r="Y519" s="2"/>
      <c r="Z519" s="2"/>
    </row>
    <row r="520" ht="13.5" customHeight="1">
      <c r="A520" s="2"/>
      <c r="B520" s="2"/>
      <c r="C520" s="2"/>
      <c r="D520" s="2"/>
      <c r="E520" s="2"/>
      <c r="F520" s="2"/>
      <c r="G520" s="2"/>
      <c r="H520" s="2"/>
      <c r="I520" s="2"/>
      <c r="J520" s="2"/>
      <c r="K520" s="2"/>
      <c r="L520" s="2"/>
      <c r="M520" s="2"/>
      <c r="N520" s="2"/>
      <c r="O520" s="2"/>
      <c r="P520" s="2"/>
      <c r="Q520" s="157"/>
      <c r="R520" s="157"/>
      <c r="S520" s="157"/>
      <c r="T520" s="158"/>
      <c r="U520" s="2"/>
      <c r="V520" s="30"/>
      <c r="W520" s="2"/>
      <c r="X520" s="2"/>
      <c r="Y520" s="2"/>
      <c r="Z520" s="2"/>
    </row>
    <row r="521" ht="13.5" customHeight="1">
      <c r="A521" s="2"/>
      <c r="B521" s="2"/>
      <c r="C521" s="2"/>
      <c r="D521" s="2"/>
      <c r="E521" s="2"/>
      <c r="F521" s="2"/>
      <c r="G521" s="2"/>
      <c r="H521" s="2"/>
      <c r="I521" s="2"/>
      <c r="J521" s="2"/>
      <c r="K521" s="2"/>
      <c r="L521" s="2"/>
      <c r="M521" s="2"/>
      <c r="N521" s="2"/>
      <c r="O521" s="2"/>
      <c r="P521" s="2"/>
      <c r="Q521" s="157"/>
      <c r="R521" s="157"/>
      <c r="S521" s="157"/>
      <c r="T521" s="158"/>
      <c r="U521" s="2"/>
      <c r="V521" s="30"/>
      <c r="W521" s="2"/>
      <c r="X521" s="2"/>
      <c r="Y521" s="2"/>
      <c r="Z521" s="2"/>
    </row>
    <row r="522" ht="13.5" customHeight="1">
      <c r="A522" s="2"/>
      <c r="B522" s="2"/>
      <c r="C522" s="2"/>
      <c r="D522" s="2"/>
      <c r="E522" s="2"/>
      <c r="F522" s="2"/>
      <c r="G522" s="2"/>
      <c r="H522" s="2"/>
      <c r="I522" s="2"/>
      <c r="J522" s="2"/>
      <c r="K522" s="2"/>
      <c r="L522" s="2"/>
      <c r="M522" s="2"/>
      <c r="N522" s="2"/>
      <c r="O522" s="2"/>
      <c r="P522" s="2"/>
      <c r="Q522" s="157"/>
      <c r="R522" s="157"/>
      <c r="S522" s="157"/>
      <c r="T522" s="158"/>
      <c r="U522" s="2"/>
      <c r="V522" s="30"/>
      <c r="W522" s="2"/>
      <c r="X522" s="2"/>
      <c r="Y522" s="2"/>
      <c r="Z522" s="2"/>
    </row>
    <row r="523" ht="13.5" customHeight="1">
      <c r="A523" s="2"/>
      <c r="B523" s="2"/>
      <c r="C523" s="2"/>
      <c r="D523" s="2"/>
      <c r="E523" s="2"/>
      <c r="F523" s="2"/>
      <c r="G523" s="2"/>
      <c r="H523" s="2"/>
      <c r="I523" s="2"/>
      <c r="J523" s="2"/>
      <c r="K523" s="2"/>
      <c r="L523" s="2"/>
      <c r="M523" s="2"/>
      <c r="N523" s="2"/>
      <c r="O523" s="2"/>
      <c r="P523" s="2"/>
      <c r="Q523" s="157"/>
      <c r="R523" s="157"/>
      <c r="S523" s="157"/>
      <c r="T523" s="158"/>
      <c r="U523" s="2"/>
      <c r="V523" s="30"/>
      <c r="W523" s="2"/>
      <c r="X523" s="2"/>
      <c r="Y523" s="2"/>
      <c r="Z523" s="2"/>
    </row>
    <row r="524" ht="13.5" customHeight="1">
      <c r="A524" s="2"/>
      <c r="B524" s="2"/>
      <c r="C524" s="2"/>
      <c r="D524" s="2"/>
      <c r="E524" s="2"/>
      <c r="F524" s="2"/>
      <c r="G524" s="2"/>
      <c r="H524" s="2"/>
      <c r="I524" s="2"/>
      <c r="J524" s="2"/>
      <c r="K524" s="2"/>
      <c r="L524" s="2"/>
      <c r="M524" s="2"/>
      <c r="N524" s="2"/>
      <c r="O524" s="2"/>
      <c r="P524" s="2"/>
      <c r="Q524" s="157"/>
      <c r="R524" s="157"/>
      <c r="S524" s="157"/>
      <c r="T524" s="158"/>
      <c r="U524" s="2"/>
      <c r="V524" s="30"/>
      <c r="W524" s="2"/>
      <c r="X524" s="2"/>
      <c r="Y524" s="2"/>
      <c r="Z524" s="2"/>
    </row>
    <row r="525" ht="13.5" customHeight="1">
      <c r="A525" s="2"/>
      <c r="B525" s="2"/>
      <c r="C525" s="2"/>
      <c r="D525" s="2"/>
      <c r="E525" s="2"/>
      <c r="F525" s="2"/>
      <c r="G525" s="2"/>
      <c r="H525" s="2"/>
      <c r="I525" s="2"/>
      <c r="J525" s="2"/>
      <c r="K525" s="2"/>
      <c r="L525" s="2"/>
      <c r="M525" s="2"/>
      <c r="N525" s="2"/>
      <c r="O525" s="2"/>
      <c r="P525" s="2"/>
      <c r="Q525" s="157"/>
      <c r="R525" s="157"/>
      <c r="S525" s="157"/>
      <c r="T525" s="158"/>
      <c r="U525" s="2"/>
      <c r="V525" s="30"/>
      <c r="W525" s="2"/>
      <c r="X525" s="2"/>
      <c r="Y525" s="2"/>
      <c r="Z525" s="2"/>
    </row>
    <row r="526" ht="13.5" customHeight="1">
      <c r="A526" s="2"/>
      <c r="B526" s="2"/>
      <c r="C526" s="2"/>
      <c r="D526" s="2"/>
      <c r="E526" s="2"/>
      <c r="F526" s="2"/>
      <c r="G526" s="2"/>
      <c r="H526" s="2"/>
      <c r="I526" s="2"/>
      <c r="J526" s="2"/>
      <c r="K526" s="2"/>
      <c r="L526" s="2"/>
      <c r="M526" s="2"/>
      <c r="N526" s="2"/>
      <c r="O526" s="2"/>
      <c r="P526" s="2"/>
      <c r="Q526" s="157"/>
      <c r="R526" s="157"/>
      <c r="S526" s="157"/>
      <c r="T526" s="158"/>
      <c r="U526" s="2"/>
      <c r="V526" s="30"/>
      <c r="W526" s="2"/>
      <c r="X526" s="2"/>
      <c r="Y526" s="2"/>
      <c r="Z526" s="2"/>
    </row>
    <row r="527" ht="13.5" customHeight="1">
      <c r="A527" s="2"/>
      <c r="B527" s="2"/>
      <c r="C527" s="2"/>
      <c r="D527" s="2"/>
      <c r="E527" s="2"/>
      <c r="F527" s="2"/>
      <c r="G527" s="2"/>
      <c r="H527" s="2"/>
      <c r="I527" s="2"/>
      <c r="J527" s="2"/>
      <c r="K527" s="2"/>
      <c r="L527" s="2"/>
      <c r="M527" s="2"/>
      <c r="N527" s="2"/>
      <c r="O527" s="2"/>
      <c r="P527" s="2"/>
      <c r="Q527" s="157"/>
      <c r="R527" s="157"/>
      <c r="S527" s="157"/>
      <c r="T527" s="158"/>
      <c r="U527" s="2"/>
      <c r="V527" s="30"/>
      <c r="W527" s="2"/>
      <c r="X527" s="2"/>
      <c r="Y527" s="2"/>
      <c r="Z527" s="2"/>
    </row>
    <row r="528" ht="13.5" customHeight="1">
      <c r="A528" s="2"/>
      <c r="B528" s="2"/>
      <c r="C528" s="2"/>
      <c r="D528" s="2"/>
      <c r="E528" s="2"/>
      <c r="F528" s="2"/>
      <c r="G528" s="2"/>
      <c r="H528" s="2"/>
      <c r="I528" s="2"/>
      <c r="J528" s="2"/>
      <c r="K528" s="2"/>
      <c r="L528" s="2"/>
      <c r="M528" s="2"/>
      <c r="N528" s="2"/>
      <c r="O528" s="2"/>
      <c r="P528" s="2"/>
      <c r="Q528" s="157"/>
      <c r="R528" s="157"/>
      <c r="S528" s="157"/>
      <c r="T528" s="158"/>
      <c r="U528" s="2"/>
      <c r="V528" s="30"/>
      <c r="W528" s="2"/>
      <c r="X528" s="2"/>
      <c r="Y528" s="2"/>
      <c r="Z528" s="2"/>
    </row>
    <row r="529" ht="13.5" customHeight="1">
      <c r="A529" s="2"/>
      <c r="B529" s="2"/>
      <c r="C529" s="2"/>
      <c r="D529" s="2"/>
      <c r="E529" s="2"/>
      <c r="F529" s="2"/>
      <c r="G529" s="2"/>
      <c r="H529" s="2"/>
      <c r="I529" s="2"/>
      <c r="J529" s="2"/>
      <c r="K529" s="2"/>
      <c r="L529" s="2"/>
      <c r="M529" s="2"/>
      <c r="N529" s="2"/>
      <c r="O529" s="2"/>
      <c r="P529" s="2"/>
      <c r="Q529" s="157"/>
      <c r="R529" s="157"/>
      <c r="S529" s="157"/>
      <c r="T529" s="158"/>
      <c r="U529" s="2"/>
      <c r="V529" s="30"/>
      <c r="W529" s="2"/>
      <c r="X529" s="2"/>
      <c r="Y529" s="2"/>
      <c r="Z529" s="2"/>
    </row>
    <row r="530" ht="13.5" customHeight="1">
      <c r="A530" s="2"/>
      <c r="B530" s="2"/>
      <c r="C530" s="2"/>
      <c r="D530" s="2"/>
      <c r="E530" s="2"/>
      <c r="F530" s="2"/>
      <c r="G530" s="2"/>
      <c r="H530" s="2"/>
      <c r="I530" s="2"/>
      <c r="J530" s="2"/>
      <c r="K530" s="2"/>
      <c r="L530" s="2"/>
      <c r="M530" s="2"/>
      <c r="N530" s="2"/>
      <c r="O530" s="2"/>
      <c r="P530" s="2"/>
      <c r="Q530" s="157"/>
      <c r="R530" s="157"/>
      <c r="S530" s="157"/>
      <c r="T530" s="158"/>
      <c r="U530" s="2"/>
      <c r="V530" s="30"/>
      <c r="W530" s="2"/>
      <c r="X530" s="2"/>
      <c r="Y530" s="2"/>
      <c r="Z530" s="2"/>
    </row>
    <row r="531" ht="13.5" customHeight="1">
      <c r="A531" s="2"/>
      <c r="B531" s="2"/>
      <c r="C531" s="2"/>
      <c r="D531" s="2"/>
      <c r="E531" s="2"/>
      <c r="F531" s="2"/>
      <c r="G531" s="2"/>
      <c r="H531" s="2"/>
      <c r="I531" s="2"/>
      <c r="J531" s="2"/>
      <c r="K531" s="2"/>
      <c r="L531" s="2"/>
      <c r="M531" s="2"/>
      <c r="N531" s="2"/>
      <c r="O531" s="2"/>
      <c r="P531" s="2"/>
      <c r="Q531" s="157"/>
      <c r="R531" s="157"/>
      <c r="S531" s="157"/>
      <c r="T531" s="158"/>
      <c r="U531" s="2"/>
      <c r="V531" s="30"/>
      <c r="W531" s="2"/>
      <c r="X531" s="2"/>
      <c r="Y531" s="2"/>
      <c r="Z531" s="2"/>
    </row>
    <row r="532" ht="13.5" customHeight="1">
      <c r="A532" s="2"/>
      <c r="B532" s="2"/>
      <c r="C532" s="2"/>
      <c r="D532" s="2"/>
      <c r="E532" s="2"/>
      <c r="F532" s="2"/>
      <c r="G532" s="2"/>
      <c r="H532" s="2"/>
      <c r="I532" s="2"/>
      <c r="J532" s="2"/>
      <c r="K532" s="2"/>
      <c r="L532" s="2"/>
      <c r="M532" s="2"/>
      <c r="N532" s="2"/>
      <c r="O532" s="2"/>
      <c r="P532" s="2"/>
      <c r="Q532" s="157"/>
      <c r="R532" s="157"/>
      <c r="S532" s="157"/>
      <c r="T532" s="158"/>
      <c r="U532" s="2"/>
      <c r="V532" s="30"/>
      <c r="W532" s="2"/>
      <c r="X532" s="2"/>
      <c r="Y532" s="2"/>
      <c r="Z532" s="2"/>
    </row>
    <row r="533" ht="13.5" customHeight="1">
      <c r="A533" s="2"/>
      <c r="B533" s="2"/>
      <c r="C533" s="2"/>
      <c r="D533" s="2"/>
      <c r="E533" s="2"/>
      <c r="F533" s="2"/>
      <c r="G533" s="2"/>
      <c r="H533" s="2"/>
      <c r="I533" s="2"/>
      <c r="J533" s="2"/>
      <c r="K533" s="2"/>
      <c r="L533" s="2"/>
      <c r="M533" s="2"/>
      <c r="N533" s="2"/>
      <c r="O533" s="2"/>
      <c r="P533" s="2"/>
      <c r="Q533" s="157"/>
      <c r="R533" s="157"/>
      <c r="S533" s="157"/>
      <c r="T533" s="158"/>
      <c r="U533" s="2"/>
      <c r="V533" s="30"/>
      <c r="W533" s="2"/>
      <c r="X533" s="2"/>
      <c r="Y533" s="2"/>
      <c r="Z533" s="2"/>
    </row>
    <row r="534" ht="13.5" customHeight="1">
      <c r="A534" s="2"/>
      <c r="B534" s="2"/>
      <c r="C534" s="2"/>
      <c r="D534" s="2"/>
      <c r="E534" s="2"/>
      <c r="F534" s="2"/>
      <c r="G534" s="2"/>
      <c r="H534" s="2"/>
      <c r="I534" s="2"/>
      <c r="J534" s="2"/>
      <c r="K534" s="2"/>
      <c r="L534" s="2"/>
      <c r="M534" s="2"/>
      <c r="N534" s="2"/>
      <c r="O534" s="2"/>
      <c r="P534" s="2"/>
      <c r="Q534" s="157"/>
      <c r="R534" s="157"/>
      <c r="S534" s="157"/>
      <c r="T534" s="158"/>
      <c r="U534" s="2"/>
      <c r="V534" s="30"/>
      <c r="W534" s="2"/>
      <c r="X534" s="2"/>
      <c r="Y534" s="2"/>
      <c r="Z534" s="2"/>
    </row>
    <row r="535" ht="13.5" customHeight="1">
      <c r="A535" s="2"/>
      <c r="B535" s="2"/>
      <c r="C535" s="2"/>
      <c r="D535" s="2"/>
      <c r="E535" s="2"/>
      <c r="F535" s="2"/>
      <c r="G535" s="2"/>
      <c r="H535" s="2"/>
      <c r="I535" s="2"/>
      <c r="J535" s="2"/>
      <c r="K535" s="2"/>
      <c r="L535" s="2"/>
      <c r="M535" s="2"/>
      <c r="N535" s="2"/>
      <c r="O535" s="2"/>
      <c r="P535" s="2"/>
      <c r="Q535" s="157"/>
      <c r="R535" s="157"/>
      <c r="S535" s="157"/>
      <c r="T535" s="158"/>
      <c r="U535" s="2"/>
      <c r="V535" s="30"/>
      <c r="W535" s="2"/>
      <c r="X535" s="2"/>
      <c r="Y535" s="2"/>
      <c r="Z535" s="2"/>
    </row>
    <row r="536" ht="13.5" customHeight="1">
      <c r="A536" s="2"/>
      <c r="B536" s="2"/>
      <c r="C536" s="2"/>
      <c r="D536" s="2"/>
      <c r="E536" s="2"/>
      <c r="F536" s="2"/>
      <c r="G536" s="2"/>
      <c r="H536" s="2"/>
      <c r="I536" s="2"/>
      <c r="J536" s="2"/>
      <c r="K536" s="2"/>
      <c r="L536" s="2"/>
      <c r="M536" s="2"/>
      <c r="N536" s="2"/>
      <c r="O536" s="2"/>
      <c r="P536" s="2"/>
      <c r="Q536" s="157"/>
      <c r="R536" s="157"/>
      <c r="S536" s="157"/>
      <c r="T536" s="158"/>
      <c r="U536" s="2"/>
      <c r="V536" s="30"/>
      <c r="W536" s="2"/>
      <c r="X536" s="2"/>
      <c r="Y536" s="2"/>
      <c r="Z536" s="2"/>
    </row>
    <row r="537" ht="13.5" customHeight="1">
      <c r="A537" s="2"/>
      <c r="B537" s="2"/>
      <c r="C537" s="2"/>
      <c r="D537" s="2"/>
      <c r="E537" s="2"/>
      <c r="F537" s="2"/>
      <c r="G537" s="2"/>
      <c r="H537" s="2"/>
      <c r="I537" s="2"/>
      <c r="J537" s="2"/>
      <c r="K537" s="2"/>
      <c r="L537" s="2"/>
      <c r="M537" s="2"/>
      <c r="N537" s="2"/>
      <c r="O537" s="2"/>
      <c r="P537" s="2"/>
      <c r="Q537" s="157"/>
      <c r="R537" s="157"/>
      <c r="S537" s="157"/>
      <c r="T537" s="158"/>
      <c r="U537" s="2"/>
      <c r="V537" s="30"/>
      <c r="W537" s="2"/>
      <c r="X537" s="2"/>
      <c r="Y537" s="2"/>
      <c r="Z537" s="2"/>
    </row>
    <row r="538" ht="13.5" customHeight="1">
      <c r="A538" s="2"/>
      <c r="B538" s="2"/>
      <c r="C538" s="2"/>
      <c r="D538" s="2"/>
      <c r="E538" s="2"/>
      <c r="F538" s="2"/>
      <c r="G538" s="2"/>
      <c r="H538" s="2"/>
      <c r="I538" s="2"/>
      <c r="J538" s="2"/>
      <c r="K538" s="2"/>
      <c r="L538" s="2"/>
      <c r="M538" s="2"/>
      <c r="N538" s="2"/>
      <c r="O538" s="2"/>
      <c r="P538" s="2"/>
      <c r="Q538" s="157"/>
      <c r="R538" s="157"/>
      <c r="S538" s="157"/>
      <c r="T538" s="158"/>
      <c r="U538" s="2"/>
      <c r="V538" s="30"/>
      <c r="W538" s="2"/>
      <c r="X538" s="2"/>
      <c r="Y538" s="2"/>
      <c r="Z538" s="2"/>
    </row>
    <row r="539" ht="13.5" customHeight="1">
      <c r="A539" s="2"/>
      <c r="B539" s="2"/>
      <c r="C539" s="2"/>
      <c r="D539" s="2"/>
      <c r="E539" s="2"/>
      <c r="F539" s="2"/>
      <c r="G539" s="2"/>
      <c r="H539" s="2"/>
      <c r="I539" s="2"/>
      <c r="J539" s="2"/>
      <c r="K539" s="2"/>
      <c r="L539" s="2"/>
      <c r="M539" s="2"/>
      <c r="N539" s="2"/>
      <c r="O539" s="2"/>
      <c r="P539" s="2"/>
      <c r="Q539" s="157"/>
      <c r="R539" s="157"/>
      <c r="S539" s="157"/>
      <c r="T539" s="158"/>
      <c r="U539" s="2"/>
      <c r="V539" s="30"/>
      <c r="W539" s="2"/>
      <c r="X539" s="2"/>
      <c r="Y539" s="2"/>
      <c r="Z539" s="2"/>
    </row>
    <row r="540" ht="13.5" customHeight="1">
      <c r="A540" s="2"/>
      <c r="B540" s="2"/>
      <c r="C540" s="2"/>
      <c r="D540" s="2"/>
      <c r="E540" s="2"/>
      <c r="F540" s="2"/>
      <c r="G540" s="2"/>
      <c r="H540" s="2"/>
      <c r="I540" s="2"/>
      <c r="J540" s="2"/>
      <c r="K540" s="2"/>
      <c r="L540" s="2"/>
      <c r="M540" s="2"/>
      <c r="N540" s="2"/>
      <c r="O540" s="2"/>
      <c r="P540" s="2"/>
      <c r="Q540" s="157"/>
      <c r="R540" s="157"/>
      <c r="S540" s="157"/>
      <c r="T540" s="158"/>
      <c r="U540" s="2"/>
      <c r="V540" s="30"/>
      <c r="W540" s="2"/>
      <c r="X540" s="2"/>
      <c r="Y540" s="2"/>
      <c r="Z540" s="2"/>
    </row>
    <row r="541" ht="13.5" customHeight="1">
      <c r="A541" s="2"/>
      <c r="B541" s="2"/>
      <c r="C541" s="2"/>
      <c r="D541" s="2"/>
      <c r="E541" s="2"/>
      <c r="F541" s="2"/>
      <c r="G541" s="2"/>
      <c r="H541" s="2"/>
      <c r="I541" s="2"/>
      <c r="J541" s="2"/>
      <c r="K541" s="2"/>
      <c r="L541" s="2"/>
      <c r="M541" s="2"/>
      <c r="N541" s="2"/>
      <c r="O541" s="2"/>
      <c r="P541" s="2"/>
      <c r="Q541" s="157"/>
      <c r="R541" s="157"/>
      <c r="S541" s="157"/>
      <c r="T541" s="158"/>
      <c r="U541" s="2"/>
      <c r="V541" s="30"/>
      <c r="W541" s="2"/>
      <c r="X541" s="2"/>
      <c r="Y541" s="2"/>
      <c r="Z541" s="2"/>
    </row>
    <row r="542" ht="13.5" customHeight="1">
      <c r="A542" s="2"/>
      <c r="B542" s="2"/>
      <c r="C542" s="2"/>
      <c r="D542" s="2"/>
      <c r="E542" s="2"/>
      <c r="F542" s="2"/>
      <c r="G542" s="2"/>
      <c r="H542" s="2"/>
      <c r="I542" s="2"/>
      <c r="J542" s="2"/>
      <c r="K542" s="2"/>
      <c r="L542" s="2"/>
      <c r="M542" s="2"/>
      <c r="N542" s="2"/>
      <c r="O542" s="2"/>
      <c r="P542" s="2"/>
      <c r="Q542" s="157"/>
      <c r="R542" s="157"/>
      <c r="S542" s="157"/>
      <c r="T542" s="158"/>
      <c r="U542" s="2"/>
      <c r="V542" s="30"/>
      <c r="W542" s="2"/>
      <c r="X542" s="2"/>
      <c r="Y542" s="2"/>
      <c r="Z542" s="2"/>
    </row>
    <row r="543" ht="13.5" customHeight="1">
      <c r="A543" s="2"/>
      <c r="B543" s="2"/>
      <c r="C543" s="2"/>
      <c r="D543" s="2"/>
      <c r="E543" s="2"/>
      <c r="F543" s="2"/>
      <c r="G543" s="2"/>
      <c r="H543" s="2"/>
      <c r="I543" s="2"/>
      <c r="J543" s="2"/>
      <c r="K543" s="2"/>
      <c r="L543" s="2"/>
      <c r="M543" s="2"/>
      <c r="N543" s="2"/>
      <c r="O543" s="2"/>
      <c r="P543" s="2"/>
      <c r="Q543" s="157"/>
      <c r="R543" s="157"/>
      <c r="S543" s="157"/>
      <c r="T543" s="158"/>
      <c r="U543" s="2"/>
      <c r="V543" s="30"/>
      <c r="W543" s="2"/>
      <c r="X543" s="2"/>
      <c r="Y543" s="2"/>
      <c r="Z543" s="2"/>
    </row>
    <row r="544" ht="13.5" customHeight="1">
      <c r="A544" s="2"/>
      <c r="B544" s="2"/>
      <c r="C544" s="2"/>
      <c r="D544" s="2"/>
      <c r="E544" s="2"/>
      <c r="F544" s="2"/>
      <c r="G544" s="2"/>
      <c r="H544" s="2"/>
      <c r="I544" s="2"/>
      <c r="J544" s="2"/>
      <c r="K544" s="2"/>
      <c r="L544" s="2"/>
      <c r="M544" s="2"/>
      <c r="N544" s="2"/>
      <c r="O544" s="2"/>
      <c r="P544" s="2"/>
      <c r="Q544" s="157"/>
      <c r="R544" s="157"/>
      <c r="S544" s="157"/>
      <c r="T544" s="158"/>
      <c r="U544" s="2"/>
      <c r="V544" s="30"/>
      <c r="W544" s="2"/>
      <c r="X544" s="2"/>
      <c r="Y544" s="2"/>
      <c r="Z544" s="2"/>
    </row>
    <row r="545" ht="13.5" customHeight="1">
      <c r="A545" s="2"/>
      <c r="B545" s="2"/>
      <c r="C545" s="2"/>
      <c r="D545" s="2"/>
      <c r="E545" s="2"/>
      <c r="F545" s="2"/>
      <c r="G545" s="2"/>
      <c r="H545" s="2"/>
      <c r="I545" s="2"/>
      <c r="J545" s="2"/>
      <c r="K545" s="2"/>
      <c r="L545" s="2"/>
      <c r="M545" s="2"/>
      <c r="N545" s="2"/>
      <c r="O545" s="2"/>
      <c r="P545" s="2"/>
      <c r="Q545" s="157"/>
      <c r="R545" s="157"/>
      <c r="S545" s="157"/>
      <c r="T545" s="158"/>
      <c r="U545" s="2"/>
      <c r="V545" s="30"/>
      <c r="W545" s="2"/>
      <c r="X545" s="2"/>
      <c r="Y545" s="2"/>
      <c r="Z545" s="2"/>
    </row>
    <row r="546" ht="13.5" customHeight="1">
      <c r="A546" s="2"/>
      <c r="B546" s="2"/>
      <c r="C546" s="2"/>
      <c r="D546" s="2"/>
      <c r="E546" s="2"/>
      <c r="F546" s="2"/>
      <c r="G546" s="2"/>
      <c r="H546" s="2"/>
      <c r="I546" s="2"/>
      <c r="J546" s="2"/>
      <c r="K546" s="2"/>
      <c r="L546" s="2"/>
      <c r="M546" s="2"/>
      <c r="N546" s="2"/>
      <c r="O546" s="2"/>
      <c r="P546" s="2"/>
      <c r="Q546" s="157"/>
      <c r="R546" s="157"/>
      <c r="S546" s="157"/>
      <c r="T546" s="158"/>
      <c r="U546" s="2"/>
      <c r="V546" s="30"/>
      <c r="W546" s="2"/>
      <c r="X546" s="2"/>
      <c r="Y546" s="2"/>
      <c r="Z546" s="2"/>
    </row>
    <row r="547" ht="13.5" customHeight="1">
      <c r="A547" s="2"/>
      <c r="B547" s="2"/>
      <c r="C547" s="2"/>
      <c r="D547" s="2"/>
      <c r="E547" s="2"/>
      <c r="F547" s="2"/>
      <c r="G547" s="2"/>
      <c r="H547" s="2"/>
      <c r="I547" s="2"/>
      <c r="J547" s="2"/>
      <c r="K547" s="2"/>
      <c r="L547" s="2"/>
      <c r="M547" s="2"/>
      <c r="N547" s="2"/>
      <c r="O547" s="2"/>
      <c r="P547" s="2"/>
      <c r="Q547" s="157"/>
      <c r="R547" s="157"/>
      <c r="S547" s="157"/>
      <c r="T547" s="158"/>
      <c r="U547" s="2"/>
      <c r="V547" s="30"/>
      <c r="W547" s="2"/>
      <c r="X547" s="2"/>
      <c r="Y547" s="2"/>
      <c r="Z547" s="2"/>
    </row>
    <row r="548" ht="13.5" customHeight="1">
      <c r="A548" s="2"/>
      <c r="B548" s="2"/>
      <c r="C548" s="2"/>
      <c r="D548" s="2"/>
      <c r="E548" s="2"/>
      <c r="F548" s="2"/>
      <c r="G548" s="2"/>
      <c r="H548" s="2"/>
      <c r="I548" s="2"/>
      <c r="J548" s="2"/>
      <c r="K548" s="2"/>
      <c r="L548" s="2"/>
      <c r="M548" s="2"/>
      <c r="N548" s="2"/>
      <c r="O548" s="2"/>
      <c r="P548" s="2"/>
      <c r="Q548" s="157"/>
      <c r="R548" s="157"/>
      <c r="S548" s="157"/>
      <c r="T548" s="158"/>
      <c r="U548" s="2"/>
      <c r="V548" s="30"/>
      <c r="W548" s="2"/>
      <c r="X548" s="2"/>
      <c r="Y548" s="2"/>
      <c r="Z548" s="2"/>
    </row>
    <row r="549" ht="13.5" customHeight="1">
      <c r="A549" s="2"/>
      <c r="B549" s="2"/>
      <c r="C549" s="2"/>
      <c r="D549" s="2"/>
      <c r="E549" s="2"/>
      <c r="F549" s="2"/>
      <c r="G549" s="2"/>
      <c r="H549" s="2"/>
      <c r="I549" s="2"/>
      <c r="J549" s="2"/>
      <c r="K549" s="2"/>
      <c r="L549" s="2"/>
      <c r="M549" s="2"/>
      <c r="N549" s="2"/>
      <c r="O549" s="2"/>
      <c r="P549" s="2"/>
      <c r="Q549" s="157"/>
      <c r="R549" s="157"/>
      <c r="S549" s="157"/>
      <c r="T549" s="158"/>
      <c r="U549" s="2"/>
      <c r="V549" s="30"/>
      <c r="W549" s="2"/>
      <c r="X549" s="2"/>
      <c r="Y549" s="2"/>
      <c r="Z549" s="2"/>
    </row>
    <row r="550" ht="13.5" customHeight="1">
      <c r="A550" s="2"/>
      <c r="B550" s="2"/>
      <c r="C550" s="2"/>
      <c r="D550" s="2"/>
      <c r="E550" s="2"/>
      <c r="F550" s="2"/>
      <c r="G550" s="2"/>
      <c r="H550" s="2"/>
      <c r="I550" s="2"/>
      <c r="J550" s="2"/>
      <c r="K550" s="2"/>
      <c r="L550" s="2"/>
      <c r="M550" s="2"/>
      <c r="N550" s="2"/>
      <c r="O550" s="2"/>
      <c r="P550" s="2"/>
      <c r="Q550" s="157"/>
      <c r="R550" s="157"/>
      <c r="S550" s="157"/>
      <c r="T550" s="158"/>
      <c r="U550" s="2"/>
      <c r="V550" s="30"/>
      <c r="W550" s="2"/>
      <c r="X550" s="2"/>
      <c r="Y550" s="2"/>
      <c r="Z550" s="2"/>
    </row>
    <row r="551" ht="13.5" customHeight="1">
      <c r="A551" s="2"/>
      <c r="B551" s="2"/>
      <c r="C551" s="2"/>
      <c r="D551" s="2"/>
      <c r="E551" s="2"/>
      <c r="F551" s="2"/>
      <c r="G551" s="2"/>
      <c r="H551" s="2"/>
      <c r="I551" s="2"/>
      <c r="J551" s="2"/>
      <c r="K551" s="2"/>
      <c r="L551" s="2"/>
      <c r="M551" s="2"/>
      <c r="N551" s="2"/>
      <c r="O551" s="2"/>
      <c r="P551" s="2"/>
      <c r="Q551" s="157"/>
      <c r="R551" s="157"/>
      <c r="S551" s="157"/>
      <c r="T551" s="158"/>
      <c r="U551" s="2"/>
      <c r="V551" s="30"/>
      <c r="W551" s="2"/>
      <c r="X551" s="2"/>
      <c r="Y551" s="2"/>
      <c r="Z551" s="2"/>
    </row>
    <row r="552" ht="13.5" customHeight="1">
      <c r="A552" s="2"/>
      <c r="B552" s="2"/>
      <c r="C552" s="2"/>
      <c r="D552" s="2"/>
      <c r="E552" s="2"/>
      <c r="F552" s="2"/>
      <c r="G552" s="2"/>
      <c r="H552" s="2"/>
      <c r="I552" s="2"/>
      <c r="J552" s="2"/>
      <c r="K552" s="2"/>
      <c r="L552" s="2"/>
      <c r="M552" s="2"/>
      <c r="N552" s="2"/>
      <c r="O552" s="2"/>
      <c r="P552" s="2"/>
      <c r="Q552" s="157"/>
      <c r="R552" s="157"/>
      <c r="S552" s="157"/>
      <c r="T552" s="158"/>
      <c r="U552" s="2"/>
      <c r="V552" s="30"/>
      <c r="W552" s="2"/>
      <c r="X552" s="2"/>
      <c r="Y552" s="2"/>
      <c r="Z552" s="2"/>
    </row>
    <row r="553" ht="13.5" customHeight="1">
      <c r="A553" s="2"/>
      <c r="B553" s="2"/>
      <c r="C553" s="2"/>
      <c r="D553" s="2"/>
      <c r="E553" s="2"/>
      <c r="F553" s="2"/>
      <c r="G553" s="2"/>
      <c r="H553" s="2"/>
      <c r="I553" s="2"/>
      <c r="J553" s="2"/>
      <c r="K553" s="2"/>
      <c r="L553" s="2"/>
      <c r="M553" s="2"/>
      <c r="N553" s="2"/>
      <c r="O553" s="2"/>
      <c r="P553" s="2"/>
      <c r="Q553" s="157"/>
      <c r="R553" s="157"/>
      <c r="S553" s="157"/>
      <c r="T553" s="158"/>
      <c r="U553" s="2"/>
      <c r="V553" s="30"/>
      <c r="W553" s="2"/>
      <c r="X553" s="2"/>
      <c r="Y553" s="2"/>
      <c r="Z553" s="2"/>
    </row>
    <row r="554" ht="13.5" customHeight="1">
      <c r="A554" s="2"/>
      <c r="B554" s="2"/>
      <c r="C554" s="2"/>
      <c r="D554" s="2"/>
      <c r="E554" s="2"/>
      <c r="F554" s="2"/>
      <c r="G554" s="2"/>
      <c r="H554" s="2"/>
      <c r="I554" s="2"/>
      <c r="J554" s="2"/>
      <c r="K554" s="2"/>
      <c r="L554" s="2"/>
      <c r="M554" s="2"/>
      <c r="N554" s="2"/>
      <c r="O554" s="2"/>
      <c r="P554" s="2"/>
      <c r="Q554" s="157"/>
      <c r="R554" s="157"/>
      <c r="S554" s="157"/>
      <c r="T554" s="158"/>
      <c r="U554" s="2"/>
      <c r="V554" s="30"/>
      <c r="W554" s="2"/>
      <c r="X554" s="2"/>
      <c r="Y554" s="2"/>
      <c r="Z554" s="2"/>
    </row>
    <row r="555" ht="13.5" customHeight="1">
      <c r="A555" s="2"/>
      <c r="B555" s="2"/>
      <c r="C555" s="2"/>
      <c r="D555" s="2"/>
      <c r="E555" s="2"/>
      <c r="F555" s="2"/>
      <c r="G555" s="2"/>
      <c r="H555" s="2"/>
      <c r="I555" s="2"/>
      <c r="J555" s="2"/>
      <c r="K555" s="2"/>
      <c r="L555" s="2"/>
      <c r="M555" s="2"/>
      <c r="N555" s="2"/>
      <c r="O555" s="2"/>
      <c r="P555" s="2"/>
      <c r="Q555" s="157"/>
      <c r="R555" s="157"/>
      <c r="S555" s="157"/>
      <c r="T555" s="158"/>
      <c r="U555" s="2"/>
      <c r="V555" s="30"/>
      <c r="W555" s="2"/>
      <c r="X555" s="2"/>
      <c r="Y555" s="2"/>
      <c r="Z555" s="2"/>
    </row>
    <row r="556" ht="13.5" customHeight="1">
      <c r="A556" s="2"/>
      <c r="B556" s="2"/>
      <c r="C556" s="2"/>
      <c r="D556" s="2"/>
      <c r="E556" s="2"/>
      <c r="F556" s="2"/>
      <c r="G556" s="2"/>
      <c r="H556" s="2"/>
      <c r="I556" s="2"/>
      <c r="J556" s="2"/>
      <c r="K556" s="2"/>
      <c r="L556" s="2"/>
      <c r="M556" s="2"/>
      <c r="N556" s="2"/>
      <c r="O556" s="2"/>
      <c r="P556" s="2"/>
      <c r="Q556" s="157"/>
      <c r="R556" s="157"/>
      <c r="S556" s="157"/>
      <c r="T556" s="158"/>
      <c r="U556" s="2"/>
      <c r="V556" s="30"/>
      <c r="W556" s="2"/>
      <c r="X556" s="2"/>
      <c r="Y556" s="2"/>
      <c r="Z556" s="2"/>
    </row>
    <row r="557" ht="13.5" customHeight="1">
      <c r="A557" s="2"/>
      <c r="B557" s="2"/>
      <c r="C557" s="2"/>
      <c r="D557" s="2"/>
      <c r="E557" s="2"/>
      <c r="F557" s="2"/>
      <c r="G557" s="2"/>
      <c r="H557" s="2"/>
      <c r="I557" s="2"/>
      <c r="J557" s="2"/>
      <c r="K557" s="2"/>
      <c r="L557" s="2"/>
      <c r="M557" s="2"/>
      <c r="N557" s="2"/>
      <c r="O557" s="2"/>
      <c r="P557" s="2"/>
      <c r="Q557" s="157"/>
      <c r="R557" s="157"/>
      <c r="S557" s="157"/>
      <c r="T557" s="158"/>
      <c r="U557" s="2"/>
      <c r="V557" s="30"/>
      <c r="W557" s="2"/>
      <c r="X557" s="2"/>
      <c r="Y557" s="2"/>
      <c r="Z557" s="2"/>
    </row>
    <row r="558" ht="13.5" customHeight="1">
      <c r="A558" s="2"/>
      <c r="B558" s="2"/>
      <c r="C558" s="2"/>
      <c r="D558" s="2"/>
      <c r="E558" s="2"/>
      <c r="F558" s="2"/>
      <c r="G558" s="2"/>
      <c r="H558" s="2"/>
      <c r="I558" s="2"/>
      <c r="J558" s="2"/>
      <c r="K558" s="2"/>
      <c r="L558" s="2"/>
      <c r="M558" s="2"/>
      <c r="N558" s="2"/>
      <c r="O558" s="2"/>
      <c r="P558" s="2"/>
      <c r="Q558" s="157"/>
      <c r="R558" s="157"/>
      <c r="S558" s="157"/>
      <c r="T558" s="158"/>
      <c r="U558" s="2"/>
      <c r="V558" s="30"/>
      <c r="W558" s="2"/>
      <c r="X558" s="2"/>
      <c r="Y558" s="2"/>
      <c r="Z558" s="2"/>
    </row>
    <row r="559" ht="13.5" customHeight="1">
      <c r="A559" s="2"/>
      <c r="B559" s="2"/>
      <c r="C559" s="2"/>
      <c r="D559" s="2"/>
      <c r="E559" s="2"/>
      <c r="F559" s="2"/>
      <c r="G559" s="2"/>
      <c r="H559" s="2"/>
      <c r="I559" s="2"/>
      <c r="J559" s="2"/>
      <c r="K559" s="2"/>
      <c r="L559" s="2"/>
      <c r="M559" s="2"/>
      <c r="N559" s="2"/>
      <c r="O559" s="2"/>
      <c r="P559" s="2"/>
      <c r="Q559" s="157"/>
      <c r="R559" s="157"/>
      <c r="S559" s="157"/>
      <c r="T559" s="158"/>
      <c r="U559" s="2"/>
      <c r="V559" s="30"/>
      <c r="W559" s="2"/>
      <c r="X559" s="2"/>
      <c r="Y559" s="2"/>
      <c r="Z559" s="2"/>
    </row>
    <row r="560" ht="13.5" customHeight="1">
      <c r="A560" s="2"/>
      <c r="B560" s="2"/>
      <c r="C560" s="2"/>
      <c r="D560" s="2"/>
      <c r="E560" s="2"/>
      <c r="F560" s="2"/>
      <c r="G560" s="2"/>
      <c r="H560" s="2"/>
      <c r="I560" s="2"/>
      <c r="J560" s="2"/>
      <c r="K560" s="2"/>
      <c r="L560" s="2"/>
      <c r="M560" s="2"/>
      <c r="N560" s="2"/>
      <c r="O560" s="2"/>
      <c r="P560" s="2"/>
      <c r="Q560" s="157"/>
      <c r="R560" s="157"/>
      <c r="S560" s="157"/>
      <c r="T560" s="158"/>
      <c r="U560" s="2"/>
      <c r="V560" s="30"/>
      <c r="W560" s="2"/>
      <c r="X560" s="2"/>
      <c r="Y560" s="2"/>
      <c r="Z560" s="2"/>
    </row>
    <row r="561" ht="13.5" customHeight="1">
      <c r="A561" s="2"/>
      <c r="B561" s="2"/>
      <c r="C561" s="2"/>
      <c r="D561" s="2"/>
      <c r="E561" s="2"/>
      <c r="F561" s="2"/>
      <c r="G561" s="2"/>
      <c r="H561" s="2"/>
      <c r="I561" s="2"/>
      <c r="J561" s="2"/>
      <c r="K561" s="2"/>
      <c r="L561" s="2"/>
      <c r="M561" s="2"/>
      <c r="N561" s="2"/>
      <c r="O561" s="2"/>
      <c r="P561" s="2"/>
      <c r="Q561" s="157"/>
      <c r="R561" s="157"/>
      <c r="S561" s="157"/>
      <c r="T561" s="158"/>
      <c r="U561" s="2"/>
      <c r="V561" s="30"/>
      <c r="W561" s="2"/>
      <c r="X561" s="2"/>
      <c r="Y561" s="2"/>
      <c r="Z561" s="2"/>
    </row>
    <row r="562" ht="13.5" customHeight="1">
      <c r="A562" s="2"/>
      <c r="B562" s="2"/>
      <c r="C562" s="2"/>
      <c r="D562" s="2"/>
      <c r="E562" s="2"/>
      <c r="F562" s="2"/>
      <c r="G562" s="2"/>
      <c r="H562" s="2"/>
      <c r="I562" s="2"/>
      <c r="J562" s="2"/>
      <c r="K562" s="2"/>
      <c r="L562" s="2"/>
      <c r="M562" s="2"/>
      <c r="N562" s="2"/>
      <c r="O562" s="2"/>
      <c r="P562" s="2"/>
      <c r="Q562" s="157"/>
      <c r="R562" s="157"/>
      <c r="S562" s="157"/>
      <c r="T562" s="158"/>
      <c r="U562" s="2"/>
      <c r="V562" s="30"/>
      <c r="W562" s="2"/>
      <c r="X562" s="2"/>
      <c r="Y562" s="2"/>
      <c r="Z562" s="2"/>
    </row>
    <row r="563" ht="13.5" customHeight="1">
      <c r="A563" s="2"/>
      <c r="B563" s="2"/>
      <c r="C563" s="2"/>
      <c r="D563" s="2"/>
      <c r="E563" s="2"/>
      <c r="F563" s="2"/>
      <c r="G563" s="2"/>
      <c r="H563" s="2"/>
      <c r="I563" s="2"/>
      <c r="J563" s="2"/>
      <c r="K563" s="2"/>
      <c r="L563" s="2"/>
      <c r="M563" s="2"/>
      <c r="N563" s="2"/>
      <c r="O563" s="2"/>
      <c r="P563" s="2"/>
      <c r="Q563" s="157"/>
      <c r="R563" s="157"/>
      <c r="S563" s="157"/>
      <c r="T563" s="158"/>
      <c r="U563" s="2"/>
      <c r="V563" s="30"/>
      <c r="W563" s="2"/>
      <c r="X563" s="2"/>
      <c r="Y563" s="2"/>
      <c r="Z563" s="2"/>
    </row>
    <row r="564" ht="13.5" customHeight="1">
      <c r="A564" s="2"/>
      <c r="B564" s="2"/>
      <c r="C564" s="2"/>
      <c r="D564" s="2"/>
      <c r="E564" s="2"/>
      <c r="F564" s="2"/>
      <c r="G564" s="2"/>
      <c r="H564" s="2"/>
      <c r="I564" s="2"/>
      <c r="J564" s="2"/>
      <c r="K564" s="2"/>
      <c r="L564" s="2"/>
      <c r="M564" s="2"/>
      <c r="N564" s="2"/>
      <c r="O564" s="2"/>
      <c r="P564" s="2"/>
      <c r="Q564" s="157"/>
      <c r="R564" s="157"/>
      <c r="S564" s="157"/>
      <c r="T564" s="158"/>
      <c r="U564" s="2"/>
      <c r="V564" s="30"/>
      <c r="W564" s="2"/>
      <c r="X564" s="2"/>
      <c r="Y564" s="2"/>
      <c r="Z564" s="2"/>
    </row>
    <row r="565" ht="13.5" customHeight="1">
      <c r="A565" s="2"/>
      <c r="B565" s="2"/>
      <c r="C565" s="2"/>
      <c r="D565" s="2"/>
      <c r="E565" s="2"/>
      <c r="F565" s="2"/>
      <c r="G565" s="2"/>
      <c r="H565" s="2"/>
      <c r="I565" s="2"/>
      <c r="J565" s="2"/>
      <c r="K565" s="2"/>
      <c r="L565" s="2"/>
      <c r="M565" s="2"/>
      <c r="N565" s="2"/>
      <c r="O565" s="2"/>
      <c r="P565" s="2"/>
      <c r="Q565" s="157"/>
      <c r="R565" s="157"/>
      <c r="S565" s="157"/>
      <c r="T565" s="158"/>
      <c r="U565" s="2"/>
      <c r="V565" s="30"/>
      <c r="W565" s="2"/>
      <c r="X565" s="2"/>
      <c r="Y565" s="2"/>
      <c r="Z565" s="2"/>
    </row>
    <row r="566" ht="13.5" customHeight="1">
      <c r="A566" s="2"/>
      <c r="B566" s="2"/>
      <c r="C566" s="2"/>
      <c r="D566" s="2"/>
      <c r="E566" s="2"/>
      <c r="F566" s="2"/>
      <c r="G566" s="2"/>
      <c r="H566" s="2"/>
      <c r="I566" s="2"/>
      <c r="J566" s="2"/>
      <c r="K566" s="2"/>
      <c r="L566" s="2"/>
      <c r="M566" s="2"/>
      <c r="N566" s="2"/>
      <c r="O566" s="2"/>
      <c r="P566" s="2"/>
      <c r="Q566" s="157"/>
      <c r="R566" s="157"/>
      <c r="S566" s="157"/>
      <c r="T566" s="158"/>
      <c r="U566" s="2"/>
      <c r="V566" s="30"/>
      <c r="W566" s="2"/>
      <c r="X566" s="2"/>
      <c r="Y566" s="2"/>
      <c r="Z566" s="2"/>
    </row>
    <row r="567" ht="13.5" customHeight="1">
      <c r="A567" s="2"/>
      <c r="B567" s="2"/>
      <c r="C567" s="2"/>
      <c r="D567" s="2"/>
      <c r="E567" s="2"/>
      <c r="F567" s="2"/>
      <c r="G567" s="2"/>
      <c r="H567" s="2"/>
      <c r="I567" s="2"/>
      <c r="J567" s="2"/>
      <c r="K567" s="2"/>
      <c r="L567" s="2"/>
      <c r="M567" s="2"/>
      <c r="N567" s="2"/>
      <c r="O567" s="2"/>
      <c r="P567" s="2"/>
      <c r="Q567" s="157"/>
      <c r="R567" s="157"/>
      <c r="S567" s="157"/>
      <c r="T567" s="158"/>
      <c r="U567" s="2"/>
      <c r="V567" s="30"/>
      <c r="W567" s="2"/>
      <c r="X567" s="2"/>
      <c r="Y567" s="2"/>
      <c r="Z567" s="2"/>
    </row>
    <row r="568" ht="13.5" customHeight="1">
      <c r="A568" s="2"/>
      <c r="B568" s="2"/>
      <c r="C568" s="2"/>
      <c r="D568" s="2"/>
      <c r="E568" s="2"/>
      <c r="F568" s="2"/>
      <c r="G568" s="2"/>
      <c r="H568" s="2"/>
      <c r="I568" s="2"/>
      <c r="J568" s="2"/>
      <c r="K568" s="2"/>
      <c r="L568" s="2"/>
      <c r="M568" s="2"/>
      <c r="N568" s="2"/>
      <c r="O568" s="2"/>
      <c r="P568" s="2"/>
      <c r="Q568" s="157"/>
      <c r="R568" s="157"/>
      <c r="S568" s="157"/>
      <c r="T568" s="158"/>
      <c r="U568" s="2"/>
      <c r="V568" s="30"/>
      <c r="W568" s="2"/>
      <c r="X568" s="2"/>
      <c r="Y568" s="2"/>
      <c r="Z568" s="2"/>
    </row>
    <row r="569" ht="13.5" customHeight="1">
      <c r="A569" s="2"/>
      <c r="B569" s="2"/>
      <c r="C569" s="2"/>
      <c r="D569" s="2"/>
      <c r="E569" s="2"/>
      <c r="F569" s="2"/>
      <c r="G569" s="2"/>
      <c r="H569" s="2"/>
      <c r="I569" s="2"/>
      <c r="J569" s="2"/>
      <c r="K569" s="2"/>
      <c r="L569" s="2"/>
      <c r="M569" s="2"/>
      <c r="N569" s="2"/>
      <c r="O569" s="2"/>
      <c r="P569" s="2"/>
      <c r="Q569" s="157"/>
      <c r="R569" s="157"/>
      <c r="S569" s="157"/>
      <c r="T569" s="158"/>
      <c r="U569" s="2"/>
      <c r="V569" s="30"/>
      <c r="W569" s="2"/>
      <c r="X569" s="2"/>
      <c r="Y569" s="2"/>
      <c r="Z569" s="2"/>
    </row>
    <row r="570" ht="13.5" customHeight="1">
      <c r="A570" s="2"/>
      <c r="B570" s="2"/>
      <c r="C570" s="2"/>
      <c r="D570" s="2"/>
      <c r="E570" s="2"/>
      <c r="F570" s="2"/>
      <c r="G570" s="2"/>
      <c r="H570" s="2"/>
      <c r="I570" s="2"/>
      <c r="J570" s="2"/>
      <c r="K570" s="2"/>
      <c r="L570" s="2"/>
      <c r="M570" s="2"/>
      <c r="N570" s="2"/>
      <c r="O570" s="2"/>
      <c r="P570" s="2"/>
      <c r="Q570" s="157"/>
      <c r="R570" s="157"/>
      <c r="S570" s="157"/>
      <c r="T570" s="158"/>
      <c r="U570" s="2"/>
      <c r="V570" s="30"/>
      <c r="W570" s="2"/>
      <c r="X570" s="2"/>
      <c r="Y570" s="2"/>
      <c r="Z570" s="2"/>
    </row>
    <row r="571" ht="13.5" customHeight="1">
      <c r="A571" s="2"/>
      <c r="B571" s="2"/>
      <c r="C571" s="2"/>
      <c r="D571" s="2"/>
      <c r="E571" s="2"/>
      <c r="F571" s="2"/>
      <c r="G571" s="2"/>
      <c r="H571" s="2"/>
      <c r="I571" s="2"/>
      <c r="J571" s="2"/>
      <c r="K571" s="2"/>
      <c r="L571" s="2"/>
      <c r="M571" s="2"/>
      <c r="N571" s="2"/>
      <c r="O571" s="2"/>
      <c r="P571" s="2"/>
      <c r="Q571" s="157"/>
      <c r="R571" s="157"/>
      <c r="S571" s="157"/>
      <c r="T571" s="158"/>
      <c r="U571" s="2"/>
      <c r="V571" s="30"/>
      <c r="W571" s="2"/>
      <c r="X571" s="2"/>
      <c r="Y571" s="2"/>
      <c r="Z571" s="2"/>
    </row>
    <row r="572" ht="13.5" customHeight="1">
      <c r="A572" s="2"/>
      <c r="B572" s="2"/>
      <c r="C572" s="2"/>
      <c r="D572" s="2"/>
      <c r="E572" s="2"/>
      <c r="F572" s="2"/>
      <c r="G572" s="2"/>
      <c r="H572" s="2"/>
      <c r="I572" s="2"/>
      <c r="J572" s="2"/>
      <c r="K572" s="2"/>
      <c r="L572" s="2"/>
      <c r="M572" s="2"/>
      <c r="N572" s="2"/>
      <c r="O572" s="2"/>
      <c r="P572" s="2"/>
      <c r="Q572" s="157"/>
      <c r="R572" s="157"/>
      <c r="S572" s="157"/>
      <c r="T572" s="158"/>
      <c r="U572" s="2"/>
      <c r="V572" s="30"/>
      <c r="W572" s="2"/>
      <c r="X572" s="2"/>
      <c r="Y572" s="2"/>
      <c r="Z572" s="2"/>
    </row>
    <row r="573" ht="13.5" customHeight="1">
      <c r="A573" s="2"/>
      <c r="B573" s="2"/>
      <c r="C573" s="2"/>
      <c r="D573" s="2"/>
      <c r="E573" s="2"/>
      <c r="F573" s="2"/>
      <c r="G573" s="2"/>
      <c r="H573" s="2"/>
      <c r="I573" s="2"/>
      <c r="J573" s="2"/>
      <c r="K573" s="2"/>
      <c r="L573" s="2"/>
      <c r="M573" s="2"/>
      <c r="N573" s="2"/>
      <c r="O573" s="2"/>
      <c r="P573" s="2"/>
      <c r="Q573" s="157"/>
      <c r="R573" s="157"/>
      <c r="S573" s="157"/>
      <c r="T573" s="158"/>
      <c r="U573" s="2"/>
      <c r="V573" s="30"/>
      <c r="W573" s="2"/>
      <c r="X573" s="2"/>
      <c r="Y573" s="2"/>
      <c r="Z573" s="2"/>
    </row>
    <row r="574" ht="13.5" customHeight="1">
      <c r="A574" s="2"/>
      <c r="B574" s="2"/>
      <c r="C574" s="2"/>
      <c r="D574" s="2"/>
      <c r="E574" s="2"/>
      <c r="F574" s="2"/>
      <c r="G574" s="2"/>
      <c r="H574" s="2"/>
      <c r="I574" s="2"/>
      <c r="J574" s="2"/>
      <c r="K574" s="2"/>
      <c r="L574" s="2"/>
      <c r="M574" s="2"/>
      <c r="N574" s="2"/>
      <c r="O574" s="2"/>
      <c r="P574" s="2"/>
      <c r="Q574" s="157"/>
      <c r="R574" s="157"/>
      <c r="S574" s="157"/>
      <c r="T574" s="158"/>
      <c r="U574" s="2"/>
      <c r="V574" s="30"/>
      <c r="W574" s="2"/>
      <c r="X574" s="2"/>
      <c r="Y574" s="2"/>
      <c r="Z574" s="2"/>
    </row>
    <row r="575" ht="13.5" customHeight="1">
      <c r="A575" s="2"/>
      <c r="B575" s="2"/>
      <c r="C575" s="2"/>
      <c r="D575" s="2"/>
      <c r="E575" s="2"/>
      <c r="F575" s="2"/>
      <c r="G575" s="2"/>
      <c r="H575" s="2"/>
      <c r="I575" s="2"/>
      <c r="J575" s="2"/>
      <c r="K575" s="2"/>
      <c r="L575" s="2"/>
      <c r="M575" s="2"/>
      <c r="N575" s="2"/>
      <c r="O575" s="2"/>
      <c r="P575" s="2"/>
      <c r="Q575" s="157"/>
      <c r="R575" s="157"/>
      <c r="S575" s="157"/>
      <c r="T575" s="158"/>
      <c r="U575" s="2"/>
      <c r="V575" s="30"/>
      <c r="W575" s="2"/>
      <c r="X575" s="2"/>
      <c r="Y575" s="2"/>
      <c r="Z575" s="2"/>
    </row>
    <row r="576" ht="13.5" customHeight="1">
      <c r="A576" s="2"/>
      <c r="B576" s="2"/>
      <c r="C576" s="2"/>
      <c r="D576" s="2"/>
      <c r="E576" s="2"/>
      <c r="F576" s="2"/>
      <c r="G576" s="2"/>
      <c r="H576" s="2"/>
      <c r="I576" s="2"/>
      <c r="J576" s="2"/>
      <c r="K576" s="2"/>
      <c r="L576" s="2"/>
      <c r="M576" s="2"/>
      <c r="N576" s="2"/>
      <c r="O576" s="2"/>
      <c r="P576" s="2"/>
      <c r="Q576" s="157"/>
      <c r="R576" s="157"/>
      <c r="S576" s="157"/>
      <c r="T576" s="158"/>
      <c r="U576" s="2"/>
      <c r="V576" s="30"/>
      <c r="W576" s="2"/>
      <c r="X576" s="2"/>
      <c r="Y576" s="2"/>
      <c r="Z576" s="2"/>
    </row>
    <row r="577" ht="13.5" customHeight="1">
      <c r="A577" s="2"/>
      <c r="B577" s="2"/>
      <c r="C577" s="2"/>
      <c r="D577" s="2"/>
      <c r="E577" s="2"/>
      <c r="F577" s="2"/>
      <c r="G577" s="2"/>
      <c r="H577" s="2"/>
      <c r="I577" s="2"/>
      <c r="J577" s="2"/>
      <c r="K577" s="2"/>
      <c r="L577" s="2"/>
      <c r="M577" s="2"/>
      <c r="N577" s="2"/>
      <c r="O577" s="2"/>
      <c r="P577" s="2"/>
      <c r="Q577" s="157"/>
      <c r="R577" s="157"/>
      <c r="S577" s="157"/>
      <c r="T577" s="158"/>
      <c r="U577" s="2"/>
      <c r="V577" s="30"/>
      <c r="W577" s="2"/>
      <c r="X577" s="2"/>
      <c r="Y577" s="2"/>
      <c r="Z577" s="2"/>
    </row>
    <row r="578" ht="13.5" customHeight="1">
      <c r="A578" s="2"/>
      <c r="B578" s="2"/>
      <c r="C578" s="2"/>
      <c r="D578" s="2"/>
      <c r="E578" s="2"/>
      <c r="F578" s="2"/>
      <c r="G578" s="2"/>
      <c r="H578" s="2"/>
      <c r="I578" s="2"/>
      <c r="J578" s="2"/>
      <c r="K578" s="2"/>
      <c r="L578" s="2"/>
      <c r="M578" s="2"/>
      <c r="N578" s="2"/>
      <c r="O578" s="2"/>
      <c r="P578" s="2"/>
      <c r="Q578" s="157"/>
      <c r="R578" s="157"/>
      <c r="S578" s="157"/>
      <c r="T578" s="158"/>
      <c r="U578" s="2"/>
      <c r="V578" s="30"/>
      <c r="W578" s="2"/>
      <c r="X578" s="2"/>
      <c r="Y578" s="2"/>
      <c r="Z578" s="2"/>
    </row>
    <row r="579" ht="13.5" customHeight="1">
      <c r="A579" s="2"/>
      <c r="B579" s="2"/>
      <c r="C579" s="2"/>
      <c r="D579" s="2"/>
      <c r="E579" s="2"/>
      <c r="F579" s="2"/>
      <c r="G579" s="2"/>
      <c r="H579" s="2"/>
      <c r="I579" s="2"/>
      <c r="J579" s="2"/>
      <c r="K579" s="2"/>
      <c r="L579" s="2"/>
      <c r="M579" s="2"/>
      <c r="N579" s="2"/>
      <c r="O579" s="2"/>
      <c r="P579" s="2"/>
      <c r="Q579" s="157"/>
      <c r="R579" s="157"/>
      <c r="S579" s="157"/>
      <c r="T579" s="158"/>
      <c r="U579" s="2"/>
      <c r="V579" s="30"/>
      <c r="W579" s="2"/>
      <c r="X579" s="2"/>
      <c r="Y579" s="2"/>
      <c r="Z579" s="2"/>
    </row>
    <row r="580" ht="13.5" customHeight="1">
      <c r="A580" s="2"/>
      <c r="B580" s="2"/>
      <c r="C580" s="2"/>
      <c r="D580" s="2"/>
      <c r="E580" s="2"/>
      <c r="F580" s="2"/>
      <c r="G580" s="2"/>
      <c r="H580" s="2"/>
      <c r="I580" s="2"/>
      <c r="J580" s="2"/>
      <c r="K580" s="2"/>
      <c r="L580" s="2"/>
      <c r="M580" s="2"/>
      <c r="N580" s="2"/>
      <c r="O580" s="2"/>
      <c r="P580" s="2"/>
      <c r="Q580" s="157"/>
      <c r="R580" s="157"/>
      <c r="S580" s="157"/>
      <c r="T580" s="158"/>
      <c r="U580" s="2"/>
      <c r="V580" s="30"/>
      <c r="W580" s="2"/>
      <c r="X580" s="2"/>
      <c r="Y580" s="2"/>
      <c r="Z580" s="2"/>
    </row>
    <row r="581" ht="13.5" customHeight="1">
      <c r="A581" s="2"/>
      <c r="B581" s="2"/>
      <c r="C581" s="2"/>
      <c r="D581" s="2"/>
      <c r="E581" s="2"/>
      <c r="F581" s="2"/>
      <c r="G581" s="2"/>
      <c r="H581" s="2"/>
      <c r="I581" s="2"/>
      <c r="J581" s="2"/>
      <c r="K581" s="2"/>
      <c r="L581" s="2"/>
      <c r="M581" s="2"/>
      <c r="N581" s="2"/>
      <c r="O581" s="2"/>
      <c r="P581" s="2"/>
      <c r="Q581" s="157"/>
      <c r="R581" s="157"/>
      <c r="S581" s="157"/>
      <c r="T581" s="158"/>
      <c r="U581" s="2"/>
      <c r="V581" s="30"/>
      <c r="W581" s="2"/>
      <c r="X581" s="2"/>
      <c r="Y581" s="2"/>
      <c r="Z581" s="2"/>
    </row>
    <row r="582" ht="13.5" customHeight="1">
      <c r="A582" s="2"/>
      <c r="B582" s="2"/>
      <c r="C582" s="2"/>
      <c r="D582" s="2"/>
      <c r="E582" s="2"/>
      <c r="F582" s="2"/>
      <c r="G582" s="2"/>
      <c r="H582" s="2"/>
      <c r="I582" s="2"/>
      <c r="J582" s="2"/>
      <c r="K582" s="2"/>
      <c r="L582" s="2"/>
      <c r="M582" s="2"/>
      <c r="N582" s="2"/>
      <c r="O582" s="2"/>
      <c r="P582" s="2"/>
      <c r="Q582" s="157"/>
      <c r="R582" s="157"/>
      <c r="S582" s="157"/>
      <c r="T582" s="158"/>
      <c r="U582" s="2"/>
      <c r="V582" s="30"/>
      <c r="W582" s="2"/>
      <c r="X582" s="2"/>
      <c r="Y582" s="2"/>
      <c r="Z582" s="2"/>
    </row>
    <row r="583" ht="13.5" customHeight="1">
      <c r="A583" s="2"/>
      <c r="B583" s="2"/>
      <c r="C583" s="2"/>
      <c r="D583" s="2"/>
      <c r="E583" s="2"/>
      <c r="F583" s="2"/>
      <c r="G583" s="2"/>
      <c r="H583" s="2"/>
      <c r="I583" s="2"/>
      <c r="J583" s="2"/>
      <c r="K583" s="2"/>
      <c r="L583" s="2"/>
      <c r="M583" s="2"/>
      <c r="N583" s="2"/>
      <c r="O583" s="2"/>
      <c r="P583" s="2"/>
      <c r="Q583" s="157"/>
      <c r="R583" s="157"/>
      <c r="S583" s="157"/>
      <c r="T583" s="158"/>
      <c r="U583" s="2"/>
      <c r="V583" s="30"/>
      <c r="W583" s="2"/>
      <c r="X583" s="2"/>
      <c r="Y583" s="2"/>
      <c r="Z583" s="2"/>
    </row>
    <row r="584" ht="13.5" customHeight="1">
      <c r="A584" s="2"/>
      <c r="B584" s="2"/>
      <c r="C584" s="2"/>
      <c r="D584" s="2"/>
      <c r="E584" s="2"/>
      <c r="F584" s="2"/>
      <c r="G584" s="2"/>
      <c r="H584" s="2"/>
      <c r="I584" s="2"/>
      <c r="J584" s="2"/>
      <c r="K584" s="2"/>
      <c r="L584" s="2"/>
      <c r="M584" s="2"/>
      <c r="N584" s="2"/>
      <c r="O584" s="2"/>
      <c r="P584" s="2"/>
      <c r="Q584" s="157"/>
      <c r="R584" s="157"/>
      <c r="S584" s="157"/>
      <c r="T584" s="158"/>
      <c r="U584" s="2"/>
      <c r="V584" s="30"/>
      <c r="W584" s="2"/>
      <c r="X584" s="2"/>
      <c r="Y584" s="2"/>
      <c r="Z584" s="2"/>
    </row>
    <row r="585" ht="13.5" customHeight="1">
      <c r="A585" s="2"/>
      <c r="B585" s="2"/>
      <c r="C585" s="2"/>
      <c r="D585" s="2"/>
      <c r="E585" s="2"/>
      <c r="F585" s="2"/>
      <c r="G585" s="2"/>
      <c r="H585" s="2"/>
      <c r="I585" s="2"/>
      <c r="J585" s="2"/>
      <c r="K585" s="2"/>
      <c r="L585" s="2"/>
      <c r="M585" s="2"/>
      <c r="N585" s="2"/>
      <c r="O585" s="2"/>
      <c r="P585" s="2"/>
      <c r="Q585" s="157"/>
      <c r="R585" s="157"/>
      <c r="S585" s="157"/>
      <c r="T585" s="158"/>
      <c r="U585" s="2"/>
      <c r="V585" s="30"/>
      <c r="W585" s="2"/>
      <c r="X585" s="2"/>
      <c r="Y585" s="2"/>
      <c r="Z585" s="2"/>
    </row>
    <row r="586" ht="13.5" customHeight="1">
      <c r="A586" s="2"/>
      <c r="B586" s="2"/>
      <c r="C586" s="2"/>
      <c r="D586" s="2"/>
      <c r="E586" s="2"/>
      <c r="F586" s="2"/>
      <c r="G586" s="2"/>
      <c r="H586" s="2"/>
      <c r="I586" s="2"/>
      <c r="J586" s="2"/>
      <c r="K586" s="2"/>
      <c r="L586" s="2"/>
      <c r="M586" s="2"/>
      <c r="N586" s="2"/>
      <c r="O586" s="2"/>
      <c r="P586" s="2"/>
      <c r="Q586" s="157"/>
      <c r="R586" s="157"/>
      <c r="S586" s="157"/>
      <c r="T586" s="158"/>
      <c r="U586" s="2"/>
      <c r="V586" s="30"/>
      <c r="W586" s="2"/>
      <c r="X586" s="2"/>
      <c r="Y586" s="2"/>
      <c r="Z586" s="2"/>
    </row>
    <row r="587" ht="13.5" customHeight="1">
      <c r="A587" s="2"/>
      <c r="B587" s="2"/>
      <c r="C587" s="2"/>
      <c r="D587" s="2"/>
      <c r="E587" s="2"/>
      <c r="F587" s="2"/>
      <c r="G587" s="2"/>
      <c r="H587" s="2"/>
      <c r="I587" s="2"/>
      <c r="J587" s="2"/>
      <c r="K587" s="2"/>
      <c r="L587" s="2"/>
      <c r="M587" s="2"/>
      <c r="N587" s="2"/>
      <c r="O587" s="2"/>
      <c r="P587" s="2"/>
      <c r="Q587" s="157"/>
      <c r="R587" s="157"/>
      <c r="S587" s="157"/>
      <c r="T587" s="158"/>
      <c r="U587" s="2"/>
      <c r="V587" s="30"/>
      <c r="W587" s="2"/>
      <c r="X587" s="2"/>
      <c r="Y587" s="2"/>
      <c r="Z587" s="2"/>
    </row>
    <row r="588" ht="13.5" customHeight="1">
      <c r="A588" s="2"/>
      <c r="B588" s="2"/>
      <c r="C588" s="2"/>
      <c r="D588" s="2"/>
      <c r="E588" s="2"/>
      <c r="F588" s="2"/>
      <c r="G588" s="2"/>
      <c r="H588" s="2"/>
      <c r="I588" s="2"/>
      <c r="J588" s="2"/>
      <c r="K588" s="2"/>
      <c r="L588" s="2"/>
      <c r="M588" s="2"/>
      <c r="N588" s="2"/>
      <c r="O588" s="2"/>
      <c r="P588" s="2"/>
      <c r="Q588" s="157"/>
      <c r="R588" s="157"/>
      <c r="S588" s="157"/>
      <c r="T588" s="158"/>
      <c r="U588" s="2"/>
      <c r="V588" s="30"/>
      <c r="W588" s="2"/>
      <c r="X588" s="2"/>
      <c r="Y588" s="2"/>
      <c r="Z588" s="2"/>
    </row>
    <row r="589" ht="13.5" customHeight="1">
      <c r="A589" s="2"/>
      <c r="B589" s="2"/>
      <c r="C589" s="2"/>
      <c r="D589" s="2"/>
      <c r="E589" s="2"/>
      <c r="F589" s="2"/>
      <c r="G589" s="2"/>
      <c r="H589" s="2"/>
      <c r="I589" s="2"/>
      <c r="J589" s="2"/>
      <c r="K589" s="2"/>
      <c r="L589" s="2"/>
      <c r="M589" s="2"/>
      <c r="N589" s="2"/>
      <c r="O589" s="2"/>
      <c r="P589" s="2"/>
      <c r="Q589" s="157"/>
      <c r="R589" s="157"/>
      <c r="S589" s="157"/>
      <c r="T589" s="158"/>
      <c r="U589" s="2"/>
      <c r="V589" s="30"/>
      <c r="W589" s="2"/>
      <c r="X589" s="2"/>
      <c r="Y589" s="2"/>
      <c r="Z589" s="2"/>
    </row>
    <row r="590" ht="13.5" customHeight="1">
      <c r="A590" s="2"/>
      <c r="B590" s="2"/>
      <c r="C590" s="2"/>
      <c r="D590" s="2"/>
      <c r="E590" s="2"/>
      <c r="F590" s="2"/>
      <c r="G590" s="2"/>
      <c r="H590" s="2"/>
      <c r="I590" s="2"/>
      <c r="J590" s="2"/>
      <c r="K590" s="2"/>
      <c r="L590" s="2"/>
      <c r="M590" s="2"/>
      <c r="N590" s="2"/>
      <c r="O590" s="2"/>
      <c r="P590" s="2"/>
      <c r="Q590" s="157"/>
      <c r="R590" s="157"/>
      <c r="S590" s="157"/>
      <c r="T590" s="158"/>
      <c r="U590" s="2"/>
      <c r="V590" s="30"/>
      <c r="W590" s="2"/>
      <c r="X590" s="2"/>
      <c r="Y590" s="2"/>
      <c r="Z590" s="2"/>
    </row>
    <row r="591" ht="13.5" customHeight="1">
      <c r="A591" s="2"/>
      <c r="B591" s="2"/>
      <c r="C591" s="2"/>
      <c r="D591" s="2"/>
      <c r="E591" s="2"/>
      <c r="F591" s="2"/>
      <c r="G591" s="2"/>
      <c r="H591" s="2"/>
      <c r="I591" s="2"/>
      <c r="J591" s="2"/>
      <c r="K591" s="2"/>
      <c r="L591" s="2"/>
      <c r="M591" s="2"/>
      <c r="N591" s="2"/>
      <c r="O591" s="2"/>
      <c r="P591" s="2"/>
      <c r="Q591" s="157"/>
      <c r="R591" s="157"/>
      <c r="S591" s="157"/>
      <c r="T591" s="158"/>
      <c r="U591" s="2"/>
      <c r="V591" s="30"/>
      <c r="W591" s="2"/>
      <c r="X591" s="2"/>
      <c r="Y591" s="2"/>
      <c r="Z591" s="2"/>
    </row>
    <row r="592" ht="13.5" customHeight="1">
      <c r="A592" s="2"/>
      <c r="B592" s="2"/>
      <c r="C592" s="2"/>
      <c r="D592" s="2"/>
      <c r="E592" s="2"/>
      <c r="F592" s="2"/>
      <c r="G592" s="2"/>
      <c r="H592" s="2"/>
      <c r="I592" s="2"/>
      <c r="J592" s="2"/>
      <c r="K592" s="2"/>
      <c r="L592" s="2"/>
      <c r="M592" s="2"/>
      <c r="N592" s="2"/>
      <c r="O592" s="2"/>
      <c r="P592" s="2"/>
      <c r="Q592" s="157"/>
      <c r="R592" s="157"/>
      <c r="S592" s="157"/>
      <c r="T592" s="158"/>
      <c r="U592" s="2"/>
      <c r="V592" s="30"/>
      <c r="W592" s="2"/>
      <c r="X592" s="2"/>
      <c r="Y592" s="2"/>
      <c r="Z592" s="2"/>
    </row>
    <row r="593" ht="13.5" customHeight="1">
      <c r="A593" s="2"/>
      <c r="B593" s="2"/>
      <c r="C593" s="2"/>
      <c r="D593" s="2"/>
      <c r="E593" s="2"/>
      <c r="F593" s="2"/>
      <c r="G593" s="2"/>
      <c r="H593" s="2"/>
      <c r="I593" s="2"/>
      <c r="J593" s="2"/>
      <c r="K593" s="2"/>
      <c r="L593" s="2"/>
      <c r="M593" s="2"/>
      <c r="N593" s="2"/>
      <c r="O593" s="2"/>
      <c r="P593" s="2"/>
      <c r="Q593" s="157"/>
      <c r="R593" s="157"/>
      <c r="S593" s="157"/>
      <c r="T593" s="158"/>
      <c r="U593" s="2"/>
      <c r="V593" s="30"/>
      <c r="W593" s="2"/>
      <c r="X593" s="2"/>
      <c r="Y593" s="2"/>
      <c r="Z593" s="2"/>
    </row>
    <row r="594" ht="13.5" customHeight="1">
      <c r="A594" s="2"/>
      <c r="B594" s="2"/>
      <c r="C594" s="2"/>
      <c r="D594" s="2"/>
      <c r="E594" s="2"/>
      <c r="F594" s="2"/>
      <c r="G594" s="2"/>
      <c r="H594" s="2"/>
      <c r="I594" s="2"/>
      <c r="J594" s="2"/>
      <c r="K594" s="2"/>
      <c r="L594" s="2"/>
      <c r="M594" s="2"/>
      <c r="N594" s="2"/>
      <c r="O594" s="2"/>
      <c r="P594" s="2"/>
      <c r="Q594" s="157"/>
      <c r="R594" s="157"/>
      <c r="S594" s="157"/>
      <c r="T594" s="158"/>
      <c r="U594" s="2"/>
      <c r="V594" s="30"/>
      <c r="W594" s="2"/>
      <c r="X594" s="2"/>
      <c r="Y594" s="2"/>
      <c r="Z594" s="2"/>
    </row>
    <row r="595" ht="13.5" customHeight="1">
      <c r="A595" s="2"/>
      <c r="B595" s="2"/>
      <c r="C595" s="2"/>
      <c r="D595" s="2"/>
      <c r="E595" s="2"/>
      <c r="F595" s="2"/>
      <c r="G595" s="2"/>
      <c r="H595" s="2"/>
      <c r="I595" s="2"/>
      <c r="J595" s="2"/>
      <c r="K595" s="2"/>
      <c r="L595" s="2"/>
      <c r="M595" s="2"/>
      <c r="N595" s="2"/>
      <c r="O595" s="2"/>
      <c r="P595" s="2"/>
      <c r="Q595" s="157"/>
      <c r="R595" s="157"/>
      <c r="S595" s="157"/>
      <c r="T595" s="158"/>
      <c r="U595" s="2"/>
      <c r="V595" s="30"/>
      <c r="W595" s="2"/>
      <c r="X595" s="2"/>
      <c r="Y595" s="2"/>
      <c r="Z595" s="2"/>
    </row>
    <row r="596" ht="13.5" customHeight="1">
      <c r="A596" s="2"/>
      <c r="B596" s="2"/>
      <c r="C596" s="2"/>
      <c r="D596" s="2"/>
      <c r="E596" s="2"/>
      <c r="F596" s="2"/>
      <c r="G596" s="2"/>
      <c r="H596" s="2"/>
      <c r="I596" s="2"/>
      <c r="J596" s="2"/>
      <c r="K596" s="2"/>
      <c r="L596" s="2"/>
      <c r="M596" s="2"/>
      <c r="N596" s="2"/>
      <c r="O596" s="2"/>
      <c r="P596" s="2"/>
      <c r="Q596" s="157"/>
      <c r="R596" s="157"/>
      <c r="S596" s="157"/>
      <c r="T596" s="158"/>
      <c r="U596" s="2"/>
      <c r="V596" s="30"/>
      <c r="W596" s="2"/>
      <c r="X596" s="2"/>
      <c r="Y596" s="2"/>
      <c r="Z596" s="2"/>
    </row>
    <row r="597" ht="13.5" customHeight="1">
      <c r="A597" s="2"/>
      <c r="B597" s="2"/>
      <c r="C597" s="2"/>
      <c r="D597" s="2"/>
      <c r="E597" s="2"/>
      <c r="F597" s="2"/>
      <c r="G597" s="2"/>
      <c r="H597" s="2"/>
      <c r="I597" s="2"/>
      <c r="J597" s="2"/>
      <c r="K597" s="2"/>
      <c r="L597" s="2"/>
      <c r="M597" s="2"/>
      <c r="N597" s="2"/>
      <c r="O597" s="2"/>
      <c r="P597" s="2"/>
      <c r="Q597" s="157"/>
      <c r="R597" s="157"/>
      <c r="S597" s="157"/>
      <c r="T597" s="158"/>
      <c r="U597" s="2"/>
      <c r="V597" s="30"/>
      <c r="W597" s="2"/>
      <c r="X597" s="2"/>
      <c r="Y597" s="2"/>
      <c r="Z597" s="2"/>
    </row>
    <row r="598" ht="13.5" customHeight="1">
      <c r="A598" s="2"/>
      <c r="B598" s="2"/>
      <c r="C598" s="2"/>
      <c r="D598" s="2"/>
      <c r="E598" s="2"/>
      <c r="F598" s="2"/>
      <c r="G598" s="2"/>
      <c r="H598" s="2"/>
      <c r="I598" s="2"/>
      <c r="J598" s="2"/>
      <c r="K598" s="2"/>
      <c r="L598" s="2"/>
      <c r="M598" s="2"/>
      <c r="N598" s="2"/>
      <c r="O598" s="2"/>
      <c r="P598" s="2"/>
      <c r="Q598" s="157"/>
      <c r="R598" s="157"/>
      <c r="S598" s="157"/>
      <c r="T598" s="158"/>
      <c r="U598" s="2"/>
      <c r="V598" s="30"/>
      <c r="W598" s="2"/>
      <c r="X598" s="2"/>
      <c r="Y598" s="2"/>
      <c r="Z598" s="2"/>
    </row>
    <row r="599" ht="13.5" customHeight="1">
      <c r="A599" s="2"/>
      <c r="B599" s="2"/>
      <c r="C599" s="2"/>
      <c r="D599" s="2"/>
      <c r="E599" s="2"/>
      <c r="F599" s="2"/>
      <c r="G599" s="2"/>
      <c r="H599" s="2"/>
      <c r="I599" s="2"/>
      <c r="J599" s="2"/>
      <c r="K599" s="2"/>
      <c r="L599" s="2"/>
      <c r="M599" s="2"/>
      <c r="N599" s="2"/>
      <c r="O599" s="2"/>
      <c r="P599" s="2"/>
      <c r="Q599" s="157"/>
      <c r="R599" s="157"/>
      <c r="S599" s="157"/>
      <c r="T599" s="158"/>
      <c r="U599" s="2"/>
      <c r="V599" s="30"/>
      <c r="W599" s="2"/>
      <c r="X599" s="2"/>
      <c r="Y599" s="2"/>
      <c r="Z599" s="2"/>
    </row>
    <row r="600" ht="13.5" customHeight="1">
      <c r="A600" s="2"/>
      <c r="B600" s="2"/>
      <c r="C600" s="2"/>
      <c r="D600" s="2"/>
      <c r="E600" s="2"/>
      <c r="F600" s="2"/>
      <c r="G600" s="2"/>
      <c r="H600" s="2"/>
      <c r="I600" s="2"/>
      <c r="J600" s="2"/>
      <c r="K600" s="2"/>
      <c r="L600" s="2"/>
      <c r="M600" s="2"/>
      <c r="N600" s="2"/>
      <c r="O600" s="2"/>
      <c r="P600" s="2"/>
      <c r="Q600" s="157"/>
      <c r="R600" s="157"/>
      <c r="S600" s="157"/>
      <c r="T600" s="158"/>
      <c r="U600" s="2"/>
      <c r="V600" s="30"/>
      <c r="W600" s="2"/>
      <c r="X600" s="2"/>
      <c r="Y600" s="2"/>
      <c r="Z600" s="2"/>
    </row>
    <row r="601" ht="13.5" customHeight="1">
      <c r="A601" s="2"/>
      <c r="B601" s="2"/>
      <c r="C601" s="2"/>
      <c r="D601" s="2"/>
      <c r="E601" s="2"/>
      <c r="F601" s="2"/>
      <c r="G601" s="2"/>
      <c r="H601" s="2"/>
      <c r="I601" s="2"/>
      <c r="J601" s="2"/>
      <c r="K601" s="2"/>
      <c r="L601" s="2"/>
      <c r="M601" s="2"/>
      <c r="N601" s="2"/>
      <c r="O601" s="2"/>
      <c r="P601" s="2"/>
      <c r="Q601" s="157"/>
      <c r="R601" s="157"/>
      <c r="S601" s="157"/>
      <c r="T601" s="158"/>
      <c r="U601" s="2"/>
      <c r="V601" s="30"/>
      <c r="W601" s="2"/>
      <c r="X601" s="2"/>
      <c r="Y601" s="2"/>
      <c r="Z601" s="2"/>
    </row>
    <row r="602" ht="13.5" customHeight="1">
      <c r="A602" s="2"/>
      <c r="B602" s="2"/>
      <c r="C602" s="2"/>
      <c r="D602" s="2"/>
      <c r="E602" s="2"/>
      <c r="F602" s="2"/>
      <c r="G602" s="2"/>
      <c r="H602" s="2"/>
      <c r="I602" s="2"/>
      <c r="J602" s="2"/>
      <c r="K602" s="2"/>
      <c r="L602" s="2"/>
      <c r="M602" s="2"/>
      <c r="N602" s="2"/>
      <c r="O602" s="2"/>
      <c r="P602" s="2"/>
      <c r="Q602" s="157"/>
      <c r="R602" s="157"/>
      <c r="S602" s="157"/>
      <c r="T602" s="158"/>
      <c r="U602" s="2"/>
      <c r="V602" s="30"/>
      <c r="W602" s="2"/>
      <c r="X602" s="2"/>
      <c r="Y602" s="2"/>
      <c r="Z602" s="2"/>
    </row>
    <row r="603" ht="13.5" customHeight="1">
      <c r="A603" s="2"/>
      <c r="B603" s="2"/>
      <c r="C603" s="2"/>
      <c r="D603" s="2"/>
      <c r="E603" s="2"/>
      <c r="F603" s="2"/>
      <c r="G603" s="2"/>
      <c r="H603" s="2"/>
      <c r="I603" s="2"/>
      <c r="J603" s="2"/>
      <c r="K603" s="2"/>
      <c r="L603" s="2"/>
      <c r="M603" s="2"/>
      <c r="N603" s="2"/>
      <c r="O603" s="2"/>
      <c r="P603" s="2"/>
      <c r="Q603" s="157"/>
      <c r="R603" s="157"/>
      <c r="S603" s="157"/>
      <c r="T603" s="158"/>
      <c r="U603" s="2"/>
      <c r="V603" s="30"/>
      <c r="W603" s="2"/>
      <c r="X603" s="2"/>
      <c r="Y603" s="2"/>
      <c r="Z603" s="2"/>
    </row>
    <row r="604" ht="13.5" customHeight="1">
      <c r="A604" s="2"/>
      <c r="B604" s="2"/>
      <c r="C604" s="2"/>
      <c r="D604" s="2"/>
      <c r="E604" s="2"/>
      <c r="F604" s="2"/>
      <c r="G604" s="2"/>
      <c r="H604" s="2"/>
      <c r="I604" s="2"/>
      <c r="J604" s="2"/>
      <c r="K604" s="2"/>
      <c r="L604" s="2"/>
      <c r="M604" s="2"/>
      <c r="N604" s="2"/>
      <c r="O604" s="2"/>
      <c r="P604" s="2"/>
      <c r="Q604" s="157"/>
      <c r="R604" s="157"/>
      <c r="S604" s="157"/>
      <c r="T604" s="158"/>
      <c r="U604" s="2"/>
      <c r="V604" s="30"/>
      <c r="W604" s="2"/>
      <c r="X604" s="2"/>
      <c r="Y604" s="2"/>
      <c r="Z604" s="2"/>
    </row>
    <row r="605" ht="13.5" customHeight="1">
      <c r="A605" s="2"/>
      <c r="B605" s="2"/>
      <c r="C605" s="2"/>
      <c r="D605" s="2"/>
      <c r="E605" s="2"/>
      <c r="F605" s="2"/>
      <c r="G605" s="2"/>
      <c r="H605" s="2"/>
      <c r="I605" s="2"/>
      <c r="J605" s="2"/>
      <c r="K605" s="2"/>
      <c r="L605" s="2"/>
      <c r="M605" s="2"/>
      <c r="N605" s="2"/>
      <c r="O605" s="2"/>
      <c r="P605" s="2"/>
      <c r="Q605" s="157"/>
      <c r="R605" s="157"/>
      <c r="S605" s="157"/>
      <c r="T605" s="158"/>
      <c r="U605" s="2"/>
      <c r="V605" s="30"/>
      <c r="W605" s="2"/>
      <c r="X605" s="2"/>
      <c r="Y605" s="2"/>
      <c r="Z605" s="2"/>
    </row>
    <row r="606" ht="13.5" customHeight="1">
      <c r="A606" s="2"/>
      <c r="B606" s="2"/>
      <c r="C606" s="2"/>
      <c r="D606" s="2"/>
      <c r="E606" s="2"/>
      <c r="F606" s="2"/>
      <c r="G606" s="2"/>
      <c r="H606" s="2"/>
      <c r="I606" s="2"/>
      <c r="J606" s="2"/>
      <c r="K606" s="2"/>
      <c r="L606" s="2"/>
      <c r="M606" s="2"/>
      <c r="N606" s="2"/>
      <c r="O606" s="2"/>
      <c r="P606" s="2"/>
      <c r="Q606" s="157"/>
      <c r="R606" s="157"/>
      <c r="S606" s="157"/>
      <c r="T606" s="158"/>
      <c r="U606" s="2"/>
      <c r="V606" s="30"/>
      <c r="W606" s="2"/>
      <c r="X606" s="2"/>
      <c r="Y606" s="2"/>
      <c r="Z606" s="2"/>
    </row>
    <row r="607" ht="13.5" customHeight="1">
      <c r="A607" s="2"/>
      <c r="B607" s="2"/>
      <c r="C607" s="2"/>
      <c r="D607" s="2"/>
      <c r="E607" s="2"/>
      <c r="F607" s="2"/>
      <c r="G607" s="2"/>
      <c r="H607" s="2"/>
      <c r="I607" s="2"/>
      <c r="J607" s="2"/>
      <c r="K607" s="2"/>
      <c r="L607" s="2"/>
      <c r="M607" s="2"/>
      <c r="N607" s="2"/>
      <c r="O607" s="2"/>
      <c r="P607" s="2"/>
      <c r="Q607" s="157"/>
      <c r="R607" s="157"/>
      <c r="S607" s="157"/>
      <c r="T607" s="158"/>
      <c r="U607" s="2"/>
      <c r="V607" s="30"/>
      <c r="W607" s="2"/>
      <c r="X607" s="2"/>
      <c r="Y607" s="2"/>
      <c r="Z607" s="2"/>
    </row>
    <row r="608" ht="13.5" customHeight="1">
      <c r="A608" s="2"/>
      <c r="B608" s="2"/>
      <c r="C608" s="2"/>
      <c r="D608" s="2"/>
      <c r="E608" s="2"/>
      <c r="F608" s="2"/>
      <c r="G608" s="2"/>
      <c r="H608" s="2"/>
      <c r="I608" s="2"/>
      <c r="J608" s="2"/>
      <c r="K608" s="2"/>
      <c r="L608" s="2"/>
      <c r="M608" s="2"/>
      <c r="N608" s="2"/>
      <c r="O608" s="2"/>
      <c r="P608" s="2"/>
      <c r="Q608" s="157"/>
      <c r="R608" s="157"/>
      <c r="S608" s="157"/>
      <c r="T608" s="158"/>
      <c r="U608" s="2"/>
      <c r="V608" s="30"/>
      <c r="W608" s="2"/>
      <c r="X608" s="2"/>
      <c r="Y608" s="2"/>
      <c r="Z608" s="2"/>
    </row>
    <row r="609" ht="13.5" customHeight="1">
      <c r="A609" s="2"/>
      <c r="B609" s="2"/>
      <c r="C609" s="2"/>
      <c r="D609" s="2"/>
      <c r="E609" s="2"/>
      <c r="F609" s="2"/>
      <c r="G609" s="2"/>
      <c r="H609" s="2"/>
      <c r="I609" s="2"/>
      <c r="J609" s="2"/>
      <c r="K609" s="2"/>
      <c r="L609" s="2"/>
      <c r="M609" s="2"/>
      <c r="N609" s="2"/>
      <c r="O609" s="2"/>
      <c r="P609" s="2"/>
      <c r="Q609" s="157"/>
      <c r="R609" s="157"/>
      <c r="S609" s="157"/>
      <c r="T609" s="158"/>
      <c r="U609" s="2"/>
      <c r="V609" s="30"/>
      <c r="W609" s="2"/>
      <c r="X609" s="2"/>
      <c r="Y609" s="2"/>
      <c r="Z609" s="2"/>
    </row>
    <row r="610" ht="13.5" customHeight="1">
      <c r="A610" s="2"/>
      <c r="B610" s="2"/>
      <c r="C610" s="2"/>
      <c r="D610" s="2"/>
      <c r="E610" s="2"/>
      <c r="F610" s="2"/>
      <c r="G610" s="2"/>
      <c r="H610" s="2"/>
      <c r="I610" s="2"/>
      <c r="J610" s="2"/>
      <c r="K610" s="2"/>
      <c r="L610" s="2"/>
      <c r="M610" s="2"/>
      <c r="N610" s="2"/>
      <c r="O610" s="2"/>
      <c r="P610" s="2"/>
      <c r="Q610" s="157"/>
      <c r="R610" s="157"/>
      <c r="S610" s="157"/>
      <c r="T610" s="158"/>
      <c r="U610" s="2"/>
      <c r="V610" s="30"/>
      <c r="W610" s="2"/>
      <c r="X610" s="2"/>
      <c r="Y610" s="2"/>
      <c r="Z610" s="2"/>
    </row>
    <row r="611" ht="13.5" customHeight="1">
      <c r="A611" s="2"/>
      <c r="B611" s="2"/>
      <c r="C611" s="2"/>
      <c r="D611" s="2"/>
      <c r="E611" s="2"/>
      <c r="F611" s="2"/>
      <c r="G611" s="2"/>
      <c r="H611" s="2"/>
      <c r="I611" s="2"/>
      <c r="J611" s="2"/>
      <c r="K611" s="2"/>
      <c r="L611" s="2"/>
      <c r="M611" s="2"/>
      <c r="N611" s="2"/>
      <c r="O611" s="2"/>
      <c r="P611" s="2"/>
      <c r="Q611" s="157"/>
      <c r="R611" s="157"/>
      <c r="S611" s="157"/>
      <c r="T611" s="158"/>
      <c r="U611" s="2"/>
      <c r="V611" s="30"/>
      <c r="W611" s="2"/>
      <c r="X611" s="2"/>
      <c r="Y611" s="2"/>
      <c r="Z611" s="2"/>
    </row>
    <row r="612" ht="13.5" customHeight="1">
      <c r="A612" s="2"/>
      <c r="B612" s="2"/>
      <c r="C612" s="2"/>
      <c r="D612" s="2"/>
      <c r="E612" s="2"/>
      <c r="F612" s="2"/>
      <c r="G612" s="2"/>
      <c r="H612" s="2"/>
      <c r="I612" s="2"/>
      <c r="J612" s="2"/>
      <c r="K612" s="2"/>
      <c r="L612" s="2"/>
      <c r="M612" s="2"/>
      <c r="N612" s="2"/>
      <c r="O612" s="2"/>
      <c r="P612" s="2"/>
      <c r="Q612" s="157"/>
      <c r="R612" s="157"/>
      <c r="S612" s="157"/>
      <c r="T612" s="158"/>
      <c r="U612" s="2"/>
      <c r="V612" s="30"/>
      <c r="W612" s="2"/>
      <c r="X612" s="2"/>
      <c r="Y612" s="2"/>
      <c r="Z612" s="2"/>
    </row>
    <row r="613" ht="13.5" customHeight="1">
      <c r="A613" s="2"/>
      <c r="B613" s="2"/>
      <c r="C613" s="2"/>
      <c r="D613" s="2"/>
      <c r="E613" s="2"/>
      <c r="F613" s="2"/>
      <c r="G613" s="2"/>
      <c r="H613" s="2"/>
      <c r="I613" s="2"/>
      <c r="J613" s="2"/>
      <c r="K613" s="2"/>
      <c r="L613" s="2"/>
      <c r="M613" s="2"/>
      <c r="N613" s="2"/>
      <c r="O613" s="2"/>
      <c r="P613" s="2"/>
      <c r="Q613" s="157"/>
      <c r="R613" s="157"/>
      <c r="S613" s="157"/>
      <c r="T613" s="158"/>
      <c r="U613" s="2"/>
      <c r="V613" s="30"/>
      <c r="W613" s="2"/>
      <c r="X613" s="2"/>
      <c r="Y613" s="2"/>
      <c r="Z613" s="2"/>
    </row>
    <row r="614" ht="13.5" customHeight="1">
      <c r="A614" s="2"/>
      <c r="B614" s="2"/>
      <c r="C614" s="2"/>
      <c r="D614" s="2"/>
      <c r="E614" s="2"/>
      <c r="F614" s="2"/>
      <c r="G614" s="2"/>
      <c r="H614" s="2"/>
      <c r="I614" s="2"/>
      <c r="J614" s="2"/>
      <c r="K614" s="2"/>
      <c r="L614" s="2"/>
      <c r="M614" s="2"/>
      <c r="N614" s="2"/>
      <c r="O614" s="2"/>
      <c r="P614" s="2"/>
      <c r="Q614" s="157"/>
      <c r="R614" s="157"/>
      <c r="S614" s="157"/>
      <c r="T614" s="158"/>
      <c r="U614" s="2"/>
      <c r="V614" s="30"/>
      <c r="W614" s="2"/>
      <c r="X614" s="2"/>
      <c r="Y614" s="2"/>
      <c r="Z614" s="2"/>
    </row>
    <row r="615" ht="13.5" customHeight="1">
      <c r="A615" s="2"/>
      <c r="B615" s="2"/>
      <c r="C615" s="2"/>
      <c r="D615" s="2"/>
      <c r="E615" s="2"/>
      <c r="F615" s="2"/>
      <c r="G615" s="2"/>
      <c r="H615" s="2"/>
      <c r="I615" s="2"/>
      <c r="J615" s="2"/>
      <c r="K615" s="2"/>
      <c r="L615" s="2"/>
      <c r="M615" s="2"/>
      <c r="N615" s="2"/>
      <c r="O615" s="2"/>
      <c r="P615" s="2"/>
      <c r="Q615" s="157"/>
      <c r="R615" s="157"/>
      <c r="S615" s="157"/>
      <c r="T615" s="158"/>
      <c r="U615" s="2"/>
      <c r="V615" s="30"/>
      <c r="W615" s="2"/>
      <c r="X615" s="2"/>
      <c r="Y615" s="2"/>
      <c r="Z615" s="2"/>
    </row>
    <row r="616" ht="13.5" customHeight="1">
      <c r="A616" s="2"/>
      <c r="B616" s="2"/>
      <c r="C616" s="2"/>
      <c r="D616" s="2"/>
      <c r="E616" s="2"/>
      <c r="F616" s="2"/>
      <c r="G616" s="2"/>
      <c r="H616" s="2"/>
      <c r="I616" s="2"/>
      <c r="J616" s="2"/>
      <c r="K616" s="2"/>
      <c r="L616" s="2"/>
      <c r="M616" s="2"/>
      <c r="N616" s="2"/>
      <c r="O616" s="2"/>
      <c r="P616" s="2"/>
      <c r="Q616" s="157"/>
      <c r="R616" s="157"/>
      <c r="S616" s="157"/>
      <c r="T616" s="158"/>
      <c r="U616" s="2"/>
      <c r="V616" s="30"/>
      <c r="W616" s="2"/>
      <c r="X616" s="2"/>
      <c r="Y616" s="2"/>
      <c r="Z616" s="2"/>
    </row>
    <row r="617" ht="13.5" customHeight="1">
      <c r="A617" s="2"/>
      <c r="B617" s="2"/>
      <c r="C617" s="2"/>
      <c r="D617" s="2"/>
      <c r="E617" s="2"/>
      <c r="F617" s="2"/>
      <c r="G617" s="2"/>
      <c r="H617" s="2"/>
      <c r="I617" s="2"/>
      <c r="J617" s="2"/>
      <c r="K617" s="2"/>
      <c r="L617" s="2"/>
      <c r="M617" s="2"/>
      <c r="N617" s="2"/>
      <c r="O617" s="2"/>
      <c r="P617" s="2"/>
      <c r="Q617" s="157"/>
      <c r="R617" s="157"/>
      <c r="S617" s="157"/>
      <c r="T617" s="158"/>
      <c r="U617" s="2"/>
      <c r="V617" s="30"/>
      <c r="W617" s="2"/>
      <c r="X617" s="2"/>
      <c r="Y617" s="2"/>
      <c r="Z617" s="2"/>
    </row>
    <row r="618" ht="13.5" customHeight="1">
      <c r="A618" s="2"/>
      <c r="B618" s="2"/>
      <c r="C618" s="2"/>
      <c r="D618" s="2"/>
      <c r="E618" s="2"/>
      <c r="F618" s="2"/>
      <c r="G618" s="2"/>
      <c r="H618" s="2"/>
      <c r="I618" s="2"/>
      <c r="J618" s="2"/>
      <c r="K618" s="2"/>
      <c r="L618" s="2"/>
      <c r="M618" s="2"/>
      <c r="N618" s="2"/>
      <c r="O618" s="2"/>
      <c r="P618" s="2"/>
      <c r="Q618" s="157"/>
      <c r="R618" s="157"/>
      <c r="S618" s="157"/>
      <c r="T618" s="158"/>
      <c r="U618" s="2"/>
      <c r="V618" s="30"/>
      <c r="W618" s="2"/>
      <c r="X618" s="2"/>
      <c r="Y618" s="2"/>
      <c r="Z618" s="2"/>
    </row>
    <row r="619" ht="13.5" customHeight="1">
      <c r="A619" s="2"/>
      <c r="B619" s="2"/>
      <c r="C619" s="2"/>
      <c r="D619" s="2"/>
      <c r="E619" s="2"/>
      <c r="F619" s="2"/>
      <c r="G619" s="2"/>
      <c r="H619" s="2"/>
      <c r="I619" s="2"/>
      <c r="J619" s="2"/>
      <c r="K619" s="2"/>
      <c r="L619" s="2"/>
      <c r="M619" s="2"/>
      <c r="N619" s="2"/>
      <c r="O619" s="2"/>
      <c r="P619" s="2"/>
      <c r="Q619" s="157"/>
      <c r="R619" s="157"/>
      <c r="S619" s="157"/>
      <c r="T619" s="158"/>
      <c r="U619" s="2"/>
      <c r="V619" s="30"/>
      <c r="W619" s="2"/>
      <c r="X619" s="2"/>
      <c r="Y619" s="2"/>
      <c r="Z619" s="2"/>
    </row>
    <row r="620" ht="13.5" customHeight="1">
      <c r="A620" s="2"/>
      <c r="B620" s="2"/>
      <c r="C620" s="2"/>
      <c r="D620" s="2"/>
      <c r="E620" s="2"/>
      <c r="F620" s="2"/>
      <c r="G620" s="2"/>
      <c r="H620" s="2"/>
      <c r="I620" s="2"/>
      <c r="J620" s="2"/>
      <c r="K620" s="2"/>
      <c r="L620" s="2"/>
      <c r="M620" s="2"/>
      <c r="N620" s="2"/>
      <c r="O620" s="2"/>
      <c r="P620" s="2"/>
      <c r="Q620" s="157"/>
      <c r="R620" s="157"/>
      <c r="S620" s="157"/>
      <c r="T620" s="158"/>
      <c r="U620" s="2"/>
      <c r="V620" s="30"/>
      <c r="W620" s="2"/>
      <c r="X620" s="2"/>
      <c r="Y620" s="2"/>
      <c r="Z620" s="2"/>
    </row>
    <row r="621" ht="13.5" customHeight="1">
      <c r="A621" s="2"/>
      <c r="B621" s="2"/>
      <c r="C621" s="2"/>
      <c r="D621" s="2"/>
      <c r="E621" s="2"/>
      <c r="F621" s="2"/>
      <c r="G621" s="2"/>
      <c r="H621" s="2"/>
      <c r="I621" s="2"/>
      <c r="J621" s="2"/>
      <c r="K621" s="2"/>
      <c r="L621" s="2"/>
      <c r="M621" s="2"/>
      <c r="N621" s="2"/>
      <c r="O621" s="2"/>
      <c r="P621" s="2"/>
      <c r="Q621" s="157"/>
      <c r="R621" s="157"/>
      <c r="S621" s="157"/>
      <c r="T621" s="158"/>
      <c r="U621" s="2"/>
      <c r="V621" s="30"/>
      <c r="W621" s="2"/>
      <c r="X621" s="2"/>
      <c r="Y621" s="2"/>
      <c r="Z621" s="2"/>
    </row>
    <row r="622" ht="13.5" customHeight="1">
      <c r="A622" s="2"/>
      <c r="B622" s="2"/>
      <c r="C622" s="2"/>
      <c r="D622" s="2"/>
      <c r="E622" s="2"/>
      <c r="F622" s="2"/>
      <c r="G622" s="2"/>
      <c r="H622" s="2"/>
      <c r="I622" s="2"/>
      <c r="J622" s="2"/>
      <c r="K622" s="2"/>
      <c r="L622" s="2"/>
      <c r="M622" s="2"/>
      <c r="N622" s="2"/>
      <c r="O622" s="2"/>
      <c r="P622" s="2"/>
      <c r="Q622" s="157"/>
      <c r="R622" s="157"/>
      <c r="S622" s="157"/>
      <c r="T622" s="158"/>
      <c r="U622" s="2"/>
      <c r="V622" s="30"/>
      <c r="W622" s="2"/>
      <c r="X622" s="2"/>
      <c r="Y622" s="2"/>
      <c r="Z622" s="2"/>
    </row>
    <row r="623" ht="13.5" customHeight="1">
      <c r="A623" s="2"/>
      <c r="B623" s="2"/>
      <c r="C623" s="2"/>
      <c r="D623" s="2"/>
      <c r="E623" s="2"/>
      <c r="F623" s="2"/>
      <c r="G623" s="2"/>
      <c r="H623" s="2"/>
      <c r="I623" s="2"/>
      <c r="J623" s="2"/>
      <c r="K623" s="2"/>
      <c r="L623" s="2"/>
      <c r="M623" s="2"/>
      <c r="N623" s="2"/>
      <c r="O623" s="2"/>
      <c r="P623" s="2"/>
      <c r="Q623" s="157"/>
      <c r="R623" s="157"/>
      <c r="S623" s="157"/>
      <c r="T623" s="158"/>
      <c r="U623" s="2"/>
      <c r="V623" s="30"/>
      <c r="W623" s="2"/>
      <c r="X623" s="2"/>
      <c r="Y623" s="2"/>
      <c r="Z623" s="2"/>
    </row>
    <row r="624" ht="13.5" customHeight="1">
      <c r="A624" s="2"/>
      <c r="B624" s="2"/>
      <c r="C624" s="2"/>
      <c r="D624" s="2"/>
      <c r="E624" s="2"/>
      <c r="F624" s="2"/>
      <c r="G624" s="2"/>
      <c r="H624" s="2"/>
      <c r="I624" s="2"/>
      <c r="J624" s="2"/>
      <c r="K624" s="2"/>
      <c r="L624" s="2"/>
      <c r="M624" s="2"/>
      <c r="N624" s="2"/>
      <c r="O624" s="2"/>
      <c r="P624" s="2"/>
      <c r="Q624" s="157"/>
      <c r="R624" s="157"/>
      <c r="S624" s="157"/>
      <c r="T624" s="158"/>
      <c r="U624" s="2"/>
      <c r="V624" s="30"/>
      <c r="W624" s="2"/>
      <c r="X624" s="2"/>
      <c r="Y624" s="2"/>
      <c r="Z624" s="2"/>
    </row>
    <row r="625" ht="13.5" customHeight="1">
      <c r="A625" s="2"/>
      <c r="B625" s="2"/>
      <c r="C625" s="2"/>
      <c r="D625" s="2"/>
      <c r="E625" s="2"/>
      <c r="F625" s="2"/>
      <c r="G625" s="2"/>
      <c r="H625" s="2"/>
      <c r="I625" s="2"/>
      <c r="J625" s="2"/>
      <c r="K625" s="2"/>
      <c r="L625" s="2"/>
      <c r="M625" s="2"/>
      <c r="N625" s="2"/>
      <c r="O625" s="2"/>
      <c r="P625" s="2"/>
      <c r="Q625" s="157"/>
      <c r="R625" s="157"/>
      <c r="S625" s="157"/>
      <c r="T625" s="158"/>
      <c r="U625" s="2"/>
      <c r="V625" s="30"/>
      <c r="W625" s="2"/>
      <c r="X625" s="2"/>
      <c r="Y625" s="2"/>
      <c r="Z625" s="2"/>
    </row>
    <row r="626" ht="13.5" customHeight="1">
      <c r="A626" s="2"/>
      <c r="B626" s="2"/>
      <c r="C626" s="2"/>
      <c r="D626" s="2"/>
      <c r="E626" s="2"/>
      <c r="F626" s="2"/>
      <c r="G626" s="2"/>
      <c r="H626" s="2"/>
      <c r="I626" s="2"/>
      <c r="J626" s="2"/>
      <c r="K626" s="2"/>
      <c r="L626" s="2"/>
      <c r="M626" s="2"/>
      <c r="N626" s="2"/>
      <c r="O626" s="2"/>
      <c r="P626" s="2"/>
      <c r="Q626" s="157"/>
      <c r="R626" s="157"/>
      <c r="S626" s="157"/>
      <c r="T626" s="158"/>
      <c r="U626" s="2"/>
      <c r="V626" s="30"/>
      <c r="W626" s="2"/>
      <c r="X626" s="2"/>
      <c r="Y626" s="2"/>
      <c r="Z626" s="2"/>
    </row>
    <row r="627" ht="13.5" customHeight="1">
      <c r="A627" s="2"/>
      <c r="B627" s="2"/>
      <c r="C627" s="2"/>
      <c r="D627" s="2"/>
      <c r="E627" s="2"/>
      <c r="F627" s="2"/>
      <c r="G627" s="2"/>
      <c r="H627" s="2"/>
      <c r="I627" s="2"/>
      <c r="J627" s="2"/>
      <c r="K627" s="2"/>
      <c r="L627" s="2"/>
      <c r="M627" s="2"/>
      <c r="N627" s="2"/>
      <c r="O627" s="2"/>
      <c r="P627" s="2"/>
      <c r="Q627" s="157"/>
      <c r="R627" s="157"/>
      <c r="S627" s="157"/>
      <c r="T627" s="158"/>
      <c r="U627" s="2"/>
      <c r="V627" s="30"/>
      <c r="W627" s="2"/>
      <c r="X627" s="2"/>
      <c r="Y627" s="2"/>
      <c r="Z627" s="2"/>
    </row>
    <row r="628" ht="13.5" customHeight="1">
      <c r="A628" s="2"/>
      <c r="B628" s="2"/>
      <c r="C628" s="2"/>
      <c r="D628" s="2"/>
      <c r="E628" s="2"/>
      <c r="F628" s="2"/>
      <c r="G628" s="2"/>
      <c r="H628" s="2"/>
      <c r="I628" s="2"/>
      <c r="J628" s="2"/>
      <c r="K628" s="2"/>
      <c r="L628" s="2"/>
      <c r="M628" s="2"/>
      <c r="N628" s="2"/>
      <c r="O628" s="2"/>
      <c r="P628" s="2"/>
      <c r="Q628" s="157"/>
      <c r="R628" s="157"/>
      <c r="S628" s="157"/>
      <c r="T628" s="158"/>
      <c r="U628" s="2"/>
      <c r="V628" s="30"/>
      <c r="W628" s="2"/>
      <c r="X628" s="2"/>
      <c r="Y628" s="2"/>
      <c r="Z628" s="2"/>
    </row>
    <row r="629" ht="13.5" customHeight="1">
      <c r="A629" s="2"/>
      <c r="B629" s="2"/>
      <c r="C629" s="2"/>
      <c r="D629" s="2"/>
      <c r="E629" s="2"/>
      <c r="F629" s="2"/>
      <c r="G629" s="2"/>
      <c r="H629" s="2"/>
      <c r="I629" s="2"/>
      <c r="J629" s="2"/>
      <c r="K629" s="2"/>
      <c r="L629" s="2"/>
      <c r="M629" s="2"/>
      <c r="N629" s="2"/>
      <c r="O629" s="2"/>
      <c r="P629" s="2"/>
      <c r="Q629" s="157"/>
      <c r="R629" s="157"/>
      <c r="S629" s="157"/>
      <c r="T629" s="158"/>
      <c r="U629" s="2"/>
      <c r="V629" s="30"/>
      <c r="W629" s="2"/>
      <c r="X629" s="2"/>
      <c r="Y629" s="2"/>
      <c r="Z629" s="2"/>
    </row>
    <row r="630" ht="13.5" customHeight="1">
      <c r="A630" s="2"/>
      <c r="B630" s="2"/>
      <c r="C630" s="2"/>
      <c r="D630" s="2"/>
      <c r="E630" s="2"/>
      <c r="F630" s="2"/>
      <c r="G630" s="2"/>
      <c r="H630" s="2"/>
      <c r="I630" s="2"/>
      <c r="J630" s="2"/>
      <c r="K630" s="2"/>
      <c r="L630" s="2"/>
      <c r="M630" s="2"/>
      <c r="N630" s="2"/>
      <c r="O630" s="2"/>
      <c r="P630" s="2"/>
      <c r="Q630" s="157"/>
      <c r="R630" s="157"/>
      <c r="S630" s="157"/>
      <c r="T630" s="158"/>
      <c r="U630" s="2"/>
      <c r="V630" s="30"/>
      <c r="W630" s="2"/>
      <c r="X630" s="2"/>
      <c r="Y630" s="2"/>
      <c r="Z630" s="2"/>
    </row>
    <row r="631" ht="13.5" customHeight="1">
      <c r="A631" s="2"/>
      <c r="B631" s="2"/>
      <c r="C631" s="2"/>
      <c r="D631" s="2"/>
      <c r="E631" s="2"/>
      <c r="F631" s="2"/>
      <c r="G631" s="2"/>
      <c r="H631" s="2"/>
      <c r="I631" s="2"/>
      <c r="J631" s="2"/>
      <c r="K631" s="2"/>
      <c r="L631" s="2"/>
      <c r="M631" s="2"/>
      <c r="N631" s="2"/>
      <c r="O631" s="2"/>
      <c r="P631" s="2"/>
      <c r="Q631" s="157"/>
      <c r="R631" s="157"/>
      <c r="S631" s="157"/>
      <c r="T631" s="158"/>
      <c r="U631" s="2"/>
      <c r="V631" s="30"/>
      <c r="W631" s="2"/>
      <c r="X631" s="2"/>
      <c r="Y631" s="2"/>
      <c r="Z631" s="2"/>
    </row>
    <row r="632" ht="13.5" customHeight="1">
      <c r="A632" s="2"/>
      <c r="B632" s="2"/>
      <c r="C632" s="2"/>
      <c r="D632" s="2"/>
      <c r="E632" s="2"/>
      <c r="F632" s="2"/>
      <c r="G632" s="2"/>
      <c r="H632" s="2"/>
      <c r="I632" s="2"/>
      <c r="J632" s="2"/>
      <c r="K632" s="2"/>
      <c r="L632" s="2"/>
      <c r="M632" s="2"/>
      <c r="N632" s="2"/>
      <c r="O632" s="2"/>
      <c r="P632" s="2"/>
      <c r="Q632" s="157"/>
      <c r="R632" s="157"/>
      <c r="S632" s="157"/>
      <c r="T632" s="158"/>
      <c r="U632" s="2"/>
      <c r="V632" s="30"/>
      <c r="W632" s="2"/>
      <c r="X632" s="2"/>
      <c r="Y632" s="2"/>
      <c r="Z632" s="2"/>
    </row>
    <row r="633" ht="13.5" customHeight="1">
      <c r="A633" s="2"/>
      <c r="B633" s="2"/>
      <c r="C633" s="2"/>
      <c r="D633" s="2"/>
      <c r="E633" s="2"/>
      <c r="F633" s="2"/>
      <c r="G633" s="2"/>
      <c r="H633" s="2"/>
      <c r="I633" s="2"/>
      <c r="J633" s="2"/>
      <c r="K633" s="2"/>
      <c r="L633" s="2"/>
      <c r="M633" s="2"/>
      <c r="N633" s="2"/>
      <c r="O633" s="2"/>
      <c r="P633" s="2"/>
      <c r="Q633" s="157"/>
      <c r="R633" s="157"/>
      <c r="S633" s="157"/>
      <c r="T633" s="158"/>
      <c r="U633" s="2"/>
      <c r="V633" s="30"/>
      <c r="W633" s="2"/>
      <c r="X633" s="2"/>
      <c r="Y633" s="2"/>
      <c r="Z633" s="2"/>
    </row>
    <row r="634" ht="13.5" customHeight="1">
      <c r="A634" s="2"/>
      <c r="B634" s="2"/>
      <c r="C634" s="2"/>
      <c r="D634" s="2"/>
      <c r="E634" s="2"/>
      <c r="F634" s="2"/>
      <c r="G634" s="2"/>
      <c r="H634" s="2"/>
      <c r="I634" s="2"/>
      <c r="J634" s="2"/>
      <c r="K634" s="2"/>
      <c r="L634" s="2"/>
      <c r="M634" s="2"/>
      <c r="N634" s="2"/>
      <c r="O634" s="2"/>
      <c r="P634" s="2"/>
      <c r="Q634" s="157"/>
      <c r="R634" s="157"/>
      <c r="S634" s="157"/>
      <c r="T634" s="158"/>
      <c r="U634" s="2"/>
      <c r="V634" s="30"/>
      <c r="W634" s="2"/>
      <c r="X634" s="2"/>
      <c r="Y634" s="2"/>
      <c r="Z634" s="2"/>
    </row>
    <row r="635" ht="13.5" customHeight="1">
      <c r="A635" s="2"/>
      <c r="B635" s="2"/>
      <c r="C635" s="2"/>
      <c r="D635" s="2"/>
      <c r="E635" s="2"/>
      <c r="F635" s="2"/>
      <c r="G635" s="2"/>
      <c r="H635" s="2"/>
      <c r="I635" s="2"/>
      <c r="J635" s="2"/>
      <c r="K635" s="2"/>
      <c r="L635" s="2"/>
      <c r="M635" s="2"/>
      <c r="N635" s="2"/>
      <c r="O635" s="2"/>
      <c r="P635" s="2"/>
      <c r="Q635" s="157"/>
      <c r="R635" s="157"/>
      <c r="S635" s="157"/>
      <c r="T635" s="158"/>
      <c r="U635" s="2"/>
      <c r="V635" s="30"/>
      <c r="W635" s="2"/>
      <c r="X635" s="2"/>
      <c r="Y635" s="2"/>
      <c r="Z635" s="2"/>
    </row>
    <row r="636" ht="13.5" customHeight="1">
      <c r="A636" s="2"/>
      <c r="B636" s="2"/>
      <c r="C636" s="2"/>
      <c r="D636" s="2"/>
      <c r="E636" s="2"/>
      <c r="F636" s="2"/>
      <c r="G636" s="2"/>
      <c r="H636" s="2"/>
      <c r="I636" s="2"/>
      <c r="J636" s="2"/>
      <c r="K636" s="2"/>
      <c r="L636" s="2"/>
      <c r="M636" s="2"/>
      <c r="N636" s="2"/>
      <c r="O636" s="2"/>
      <c r="P636" s="2"/>
      <c r="Q636" s="157"/>
      <c r="R636" s="157"/>
      <c r="S636" s="157"/>
      <c r="T636" s="158"/>
      <c r="U636" s="2"/>
      <c r="V636" s="30"/>
      <c r="W636" s="2"/>
      <c r="X636" s="2"/>
      <c r="Y636" s="2"/>
      <c r="Z636" s="2"/>
    </row>
    <row r="637" ht="13.5" customHeight="1">
      <c r="A637" s="2"/>
      <c r="B637" s="2"/>
      <c r="C637" s="2"/>
      <c r="D637" s="2"/>
      <c r="E637" s="2"/>
      <c r="F637" s="2"/>
      <c r="G637" s="2"/>
      <c r="H637" s="2"/>
      <c r="I637" s="2"/>
      <c r="J637" s="2"/>
      <c r="K637" s="2"/>
      <c r="L637" s="2"/>
      <c r="M637" s="2"/>
      <c r="N637" s="2"/>
      <c r="O637" s="2"/>
      <c r="P637" s="2"/>
      <c r="Q637" s="157"/>
      <c r="R637" s="157"/>
      <c r="S637" s="157"/>
      <c r="T637" s="158"/>
      <c r="U637" s="2"/>
      <c r="V637" s="30"/>
      <c r="W637" s="2"/>
      <c r="X637" s="2"/>
      <c r="Y637" s="2"/>
      <c r="Z637" s="2"/>
    </row>
    <row r="638" ht="13.5" customHeight="1">
      <c r="A638" s="2"/>
      <c r="B638" s="2"/>
      <c r="C638" s="2"/>
      <c r="D638" s="2"/>
      <c r="E638" s="2"/>
      <c r="F638" s="2"/>
      <c r="G638" s="2"/>
      <c r="H638" s="2"/>
      <c r="I638" s="2"/>
      <c r="J638" s="2"/>
      <c r="K638" s="2"/>
      <c r="L638" s="2"/>
      <c r="M638" s="2"/>
      <c r="N638" s="2"/>
      <c r="O638" s="2"/>
      <c r="P638" s="2"/>
      <c r="Q638" s="157"/>
      <c r="R638" s="157"/>
      <c r="S638" s="157"/>
      <c r="T638" s="158"/>
      <c r="U638" s="2"/>
      <c r="V638" s="30"/>
      <c r="W638" s="2"/>
      <c r="X638" s="2"/>
      <c r="Y638" s="2"/>
      <c r="Z638" s="2"/>
    </row>
    <row r="639" ht="13.5" customHeight="1">
      <c r="A639" s="2"/>
      <c r="B639" s="2"/>
      <c r="C639" s="2"/>
      <c r="D639" s="2"/>
      <c r="E639" s="2"/>
      <c r="F639" s="2"/>
      <c r="G639" s="2"/>
      <c r="H639" s="2"/>
      <c r="I639" s="2"/>
      <c r="J639" s="2"/>
      <c r="K639" s="2"/>
      <c r="L639" s="2"/>
      <c r="M639" s="2"/>
      <c r="N639" s="2"/>
      <c r="O639" s="2"/>
      <c r="P639" s="2"/>
      <c r="Q639" s="157"/>
      <c r="R639" s="157"/>
      <c r="S639" s="157"/>
      <c r="T639" s="158"/>
      <c r="U639" s="2"/>
      <c r="V639" s="30"/>
      <c r="W639" s="2"/>
      <c r="X639" s="2"/>
      <c r="Y639" s="2"/>
      <c r="Z639" s="2"/>
    </row>
    <row r="640" ht="13.5" customHeight="1">
      <c r="A640" s="2"/>
      <c r="B640" s="2"/>
      <c r="C640" s="2"/>
      <c r="D640" s="2"/>
      <c r="E640" s="2"/>
      <c r="F640" s="2"/>
      <c r="G640" s="2"/>
      <c r="H640" s="2"/>
      <c r="I640" s="2"/>
      <c r="J640" s="2"/>
      <c r="K640" s="2"/>
      <c r="L640" s="2"/>
      <c r="M640" s="2"/>
      <c r="N640" s="2"/>
      <c r="O640" s="2"/>
      <c r="P640" s="2"/>
      <c r="Q640" s="157"/>
      <c r="R640" s="157"/>
      <c r="S640" s="157"/>
      <c r="T640" s="158"/>
      <c r="U640" s="2"/>
      <c r="V640" s="30"/>
      <c r="W640" s="2"/>
      <c r="X640" s="2"/>
      <c r="Y640" s="2"/>
      <c r="Z640" s="2"/>
    </row>
    <row r="641" ht="13.5" customHeight="1">
      <c r="A641" s="2"/>
      <c r="B641" s="2"/>
      <c r="C641" s="2"/>
      <c r="D641" s="2"/>
      <c r="E641" s="2"/>
      <c r="F641" s="2"/>
      <c r="G641" s="2"/>
      <c r="H641" s="2"/>
      <c r="I641" s="2"/>
      <c r="J641" s="2"/>
      <c r="K641" s="2"/>
      <c r="L641" s="2"/>
      <c r="M641" s="2"/>
      <c r="N641" s="2"/>
      <c r="O641" s="2"/>
      <c r="P641" s="2"/>
      <c r="Q641" s="157"/>
      <c r="R641" s="157"/>
      <c r="S641" s="157"/>
      <c r="T641" s="158"/>
      <c r="U641" s="2"/>
      <c r="V641" s="30"/>
      <c r="W641" s="2"/>
      <c r="X641" s="2"/>
      <c r="Y641" s="2"/>
      <c r="Z641" s="2"/>
    </row>
    <row r="642" ht="13.5" customHeight="1">
      <c r="A642" s="2"/>
      <c r="B642" s="2"/>
      <c r="C642" s="2"/>
      <c r="D642" s="2"/>
      <c r="E642" s="2"/>
      <c r="F642" s="2"/>
      <c r="G642" s="2"/>
      <c r="H642" s="2"/>
      <c r="I642" s="2"/>
      <c r="J642" s="2"/>
      <c r="K642" s="2"/>
      <c r="L642" s="2"/>
      <c r="M642" s="2"/>
      <c r="N642" s="2"/>
      <c r="O642" s="2"/>
      <c r="P642" s="2"/>
      <c r="Q642" s="157"/>
      <c r="R642" s="157"/>
      <c r="S642" s="157"/>
      <c r="T642" s="158"/>
      <c r="U642" s="2"/>
      <c r="V642" s="30"/>
      <c r="W642" s="2"/>
      <c r="X642" s="2"/>
      <c r="Y642" s="2"/>
      <c r="Z642" s="2"/>
    </row>
    <row r="643" ht="13.5" customHeight="1">
      <c r="A643" s="2"/>
      <c r="B643" s="2"/>
      <c r="C643" s="2"/>
      <c r="D643" s="2"/>
      <c r="E643" s="2"/>
      <c r="F643" s="2"/>
      <c r="G643" s="2"/>
      <c r="H643" s="2"/>
      <c r="I643" s="2"/>
      <c r="J643" s="2"/>
      <c r="K643" s="2"/>
      <c r="L643" s="2"/>
      <c r="M643" s="2"/>
      <c r="N643" s="2"/>
      <c r="O643" s="2"/>
      <c r="P643" s="2"/>
      <c r="Q643" s="157"/>
      <c r="R643" s="157"/>
      <c r="S643" s="157"/>
      <c r="T643" s="158"/>
      <c r="U643" s="2"/>
      <c r="V643" s="30"/>
      <c r="W643" s="2"/>
      <c r="X643" s="2"/>
      <c r="Y643" s="2"/>
      <c r="Z643" s="2"/>
    </row>
    <row r="644" ht="13.5" customHeight="1">
      <c r="A644" s="2"/>
      <c r="B644" s="2"/>
      <c r="C644" s="2"/>
      <c r="D644" s="2"/>
      <c r="E644" s="2"/>
      <c r="F644" s="2"/>
      <c r="G644" s="2"/>
      <c r="H644" s="2"/>
      <c r="I644" s="2"/>
      <c r="J644" s="2"/>
      <c r="K644" s="2"/>
      <c r="L644" s="2"/>
      <c r="M644" s="2"/>
      <c r="N644" s="2"/>
      <c r="O644" s="2"/>
      <c r="P644" s="2"/>
      <c r="Q644" s="157"/>
      <c r="R644" s="157"/>
      <c r="S644" s="157"/>
      <c r="T644" s="158"/>
      <c r="U644" s="2"/>
      <c r="V644" s="30"/>
      <c r="W644" s="2"/>
      <c r="X644" s="2"/>
      <c r="Y644" s="2"/>
      <c r="Z644" s="2"/>
    </row>
    <row r="645" ht="13.5" customHeight="1">
      <c r="A645" s="2"/>
      <c r="B645" s="2"/>
      <c r="C645" s="2"/>
      <c r="D645" s="2"/>
      <c r="E645" s="2"/>
      <c r="F645" s="2"/>
      <c r="G645" s="2"/>
      <c r="H645" s="2"/>
      <c r="I645" s="2"/>
      <c r="J645" s="2"/>
      <c r="K645" s="2"/>
      <c r="L645" s="2"/>
      <c r="M645" s="2"/>
      <c r="N645" s="2"/>
      <c r="O645" s="2"/>
      <c r="P645" s="2"/>
      <c r="Q645" s="157"/>
      <c r="R645" s="157"/>
      <c r="S645" s="157"/>
      <c r="T645" s="158"/>
      <c r="U645" s="2"/>
      <c r="V645" s="30"/>
      <c r="W645" s="2"/>
      <c r="X645" s="2"/>
      <c r="Y645" s="2"/>
      <c r="Z645" s="2"/>
    </row>
    <row r="646" ht="13.5" customHeight="1">
      <c r="A646" s="2"/>
      <c r="B646" s="2"/>
      <c r="C646" s="2"/>
      <c r="D646" s="2"/>
      <c r="E646" s="2"/>
      <c r="F646" s="2"/>
      <c r="G646" s="2"/>
      <c r="H646" s="2"/>
      <c r="I646" s="2"/>
      <c r="J646" s="2"/>
      <c r="K646" s="2"/>
      <c r="L646" s="2"/>
      <c r="M646" s="2"/>
      <c r="N646" s="2"/>
      <c r="O646" s="2"/>
      <c r="P646" s="2"/>
      <c r="Q646" s="157"/>
      <c r="R646" s="157"/>
      <c r="S646" s="157"/>
      <c r="T646" s="158"/>
      <c r="U646" s="2"/>
      <c r="V646" s="30"/>
      <c r="W646" s="2"/>
      <c r="X646" s="2"/>
      <c r="Y646" s="2"/>
      <c r="Z646" s="2"/>
    </row>
    <row r="647" ht="13.5" customHeight="1">
      <c r="A647" s="2"/>
      <c r="B647" s="2"/>
      <c r="C647" s="2"/>
      <c r="D647" s="2"/>
      <c r="E647" s="2"/>
      <c r="F647" s="2"/>
      <c r="G647" s="2"/>
      <c r="H647" s="2"/>
      <c r="I647" s="2"/>
      <c r="J647" s="2"/>
      <c r="K647" s="2"/>
      <c r="L647" s="2"/>
      <c r="M647" s="2"/>
      <c r="N647" s="2"/>
      <c r="O647" s="2"/>
      <c r="P647" s="2"/>
      <c r="Q647" s="157"/>
      <c r="R647" s="157"/>
      <c r="S647" s="157"/>
      <c r="T647" s="158"/>
      <c r="U647" s="2"/>
      <c r="V647" s="30"/>
      <c r="W647" s="2"/>
      <c r="X647" s="2"/>
      <c r="Y647" s="2"/>
      <c r="Z647" s="2"/>
    </row>
    <row r="648" ht="13.5" customHeight="1">
      <c r="A648" s="2"/>
      <c r="B648" s="2"/>
      <c r="C648" s="2"/>
      <c r="D648" s="2"/>
      <c r="E648" s="2"/>
      <c r="F648" s="2"/>
      <c r="G648" s="2"/>
      <c r="H648" s="2"/>
      <c r="I648" s="2"/>
      <c r="J648" s="2"/>
      <c r="K648" s="2"/>
      <c r="L648" s="2"/>
      <c r="M648" s="2"/>
      <c r="N648" s="2"/>
      <c r="O648" s="2"/>
      <c r="P648" s="2"/>
      <c r="Q648" s="157"/>
      <c r="R648" s="157"/>
      <c r="S648" s="157"/>
      <c r="T648" s="158"/>
      <c r="U648" s="2"/>
      <c r="V648" s="30"/>
      <c r="W648" s="2"/>
      <c r="X648" s="2"/>
      <c r="Y648" s="2"/>
      <c r="Z648" s="2"/>
    </row>
    <row r="649" ht="13.5" customHeight="1">
      <c r="A649" s="2"/>
      <c r="B649" s="2"/>
      <c r="C649" s="2"/>
      <c r="D649" s="2"/>
      <c r="E649" s="2"/>
      <c r="F649" s="2"/>
      <c r="G649" s="2"/>
      <c r="H649" s="2"/>
      <c r="I649" s="2"/>
      <c r="J649" s="2"/>
      <c r="K649" s="2"/>
      <c r="L649" s="2"/>
      <c r="M649" s="2"/>
      <c r="N649" s="2"/>
      <c r="O649" s="2"/>
      <c r="P649" s="2"/>
      <c r="Q649" s="157"/>
      <c r="R649" s="157"/>
      <c r="S649" s="157"/>
      <c r="T649" s="158"/>
      <c r="U649" s="2"/>
      <c r="V649" s="30"/>
      <c r="W649" s="2"/>
      <c r="X649" s="2"/>
      <c r="Y649" s="2"/>
      <c r="Z649" s="2"/>
    </row>
    <row r="650" ht="13.5" customHeight="1">
      <c r="A650" s="2"/>
      <c r="B650" s="2"/>
      <c r="C650" s="2"/>
      <c r="D650" s="2"/>
      <c r="E650" s="2"/>
      <c r="F650" s="2"/>
      <c r="G650" s="2"/>
      <c r="H650" s="2"/>
      <c r="I650" s="2"/>
      <c r="J650" s="2"/>
      <c r="K650" s="2"/>
      <c r="L650" s="2"/>
      <c r="M650" s="2"/>
      <c r="N650" s="2"/>
      <c r="O650" s="2"/>
      <c r="P650" s="2"/>
      <c r="Q650" s="157"/>
      <c r="R650" s="157"/>
      <c r="S650" s="157"/>
      <c r="T650" s="158"/>
      <c r="U650" s="2"/>
      <c r="V650" s="30"/>
      <c r="W650" s="2"/>
      <c r="X650" s="2"/>
      <c r="Y650" s="2"/>
      <c r="Z650" s="2"/>
    </row>
    <row r="651" ht="13.5" customHeight="1">
      <c r="A651" s="2"/>
      <c r="B651" s="2"/>
      <c r="C651" s="2"/>
      <c r="D651" s="2"/>
      <c r="E651" s="2"/>
      <c r="F651" s="2"/>
      <c r="G651" s="2"/>
      <c r="H651" s="2"/>
      <c r="I651" s="2"/>
      <c r="J651" s="2"/>
      <c r="K651" s="2"/>
      <c r="L651" s="2"/>
      <c r="M651" s="2"/>
      <c r="N651" s="2"/>
      <c r="O651" s="2"/>
      <c r="P651" s="2"/>
      <c r="Q651" s="157"/>
      <c r="R651" s="157"/>
      <c r="S651" s="157"/>
      <c r="T651" s="158"/>
      <c r="U651" s="2"/>
      <c r="V651" s="30"/>
      <c r="W651" s="2"/>
      <c r="X651" s="2"/>
      <c r="Y651" s="2"/>
      <c r="Z651" s="2"/>
    </row>
    <row r="652" ht="13.5" customHeight="1">
      <c r="A652" s="2"/>
      <c r="B652" s="2"/>
      <c r="C652" s="2"/>
      <c r="D652" s="2"/>
      <c r="E652" s="2"/>
      <c r="F652" s="2"/>
      <c r="G652" s="2"/>
      <c r="H652" s="2"/>
      <c r="I652" s="2"/>
      <c r="J652" s="2"/>
      <c r="K652" s="2"/>
      <c r="L652" s="2"/>
      <c r="M652" s="2"/>
      <c r="N652" s="2"/>
      <c r="O652" s="2"/>
      <c r="P652" s="2"/>
      <c r="Q652" s="157"/>
      <c r="R652" s="157"/>
      <c r="S652" s="157"/>
      <c r="T652" s="158"/>
      <c r="U652" s="2"/>
      <c r="V652" s="30"/>
      <c r="W652" s="2"/>
      <c r="X652" s="2"/>
      <c r="Y652" s="2"/>
      <c r="Z652" s="2"/>
    </row>
    <row r="653" ht="13.5" customHeight="1">
      <c r="A653" s="2"/>
      <c r="B653" s="2"/>
      <c r="C653" s="2"/>
      <c r="D653" s="2"/>
      <c r="E653" s="2"/>
      <c r="F653" s="2"/>
      <c r="G653" s="2"/>
      <c r="H653" s="2"/>
      <c r="I653" s="2"/>
      <c r="J653" s="2"/>
      <c r="K653" s="2"/>
      <c r="L653" s="2"/>
      <c r="M653" s="2"/>
      <c r="N653" s="2"/>
      <c r="O653" s="2"/>
      <c r="P653" s="2"/>
      <c r="Q653" s="157"/>
      <c r="R653" s="157"/>
      <c r="S653" s="157"/>
      <c r="T653" s="158"/>
      <c r="U653" s="2"/>
      <c r="V653" s="30"/>
      <c r="W653" s="2"/>
      <c r="X653" s="2"/>
      <c r="Y653" s="2"/>
      <c r="Z653" s="2"/>
    </row>
    <row r="654" ht="13.5" customHeight="1">
      <c r="A654" s="2"/>
      <c r="B654" s="2"/>
      <c r="C654" s="2"/>
      <c r="D654" s="2"/>
      <c r="E654" s="2"/>
      <c r="F654" s="2"/>
      <c r="G654" s="2"/>
      <c r="H654" s="2"/>
      <c r="I654" s="2"/>
      <c r="J654" s="2"/>
      <c r="K654" s="2"/>
      <c r="L654" s="2"/>
      <c r="M654" s="2"/>
      <c r="N654" s="2"/>
      <c r="O654" s="2"/>
      <c r="P654" s="2"/>
      <c r="Q654" s="157"/>
      <c r="R654" s="157"/>
      <c r="S654" s="157"/>
      <c r="T654" s="158"/>
      <c r="U654" s="2"/>
      <c r="V654" s="30"/>
      <c r="W654" s="2"/>
      <c r="X654" s="2"/>
      <c r="Y654" s="2"/>
      <c r="Z654" s="2"/>
    </row>
    <row r="655" ht="13.5" customHeight="1">
      <c r="A655" s="2"/>
      <c r="B655" s="2"/>
      <c r="C655" s="2"/>
      <c r="D655" s="2"/>
      <c r="E655" s="2"/>
      <c r="F655" s="2"/>
      <c r="G655" s="2"/>
      <c r="H655" s="2"/>
      <c r="I655" s="2"/>
      <c r="J655" s="2"/>
      <c r="K655" s="2"/>
      <c r="L655" s="2"/>
      <c r="M655" s="2"/>
      <c r="N655" s="2"/>
      <c r="O655" s="2"/>
      <c r="P655" s="2"/>
      <c r="Q655" s="157"/>
      <c r="R655" s="157"/>
      <c r="S655" s="157"/>
      <c r="T655" s="158"/>
      <c r="U655" s="2"/>
      <c r="V655" s="30"/>
      <c r="W655" s="2"/>
      <c r="X655" s="2"/>
      <c r="Y655" s="2"/>
      <c r="Z655" s="2"/>
    </row>
    <row r="656" ht="13.5" customHeight="1">
      <c r="A656" s="2"/>
      <c r="B656" s="2"/>
      <c r="C656" s="2"/>
      <c r="D656" s="2"/>
      <c r="E656" s="2"/>
      <c r="F656" s="2"/>
      <c r="G656" s="2"/>
      <c r="H656" s="2"/>
      <c r="I656" s="2"/>
      <c r="J656" s="2"/>
      <c r="K656" s="2"/>
      <c r="L656" s="2"/>
      <c r="M656" s="2"/>
      <c r="N656" s="2"/>
      <c r="O656" s="2"/>
      <c r="P656" s="2"/>
      <c r="Q656" s="157"/>
      <c r="R656" s="157"/>
      <c r="S656" s="157"/>
      <c r="T656" s="158"/>
      <c r="U656" s="2"/>
      <c r="V656" s="30"/>
      <c r="W656" s="2"/>
      <c r="X656" s="2"/>
      <c r="Y656" s="2"/>
      <c r="Z656" s="2"/>
    </row>
    <row r="657" ht="13.5" customHeight="1">
      <c r="A657" s="2"/>
      <c r="B657" s="2"/>
      <c r="C657" s="2"/>
      <c r="D657" s="2"/>
      <c r="E657" s="2"/>
      <c r="F657" s="2"/>
      <c r="G657" s="2"/>
      <c r="H657" s="2"/>
      <c r="I657" s="2"/>
      <c r="J657" s="2"/>
      <c r="K657" s="2"/>
      <c r="L657" s="2"/>
      <c r="M657" s="2"/>
      <c r="N657" s="2"/>
      <c r="O657" s="2"/>
      <c r="P657" s="2"/>
      <c r="Q657" s="157"/>
      <c r="R657" s="157"/>
      <c r="S657" s="157"/>
      <c r="T657" s="158"/>
      <c r="U657" s="2"/>
      <c r="V657" s="30"/>
      <c r="W657" s="2"/>
      <c r="X657" s="2"/>
      <c r="Y657" s="2"/>
      <c r="Z657" s="2"/>
    </row>
    <row r="658" ht="13.5" customHeight="1">
      <c r="A658" s="2"/>
      <c r="B658" s="2"/>
      <c r="C658" s="2"/>
      <c r="D658" s="2"/>
      <c r="E658" s="2"/>
      <c r="F658" s="2"/>
      <c r="G658" s="2"/>
      <c r="H658" s="2"/>
      <c r="I658" s="2"/>
      <c r="J658" s="2"/>
      <c r="K658" s="2"/>
      <c r="L658" s="2"/>
      <c r="M658" s="2"/>
      <c r="N658" s="2"/>
      <c r="O658" s="2"/>
      <c r="P658" s="2"/>
      <c r="Q658" s="157"/>
      <c r="R658" s="157"/>
      <c r="S658" s="157"/>
      <c r="T658" s="158"/>
      <c r="U658" s="2"/>
      <c r="V658" s="30"/>
      <c r="W658" s="2"/>
      <c r="X658" s="2"/>
      <c r="Y658" s="2"/>
      <c r="Z658" s="2"/>
    </row>
    <row r="659" ht="13.5" customHeight="1">
      <c r="A659" s="2"/>
      <c r="B659" s="2"/>
      <c r="C659" s="2"/>
      <c r="D659" s="2"/>
      <c r="E659" s="2"/>
      <c r="F659" s="2"/>
      <c r="G659" s="2"/>
      <c r="H659" s="2"/>
      <c r="I659" s="2"/>
      <c r="J659" s="2"/>
      <c r="K659" s="2"/>
      <c r="L659" s="2"/>
      <c r="M659" s="2"/>
      <c r="N659" s="2"/>
      <c r="O659" s="2"/>
      <c r="P659" s="2"/>
      <c r="Q659" s="157"/>
      <c r="R659" s="157"/>
      <c r="S659" s="157"/>
      <c r="T659" s="158"/>
      <c r="U659" s="2"/>
      <c r="V659" s="30"/>
      <c r="W659" s="2"/>
      <c r="X659" s="2"/>
      <c r="Y659" s="2"/>
      <c r="Z659" s="2"/>
    </row>
    <row r="660" ht="13.5" customHeight="1">
      <c r="A660" s="2"/>
      <c r="B660" s="2"/>
      <c r="C660" s="2"/>
      <c r="D660" s="2"/>
      <c r="E660" s="2"/>
      <c r="F660" s="2"/>
      <c r="G660" s="2"/>
      <c r="H660" s="2"/>
      <c r="I660" s="2"/>
      <c r="J660" s="2"/>
      <c r="K660" s="2"/>
      <c r="L660" s="2"/>
      <c r="M660" s="2"/>
      <c r="N660" s="2"/>
      <c r="O660" s="2"/>
      <c r="P660" s="2"/>
      <c r="Q660" s="157"/>
      <c r="R660" s="157"/>
      <c r="S660" s="157"/>
      <c r="T660" s="158"/>
      <c r="U660" s="2"/>
      <c r="V660" s="30"/>
      <c r="W660" s="2"/>
      <c r="X660" s="2"/>
      <c r="Y660" s="2"/>
      <c r="Z660" s="2"/>
    </row>
    <row r="661" ht="13.5" customHeight="1">
      <c r="A661" s="2"/>
      <c r="B661" s="2"/>
      <c r="C661" s="2"/>
      <c r="D661" s="2"/>
      <c r="E661" s="2"/>
      <c r="F661" s="2"/>
      <c r="G661" s="2"/>
      <c r="H661" s="2"/>
      <c r="I661" s="2"/>
      <c r="J661" s="2"/>
      <c r="K661" s="2"/>
      <c r="L661" s="2"/>
      <c r="M661" s="2"/>
      <c r="N661" s="2"/>
      <c r="O661" s="2"/>
      <c r="P661" s="2"/>
      <c r="Q661" s="157"/>
      <c r="R661" s="157"/>
      <c r="S661" s="157"/>
      <c r="T661" s="158"/>
      <c r="U661" s="2"/>
      <c r="V661" s="30"/>
      <c r="W661" s="2"/>
      <c r="X661" s="2"/>
      <c r="Y661" s="2"/>
      <c r="Z661" s="2"/>
    </row>
    <row r="662" ht="13.5" customHeight="1">
      <c r="A662" s="2"/>
      <c r="B662" s="2"/>
      <c r="C662" s="2"/>
      <c r="D662" s="2"/>
      <c r="E662" s="2"/>
      <c r="F662" s="2"/>
      <c r="G662" s="2"/>
      <c r="H662" s="2"/>
      <c r="I662" s="2"/>
      <c r="J662" s="2"/>
      <c r="K662" s="2"/>
      <c r="L662" s="2"/>
      <c r="M662" s="2"/>
      <c r="N662" s="2"/>
      <c r="O662" s="2"/>
      <c r="P662" s="2"/>
      <c r="Q662" s="157"/>
      <c r="R662" s="157"/>
      <c r="S662" s="157"/>
      <c r="T662" s="158"/>
      <c r="U662" s="2"/>
      <c r="V662" s="30"/>
      <c r="W662" s="2"/>
      <c r="X662" s="2"/>
      <c r="Y662" s="2"/>
      <c r="Z662" s="2"/>
    </row>
    <row r="663" ht="13.5" customHeight="1">
      <c r="A663" s="2"/>
      <c r="B663" s="2"/>
      <c r="C663" s="2"/>
      <c r="D663" s="2"/>
      <c r="E663" s="2"/>
      <c r="F663" s="2"/>
      <c r="G663" s="2"/>
      <c r="H663" s="2"/>
      <c r="I663" s="2"/>
      <c r="J663" s="2"/>
      <c r="K663" s="2"/>
      <c r="L663" s="2"/>
      <c r="M663" s="2"/>
      <c r="N663" s="2"/>
      <c r="O663" s="2"/>
      <c r="P663" s="2"/>
      <c r="Q663" s="157"/>
      <c r="R663" s="157"/>
      <c r="S663" s="157"/>
      <c r="T663" s="158"/>
      <c r="U663" s="2"/>
      <c r="V663" s="30"/>
      <c r="W663" s="2"/>
      <c r="X663" s="2"/>
      <c r="Y663" s="2"/>
      <c r="Z663" s="2"/>
    </row>
    <row r="664" ht="13.5" customHeight="1">
      <c r="A664" s="2"/>
      <c r="B664" s="2"/>
      <c r="C664" s="2"/>
      <c r="D664" s="2"/>
      <c r="E664" s="2"/>
      <c r="F664" s="2"/>
      <c r="G664" s="2"/>
      <c r="H664" s="2"/>
      <c r="I664" s="2"/>
      <c r="J664" s="2"/>
      <c r="K664" s="2"/>
      <c r="L664" s="2"/>
      <c r="M664" s="2"/>
      <c r="N664" s="2"/>
      <c r="O664" s="2"/>
      <c r="P664" s="2"/>
      <c r="Q664" s="157"/>
      <c r="R664" s="157"/>
      <c r="S664" s="157"/>
      <c r="T664" s="158"/>
      <c r="U664" s="2"/>
      <c r="V664" s="30"/>
      <c r="W664" s="2"/>
      <c r="X664" s="2"/>
      <c r="Y664" s="2"/>
      <c r="Z664" s="2"/>
    </row>
    <row r="665" ht="13.5" customHeight="1">
      <c r="A665" s="2"/>
      <c r="B665" s="2"/>
      <c r="C665" s="2"/>
      <c r="D665" s="2"/>
      <c r="E665" s="2"/>
      <c r="F665" s="2"/>
      <c r="G665" s="2"/>
      <c r="H665" s="2"/>
      <c r="I665" s="2"/>
      <c r="J665" s="2"/>
      <c r="K665" s="2"/>
      <c r="L665" s="2"/>
      <c r="M665" s="2"/>
      <c r="N665" s="2"/>
      <c r="O665" s="2"/>
      <c r="P665" s="2"/>
      <c r="Q665" s="157"/>
      <c r="R665" s="157"/>
      <c r="S665" s="157"/>
      <c r="T665" s="158"/>
      <c r="U665" s="2"/>
      <c r="V665" s="30"/>
      <c r="W665" s="2"/>
      <c r="X665" s="2"/>
      <c r="Y665" s="2"/>
      <c r="Z665" s="2"/>
    </row>
    <row r="666" ht="13.5" customHeight="1">
      <c r="A666" s="2"/>
      <c r="B666" s="2"/>
      <c r="C666" s="2"/>
      <c r="D666" s="2"/>
      <c r="E666" s="2"/>
      <c r="F666" s="2"/>
      <c r="G666" s="2"/>
      <c r="H666" s="2"/>
      <c r="I666" s="2"/>
      <c r="J666" s="2"/>
      <c r="K666" s="2"/>
      <c r="L666" s="2"/>
      <c r="M666" s="2"/>
      <c r="N666" s="2"/>
      <c r="O666" s="2"/>
      <c r="P666" s="2"/>
      <c r="Q666" s="157"/>
      <c r="R666" s="157"/>
      <c r="S666" s="157"/>
      <c r="T666" s="158"/>
      <c r="U666" s="2"/>
      <c r="V666" s="30"/>
      <c r="W666" s="2"/>
      <c r="X666" s="2"/>
      <c r="Y666" s="2"/>
      <c r="Z666" s="2"/>
    </row>
    <row r="667" ht="13.5" customHeight="1">
      <c r="A667" s="2"/>
      <c r="B667" s="2"/>
      <c r="C667" s="2"/>
      <c r="D667" s="2"/>
      <c r="E667" s="2"/>
      <c r="F667" s="2"/>
      <c r="G667" s="2"/>
      <c r="H667" s="2"/>
      <c r="I667" s="2"/>
      <c r="J667" s="2"/>
      <c r="K667" s="2"/>
      <c r="L667" s="2"/>
      <c r="M667" s="2"/>
      <c r="N667" s="2"/>
      <c r="O667" s="2"/>
      <c r="P667" s="2"/>
      <c r="Q667" s="157"/>
      <c r="R667" s="157"/>
      <c r="S667" s="157"/>
      <c r="T667" s="158"/>
      <c r="U667" s="2"/>
      <c r="V667" s="30"/>
      <c r="W667" s="2"/>
      <c r="X667" s="2"/>
      <c r="Y667" s="2"/>
      <c r="Z667" s="2"/>
    </row>
    <row r="668" ht="13.5" customHeight="1">
      <c r="A668" s="2"/>
      <c r="B668" s="2"/>
      <c r="C668" s="2"/>
      <c r="D668" s="2"/>
      <c r="E668" s="2"/>
      <c r="F668" s="2"/>
      <c r="G668" s="2"/>
      <c r="H668" s="2"/>
      <c r="I668" s="2"/>
      <c r="J668" s="2"/>
      <c r="K668" s="2"/>
      <c r="L668" s="2"/>
      <c r="M668" s="2"/>
      <c r="N668" s="2"/>
      <c r="O668" s="2"/>
      <c r="P668" s="2"/>
      <c r="Q668" s="157"/>
      <c r="R668" s="157"/>
      <c r="S668" s="157"/>
      <c r="T668" s="158"/>
      <c r="U668" s="2"/>
      <c r="V668" s="30"/>
      <c r="W668" s="2"/>
      <c r="X668" s="2"/>
      <c r="Y668" s="2"/>
      <c r="Z668" s="2"/>
    </row>
    <row r="669" ht="13.5" customHeight="1">
      <c r="A669" s="2"/>
      <c r="B669" s="2"/>
      <c r="C669" s="2"/>
      <c r="D669" s="2"/>
      <c r="E669" s="2"/>
      <c r="F669" s="2"/>
      <c r="G669" s="2"/>
      <c r="H669" s="2"/>
      <c r="I669" s="2"/>
      <c r="J669" s="2"/>
      <c r="K669" s="2"/>
      <c r="L669" s="2"/>
      <c r="M669" s="2"/>
      <c r="N669" s="2"/>
      <c r="O669" s="2"/>
      <c r="P669" s="2"/>
      <c r="Q669" s="157"/>
      <c r="R669" s="157"/>
      <c r="S669" s="157"/>
      <c r="T669" s="158"/>
      <c r="U669" s="2"/>
      <c r="V669" s="30"/>
      <c r="W669" s="2"/>
      <c r="X669" s="2"/>
      <c r="Y669" s="2"/>
      <c r="Z669" s="2"/>
    </row>
    <row r="670" ht="13.5" customHeight="1">
      <c r="A670" s="2"/>
      <c r="B670" s="2"/>
      <c r="C670" s="2"/>
      <c r="D670" s="2"/>
      <c r="E670" s="2"/>
      <c r="F670" s="2"/>
      <c r="G670" s="2"/>
      <c r="H670" s="2"/>
      <c r="I670" s="2"/>
      <c r="J670" s="2"/>
      <c r="K670" s="2"/>
      <c r="L670" s="2"/>
      <c r="M670" s="2"/>
      <c r="N670" s="2"/>
      <c r="O670" s="2"/>
      <c r="P670" s="2"/>
      <c r="Q670" s="157"/>
      <c r="R670" s="157"/>
      <c r="S670" s="157"/>
      <c r="T670" s="158"/>
      <c r="U670" s="2"/>
      <c r="V670" s="30"/>
      <c r="W670" s="2"/>
      <c r="X670" s="2"/>
      <c r="Y670" s="2"/>
      <c r="Z670" s="2"/>
    </row>
    <row r="671" ht="13.5" customHeight="1">
      <c r="A671" s="2"/>
      <c r="B671" s="2"/>
      <c r="C671" s="2"/>
      <c r="D671" s="2"/>
      <c r="E671" s="2"/>
      <c r="F671" s="2"/>
      <c r="G671" s="2"/>
      <c r="H671" s="2"/>
      <c r="I671" s="2"/>
      <c r="J671" s="2"/>
      <c r="K671" s="2"/>
      <c r="L671" s="2"/>
      <c r="M671" s="2"/>
      <c r="N671" s="2"/>
      <c r="O671" s="2"/>
      <c r="P671" s="2"/>
      <c r="Q671" s="157"/>
      <c r="R671" s="157"/>
      <c r="S671" s="157"/>
      <c r="T671" s="158"/>
      <c r="U671" s="2"/>
      <c r="V671" s="30"/>
      <c r="W671" s="2"/>
      <c r="X671" s="2"/>
      <c r="Y671" s="2"/>
      <c r="Z671" s="2"/>
    </row>
    <row r="672" ht="13.5" customHeight="1">
      <c r="A672" s="2"/>
      <c r="B672" s="2"/>
      <c r="C672" s="2"/>
      <c r="D672" s="2"/>
      <c r="E672" s="2"/>
      <c r="F672" s="2"/>
      <c r="G672" s="2"/>
      <c r="H672" s="2"/>
      <c r="I672" s="2"/>
      <c r="J672" s="2"/>
      <c r="K672" s="2"/>
      <c r="L672" s="2"/>
      <c r="M672" s="2"/>
      <c r="N672" s="2"/>
      <c r="O672" s="2"/>
      <c r="P672" s="2"/>
      <c r="Q672" s="157"/>
      <c r="R672" s="157"/>
      <c r="S672" s="157"/>
      <c r="T672" s="158"/>
      <c r="U672" s="2"/>
      <c r="V672" s="30"/>
      <c r="W672" s="2"/>
      <c r="X672" s="2"/>
      <c r="Y672" s="2"/>
      <c r="Z672" s="2"/>
    </row>
    <row r="673" ht="13.5" customHeight="1">
      <c r="A673" s="2"/>
      <c r="B673" s="2"/>
      <c r="C673" s="2"/>
      <c r="D673" s="2"/>
      <c r="E673" s="2"/>
      <c r="F673" s="2"/>
      <c r="G673" s="2"/>
      <c r="H673" s="2"/>
      <c r="I673" s="2"/>
      <c r="J673" s="2"/>
      <c r="K673" s="2"/>
      <c r="L673" s="2"/>
      <c r="M673" s="2"/>
      <c r="N673" s="2"/>
      <c r="O673" s="2"/>
      <c r="P673" s="2"/>
      <c r="Q673" s="157"/>
      <c r="R673" s="157"/>
      <c r="S673" s="157"/>
      <c r="T673" s="158"/>
      <c r="U673" s="2"/>
      <c r="V673" s="30"/>
      <c r="W673" s="2"/>
      <c r="X673" s="2"/>
      <c r="Y673" s="2"/>
      <c r="Z673" s="2"/>
    </row>
    <row r="674" ht="13.5" customHeight="1">
      <c r="A674" s="2"/>
      <c r="B674" s="2"/>
      <c r="C674" s="2"/>
      <c r="D674" s="2"/>
      <c r="E674" s="2"/>
      <c r="F674" s="2"/>
      <c r="G674" s="2"/>
      <c r="H674" s="2"/>
      <c r="I674" s="2"/>
      <c r="J674" s="2"/>
      <c r="K674" s="2"/>
      <c r="L674" s="2"/>
      <c r="M674" s="2"/>
      <c r="N674" s="2"/>
      <c r="O674" s="2"/>
      <c r="P674" s="2"/>
      <c r="Q674" s="157"/>
      <c r="R674" s="157"/>
      <c r="S674" s="157"/>
      <c r="T674" s="158"/>
      <c r="U674" s="2"/>
      <c r="V674" s="30"/>
      <c r="W674" s="2"/>
      <c r="X674" s="2"/>
      <c r="Y674" s="2"/>
      <c r="Z674" s="2"/>
    </row>
    <row r="675" ht="13.5" customHeight="1">
      <c r="A675" s="2"/>
      <c r="B675" s="2"/>
      <c r="C675" s="2"/>
      <c r="D675" s="2"/>
      <c r="E675" s="2"/>
      <c r="F675" s="2"/>
      <c r="G675" s="2"/>
      <c r="H675" s="2"/>
      <c r="I675" s="2"/>
      <c r="J675" s="2"/>
      <c r="K675" s="2"/>
      <c r="L675" s="2"/>
      <c r="M675" s="2"/>
      <c r="N675" s="2"/>
      <c r="O675" s="2"/>
      <c r="P675" s="2"/>
      <c r="Q675" s="157"/>
      <c r="R675" s="157"/>
      <c r="S675" s="157"/>
      <c r="T675" s="158"/>
      <c r="U675" s="2"/>
      <c r="V675" s="30"/>
      <c r="W675" s="2"/>
      <c r="X675" s="2"/>
      <c r="Y675" s="2"/>
      <c r="Z675" s="2"/>
    </row>
    <row r="676" ht="13.5" customHeight="1">
      <c r="A676" s="2"/>
      <c r="B676" s="2"/>
      <c r="C676" s="2"/>
      <c r="D676" s="2"/>
      <c r="E676" s="2"/>
      <c r="F676" s="2"/>
      <c r="G676" s="2"/>
      <c r="H676" s="2"/>
      <c r="I676" s="2"/>
      <c r="J676" s="2"/>
      <c r="K676" s="2"/>
      <c r="L676" s="2"/>
      <c r="M676" s="2"/>
      <c r="N676" s="2"/>
      <c r="O676" s="2"/>
      <c r="P676" s="2"/>
      <c r="Q676" s="157"/>
      <c r="R676" s="157"/>
      <c r="S676" s="157"/>
      <c r="T676" s="158"/>
      <c r="U676" s="2"/>
      <c r="V676" s="30"/>
      <c r="W676" s="2"/>
      <c r="X676" s="2"/>
      <c r="Y676" s="2"/>
      <c r="Z676" s="2"/>
    </row>
    <row r="677" ht="13.5" customHeight="1">
      <c r="A677" s="2"/>
      <c r="B677" s="2"/>
      <c r="C677" s="2"/>
      <c r="D677" s="2"/>
      <c r="E677" s="2"/>
      <c r="F677" s="2"/>
      <c r="G677" s="2"/>
      <c r="H677" s="2"/>
      <c r="I677" s="2"/>
      <c r="J677" s="2"/>
      <c r="K677" s="2"/>
      <c r="L677" s="2"/>
      <c r="M677" s="2"/>
      <c r="N677" s="2"/>
      <c r="O677" s="2"/>
      <c r="P677" s="2"/>
      <c r="Q677" s="157"/>
      <c r="R677" s="157"/>
      <c r="S677" s="157"/>
      <c r="T677" s="158"/>
      <c r="U677" s="2"/>
      <c r="V677" s="30"/>
      <c r="W677" s="2"/>
      <c r="X677" s="2"/>
      <c r="Y677" s="2"/>
      <c r="Z677" s="2"/>
    </row>
    <row r="678" ht="13.5" customHeight="1">
      <c r="A678" s="2"/>
      <c r="B678" s="2"/>
      <c r="C678" s="2"/>
      <c r="D678" s="2"/>
      <c r="E678" s="2"/>
      <c r="F678" s="2"/>
      <c r="G678" s="2"/>
      <c r="H678" s="2"/>
      <c r="I678" s="2"/>
      <c r="J678" s="2"/>
      <c r="K678" s="2"/>
      <c r="L678" s="2"/>
      <c r="M678" s="2"/>
      <c r="N678" s="2"/>
      <c r="O678" s="2"/>
      <c r="P678" s="2"/>
      <c r="Q678" s="157"/>
      <c r="R678" s="157"/>
      <c r="S678" s="157"/>
      <c r="T678" s="158"/>
      <c r="U678" s="2"/>
      <c r="V678" s="30"/>
      <c r="W678" s="2"/>
      <c r="X678" s="2"/>
      <c r="Y678" s="2"/>
      <c r="Z678" s="2"/>
    </row>
    <row r="679" ht="13.5" customHeight="1">
      <c r="A679" s="2"/>
      <c r="B679" s="2"/>
      <c r="C679" s="2"/>
      <c r="D679" s="2"/>
      <c r="E679" s="2"/>
      <c r="F679" s="2"/>
      <c r="G679" s="2"/>
      <c r="H679" s="2"/>
      <c r="I679" s="2"/>
      <c r="J679" s="2"/>
      <c r="K679" s="2"/>
      <c r="L679" s="2"/>
      <c r="M679" s="2"/>
      <c r="N679" s="2"/>
      <c r="O679" s="2"/>
      <c r="P679" s="2"/>
      <c r="Q679" s="157"/>
      <c r="R679" s="157"/>
      <c r="S679" s="157"/>
      <c r="T679" s="158"/>
      <c r="U679" s="2"/>
      <c r="V679" s="30"/>
      <c r="W679" s="2"/>
      <c r="X679" s="2"/>
      <c r="Y679" s="2"/>
      <c r="Z679" s="2"/>
    </row>
    <row r="680" ht="13.5" customHeight="1">
      <c r="A680" s="2"/>
      <c r="B680" s="2"/>
      <c r="C680" s="2"/>
      <c r="D680" s="2"/>
      <c r="E680" s="2"/>
      <c r="F680" s="2"/>
      <c r="G680" s="2"/>
      <c r="H680" s="2"/>
      <c r="I680" s="2"/>
      <c r="J680" s="2"/>
      <c r="K680" s="2"/>
      <c r="L680" s="2"/>
      <c r="M680" s="2"/>
      <c r="N680" s="2"/>
      <c r="O680" s="2"/>
      <c r="P680" s="2"/>
      <c r="Q680" s="157"/>
      <c r="R680" s="157"/>
      <c r="S680" s="157"/>
      <c r="T680" s="158"/>
      <c r="U680" s="2"/>
      <c r="V680" s="30"/>
      <c r="W680" s="2"/>
      <c r="X680" s="2"/>
      <c r="Y680" s="2"/>
      <c r="Z680" s="2"/>
    </row>
    <row r="681" ht="13.5" customHeight="1">
      <c r="A681" s="2"/>
      <c r="B681" s="2"/>
      <c r="C681" s="2"/>
      <c r="D681" s="2"/>
      <c r="E681" s="2"/>
      <c r="F681" s="2"/>
      <c r="G681" s="2"/>
      <c r="H681" s="2"/>
      <c r="I681" s="2"/>
      <c r="J681" s="2"/>
      <c r="K681" s="2"/>
      <c r="L681" s="2"/>
      <c r="M681" s="2"/>
      <c r="N681" s="2"/>
      <c r="O681" s="2"/>
      <c r="P681" s="2"/>
      <c r="Q681" s="157"/>
      <c r="R681" s="157"/>
      <c r="S681" s="157"/>
      <c r="T681" s="158"/>
      <c r="U681" s="2"/>
      <c r="V681" s="30"/>
      <c r="W681" s="2"/>
      <c r="X681" s="2"/>
      <c r="Y681" s="2"/>
      <c r="Z681" s="2"/>
    </row>
    <row r="682" ht="13.5" customHeight="1">
      <c r="A682" s="2"/>
      <c r="B682" s="2"/>
      <c r="C682" s="2"/>
      <c r="D682" s="2"/>
      <c r="E682" s="2"/>
      <c r="F682" s="2"/>
      <c r="G682" s="2"/>
      <c r="H682" s="2"/>
      <c r="I682" s="2"/>
      <c r="J682" s="2"/>
      <c r="K682" s="2"/>
      <c r="L682" s="2"/>
      <c r="M682" s="2"/>
      <c r="N682" s="2"/>
      <c r="O682" s="2"/>
      <c r="P682" s="2"/>
      <c r="Q682" s="157"/>
      <c r="R682" s="157"/>
      <c r="S682" s="157"/>
      <c r="T682" s="158"/>
      <c r="U682" s="2"/>
      <c r="V682" s="30"/>
      <c r="W682" s="2"/>
      <c r="X682" s="2"/>
      <c r="Y682" s="2"/>
      <c r="Z682" s="2"/>
    </row>
    <row r="683" ht="13.5" customHeight="1">
      <c r="A683" s="2"/>
      <c r="B683" s="2"/>
      <c r="C683" s="2"/>
      <c r="D683" s="2"/>
      <c r="E683" s="2"/>
      <c r="F683" s="2"/>
      <c r="G683" s="2"/>
      <c r="H683" s="2"/>
      <c r="I683" s="2"/>
      <c r="J683" s="2"/>
      <c r="K683" s="2"/>
      <c r="L683" s="2"/>
      <c r="M683" s="2"/>
      <c r="N683" s="2"/>
      <c r="O683" s="2"/>
      <c r="P683" s="2"/>
      <c r="Q683" s="157"/>
      <c r="R683" s="157"/>
      <c r="S683" s="157"/>
      <c r="T683" s="158"/>
      <c r="U683" s="2"/>
      <c r="V683" s="30"/>
      <c r="W683" s="2"/>
      <c r="X683" s="2"/>
      <c r="Y683" s="2"/>
      <c r="Z683" s="2"/>
    </row>
    <row r="684" ht="13.5" customHeight="1">
      <c r="A684" s="2"/>
      <c r="B684" s="2"/>
      <c r="C684" s="2"/>
      <c r="D684" s="2"/>
      <c r="E684" s="2"/>
      <c r="F684" s="2"/>
      <c r="G684" s="2"/>
      <c r="H684" s="2"/>
      <c r="I684" s="2"/>
      <c r="J684" s="2"/>
      <c r="K684" s="2"/>
      <c r="L684" s="2"/>
      <c r="M684" s="2"/>
      <c r="N684" s="2"/>
      <c r="O684" s="2"/>
      <c r="P684" s="2"/>
      <c r="Q684" s="157"/>
      <c r="R684" s="157"/>
      <c r="S684" s="157"/>
      <c r="T684" s="158"/>
      <c r="U684" s="2"/>
      <c r="V684" s="30"/>
      <c r="W684" s="2"/>
      <c r="X684" s="2"/>
      <c r="Y684" s="2"/>
      <c r="Z684" s="2"/>
    </row>
    <row r="685" ht="13.5" customHeight="1">
      <c r="A685" s="2"/>
      <c r="B685" s="2"/>
      <c r="C685" s="2"/>
      <c r="D685" s="2"/>
      <c r="E685" s="2"/>
      <c r="F685" s="2"/>
      <c r="G685" s="2"/>
      <c r="H685" s="2"/>
      <c r="I685" s="2"/>
      <c r="J685" s="2"/>
      <c r="K685" s="2"/>
      <c r="L685" s="2"/>
      <c r="M685" s="2"/>
      <c r="N685" s="2"/>
      <c r="O685" s="2"/>
      <c r="P685" s="2"/>
      <c r="Q685" s="157"/>
      <c r="R685" s="157"/>
      <c r="S685" s="157"/>
      <c r="T685" s="158"/>
      <c r="U685" s="2"/>
      <c r="V685" s="30"/>
      <c r="W685" s="2"/>
      <c r="X685" s="2"/>
      <c r="Y685" s="2"/>
      <c r="Z685" s="2"/>
    </row>
    <row r="686" ht="13.5" customHeight="1">
      <c r="A686" s="2"/>
      <c r="B686" s="2"/>
      <c r="C686" s="2"/>
      <c r="D686" s="2"/>
      <c r="E686" s="2"/>
      <c r="F686" s="2"/>
      <c r="G686" s="2"/>
      <c r="H686" s="2"/>
      <c r="I686" s="2"/>
      <c r="J686" s="2"/>
      <c r="K686" s="2"/>
      <c r="L686" s="2"/>
      <c r="M686" s="2"/>
      <c r="N686" s="2"/>
      <c r="O686" s="2"/>
      <c r="P686" s="2"/>
      <c r="Q686" s="157"/>
      <c r="R686" s="157"/>
      <c r="S686" s="157"/>
      <c r="T686" s="158"/>
      <c r="U686" s="2"/>
      <c r="V686" s="30"/>
      <c r="W686" s="2"/>
      <c r="X686" s="2"/>
      <c r="Y686" s="2"/>
      <c r="Z686" s="2"/>
    </row>
    <row r="687" ht="13.5" customHeight="1">
      <c r="A687" s="2"/>
      <c r="B687" s="2"/>
      <c r="C687" s="2"/>
      <c r="D687" s="2"/>
      <c r="E687" s="2"/>
      <c r="F687" s="2"/>
      <c r="G687" s="2"/>
      <c r="H687" s="2"/>
      <c r="I687" s="2"/>
      <c r="J687" s="2"/>
      <c r="K687" s="2"/>
      <c r="L687" s="2"/>
      <c r="M687" s="2"/>
      <c r="N687" s="2"/>
      <c r="O687" s="2"/>
      <c r="P687" s="2"/>
      <c r="Q687" s="157"/>
      <c r="R687" s="157"/>
      <c r="S687" s="157"/>
      <c r="T687" s="158"/>
      <c r="U687" s="2"/>
      <c r="V687" s="30"/>
      <c r="W687" s="2"/>
      <c r="X687" s="2"/>
      <c r="Y687" s="2"/>
      <c r="Z687" s="2"/>
    </row>
    <row r="688" ht="13.5" customHeight="1">
      <c r="A688" s="2"/>
      <c r="B688" s="2"/>
      <c r="C688" s="2"/>
      <c r="D688" s="2"/>
      <c r="E688" s="2"/>
      <c r="F688" s="2"/>
      <c r="G688" s="2"/>
      <c r="H688" s="2"/>
      <c r="I688" s="2"/>
      <c r="J688" s="2"/>
      <c r="K688" s="2"/>
      <c r="L688" s="2"/>
      <c r="M688" s="2"/>
      <c r="N688" s="2"/>
      <c r="O688" s="2"/>
      <c r="P688" s="2"/>
      <c r="Q688" s="157"/>
      <c r="R688" s="157"/>
      <c r="S688" s="157"/>
      <c r="T688" s="158"/>
      <c r="U688" s="2"/>
      <c r="V688" s="30"/>
      <c r="W688" s="2"/>
      <c r="X688" s="2"/>
      <c r="Y688" s="2"/>
      <c r="Z688" s="2"/>
    </row>
    <row r="689" ht="13.5" customHeight="1">
      <c r="A689" s="2"/>
      <c r="B689" s="2"/>
      <c r="C689" s="2"/>
      <c r="D689" s="2"/>
      <c r="E689" s="2"/>
      <c r="F689" s="2"/>
      <c r="G689" s="2"/>
      <c r="H689" s="2"/>
      <c r="I689" s="2"/>
      <c r="J689" s="2"/>
      <c r="K689" s="2"/>
      <c r="L689" s="2"/>
      <c r="M689" s="2"/>
      <c r="N689" s="2"/>
      <c r="O689" s="2"/>
      <c r="P689" s="2"/>
      <c r="Q689" s="157"/>
      <c r="R689" s="157"/>
      <c r="S689" s="157"/>
      <c r="T689" s="158"/>
      <c r="U689" s="2"/>
      <c r="V689" s="30"/>
      <c r="W689" s="2"/>
      <c r="X689" s="2"/>
      <c r="Y689" s="2"/>
      <c r="Z689" s="2"/>
    </row>
    <row r="690" ht="13.5" customHeight="1">
      <c r="A690" s="2"/>
      <c r="B690" s="2"/>
      <c r="C690" s="2"/>
      <c r="D690" s="2"/>
      <c r="E690" s="2"/>
      <c r="F690" s="2"/>
      <c r="G690" s="2"/>
      <c r="H690" s="2"/>
      <c r="I690" s="2"/>
      <c r="J690" s="2"/>
      <c r="K690" s="2"/>
      <c r="L690" s="2"/>
      <c r="M690" s="2"/>
      <c r="N690" s="2"/>
      <c r="O690" s="2"/>
      <c r="P690" s="2"/>
      <c r="Q690" s="157"/>
      <c r="R690" s="157"/>
      <c r="S690" s="157"/>
      <c r="T690" s="158"/>
      <c r="U690" s="2"/>
      <c r="V690" s="30"/>
      <c r="W690" s="2"/>
      <c r="X690" s="2"/>
      <c r="Y690" s="2"/>
      <c r="Z690" s="2"/>
    </row>
    <row r="691" ht="13.5" customHeight="1">
      <c r="A691" s="2"/>
      <c r="B691" s="2"/>
      <c r="C691" s="2"/>
      <c r="D691" s="2"/>
      <c r="E691" s="2"/>
      <c r="F691" s="2"/>
      <c r="G691" s="2"/>
      <c r="H691" s="2"/>
      <c r="I691" s="2"/>
      <c r="J691" s="2"/>
      <c r="K691" s="2"/>
      <c r="L691" s="2"/>
      <c r="M691" s="2"/>
      <c r="N691" s="2"/>
      <c r="O691" s="2"/>
      <c r="P691" s="2"/>
      <c r="Q691" s="157"/>
      <c r="R691" s="157"/>
      <c r="S691" s="157"/>
      <c r="T691" s="158"/>
      <c r="U691" s="2"/>
      <c r="V691" s="30"/>
      <c r="W691" s="2"/>
      <c r="X691" s="2"/>
      <c r="Y691" s="2"/>
      <c r="Z691" s="2"/>
    </row>
    <row r="692" ht="13.5" customHeight="1">
      <c r="A692" s="2"/>
      <c r="B692" s="2"/>
      <c r="C692" s="2"/>
      <c r="D692" s="2"/>
      <c r="E692" s="2"/>
      <c r="F692" s="2"/>
      <c r="G692" s="2"/>
      <c r="H692" s="2"/>
      <c r="I692" s="2"/>
      <c r="J692" s="2"/>
      <c r="K692" s="2"/>
      <c r="L692" s="2"/>
      <c r="M692" s="2"/>
      <c r="N692" s="2"/>
      <c r="O692" s="2"/>
      <c r="P692" s="2"/>
      <c r="Q692" s="157"/>
      <c r="R692" s="157"/>
      <c r="S692" s="157"/>
      <c r="T692" s="158"/>
      <c r="U692" s="2"/>
      <c r="V692" s="30"/>
      <c r="W692" s="2"/>
      <c r="X692" s="2"/>
      <c r="Y692" s="2"/>
      <c r="Z692" s="2"/>
    </row>
    <row r="693" ht="13.5" customHeight="1">
      <c r="A693" s="2"/>
      <c r="B693" s="2"/>
      <c r="C693" s="2"/>
      <c r="D693" s="2"/>
      <c r="E693" s="2"/>
      <c r="F693" s="2"/>
      <c r="G693" s="2"/>
      <c r="H693" s="2"/>
      <c r="I693" s="2"/>
      <c r="J693" s="2"/>
      <c r="K693" s="2"/>
      <c r="L693" s="2"/>
      <c r="M693" s="2"/>
      <c r="N693" s="2"/>
      <c r="O693" s="2"/>
      <c r="P693" s="2"/>
      <c r="Q693" s="157"/>
      <c r="R693" s="157"/>
      <c r="S693" s="157"/>
      <c r="T693" s="158"/>
      <c r="U693" s="2"/>
      <c r="V693" s="30"/>
      <c r="W693" s="2"/>
      <c r="X693" s="2"/>
      <c r="Y693" s="2"/>
      <c r="Z693" s="2"/>
    </row>
    <row r="694" ht="13.5" customHeight="1">
      <c r="A694" s="2"/>
      <c r="B694" s="2"/>
      <c r="C694" s="2"/>
      <c r="D694" s="2"/>
      <c r="E694" s="2"/>
      <c r="F694" s="2"/>
      <c r="G694" s="2"/>
      <c r="H694" s="2"/>
      <c r="I694" s="2"/>
      <c r="J694" s="2"/>
      <c r="K694" s="2"/>
      <c r="L694" s="2"/>
      <c r="M694" s="2"/>
      <c r="N694" s="2"/>
      <c r="O694" s="2"/>
      <c r="P694" s="2"/>
      <c r="Q694" s="157"/>
      <c r="R694" s="157"/>
      <c r="S694" s="157"/>
      <c r="T694" s="158"/>
      <c r="U694" s="2"/>
      <c r="V694" s="30"/>
      <c r="W694" s="2"/>
      <c r="X694" s="2"/>
      <c r="Y694" s="2"/>
      <c r="Z694" s="2"/>
    </row>
    <row r="695" ht="13.5" customHeight="1">
      <c r="A695" s="2"/>
      <c r="B695" s="2"/>
      <c r="C695" s="2"/>
      <c r="D695" s="2"/>
      <c r="E695" s="2"/>
      <c r="F695" s="2"/>
      <c r="G695" s="2"/>
      <c r="H695" s="2"/>
      <c r="I695" s="2"/>
      <c r="J695" s="2"/>
      <c r="K695" s="2"/>
      <c r="L695" s="2"/>
      <c r="M695" s="2"/>
      <c r="N695" s="2"/>
      <c r="O695" s="2"/>
      <c r="P695" s="2"/>
      <c r="Q695" s="157"/>
      <c r="R695" s="157"/>
      <c r="S695" s="157"/>
      <c r="T695" s="158"/>
      <c r="U695" s="2"/>
      <c r="V695" s="30"/>
      <c r="W695" s="2"/>
      <c r="X695" s="2"/>
      <c r="Y695" s="2"/>
      <c r="Z695" s="2"/>
    </row>
    <row r="696" ht="13.5" customHeight="1">
      <c r="A696" s="2"/>
      <c r="B696" s="2"/>
      <c r="C696" s="2"/>
      <c r="D696" s="2"/>
      <c r="E696" s="2"/>
      <c r="F696" s="2"/>
      <c r="G696" s="2"/>
      <c r="H696" s="2"/>
      <c r="I696" s="2"/>
      <c r="J696" s="2"/>
      <c r="K696" s="2"/>
      <c r="L696" s="2"/>
      <c r="M696" s="2"/>
      <c r="N696" s="2"/>
      <c r="O696" s="2"/>
      <c r="P696" s="2"/>
      <c r="Q696" s="157"/>
      <c r="R696" s="157"/>
      <c r="S696" s="157"/>
      <c r="T696" s="158"/>
      <c r="U696" s="2"/>
      <c r="V696" s="30"/>
      <c r="W696" s="2"/>
      <c r="X696" s="2"/>
      <c r="Y696" s="2"/>
      <c r="Z696" s="2"/>
    </row>
    <row r="697" ht="13.5" customHeight="1">
      <c r="A697" s="2"/>
      <c r="B697" s="2"/>
      <c r="C697" s="2"/>
      <c r="D697" s="2"/>
      <c r="E697" s="2"/>
      <c r="F697" s="2"/>
      <c r="G697" s="2"/>
      <c r="H697" s="2"/>
      <c r="I697" s="2"/>
      <c r="J697" s="2"/>
      <c r="K697" s="2"/>
      <c r="L697" s="2"/>
      <c r="M697" s="2"/>
      <c r="N697" s="2"/>
      <c r="O697" s="2"/>
      <c r="P697" s="2"/>
      <c r="Q697" s="157"/>
      <c r="R697" s="157"/>
      <c r="S697" s="157"/>
      <c r="T697" s="158"/>
      <c r="U697" s="2"/>
      <c r="V697" s="30"/>
      <c r="W697" s="2"/>
      <c r="X697" s="2"/>
      <c r="Y697" s="2"/>
      <c r="Z697" s="2"/>
    </row>
    <row r="698" ht="13.5" customHeight="1">
      <c r="A698" s="2"/>
      <c r="B698" s="2"/>
      <c r="C698" s="2"/>
      <c r="D698" s="2"/>
      <c r="E698" s="2"/>
      <c r="F698" s="2"/>
      <c r="G698" s="2"/>
      <c r="H698" s="2"/>
      <c r="I698" s="2"/>
      <c r="J698" s="2"/>
      <c r="K698" s="2"/>
      <c r="L698" s="2"/>
      <c r="M698" s="2"/>
      <c r="N698" s="2"/>
      <c r="O698" s="2"/>
      <c r="P698" s="2"/>
      <c r="Q698" s="157"/>
      <c r="R698" s="157"/>
      <c r="S698" s="157"/>
      <c r="T698" s="158"/>
      <c r="U698" s="2"/>
      <c r="V698" s="30"/>
      <c r="W698" s="2"/>
      <c r="X698" s="2"/>
      <c r="Y698" s="2"/>
      <c r="Z698" s="2"/>
    </row>
    <row r="699" ht="13.5" customHeight="1">
      <c r="A699" s="2"/>
      <c r="B699" s="2"/>
      <c r="C699" s="2"/>
      <c r="D699" s="2"/>
      <c r="E699" s="2"/>
      <c r="F699" s="2"/>
      <c r="G699" s="2"/>
      <c r="H699" s="2"/>
      <c r="I699" s="2"/>
      <c r="J699" s="2"/>
      <c r="K699" s="2"/>
      <c r="L699" s="2"/>
      <c r="M699" s="2"/>
      <c r="N699" s="2"/>
      <c r="O699" s="2"/>
      <c r="P699" s="2"/>
      <c r="Q699" s="157"/>
      <c r="R699" s="157"/>
      <c r="S699" s="157"/>
      <c r="T699" s="158"/>
      <c r="U699" s="2"/>
      <c r="V699" s="30"/>
      <c r="W699" s="2"/>
      <c r="X699" s="2"/>
      <c r="Y699" s="2"/>
      <c r="Z699" s="2"/>
    </row>
    <row r="700" ht="13.5" customHeight="1">
      <c r="A700" s="2"/>
      <c r="B700" s="2"/>
      <c r="C700" s="2"/>
      <c r="D700" s="2"/>
      <c r="E700" s="2"/>
      <c r="F700" s="2"/>
      <c r="G700" s="2"/>
      <c r="H700" s="2"/>
      <c r="I700" s="2"/>
      <c r="J700" s="2"/>
      <c r="K700" s="2"/>
      <c r="L700" s="2"/>
      <c r="M700" s="2"/>
      <c r="N700" s="2"/>
      <c r="O700" s="2"/>
      <c r="P700" s="2"/>
      <c r="Q700" s="157"/>
      <c r="R700" s="157"/>
      <c r="S700" s="157"/>
      <c r="T700" s="158"/>
      <c r="U700" s="2"/>
      <c r="V700" s="30"/>
      <c r="W700" s="2"/>
      <c r="X700" s="2"/>
      <c r="Y700" s="2"/>
      <c r="Z700" s="2"/>
    </row>
    <row r="701" ht="13.5" customHeight="1">
      <c r="A701" s="2"/>
      <c r="B701" s="2"/>
      <c r="C701" s="2"/>
      <c r="D701" s="2"/>
      <c r="E701" s="2"/>
      <c r="F701" s="2"/>
      <c r="G701" s="2"/>
      <c r="H701" s="2"/>
      <c r="I701" s="2"/>
      <c r="J701" s="2"/>
      <c r="K701" s="2"/>
      <c r="L701" s="2"/>
      <c r="M701" s="2"/>
      <c r="N701" s="2"/>
      <c r="O701" s="2"/>
      <c r="P701" s="2"/>
      <c r="Q701" s="157"/>
      <c r="R701" s="157"/>
      <c r="S701" s="157"/>
      <c r="T701" s="158"/>
      <c r="U701" s="2"/>
      <c r="V701" s="30"/>
      <c r="W701" s="2"/>
      <c r="X701" s="2"/>
      <c r="Y701" s="2"/>
      <c r="Z701" s="2"/>
    </row>
    <row r="702" ht="13.5" customHeight="1">
      <c r="A702" s="2"/>
      <c r="B702" s="2"/>
      <c r="C702" s="2"/>
      <c r="D702" s="2"/>
      <c r="E702" s="2"/>
      <c r="F702" s="2"/>
      <c r="G702" s="2"/>
      <c r="H702" s="2"/>
      <c r="I702" s="2"/>
      <c r="J702" s="2"/>
      <c r="K702" s="2"/>
      <c r="L702" s="2"/>
      <c r="M702" s="2"/>
      <c r="N702" s="2"/>
      <c r="O702" s="2"/>
      <c r="P702" s="2"/>
      <c r="Q702" s="157"/>
      <c r="R702" s="157"/>
      <c r="S702" s="157"/>
      <c r="T702" s="158"/>
      <c r="U702" s="2"/>
      <c r="V702" s="30"/>
      <c r="W702" s="2"/>
      <c r="X702" s="2"/>
      <c r="Y702" s="2"/>
      <c r="Z702" s="2"/>
    </row>
    <row r="703" ht="13.5" customHeight="1">
      <c r="A703" s="2"/>
      <c r="B703" s="2"/>
      <c r="C703" s="2"/>
      <c r="D703" s="2"/>
      <c r="E703" s="2"/>
      <c r="F703" s="2"/>
      <c r="G703" s="2"/>
      <c r="H703" s="2"/>
      <c r="I703" s="2"/>
      <c r="J703" s="2"/>
      <c r="K703" s="2"/>
      <c r="L703" s="2"/>
      <c r="M703" s="2"/>
      <c r="N703" s="2"/>
      <c r="O703" s="2"/>
      <c r="P703" s="2"/>
      <c r="Q703" s="157"/>
      <c r="R703" s="157"/>
      <c r="S703" s="157"/>
      <c r="T703" s="158"/>
      <c r="U703" s="2"/>
      <c r="V703" s="30"/>
      <c r="W703" s="2"/>
      <c r="X703" s="2"/>
      <c r="Y703" s="2"/>
      <c r="Z703" s="2"/>
    </row>
    <row r="704" ht="13.5" customHeight="1">
      <c r="A704" s="2"/>
      <c r="B704" s="2"/>
      <c r="C704" s="2"/>
      <c r="D704" s="2"/>
      <c r="E704" s="2"/>
      <c r="F704" s="2"/>
      <c r="G704" s="2"/>
      <c r="H704" s="2"/>
      <c r="I704" s="2"/>
      <c r="J704" s="2"/>
      <c r="K704" s="2"/>
      <c r="L704" s="2"/>
      <c r="M704" s="2"/>
      <c r="N704" s="2"/>
      <c r="O704" s="2"/>
      <c r="P704" s="2"/>
      <c r="Q704" s="157"/>
      <c r="R704" s="157"/>
      <c r="S704" s="157"/>
      <c r="T704" s="158"/>
      <c r="U704" s="2"/>
      <c r="V704" s="30"/>
      <c r="W704" s="2"/>
      <c r="X704" s="2"/>
      <c r="Y704" s="2"/>
      <c r="Z704" s="2"/>
    </row>
    <row r="705" ht="13.5" customHeight="1">
      <c r="A705" s="2"/>
      <c r="B705" s="2"/>
      <c r="C705" s="2"/>
      <c r="D705" s="2"/>
      <c r="E705" s="2"/>
      <c r="F705" s="2"/>
      <c r="G705" s="2"/>
      <c r="H705" s="2"/>
      <c r="I705" s="2"/>
      <c r="J705" s="2"/>
      <c r="K705" s="2"/>
      <c r="L705" s="2"/>
      <c r="M705" s="2"/>
      <c r="N705" s="2"/>
      <c r="O705" s="2"/>
      <c r="P705" s="2"/>
      <c r="Q705" s="157"/>
      <c r="R705" s="157"/>
      <c r="S705" s="157"/>
      <c r="T705" s="158"/>
      <c r="U705" s="2"/>
      <c r="V705" s="30"/>
      <c r="W705" s="2"/>
      <c r="X705" s="2"/>
      <c r="Y705" s="2"/>
      <c r="Z705" s="2"/>
    </row>
    <row r="706" ht="13.5" customHeight="1">
      <c r="A706" s="2"/>
      <c r="B706" s="2"/>
      <c r="C706" s="2"/>
      <c r="D706" s="2"/>
      <c r="E706" s="2"/>
      <c r="F706" s="2"/>
      <c r="G706" s="2"/>
      <c r="H706" s="2"/>
      <c r="I706" s="2"/>
      <c r="J706" s="2"/>
      <c r="K706" s="2"/>
      <c r="L706" s="2"/>
      <c r="M706" s="2"/>
      <c r="N706" s="2"/>
      <c r="O706" s="2"/>
      <c r="P706" s="2"/>
      <c r="Q706" s="157"/>
      <c r="R706" s="157"/>
      <c r="S706" s="157"/>
      <c r="T706" s="158"/>
      <c r="U706" s="2"/>
      <c r="V706" s="30"/>
      <c r="W706" s="2"/>
      <c r="X706" s="2"/>
      <c r="Y706" s="2"/>
      <c r="Z706" s="2"/>
    </row>
    <row r="707" ht="13.5" customHeight="1">
      <c r="A707" s="2"/>
      <c r="B707" s="2"/>
      <c r="C707" s="2"/>
      <c r="D707" s="2"/>
      <c r="E707" s="2"/>
      <c r="F707" s="2"/>
      <c r="G707" s="2"/>
      <c r="H707" s="2"/>
      <c r="I707" s="2"/>
      <c r="J707" s="2"/>
      <c r="K707" s="2"/>
      <c r="L707" s="2"/>
      <c r="M707" s="2"/>
      <c r="N707" s="2"/>
      <c r="O707" s="2"/>
      <c r="P707" s="2"/>
      <c r="Q707" s="157"/>
      <c r="R707" s="157"/>
      <c r="S707" s="157"/>
      <c r="T707" s="158"/>
      <c r="U707" s="2"/>
      <c r="V707" s="30"/>
      <c r="W707" s="2"/>
      <c r="X707" s="2"/>
      <c r="Y707" s="2"/>
      <c r="Z707" s="2"/>
    </row>
    <row r="708" ht="13.5" customHeight="1">
      <c r="A708" s="2"/>
      <c r="B708" s="2"/>
      <c r="C708" s="2"/>
      <c r="D708" s="2"/>
      <c r="E708" s="2"/>
      <c r="F708" s="2"/>
      <c r="G708" s="2"/>
      <c r="H708" s="2"/>
      <c r="I708" s="2"/>
      <c r="J708" s="2"/>
      <c r="K708" s="2"/>
      <c r="L708" s="2"/>
      <c r="M708" s="2"/>
      <c r="N708" s="2"/>
      <c r="O708" s="2"/>
      <c r="P708" s="2"/>
      <c r="Q708" s="157"/>
      <c r="R708" s="157"/>
      <c r="S708" s="157"/>
      <c r="T708" s="158"/>
      <c r="U708" s="2"/>
      <c r="V708" s="30"/>
      <c r="W708" s="2"/>
      <c r="X708" s="2"/>
      <c r="Y708" s="2"/>
      <c r="Z708" s="2"/>
    </row>
    <row r="709" ht="13.5" customHeight="1">
      <c r="A709" s="2"/>
      <c r="B709" s="2"/>
      <c r="C709" s="2"/>
      <c r="D709" s="2"/>
      <c r="E709" s="2"/>
      <c r="F709" s="2"/>
      <c r="G709" s="2"/>
      <c r="H709" s="2"/>
      <c r="I709" s="2"/>
      <c r="J709" s="2"/>
      <c r="K709" s="2"/>
      <c r="L709" s="2"/>
      <c r="M709" s="2"/>
      <c r="N709" s="2"/>
      <c r="O709" s="2"/>
      <c r="P709" s="2"/>
      <c r="Q709" s="157"/>
      <c r="R709" s="157"/>
      <c r="S709" s="157"/>
      <c r="T709" s="158"/>
      <c r="U709" s="2"/>
      <c r="V709" s="30"/>
      <c r="W709" s="2"/>
      <c r="X709" s="2"/>
      <c r="Y709" s="2"/>
      <c r="Z709" s="2"/>
    </row>
    <row r="710" ht="13.5" customHeight="1">
      <c r="A710" s="2"/>
      <c r="B710" s="2"/>
      <c r="C710" s="2"/>
      <c r="D710" s="2"/>
      <c r="E710" s="2"/>
      <c r="F710" s="2"/>
      <c r="G710" s="2"/>
      <c r="H710" s="2"/>
      <c r="I710" s="2"/>
      <c r="J710" s="2"/>
      <c r="K710" s="2"/>
      <c r="L710" s="2"/>
      <c r="M710" s="2"/>
      <c r="N710" s="2"/>
      <c r="O710" s="2"/>
      <c r="P710" s="2"/>
      <c r="Q710" s="157"/>
      <c r="R710" s="157"/>
      <c r="S710" s="157"/>
      <c r="T710" s="158"/>
      <c r="U710" s="2"/>
      <c r="V710" s="30"/>
      <c r="W710" s="2"/>
      <c r="X710" s="2"/>
      <c r="Y710" s="2"/>
      <c r="Z710" s="2"/>
    </row>
    <row r="711" ht="13.5" customHeight="1">
      <c r="A711" s="2"/>
      <c r="B711" s="2"/>
      <c r="C711" s="2"/>
      <c r="D711" s="2"/>
      <c r="E711" s="2"/>
      <c r="F711" s="2"/>
      <c r="G711" s="2"/>
      <c r="H711" s="2"/>
      <c r="I711" s="2"/>
      <c r="J711" s="2"/>
      <c r="K711" s="2"/>
      <c r="L711" s="2"/>
      <c r="M711" s="2"/>
      <c r="N711" s="2"/>
      <c r="O711" s="2"/>
      <c r="P711" s="2"/>
      <c r="Q711" s="157"/>
      <c r="R711" s="157"/>
      <c r="S711" s="157"/>
      <c r="T711" s="158"/>
      <c r="U711" s="2"/>
      <c r="V711" s="30"/>
      <c r="W711" s="2"/>
      <c r="X711" s="2"/>
      <c r="Y711" s="2"/>
      <c r="Z711" s="2"/>
    </row>
    <row r="712" ht="13.5" customHeight="1">
      <c r="A712" s="2"/>
      <c r="B712" s="2"/>
      <c r="C712" s="2"/>
      <c r="D712" s="2"/>
      <c r="E712" s="2"/>
      <c r="F712" s="2"/>
      <c r="G712" s="2"/>
      <c r="H712" s="2"/>
      <c r="I712" s="2"/>
      <c r="J712" s="2"/>
      <c r="K712" s="2"/>
      <c r="L712" s="2"/>
      <c r="M712" s="2"/>
      <c r="N712" s="2"/>
      <c r="O712" s="2"/>
      <c r="P712" s="2"/>
      <c r="Q712" s="157"/>
      <c r="R712" s="157"/>
      <c r="S712" s="157"/>
      <c r="T712" s="158"/>
      <c r="U712" s="2"/>
      <c r="V712" s="30"/>
      <c r="W712" s="2"/>
      <c r="X712" s="2"/>
      <c r="Y712" s="2"/>
      <c r="Z712" s="2"/>
    </row>
    <row r="713" ht="13.5" customHeight="1">
      <c r="A713" s="2"/>
      <c r="B713" s="2"/>
      <c r="C713" s="2"/>
      <c r="D713" s="2"/>
      <c r="E713" s="2"/>
      <c r="F713" s="2"/>
      <c r="G713" s="2"/>
      <c r="H713" s="2"/>
      <c r="I713" s="2"/>
      <c r="J713" s="2"/>
      <c r="K713" s="2"/>
      <c r="L713" s="2"/>
      <c r="M713" s="2"/>
      <c r="N713" s="2"/>
      <c r="O713" s="2"/>
      <c r="P713" s="2"/>
      <c r="Q713" s="157"/>
      <c r="R713" s="157"/>
      <c r="S713" s="157"/>
      <c r="T713" s="158"/>
      <c r="U713" s="2"/>
      <c r="V713" s="30"/>
      <c r="W713" s="2"/>
      <c r="X713" s="2"/>
      <c r="Y713" s="2"/>
      <c r="Z713" s="2"/>
    </row>
    <row r="714" ht="13.5" customHeight="1">
      <c r="A714" s="2"/>
      <c r="B714" s="2"/>
      <c r="C714" s="2"/>
      <c r="D714" s="2"/>
      <c r="E714" s="2"/>
      <c r="F714" s="2"/>
      <c r="G714" s="2"/>
      <c r="H714" s="2"/>
      <c r="I714" s="2"/>
      <c r="J714" s="2"/>
      <c r="K714" s="2"/>
      <c r="L714" s="2"/>
      <c r="M714" s="2"/>
      <c r="N714" s="2"/>
      <c r="O714" s="2"/>
      <c r="P714" s="2"/>
      <c r="Q714" s="157"/>
      <c r="R714" s="157"/>
      <c r="S714" s="157"/>
      <c r="T714" s="158"/>
      <c r="U714" s="2"/>
      <c r="V714" s="30"/>
      <c r="W714" s="2"/>
      <c r="X714" s="2"/>
      <c r="Y714" s="2"/>
      <c r="Z714" s="2"/>
    </row>
    <row r="715" ht="13.5" customHeight="1">
      <c r="A715" s="2"/>
      <c r="B715" s="2"/>
      <c r="C715" s="2"/>
      <c r="D715" s="2"/>
      <c r="E715" s="2"/>
      <c r="F715" s="2"/>
      <c r="G715" s="2"/>
      <c r="H715" s="2"/>
      <c r="I715" s="2"/>
      <c r="J715" s="2"/>
      <c r="K715" s="2"/>
      <c r="L715" s="2"/>
      <c r="M715" s="2"/>
      <c r="N715" s="2"/>
      <c r="O715" s="2"/>
      <c r="P715" s="2"/>
      <c r="Q715" s="157"/>
      <c r="R715" s="157"/>
      <c r="S715" s="157"/>
      <c r="T715" s="158"/>
      <c r="U715" s="2"/>
      <c r="V715" s="30"/>
      <c r="W715" s="2"/>
      <c r="X715" s="2"/>
      <c r="Y715" s="2"/>
      <c r="Z715" s="2"/>
    </row>
    <row r="716" ht="13.5" customHeight="1">
      <c r="A716" s="2"/>
      <c r="B716" s="2"/>
      <c r="C716" s="2"/>
      <c r="D716" s="2"/>
      <c r="E716" s="2"/>
      <c r="F716" s="2"/>
      <c r="G716" s="2"/>
      <c r="H716" s="2"/>
      <c r="I716" s="2"/>
      <c r="J716" s="2"/>
      <c r="K716" s="2"/>
      <c r="L716" s="2"/>
      <c r="M716" s="2"/>
      <c r="N716" s="2"/>
      <c r="O716" s="2"/>
      <c r="P716" s="2"/>
      <c r="Q716" s="157"/>
      <c r="R716" s="157"/>
      <c r="S716" s="157"/>
      <c r="T716" s="158"/>
      <c r="U716" s="2"/>
      <c r="V716" s="30"/>
      <c r="W716" s="2"/>
      <c r="X716" s="2"/>
      <c r="Y716" s="2"/>
      <c r="Z716" s="2"/>
    </row>
    <row r="717" ht="13.5" customHeight="1">
      <c r="A717" s="2"/>
      <c r="B717" s="2"/>
      <c r="C717" s="2"/>
      <c r="D717" s="2"/>
      <c r="E717" s="2"/>
      <c r="F717" s="2"/>
      <c r="G717" s="2"/>
      <c r="H717" s="2"/>
      <c r="I717" s="2"/>
      <c r="J717" s="2"/>
      <c r="K717" s="2"/>
      <c r="L717" s="2"/>
      <c r="M717" s="2"/>
      <c r="N717" s="2"/>
      <c r="O717" s="2"/>
      <c r="P717" s="2"/>
      <c r="Q717" s="157"/>
      <c r="R717" s="157"/>
      <c r="S717" s="157"/>
      <c r="T717" s="158"/>
      <c r="U717" s="2"/>
      <c r="V717" s="30"/>
      <c r="W717" s="2"/>
      <c r="X717" s="2"/>
      <c r="Y717" s="2"/>
      <c r="Z717" s="2"/>
    </row>
    <row r="718" ht="13.5" customHeight="1">
      <c r="A718" s="2"/>
      <c r="B718" s="2"/>
      <c r="C718" s="2"/>
      <c r="D718" s="2"/>
      <c r="E718" s="2"/>
      <c r="F718" s="2"/>
      <c r="G718" s="2"/>
      <c r="H718" s="2"/>
      <c r="I718" s="2"/>
      <c r="J718" s="2"/>
      <c r="K718" s="2"/>
      <c r="L718" s="2"/>
      <c r="M718" s="2"/>
      <c r="N718" s="2"/>
      <c r="O718" s="2"/>
      <c r="P718" s="2"/>
      <c r="Q718" s="157"/>
      <c r="R718" s="157"/>
      <c r="S718" s="157"/>
      <c r="T718" s="158"/>
      <c r="U718" s="2"/>
      <c r="V718" s="30"/>
      <c r="W718" s="2"/>
      <c r="X718" s="2"/>
      <c r="Y718" s="2"/>
      <c r="Z718" s="2"/>
    </row>
    <row r="719" ht="13.5" customHeight="1">
      <c r="A719" s="2"/>
      <c r="B719" s="2"/>
      <c r="C719" s="2"/>
      <c r="D719" s="2"/>
      <c r="E719" s="2"/>
      <c r="F719" s="2"/>
      <c r="G719" s="2"/>
      <c r="H719" s="2"/>
      <c r="I719" s="2"/>
      <c r="J719" s="2"/>
      <c r="K719" s="2"/>
      <c r="L719" s="2"/>
      <c r="M719" s="2"/>
      <c r="N719" s="2"/>
      <c r="O719" s="2"/>
      <c r="P719" s="2"/>
      <c r="Q719" s="157"/>
      <c r="R719" s="157"/>
      <c r="S719" s="157"/>
      <c r="T719" s="158"/>
      <c r="U719" s="2"/>
      <c r="V719" s="30"/>
      <c r="W719" s="2"/>
      <c r="X719" s="2"/>
      <c r="Y719" s="2"/>
      <c r="Z719" s="2"/>
    </row>
    <row r="720" ht="13.5" customHeight="1">
      <c r="A720" s="2"/>
      <c r="B720" s="2"/>
      <c r="C720" s="2"/>
      <c r="D720" s="2"/>
      <c r="E720" s="2"/>
      <c r="F720" s="2"/>
      <c r="G720" s="2"/>
      <c r="H720" s="2"/>
      <c r="I720" s="2"/>
      <c r="J720" s="2"/>
      <c r="K720" s="2"/>
      <c r="L720" s="2"/>
      <c r="M720" s="2"/>
      <c r="N720" s="2"/>
      <c r="O720" s="2"/>
      <c r="P720" s="2"/>
      <c r="Q720" s="157"/>
      <c r="R720" s="157"/>
      <c r="S720" s="157"/>
      <c r="T720" s="158"/>
      <c r="U720" s="2"/>
      <c r="V720" s="30"/>
      <c r="W720" s="2"/>
      <c r="X720" s="2"/>
      <c r="Y720" s="2"/>
      <c r="Z720" s="2"/>
    </row>
    <row r="721" ht="13.5" customHeight="1">
      <c r="A721" s="2"/>
      <c r="B721" s="2"/>
      <c r="C721" s="2"/>
      <c r="D721" s="2"/>
      <c r="E721" s="2"/>
      <c r="F721" s="2"/>
      <c r="G721" s="2"/>
      <c r="H721" s="2"/>
      <c r="I721" s="2"/>
      <c r="J721" s="2"/>
      <c r="K721" s="2"/>
      <c r="L721" s="2"/>
      <c r="M721" s="2"/>
      <c r="N721" s="2"/>
      <c r="O721" s="2"/>
      <c r="P721" s="2"/>
      <c r="Q721" s="157"/>
      <c r="R721" s="157"/>
      <c r="S721" s="157"/>
      <c r="T721" s="158"/>
      <c r="U721" s="2"/>
      <c r="V721" s="30"/>
      <c r="W721" s="2"/>
      <c r="X721" s="2"/>
      <c r="Y721" s="2"/>
      <c r="Z721" s="2"/>
    </row>
    <row r="722" ht="13.5" customHeight="1">
      <c r="A722" s="2"/>
      <c r="B722" s="2"/>
      <c r="C722" s="2"/>
      <c r="D722" s="2"/>
      <c r="E722" s="2"/>
      <c r="F722" s="2"/>
      <c r="G722" s="2"/>
      <c r="H722" s="2"/>
      <c r="I722" s="2"/>
      <c r="J722" s="2"/>
      <c r="K722" s="2"/>
      <c r="L722" s="2"/>
      <c r="M722" s="2"/>
      <c r="N722" s="2"/>
      <c r="O722" s="2"/>
      <c r="P722" s="2"/>
      <c r="Q722" s="157"/>
      <c r="R722" s="157"/>
      <c r="S722" s="157"/>
      <c r="T722" s="158"/>
      <c r="U722" s="2"/>
      <c r="V722" s="30"/>
      <c r="W722" s="2"/>
      <c r="X722" s="2"/>
      <c r="Y722" s="2"/>
      <c r="Z722" s="2"/>
    </row>
    <row r="723" ht="13.5" customHeight="1">
      <c r="A723" s="2"/>
      <c r="B723" s="2"/>
      <c r="C723" s="2"/>
      <c r="D723" s="2"/>
      <c r="E723" s="2"/>
      <c r="F723" s="2"/>
      <c r="G723" s="2"/>
      <c r="H723" s="2"/>
      <c r="I723" s="2"/>
      <c r="J723" s="2"/>
      <c r="K723" s="2"/>
      <c r="L723" s="2"/>
      <c r="M723" s="2"/>
      <c r="N723" s="2"/>
      <c r="O723" s="2"/>
      <c r="P723" s="2"/>
      <c r="Q723" s="157"/>
      <c r="R723" s="157"/>
      <c r="S723" s="157"/>
      <c r="T723" s="158"/>
      <c r="U723" s="2"/>
      <c r="V723" s="30"/>
      <c r="W723" s="2"/>
      <c r="X723" s="2"/>
      <c r="Y723" s="2"/>
      <c r="Z723" s="2"/>
    </row>
    <row r="724" ht="13.5" customHeight="1">
      <c r="A724" s="2"/>
      <c r="B724" s="2"/>
      <c r="C724" s="2"/>
      <c r="D724" s="2"/>
      <c r="E724" s="2"/>
      <c r="F724" s="2"/>
      <c r="G724" s="2"/>
      <c r="H724" s="2"/>
      <c r="I724" s="2"/>
      <c r="J724" s="2"/>
      <c r="K724" s="2"/>
      <c r="L724" s="2"/>
      <c r="M724" s="2"/>
      <c r="N724" s="2"/>
      <c r="O724" s="2"/>
      <c r="P724" s="2"/>
      <c r="Q724" s="157"/>
      <c r="R724" s="157"/>
      <c r="S724" s="157"/>
      <c r="T724" s="158"/>
      <c r="U724" s="2"/>
      <c r="V724" s="30"/>
      <c r="W724" s="2"/>
      <c r="X724" s="2"/>
      <c r="Y724" s="2"/>
      <c r="Z724" s="2"/>
    </row>
    <row r="725" ht="13.5" customHeight="1">
      <c r="A725" s="2"/>
      <c r="B725" s="2"/>
      <c r="C725" s="2"/>
      <c r="D725" s="2"/>
      <c r="E725" s="2"/>
      <c r="F725" s="2"/>
      <c r="G725" s="2"/>
      <c r="H725" s="2"/>
      <c r="I725" s="2"/>
      <c r="J725" s="2"/>
      <c r="K725" s="2"/>
      <c r="L725" s="2"/>
      <c r="M725" s="2"/>
      <c r="N725" s="2"/>
      <c r="O725" s="2"/>
      <c r="P725" s="2"/>
      <c r="Q725" s="157"/>
      <c r="R725" s="157"/>
      <c r="S725" s="157"/>
      <c r="T725" s="158"/>
      <c r="U725" s="2"/>
      <c r="V725" s="30"/>
      <c r="W725" s="2"/>
      <c r="X725" s="2"/>
      <c r="Y725" s="2"/>
      <c r="Z725" s="2"/>
    </row>
    <row r="726" ht="13.5" customHeight="1">
      <c r="A726" s="2"/>
      <c r="B726" s="2"/>
      <c r="C726" s="2"/>
      <c r="D726" s="2"/>
      <c r="E726" s="2"/>
      <c r="F726" s="2"/>
      <c r="G726" s="2"/>
      <c r="H726" s="2"/>
      <c r="I726" s="2"/>
      <c r="J726" s="2"/>
      <c r="K726" s="2"/>
      <c r="L726" s="2"/>
      <c r="M726" s="2"/>
      <c r="N726" s="2"/>
      <c r="O726" s="2"/>
      <c r="P726" s="2"/>
      <c r="Q726" s="157"/>
      <c r="R726" s="157"/>
      <c r="S726" s="157"/>
      <c r="T726" s="158"/>
      <c r="U726" s="2"/>
      <c r="V726" s="30"/>
      <c r="W726" s="2"/>
      <c r="X726" s="2"/>
      <c r="Y726" s="2"/>
      <c r="Z726" s="2"/>
    </row>
    <row r="727" ht="13.5" customHeight="1">
      <c r="A727" s="2"/>
      <c r="B727" s="2"/>
      <c r="C727" s="2"/>
      <c r="D727" s="2"/>
      <c r="E727" s="2"/>
      <c r="F727" s="2"/>
      <c r="G727" s="2"/>
      <c r="H727" s="2"/>
      <c r="I727" s="2"/>
      <c r="J727" s="2"/>
      <c r="K727" s="2"/>
      <c r="L727" s="2"/>
      <c r="M727" s="2"/>
      <c r="N727" s="2"/>
      <c r="O727" s="2"/>
      <c r="P727" s="2"/>
      <c r="Q727" s="157"/>
      <c r="R727" s="157"/>
      <c r="S727" s="157"/>
      <c r="T727" s="158"/>
      <c r="U727" s="2"/>
      <c r="V727" s="30"/>
      <c r="W727" s="2"/>
      <c r="X727" s="2"/>
      <c r="Y727" s="2"/>
      <c r="Z727" s="2"/>
    </row>
    <row r="728" ht="13.5" customHeight="1">
      <c r="A728" s="2"/>
      <c r="B728" s="2"/>
      <c r="C728" s="2"/>
      <c r="D728" s="2"/>
      <c r="E728" s="2"/>
      <c r="F728" s="2"/>
      <c r="G728" s="2"/>
      <c r="H728" s="2"/>
      <c r="I728" s="2"/>
      <c r="J728" s="2"/>
      <c r="K728" s="2"/>
      <c r="L728" s="2"/>
      <c r="M728" s="2"/>
      <c r="N728" s="2"/>
      <c r="O728" s="2"/>
      <c r="P728" s="2"/>
      <c r="Q728" s="157"/>
      <c r="R728" s="157"/>
      <c r="S728" s="157"/>
      <c r="T728" s="158"/>
      <c r="U728" s="2"/>
      <c r="V728" s="30"/>
      <c r="W728" s="2"/>
      <c r="X728" s="2"/>
      <c r="Y728" s="2"/>
      <c r="Z728" s="2"/>
    </row>
    <row r="729" ht="13.5" customHeight="1">
      <c r="A729" s="2"/>
      <c r="B729" s="2"/>
      <c r="C729" s="2"/>
      <c r="D729" s="2"/>
      <c r="E729" s="2"/>
      <c r="F729" s="2"/>
      <c r="G729" s="2"/>
      <c r="H729" s="2"/>
      <c r="I729" s="2"/>
      <c r="J729" s="2"/>
      <c r="K729" s="2"/>
      <c r="L729" s="2"/>
      <c r="M729" s="2"/>
      <c r="N729" s="2"/>
      <c r="O729" s="2"/>
      <c r="P729" s="2"/>
      <c r="Q729" s="157"/>
      <c r="R729" s="157"/>
      <c r="S729" s="157"/>
      <c r="T729" s="158"/>
      <c r="U729" s="2"/>
      <c r="V729" s="30"/>
      <c r="W729" s="2"/>
      <c r="X729" s="2"/>
      <c r="Y729" s="2"/>
      <c r="Z729" s="2"/>
    </row>
    <row r="730" ht="13.5" customHeight="1">
      <c r="A730" s="2"/>
      <c r="B730" s="2"/>
      <c r="C730" s="2"/>
      <c r="D730" s="2"/>
      <c r="E730" s="2"/>
      <c r="F730" s="2"/>
      <c r="G730" s="2"/>
      <c r="H730" s="2"/>
      <c r="I730" s="2"/>
      <c r="J730" s="2"/>
      <c r="K730" s="2"/>
      <c r="L730" s="2"/>
      <c r="M730" s="2"/>
      <c r="N730" s="2"/>
      <c r="O730" s="2"/>
      <c r="P730" s="2"/>
      <c r="Q730" s="157"/>
      <c r="R730" s="157"/>
      <c r="S730" s="157"/>
      <c r="T730" s="158"/>
      <c r="U730" s="2"/>
      <c r="V730" s="30"/>
      <c r="W730" s="2"/>
      <c r="X730" s="2"/>
      <c r="Y730" s="2"/>
      <c r="Z730" s="2"/>
    </row>
    <row r="731" ht="13.5" customHeight="1">
      <c r="A731" s="2"/>
      <c r="B731" s="2"/>
      <c r="C731" s="2"/>
      <c r="D731" s="2"/>
      <c r="E731" s="2"/>
      <c r="F731" s="2"/>
      <c r="G731" s="2"/>
      <c r="H731" s="2"/>
      <c r="I731" s="2"/>
      <c r="J731" s="2"/>
      <c r="K731" s="2"/>
      <c r="L731" s="2"/>
      <c r="M731" s="2"/>
      <c r="N731" s="2"/>
      <c r="O731" s="2"/>
      <c r="P731" s="2"/>
      <c r="Q731" s="157"/>
      <c r="R731" s="157"/>
      <c r="S731" s="157"/>
      <c r="T731" s="158"/>
      <c r="U731" s="2"/>
      <c r="V731" s="30"/>
      <c r="W731" s="2"/>
      <c r="X731" s="2"/>
      <c r="Y731" s="2"/>
      <c r="Z731" s="2"/>
    </row>
    <row r="732" ht="13.5" customHeight="1">
      <c r="A732" s="2"/>
      <c r="B732" s="2"/>
      <c r="C732" s="2"/>
      <c r="D732" s="2"/>
      <c r="E732" s="2"/>
      <c r="F732" s="2"/>
      <c r="G732" s="2"/>
      <c r="H732" s="2"/>
      <c r="I732" s="2"/>
      <c r="J732" s="2"/>
      <c r="K732" s="2"/>
      <c r="L732" s="2"/>
      <c r="M732" s="2"/>
      <c r="N732" s="2"/>
      <c r="O732" s="2"/>
      <c r="P732" s="2"/>
      <c r="Q732" s="157"/>
      <c r="R732" s="157"/>
      <c r="S732" s="157"/>
      <c r="T732" s="158"/>
      <c r="U732" s="2"/>
      <c r="V732" s="30"/>
      <c r="W732" s="2"/>
      <c r="X732" s="2"/>
      <c r="Y732" s="2"/>
      <c r="Z732" s="2"/>
    </row>
    <row r="733" ht="13.5" customHeight="1">
      <c r="A733" s="2"/>
      <c r="B733" s="2"/>
      <c r="C733" s="2"/>
      <c r="D733" s="2"/>
      <c r="E733" s="2"/>
      <c r="F733" s="2"/>
      <c r="G733" s="2"/>
      <c r="H733" s="2"/>
      <c r="I733" s="2"/>
      <c r="J733" s="2"/>
      <c r="K733" s="2"/>
      <c r="L733" s="2"/>
      <c r="M733" s="2"/>
      <c r="N733" s="2"/>
      <c r="O733" s="2"/>
      <c r="P733" s="2"/>
      <c r="Q733" s="157"/>
      <c r="R733" s="157"/>
      <c r="S733" s="157"/>
      <c r="T733" s="158"/>
      <c r="U733" s="2"/>
      <c r="V733" s="30"/>
      <c r="W733" s="2"/>
      <c r="X733" s="2"/>
      <c r="Y733" s="2"/>
      <c r="Z733" s="2"/>
    </row>
    <row r="734" ht="13.5" customHeight="1">
      <c r="A734" s="2"/>
      <c r="B734" s="2"/>
      <c r="C734" s="2"/>
      <c r="D734" s="2"/>
      <c r="E734" s="2"/>
      <c r="F734" s="2"/>
      <c r="G734" s="2"/>
      <c r="H734" s="2"/>
      <c r="I734" s="2"/>
      <c r="J734" s="2"/>
      <c r="K734" s="2"/>
      <c r="L734" s="2"/>
      <c r="M734" s="2"/>
      <c r="N734" s="2"/>
      <c r="O734" s="2"/>
      <c r="P734" s="2"/>
      <c r="Q734" s="157"/>
      <c r="R734" s="157"/>
      <c r="S734" s="157"/>
      <c r="T734" s="158"/>
      <c r="U734" s="2"/>
      <c r="V734" s="30"/>
      <c r="W734" s="2"/>
      <c r="X734" s="2"/>
      <c r="Y734" s="2"/>
      <c r="Z734" s="2"/>
    </row>
    <row r="735" ht="13.5" customHeight="1">
      <c r="A735" s="2"/>
      <c r="B735" s="2"/>
      <c r="C735" s="2"/>
      <c r="D735" s="2"/>
      <c r="E735" s="2"/>
      <c r="F735" s="2"/>
      <c r="G735" s="2"/>
      <c r="H735" s="2"/>
      <c r="I735" s="2"/>
      <c r="J735" s="2"/>
      <c r="K735" s="2"/>
      <c r="L735" s="2"/>
      <c r="M735" s="2"/>
      <c r="N735" s="2"/>
      <c r="O735" s="2"/>
      <c r="P735" s="2"/>
      <c r="Q735" s="157"/>
      <c r="R735" s="157"/>
      <c r="S735" s="157"/>
      <c r="T735" s="158"/>
      <c r="U735" s="2"/>
      <c r="V735" s="30"/>
      <c r="W735" s="2"/>
      <c r="X735" s="2"/>
      <c r="Y735" s="2"/>
      <c r="Z735" s="2"/>
    </row>
    <row r="736" ht="13.5" customHeight="1">
      <c r="A736" s="2"/>
      <c r="B736" s="2"/>
      <c r="C736" s="2"/>
      <c r="D736" s="2"/>
      <c r="E736" s="2"/>
      <c r="F736" s="2"/>
      <c r="G736" s="2"/>
      <c r="H736" s="2"/>
      <c r="I736" s="2"/>
      <c r="J736" s="2"/>
      <c r="K736" s="2"/>
      <c r="L736" s="2"/>
      <c r="M736" s="2"/>
      <c r="N736" s="2"/>
      <c r="O736" s="2"/>
      <c r="P736" s="2"/>
      <c r="Q736" s="157"/>
      <c r="R736" s="157"/>
      <c r="S736" s="157"/>
      <c r="T736" s="158"/>
      <c r="U736" s="2"/>
      <c r="V736" s="30"/>
      <c r="W736" s="2"/>
      <c r="X736" s="2"/>
      <c r="Y736" s="2"/>
      <c r="Z736" s="2"/>
    </row>
    <row r="737" ht="13.5" customHeight="1">
      <c r="A737" s="2"/>
      <c r="B737" s="2"/>
      <c r="C737" s="2"/>
      <c r="D737" s="2"/>
      <c r="E737" s="2"/>
      <c r="F737" s="2"/>
      <c r="G737" s="2"/>
      <c r="H737" s="2"/>
      <c r="I737" s="2"/>
      <c r="J737" s="2"/>
      <c r="K737" s="2"/>
      <c r="L737" s="2"/>
      <c r="M737" s="2"/>
      <c r="N737" s="2"/>
      <c r="O737" s="2"/>
      <c r="P737" s="2"/>
      <c r="Q737" s="157"/>
      <c r="R737" s="157"/>
      <c r="S737" s="157"/>
      <c r="T737" s="158"/>
      <c r="U737" s="2"/>
      <c r="V737" s="30"/>
      <c r="W737" s="2"/>
      <c r="X737" s="2"/>
      <c r="Y737" s="2"/>
      <c r="Z737" s="2"/>
    </row>
    <row r="738" ht="13.5" customHeight="1">
      <c r="A738" s="2"/>
      <c r="B738" s="2"/>
      <c r="C738" s="2"/>
      <c r="D738" s="2"/>
      <c r="E738" s="2"/>
      <c r="F738" s="2"/>
      <c r="G738" s="2"/>
      <c r="H738" s="2"/>
      <c r="I738" s="2"/>
      <c r="J738" s="2"/>
      <c r="K738" s="2"/>
      <c r="L738" s="2"/>
      <c r="M738" s="2"/>
      <c r="N738" s="2"/>
      <c r="O738" s="2"/>
      <c r="P738" s="2"/>
      <c r="Q738" s="157"/>
      <c r="R738" s="157"/>
      <c r="S738" s="157"/>
      <c r="T738" s="158"/>
      <c r="U738" s="2"/>
      <c r="V738" s="30"/>
      <c r="W738" s="2"/>
      <c r="X738" s="2"/>
      <c r="Y738" s="2"/>
      <c r="Z738" s="2"/>
    </row>
    <row r="739" ht="13.5" customHeight="1">
      <c r="A739" s="2"/>
      <c r="B739" s="2"/>
      <c r="C739" s="2"/>
      <c r="D739" s="2"/>
      <c r="E739" s="2"/>
      <c r="F739" s="2"/>
      <c r="G739" s="2"/>
      <c r="H739" s="2"/>
      <c r="I739" s="2"/>
      <c r="J739" s="2"/>
      <c r="K739" s="2"/>
      <c r="L739" s="2"/>
      <c r="M739" s="2"/>
      <c r="N739" s="2"/>
      <c r="O739" s="2"/>
      <c r="P739" s="2"/>
      <c r="Q739" s="157"/>
      <c r="R739" s="157"/>
      <c r="S739" s="157"/>
      <c r="T739" s="158"/>
      <c r="U739" s="2"/>
      <c r="V739" s="30"/>
      <c r="W739" s="2"/>
      <c r="X739" s="2"/>
      <c r="Y739" s="2"/>
      <c r="Z739" s="2"/>
    </row>
    <row r="740" ht="13.5" customHeight="1">
      <c r="A740" s="2"/>
      <c r="B740" s="2"/>
      <c r="C740" s="2"/>
      <c r="D740" s="2"/>
      <c r="E740" s="2"/>
      <c r="F740" s="2"/>
      <c r="G740" s="2"/>
      <c r="H740" s="2"/>
      <c r="I740" s="2"/>
      <c r="J740" s="2"/>
      <c r="K740" s="2"/>
      <c r="L740" s="2"/>
      <c r="M740" s="2"/>
      <c r="N740" s="2"/>
      <c r="O740" s="2"/>
      <c r="P740" s="2"/>
      <c r="Q740" s="157"/>
      <c r="R740" s="157"/>
      <c r="S740" s="157"/>
      <c r="T740" s="158"/>
      <c r="U740" s="2"/>
      <c r="V740" s="30"/>
      <c r="W740" s="2"/>
      <c r="X740" s="2"/>
      <c r="Y740" s="2"/>
      <c r="Z740" s="2"/>
    </row>
    <row r="741" ht="13.5" customHeight="1">
      <c r="A741" s="2"/>
      <c r="B741" s="2"/>
      <c r="C741" s="2"/>
      <c r="D741" s="2"/>
      <c r="E741" s="2"/>
      <c r="F741" s="2"/>
      <c r="G741" s="2"/>
      <c r="H741" s="2"/>
      <c r="I741" s="2"/>
      <c r="J741" s="2"/>
      <c r="K741" s="2"/>
      <c r="L741" s="2"/>
      <c r="M741" s="2"/>
      <c r="N741" s="2"/>
      <c r="O741" s="2"/>
      <c r="P741" s="2"/>
      <c r="Q741" s="157"/>
      <c r="R741" s="157"/>
      <c r="S741" s="157"/>
      <c r="T741" s="158"/>
      <c r="U741" s="2"/>
      <c r="V741" s="30"/>
      <c r="W741" s="2"/>
      <c r="X741" s="2"/>
      <c r="Y741" s="2"/>
      <c r="Z741" s="2"/>
    </row>
    <row r="742" ht="13.5" customHeight="1">
      <c r="A742" s="2"/>
      <c r="B742" s="2"/>
      <c r="C742" s="2"/>
      <c r="D742" s="2"/>
      <c r="E742" s="2"/>
      <c r="F742" s="2"/>
      <c r="G742" s="2"/>
      <c r="H742" s="2"/>
      <c r="I742" s="2"/>
      <c r="J742" s="2"/>
      <c r="K742" s="2"/>
      <c r="L742" s="2"/>
      <c r="M742" s="2"/>
      <c r="N742" s="2"/>
      <c r="O742" s="2"/>
      <c r="P742" s="2"/>
      <c r="Q742" s="157"/>
      <c r="R742" s="157"/>
      <c r="S742" s="157"/>
      <c r="T742" s="158"/>
      <c r="U742" s="2"/>
      <c r="V742" s="30"/>
      <c r="W742" s="2"/>
      <c r="X742" s="2"/>
      <c r="Y742" s="2"/>
      <c r="Z742" s="2"/>
    </row>
    <row r="743" ht="13.5" customHeight="1">
      <c r="A743" s="2"/>
      <c r="B743" s="2"/>
      <c r="C743" s="2"/>
      <c r="D743" s="2"/>
      <c r="E743" s="2"/>
      <c r="F743" s="2"/>
      <c r="G743" s="2"/>
      <c r="H743" s="2"/>
      <c r="I743" s="2"/>
      <c r="J743" s="2"/>
      <c r="K743" s="2"/>
      <c r="L743" s="2"/>
      <c r="M743" s="2"/>
      <c r="N743" s="2"/>
      <c r="O743" s="2"/>
      <c r="P743" s="2"/>
      <c r="Q743" s="157"/>
      <c r="R743" s="157"/>
      <c r="S743" s="157"/>
      <c r="T743" s="158"/>
      <c r="U743" s="2"/>
      <c r="V743" s="30"/>
      <c r="W743" s="2"/>
      <c r="X743" s="2"/>
      <c r="Y743" s="2"/>
      <c r="Z743" s="2"/>
    </row>
    <row r="744" ht="13.5" customHeight="1">
      <c r="A744" s="2"/>
      <c r="B744" s="2"/>
      <c r="C744" s="2"/>
      <c r="D744" s="2"/>
      <c r="E744" s="2"/>
      <c r="F744" s="2"/>
      <c r="G744" s="2"/>
      <c r="H744" s="2"/>
      <c r="I744" s="2"/>
      <c r="J744" s="2"/>
      <c r="K744" s="2"/>
      <c r="L744" s="2"/>
      <c r="M744" s="2"/>
      <c r="N744" s="2"/>
      <c r="O744" s="2"/>
      <c r="P744" s="2"/>
      <c r="Q744" s="157"/>
      <c r="R744" s="157"/>
      <c r="S744" s="157"/>
      <c r="T744" s="158"/>
      <c r="U744" s="2"/>
      <c r="V744" s="30"/>
      <c r="W744" s="2"/>
      <c r="X744" s="2"/>
      <c r="Y744" s="2"/>
      <c r="Z744" s="2"/>
    </row>
    <row r="745" ht="13.5" customHeight="1">
      <c r="A745" s="2"/>
      <c r="B745" s="2"/>
      <c r="C745" s="2"/>
      <c r="D745" s="2"/>
      <c r="E745" s="2"/>
      <c r="F745" s="2"/>
      <c r="G745" s="2"/>
      <c r="H745" s="2"/>
      <c r="I745" s="2"/>
      <c r="J745" s="2"/>
      <c r="K745" s="2"/>
      <c r="L745" s="2"/>
      <c r="M745" s="2"/>
      <c r="N745" s="2"/>
      <c r="O745" s="2"/>
      <c r="P745" s="2"/>
      <c r="Q745" s="157"/>
      <c r="R745" s="157"/>
      <c r="S745" s="157"/>
      <c r="T745" s="158"/>
      <c r="U745" s="2"/>
      <c r="V745" s="30"/>
      <c r="W745" s="2"/>
      <c r="X745" s="2"/>
      <c r="Y745" s="2"/>
      <c r="Z745" s="2"/>
    </row>
    <row r="746" ht="13.5" customHeight="1">
      <c r="A746" s="2"/>
      <c r="B746" s="2"/>
      <c r="C746" s="2"/>
      <c r="D746" s="2"/>
      <c r="E746" s="2"/>
      <c r="F746" s="2"/>
      <c r="G746" s="2"/>
      <c r="H746" s="2"/>
      <c r="I746" s="2"/>
      <c r="J746" s="2"/>
      <c r="K746" s="2"/>
      <c r="L746" s="2"/>
      <c r="M746" s="2"/>
      <c r="N746" s="2"/>
      <c r="O746" s="2"/>
      <c r="P746" s="2"/>
      <c r="Q746" s="157"/>
      <c r="R746" s="157"/>
      <c r="S746" s="157"/>
      <c r="T746" s="158"/>
      <c r="U746" s="2"/>
      <c r="V746" s="30"/>
      <c r="W746" s="2"/>
      <c r="X746" s="2"/>
      <c r="Y746" s="2"/>
      <c r="Z746" s="2"/>
    </row>
    <row r="747" ht="13.5" customHeight="1">
      <c r="A747" s="2"/>
      <c r="B747" s="2"/>
      <c r="C747" s="2"/>
      <c r="D747" s="2"/>
      <c r="E747" s="2"/>
      <c r="F747" s="2"/>
      <c r="G747" s="2"/>
      <c r="H747" s="2"/>
      <c r="I747" s="2"/>
      <c r="J747" s="2"/>
      <c r="K747" s="2"/>
      <c r="L747" s="2"/>
      <c r="M747" s="2"/>
      <c r="N747" s="2"/>
      <c r="O747" s="2"/>
      <c r="P747" s="2"/>
      <c r="Q747" s="157"/>
      <c r="R747" s="157"/>
      <c r="S747" s="157"/>
      <c r="T747" s="158"/>
      <c r="U747" s="2"/>
      <c r="V747" s="30"/>
      <c r="W747" s="2"/>
      <c r="X747" s="2"/>
      <c r="Y747" s="2"/>
      <c r="Z747" s="2"/>
    </row>
    <row r="748" ht="13.5" customHeight="1">
      <c r="A748" s="2"/>
      <c r="B748" s="2"/>
      <c r="C748" s="2"/>
      <c r="D748" s="2"/>
      <c r="E748" s="2"/>
      <c r="F748" s="2"/>
      <c r="G748" s="2"/>
      <c r="H748" s="2"/>
      <c r="I748" s="2"/>
      <c r="J748" s="2"/>
      <c r="K748" s="2"/>
      <c r="L748" s="2"/>
      <c r="M748" s="2"/>
      <c r="N748" s="2"/>
      <c r="O748" s="2"/>
      <c r="P748" s="2"/>
      <c r="Q748" s="157"/>
      <c r="R748" s="157"/>
      <c r="S748" s="157"/>
      <c r="T748" s="158"/>
      <c r="U748" s="2"/>
      <c r="V748" s="30"/>
      <c r="W748" s="2"/>
      <c r="X748" s="2"/>
      <c r="Y748" s="2"/>
      <c r="Z748" s="2"/>
    </row>
    <row r="749" ht="13.5" customHeight="1">
      <c r="A749" s="2"/>
      <c r="B749" s="2"/>
      <c r="C749" s="2"/>
      <c r="D749" s="2"/>
      <c r="E749" s="2"/>
      <c r="F749" s="2"/>
      <c r="G749" s="2"/>
      <c r="H749" s="2"/>
      <c r="I749" s="2"/>
      <c r="J749" s="2"/>
      <c r="K749" s="2"/>
      <c r="L749" s="2"/>
      <c r="M749" s="2"/>
      <c r="N749" s="2"/>
      <c r="O749" s="2"/>
      <c r="P749" s="2"/>
      <c r="Q749" s="157"/>
      <c r="R749" s="157"/>
      <c r="S749" s="157"/>
      <c r="T749" s="158"/>
      <c r="U749" s="2"/>
      <c r="V749" s="30"/>
      <c r="W749" s="2"/>
      <c r="X749" s="2"/>
      <c r="Y749" s="2"/>
      <c r="Z749" s="2"/>
    </row>
    <row r="750" ht="13.5" customHeight="1">
      <c r="A750" s="2"/>
      <c r="B750" s="2"/>
      <c r="C750" s="2"/>
      <c r="D750" s="2"/>
      <c r="E750" s="2"/>
      <c r="F750" s="2"/>
      <c r="G750" s="2"/>
      <c r="H750" s="2"/>
      <c r="I750" s="2"/>
      <c r="J750" s="2"/>
      <c r="K750" s="2"/>
      <c r="L750" s="2"/>
      <c r="M750" s="2"/>
      <c r="N750" s="2"/>
      <c r="O750" s="2"/>
      <c r="P750" s="2"/>
      <c r="Q750" s="157"/>
      <c r="R750" s="157"/>
      <c r="S750" s="157"/>
      <c r="T750" s="158"/>
      <c r="U750" s="2"/>
      <c r="V750" s="30"/>
      <c r="W750" s="2"/>
      <c r="X750" s="2"/>
      <c r="Y750" s="2"/>
      <c r="Z750" s="2"/>
    </row>
    <row r="751" ht="13.5" customHeight="1">
      <c r="A751" s="2"/>
      <c r="B751" s="2"/>
      <c r="C751" s="2"/>
      <c r="D751" s="2"/>
      <c r="E751" s="2"/>
      <c r="F751" s="2"/>
      <c r="G751" s="2"/>
      <c r="H751" s="2"/>
      <c r="I751" s="2"/>
      <c r="J751" s="2"/>
      <c r="K751" s="2"/>
      <c r="L751" s="2"/>
      <c r="M751" s="2"/>
      <c r="N751" s="2"/>
      <c r="O751" s="2"/>
      <c r="P751" s="2"/>
      <c r="Q751" s="157"/>
      <c r="R751" s="157"/>
      <c r="S751" s="157"/>
      <c r="T751" s="158"/>
      <c r="U751" s="2"/>
      <c r="V751" s="30"/>
      <c r="W751" s="2"/>
      <c r="X751" s="2"/>
      <c r="Y751" s="2"/>
      <c r="Z751" s="2"/>
    </row>
    <row r="752" ht="13.5" customHeight="1">
      <c r="A752" s="2"/>
      <c r="B752" s="2"/>
      <c r="C752" s="2"/>
      <c r="D752" s="2"/>
      <c r="E752" s="2"/>
      <c r="F752" s="2"/>
      <c r="G752" s="2"/>
      <c r="H752" s="2"/>
      <c r="I752" s="2"/>
      <c r="J752" s="2"/>
      <c r="K752" s="2"/>
      <c r="L752" s="2"/>
      <c r="M752" s="2"/>
      <c r="N752" s="2"/>
      <c r="O752" s="2"/>
      <c r="P752" s="2"/>
      <c r="Q752" s="157"/>
      <c r="R752" s="157"/>
      <c r="S752" s="157"/>
      <c r="T752" s="158"/>
      <c r="U752" s="2"/>
      <c r="V752" s="30"/>
      <c r="W752" s="2"/>
      <c r="X752" s="2"/>
      <c r="Y752" s="2"/>
      <c r="Z752" s="2"/>
    </row>
    <row r="753" ht="13.5" customHeight="1">
      <c r="A753" s="2"/>
      <c r="B753" s="2"/>
      <c r="C753" s="2"/>
      <c r="D753" s="2"/>
      <c r="E753" s="2"/>
      <c r="F753" s="2"/>
      <c r="G753" s="2"/>
      <c r="H753" s="2"/>
      <c r="I753" s="2"/>
      <c r="J753" s="2"/>
      <c r="K753" s="2"/>
      <c r="L753" s="2"/>
      <c r="M753" s="2"/>
      <c r="N753" s="2"/>
      <c r="O753" s="2"/>
      <c r="P753" s="2"/>
      <c r="Q753" s="157"/>
      <c r="R753" s="157"/>
      <c r="S753" s="157"/>
      <c r="T753" s="158"/>
      <c r="U753" s="2"/>
      <c r="V753" s="30"/>
      <c r="W753" s="2"/>
      <c r="X753" s="2"/>
      <c r="Y753" s="2"/>
      <c r="Z753" s="2"/>
    </row>
    <row r="754" ht="13.5" customHeight="1">
      <c r="A754" s="2"/>
      <c r="B754" s="2"/>
      <c r="C754" s="2"/>
      <c r="D754" s="2"/>
      <c r="E754" s="2"/>
      <c r="F754" s="2"/>
      <c r="G754" s="2"/>
      <c r="H754" s="2"/>
      <c r="I754" s="2"/>
      <c r="J754" s="2"/>
      <c r="K754" s="2"/>
      <c r="L754" s="2"/>
      <c r="M754" s="2"/>
      <c r="N754" s="2"/>
      <c r="O754" s="2"/>
      <c r="P754" s="2"/>
      <c r="Q754" s="157"/>
      <c r="R754" s="157"/>
      <c r="S754" s="157"/>
      <c r="T754" s="158"/>
      <c r="U754" s="2"/>
      <c r="V754" s="30"/>
      <c r="W754" s="2"/>
      <c r="X754" s="2"/>
      <c r="Y754" s="2"/>
      <c r="Z754" s="2"/>
    </row>
    <row r="755" ht="13.5" customHeight="1">
      <c r="A755" s="2"/>
      <c r="B755" s="2"/>
      <c r="C755" s="2"/>
      <c r="D755" s="2"/>
      <c r="E755" s="2"/>
      <c r="F755" s="2"/>
      <c r="G755" s="2"/>
      <c r="H755" s="2"/>
      <c r="I755" s="2"/>
      <c r="J755" s="2"/>
      <c r="K755" s="2"/>
      <c r="L755" s="2"/>
      <c r="M755" s="2"/>
      <c r="N755" s="2"/>
      <c r="O755" s="2"/>
      <c r="P755" s="2"/>
      <c r="Q755" s="157"/>
      <c r="R755" s="157"/>
      <c r="S755" s="157"/>
      <c r="T755" s="158"/>
      <c r="U755" s="2"/>
      <c r="V755" s="30"/>
      <c r="W755" s="2"/>
      <c r="X755" s="2"/>
      <c r="Y755" s="2"/>
      <c r="Z755" s="2"/>
    </row>
    <row r="756" ht="13.5" customHeight="1">
      <c r="A756" s="2"/>
      <c r="B756" s="2"/>
      <c r="C756" s="2"/>
      <c r="D756" s="2"/>
      <c r="E756" s="2"/>
      <c r="F756" s="2"/>
      <c r="G756" s="2"/>
      <c r="H756" s="2"/>
      <c r="I756" s="2"/>
      <c r="J756" s="2"/>
      <c r="K756" s="2"/>
      <c r="L756" s="2"/>
      <c r="M756" s="2"/>
      <c r="N756" s="2"/>
      <c r="O756" s="2"/>
      <c r="P756" s="2"/>
      <c r="Q756" s="157"/>
      <c r="R756" s="157"/>
      <c r="S756" s="157"/>
      <c r="T756" s="158"/>
      <c r="U756" s="2"/>
      <c r="V756" s="30"/>
      <c r="W756" s="2"/>
      <c r="X756" s="2"/>
      <c r="Y756" s="2"/>
      <c r="Z756" s="2"/>
    </row>
    <row r="757" ht="13.5" customHeight="1">
      <c r="A757" s="2"/>
      <c r="B757" s="2"/>
      <c r="C757" s="2"/>
      <c r="D757" s="2"/>
      <c r="E757" s="2"/>
      <c r="F757" s="2"/>
      <c r="G757" s="2"/>
      <c r="H757" s="2"/>
      <c r="I757" s="2"/>
      <c r="J757" s="2"/>
      <c r="K757" s="2"/>
      <c r="L757" s="2"/>
      <c r="M757" s="2"/>
      <c r="N757" s="2"/>
      <c r="O757" s="2"/>
      <c r="P757" s="2"/>
      <c r="Q757" s="157"/>
      <c r="R757" s="157"/>
      <c r="S757" s="157"/>
      <c r="T757" s="158"/>
      <c r="U757" s="2"/>
      <c r="V757" s="30"/>
      <c r="W757" s="2"/>
      <c r="X757" s="2"/>
      <c r="Y757" s="2"/>
      <c r="Z757" s="2"/>
    </row>
    <row r="758" ht="13.5" customHeight="1">
      <c r="A758" s="2"/>
      <c r="B758" s="2"/>
      <c r="C758" s="2"/>
      <c r="D758" s="2"/>
      <c r="E758" s="2"/>
      <c r="F758" s="2"/>
      <c r="G758" s="2"/>
      <c r="H758" s="2"/>
      <c r="I758" s="2"/>
      <c r="J758" s="2"/>
      <c r="K758" s="2"/>
      <c r="L758" s="2"/>
      <c r="M758" s="2"/>
      <c r="N758" s="2"/>
      <c r="O758" s="2"/>
      <c r="P758" s="2"/>
      <c r="Q758" s="157"/>
      <c r="R758" s="157"/>
      <c r="S758" s="157"/>
      <c r="T758" s="158"/>
      <c r="U758" s="2"/>
      <c r="V758" s="30"/>
      <c r="W758" s="2"/>
      <c r="X758" s="2"/>
      <c r="Y758" s="2"/>
      <c r="Z758" s="2"/>
    </row>
    <row r="759" ht="13.5" customHeight="1">
      <c r="A759" s="2"/>
      <c r="B759" s="2"/>
      <c r="C759" s="2"/>
      <c r="D759" s="2"/>
      <c r="E759" s="2"/>
      <c r="F759" s="2"/>
      <c r="G759" s="2"/>
      <c r="H759" s="2"/>
      <c r="I759" s="2"/>
      <c r="J759" s="2"/>
      <c r="K759" s="2"/>
      <c r="L759" s="2"/>
      <c r="M759" s="2"/>
      <c r="N759" s="2"/>
      <c r="O759" s="2"/>
      <c r="P759" s="2"/>
      <c r="Q759" s="157"/>
      <c r="R759" s="157"/>
      <c r="S759" s="157"/>
      <c r="T759" s="158"/>
      <c r="U759" s="2"/>
      <c r="V759" s="30"/>
      <c r="W759" s="2"/>
      <c r="X759" s="2"/>
      <c r="Y759" s="2"/>
      <c r="Z759" s="2"/>
    </row>
    <row r="760" ht="13.5" customHeight="1">
      <c r="A760" s="2"/>
      <c r="B760" s="2"/>
      <c r="C760" s="2"/>
      <c r="D760" s="2"/>
      <c r="E760" s="2"/>
      <c r="F760" s="2"/>
      <c r="G760" s="2"/>
      <c r="H760" s="2"/>
      <c r="I760" s="2"/>
      <c r="J760" s="2"/>
      <c r="K760" s="2"/>
      <c r="L760" s="2"/>
      <c r="M760" s="2"/>
      <c r="N760" s="2"/>
      <c r="O760" s="2"/>
      <c r="P760" s="2"/>
      <c r="Q760" s="157"/>
      <c r="R760" s="157"/>
      <c r="S760" s="157"/>
      <c r="T760" s="158"/>
      <c r="U760" s="2"/>
      <c r="V760" s="30"/>
      <c r="W760" s="2"/>
      <c r="X760" s="2"/>
      <c r="Y760" s="2"/>
      <c r="Z760" s="2"/>
    </row>
    <row r="761" ht="13.5" customHeight="1">
      <c r="A761" s="2"/>
      <c r="B761" s="2"/>
      <c r="C761" s="2"/>
      <c r="D761" s="2"/>
      <c r="E761" s="2"/>
      <c r="F761" s="2"/>
      <c r="G761" s="2"/>
      <c r="H761" s="2"/>
      <c r="I761" s="2"/>
      <c r="J761" s="2"/>
      <c r="K761" s="2"/>
      <c r="L761" s="2"/>
      <c r="M761" s="2"/>
      <c r="N761" s="2"/>
      <c r="O761" s="2"/>
      <c r="P761" s="2"/>
      <c r="Q761" s="157"/>
      <c r="R761" s="157"/>
      <c r="S761" s="157"/>
      <c r="T761" s="158"/>
      <c r="U761" s="2"/>
      <c r="V761" s="30"/>
      <c r="W761" s="2"/>
      <c r="X761" s="2"/>
      <c r="Y761" s="2"/>
      <c r="Z761" s="2"/>
    </row>
    <row r="762" ht="13.5" customHeight="1">
      <c r="A762" s="2"/>
      <c r="B762" s="2"/>
      <c r="C762" s="2"/>
      <c r="D762" s="2"/>
      <c r="E762" s="2"/>
      <c r="F762" s="2"/>
      <c r="G762" s="2"/>
      <c r="H762" s="2"/>
      <c r="I762" s="2"/>
      <c r="J762" s="2"/>
      <c r="K762" s="2"/>
      <c r="L762" s="2"/>
      <c r="M762" s="2"/>
      <c r="N762" s="2"/>
      <c r="O762" s="2"/>
      <c r="P762" s="2"/>
      <c r="Q762" s="157"/>
      <c r="R762" s="157"/>
      <c r="S762" s="157"/>
      <c r="T762" s="158"/>
      <c r="U762" s="2"/>
      <c r="V762" s="30"/>
      <c r="W762" s="2"/>
      <c r="X762" s="2"/>
      <c r="Y762" s="2"/>
      <c r="Z762" s="2"/>
    </row>
    <row r="763" ht="13.5" customHeight="1">
      <c r="A763" s="2"/>
      <c r="B763" s="2"/>
      <c r="C763" s="2"/>
      <c r="D763" s="2"/>
      <c r="E763" s="2"/>
      <c r="F763" s="2"/>
      <c r="G763" s="2"/>
      <c r="H763" s="2"/>
      <c r="I763" s="2"/>
      <c r="J763" s="2"/>
      <c r="K763" s="2"/>
      <c r="L763" s="2"/>
      <c r="M763" s="2"/>
      <c r="N763" s="2"/>
      <c r="O763" s="2"/>
      <c r="P763" s="2"/>
      <c r="Q763" s="157"/>
      <c r="R763" s="157"/>
      <c r="S763" s="157"/>
      <c r="T763" s="158"/>
      <c r="U763" s="2"/>
      <c r="V763" s="30"/>
      <c r="W763" s="2"/>
      <c r="X763" s="2"/>
      <c r="Y763" s="2"/>
      <c r="Z763" s="2"/>
    </row>
    <row r="764" ht="13.5" customHeight="1">
      <c r="A764" s="2"/>
      <c r="B764" s="2"/>
      <c r="C764" s="2"/>
      <c r="D764" s="2"/>
      <c r="E764" s="2"/>
      <c r="F764" s="2"/>
      <c r="G764" s="2"/>
      <c r="H764" s="2"/>
      <c r="I764" s="2"/>
      <c r="J764" s="2"/>
      <c r="K764" s="2"/>
      <c r="L764" s="2"/>
      <c r="M764" s="2"/>
      <c r="N764" s="2"/>
      <c r="O764" s="2"/>
      <c r="P764" s="2"/>
      <c r="Q764" s="157"/>
      <c r="R764" s="157"/>
      <c r="S764" s="157"/>
      <c r="T764" s="158"/>
      <c r="U764" s="2"/>
      <c r="V764" s="30"/>
      <c r="W764" s="2"/>
      <c r="X764" s="2"/>
      <c r="Y764" s="2"/>
      <c r="Z764" s="2"/>
    </row>
    <row r="765" ht="13.5" customHeight="1">
      <c r="A765" s="2"/>
      <c r="B765" s="2"/>
      <c r="C765" s="2"/>
      <c r="D765" s="2"/>
      <c r="E765" s="2"/>
      <c r="F765" s="2"/>
      <c r="G765" s="2"/>
      <c r="H765" s="2"/>
      <c r="I765" s="2"/>
      <c r="J765" s="2"/>
      <c r="K765" s="2"/>
      <c r="L765" s="2"/>
      <c r="M765" s="2"/>
      <c r="N765" s="2"/>
      <c r="O765" s="2"/>
      <c r="P765" s="2"/>
      <c r="Q765" s="157"/>
      <c r="R765" s="157"/>
      <c r="S765" s="157"/>
      <c r="T765" s="158"/>
      <c r="U765" s="2"/>
      <c r="V765" s="30"/>
      <c r="W765" s="2"/>
      <c r="X765" s="2"/>
      <c r="Y765" s="2"/>
      <c r="Z765" s="2"/>
    </row>
    <row r="766" ht="13.5" customHeight="1">
      <c r="A766" s="2"/>
      <c r="B766" s="2"/>
      <c r="C766" s="2"/>
      <c r="D766" s="2"/>
      <c r="E766" s="2"/>
      <c r="F766" s="2"/>
      <c r="G766" s="2"/>
      <c r="H766" s="2"/>
      <c r="I766" s="2"/>
      <c r="J766" s="2"/>
      <c r="K766" s="2"/>
      <c r="L766" s="2"/>
      <c r="M766" s="2"/>
      <c r="N766" s="2"/>
      <c r="O766" s="2"/>
      <c r="P766" s="2"/>
      <c r="Q766" s="157"/>
      <c r="R766" s="157"/>
      <c r="S766" s="157"/>
      <c r="T766" s="158"/>
      <c r="U766" s="2"/>
      <c r="V766" s="30"/>
      <c r="W766" s="2"/>
      <c r="X766" s="2"/>
      <c r="Y766" s="2"/>
      <c r="Z766" s="2"/>
    </row>
    <row r="767" ht="13.5" customHeight="1">
      <c r="A767" s="2"/>
      <c r="B767" s="2"/>
      <c r="C767" s="2"/>
      <c r="D767" s="2"/>
      <c r="E767" s="2"/>
      <c r="F767" s="2"/>
      <c r="G767" s="2"/>
      <c r="H767" s="2"/>
      <c r="I767" s="2"/>
      <c r="J767" s="2"/>
      <c r="K767" s="2"/>
      <c r="L767" s="2"/>
      <c r="M767" s="2"/>
      <c r="N767" s="2"/>
      <c r="O767" s="2"/>
      <c r="P767" s="2"/>
      <c r="Q767" s="157"/>
      <c r="R767" s="157"/>
      <c r="S767" s="157"/>
      <c r="T767" s="158"/>
      <c r="U767" s="2"/>
      <c r="V767" s="30"/>
      <c r="W767" s="2"/>
      <c r="X767" s="2"/>
      <c r="Y767" s="2"/>
      <c r="Z767" s="2"/>
    </row>
    <row r="768" ht="13.5" customHeight="1">
      <c r="A768" s="2"/>
      <c r="B768" s="2"/>
      <c r="C768" s="2"/>
      <c r="D768" s="2"/>
      <c r="E768" s="2"/>
      <c r="F768" s="2"/>
      <c r="G768" s="2"/>
      <c r="H768" s="2"/>
      <c r="I768" s="2"/>
      <c r="J768" s="2"/>
      <c r="K768" s="2"/>
      <c r="L768" s="2"/>
      <c r="M768" s="2"/>
      <c r="N768" s="2"/>
      <c r="O768" s="2"/>
      <c r="P768" s="2"/>
      <c r="Q768" s="157"/>
      <c r="R768" s="157"/>
      <c r="S768" s="157"/>
      <c r="T768" s="158"/>
      <c r="U768" s="2"/>
      <c r="V768" s="30"/>
      <c r="W768" s="2"/>
      <c r="X768" s="2"/>
      <c r="Y768" s="2"/>
      <c r="Z768" s="2"/>
    </row>
    <row r="769" ht="13.5" customHeight="1">
      <c r="A769" s="2"/>
      <c r="B769" s="2"/>
      <c r="C769" s="2"/>
      <c r="D769" s="2"/>
      <c r="E769" s="2"/>
      <c r="F769" s="2"/>
      <c r="G769" s="2"/>
      <c r="H769" s="2"/>
      <c r="I769" s="2"/>
      <c r="J769" s="2"/>
      <c r="K769" s="2"/>
      <c r="L769" s="2"/>
      <c r="M769" s="2"/>
      <c r="N769" s="2"/>
      <c r="O769" s="2"/>
      <c r="P769" s="2"/>
      <c r="Q769" s="157"/>
      <c r="R769" s="157"/>
      <c r="S769" s="157"/>
      <c r="T769" s="158"/>
      <c r="U769" s="2"/>
      <c r="V769" s="30"/>
      <c r="W769" s="2"/>
      <c r="X769" s="2"/>
      <c r="Y769" s="2"/>
      <c r="Z769" s="2"/>
    </row>
    <row r="770" ht="13.5" customHeight="1">
      <c r="A770" s="2"/>
      <c r="B770" s="2"/>
      <c r="C770" s="2"/>
      <c r="D770" s="2"/>
      <c r="E770" s="2"/>
      <c r="F770" s="2"/>
      <c r="G770" s="2"/>
      <c r="H770" s="2"/>
      <c r="I770" s="2"/>
      <c r="J770" s="2"/>
      <c r="K770" s="2"/>
      <c r="L770" s="2"/>
      <c r="M770" s="2"/>
      <c r="N770" s="2"/>
      <c r="O770" s="2"/>
      <c r="P770" s="2"/>
      <c r="Q770" s="157"/>
      <c r="R770" s="157"/>
      <c r="S770" s="157"/>
      <c r="T770" s="158"/>
      <c r="U770" s="2"/>
      <c r="V770" s="30"/>
      <c r="W770" s="2"/>
      <c r="X770" s="2"/>
      <c r="Y770" s="2"/>
      <c r="Z770" s="2"/>
    </row>
    <row r="771" ht="13.5" customHeight="1">
      <c r="A771" s="2"/>
      <c r="B771" s="2"/>
      <c r="C771" s="2"/>
      <c r="D771" s="2"/>
      <c r="E771" s="2"/>
      <c r="F771" s="2"/>
      <c r="G771" s="2"/>
      <c r="H771" s="2"/>
      <c r="I771" s="2"/>
      <c r="J771" s="2"/>
      <c r="K771" s="2"/>
      <c r="L771" s="2"/>
      <c r="M771" s="2"/>
      <c r="N771" s="2"/>
      <c r="O771" s="2"/>
      <c r="P771" s="2"/>
      <c r="Q771" s="157"/>
      <c r="R771" s="157"/>
      <c r="S771" s="157"/>
      <c r="T771" s="158"/>
      <c r="U771" s="2"/>
      <c r="V771" s="30"/>
      <c r="W771" s="2"/>
      <c r="X771" s="2"/>
      <c r="Y771" s="2"/>
      <c r="Z771" s="2"/>
    </row>
    <row r="772" ht="13.5" customHeight="1">
      <c r="A772" s="2"/>
      <c r="B772" s="2"/>
      <c r="C772" s="2"/>
      <c r="D772" s="2"/>
      <c r="E772" s="2"/>
      <c r="F772" s="2"/>
      <c r="G772" s="2"/>
      <c r="H772" s="2"/>
      <c r="I772" s="2"/>
      <c r="J772" s="2"/>
      <c r="K772" s="2"/>
      <c r="L772" s="2"/>
      <c r="M772" s="2"/>
      <c r="N772" s="2"/>
      <c r="O772" s="2"/>
      <c r="P772" s="2"/>
      <c r="Q772" s="157"/>
      <c r="R772" s="157"/>
      <c r="S772" s="157"/>
      <c r="T772" s="158"/>
      <c r="U772" s="2"/>
      <c r="V772" s="30"/>
      <c r="W772" s="2"/>
      <c r="X772" s="2"/>
      <c r="Y772" s="2"/>
      <c r="Z772" s="2"/>
    </row>
    <row r="773" ht="13.5" customHeight="1">
      <c r="A773" s="2"/>
      <c r="B773" s="2"/>
      <c r="C773" s="2"/>
      <c r="D773" s="2"/>
      <c r="E773" s="2"/>
      <c r="F773" s="2"/>
      <c r="G773" s="2"/>
      <c r="H773" s="2"/>
      <c r="I773" s="2"/>
      <c r="J773" s="2"/>
      <c r="K773" s="2"/>
      <c r="L773" s="2"/>
      <c r="M773" s="2"/>
      <c r="N773" s="2"/>
      <c r="O773" s="2"/>
      <c r="P773" s="2"/>
      <c r="Q773" s="157"/>
      <c r="R773" s="157"/>
      <c r="S773" s="157"/>
      <c r="T773" s="158"/>
      <c r="U773" s="2"/>
      <c r="V773" s="30"/>
      <c r="W773" s="2"/>
      <c r="X773" s="2"/>
      <c r="Y773" s="2"/>
      <c r="Z773" s="2"/>
    </row>
    <row r="774" ht="13.5" customHeight="1">
      <c r="A774" s="2"/>
      <c r="B774" s="2"/>
      <c r="C774" s="2"/>
      <c r="D774" s="2"/>
      <c r="E774" s="2"/>
      <c r="F774" s="2"/>
      <c r="G774" s="2"/>
      <c r="H774" s="2"/>
      <c r="I774" s="2"/>
      <c r="J774" s="2"/>
      <c r="K774" s="2"/>
      <c r="L774" s="2"/>
      <c r="M774" s="2"/>
      <c r="N774" s="2"/>
      <c r="O774" s="2"/>
      <c r="P774" s="2"/>
      <c r="Q774" s="157"/>
      <c r="R774" s="157"/>
      <c r="S774" s="157"/>
      <c r="T774" s="158"/>
      <c r="U774" s="2"/>
      <c r="V774" s="30"/>
      <c r="W774" s="2"/>
      <c r="X774" s="2"/>
      <c r="Y774" s="2"/>
      <c r="Z774" s="2"/>
    </row>
    <row r="775" ht="13.5" customHeight="1">
      <c r="A775" s="2"/>
      <c r="B775" s="2"/>
      <c r="C775" s="2"/>
      <c r="D775" s="2"/>
      <c r="E775" s="2"/>
      <c r="F775" s="2"/>
      <c r="G775" s="2"/>
      <c r="H775" s="2"/>
      <c r="I775" s="2"/>
      <c r="J775" s="2"/>
      <c r="K775" s="2"/>
      <c r="L775" s="2"/>
      <c r="M775" s="2"/>
      <c r="N775" s="2"/>
      <c r="O775" s="2"/>
      <c r="P775" s="2"/>
      <c r="Q775" s="157"/>
      <c r="R775" s="157"/>
      <c r="S775" s="157"/>
      <c r="T775" s="158"/>
      <c r="U775" s="2"/>
      <c r="V775" s="30"/>
      <c r="W775" s="2"/>
      <c r="X775" s="2"/>
      <c r="Y775" s="2"/>
      <c r="Z775" s="2"/>
    </row>
    <row r="776" ht="13.5" customHeight="1">
      <c r="A776" s="2"/>
      <c r="B776" s="2"/>
      <c r="C776" s="2"/>
      <c r="D776" s="2"/>
      <c r="E776" s="2"/>
      <c r="F776" s="2"/>
      <c r="G776" s="2"/>
      <c r="H776" s="2"/>
      <c r="I776" s="2"/>
      <c r="J776" s="2"/>
      <c r="K776" s="2"/>
      <c r="L776" s="2"/>
      <c r="M776" s="2"/>
      <c r="N776" s="2"/>
      <c r="O776" s="2"/>
      <c r="P776" s="2"/>
      <c r="Q776" s="157"/>
      <c r="R776" s="157"/>
      <c r="S776" s="157"/>
      <c r="T776" s="158"/>
      <c r="U776" s="2"/>
      <c r="V776" s="30"/>
      <c r="W776" s="2"/>
      <c r="X776" s="2"/>
      <c r="Y776" s="2"/>
      <c r="Z776" s="2"/>
    </row>
    <row r="777" ht="13.5" customHeight="1">
      <c r="A777" s="2"/>
      <c r="B777" s="2"/>
      <c r="C777" s="2"/>
      <c r="D777" s="2"/>
      <c r="E777" s="2"/>
      <c r="F777" s="2"/>
      <c r="G777" s="2"/>
      <c r="H777" s="2"/>
      <c r="I777" s="2"/>
      <c r="J777" s="2"/>
      <c r="K777" s="2"/>
      <c r="L777" s="2"/>
      <c r="M777" s="2"/>
      <c r="N777" s="2"/>
      <c r="O777" s="2"/>
      <c r="P777" s="2"/>
      <c r="Q777" s="157"/>
      <c r="R777" s="157"/>
      <c r="S777" s="157"/>
      <c r="T777" s="158"/>
      <c r="U777" s="2"/>
      <c r="V777" s="30"/>
      <c r="W777" s="2"/>
      <c r="X777" s="2"/>
      <c r="Y777" s="2"/>
      <c r="Z777" s="2"/>
    </row>
    <row r="778" ht="13.5" customHeight="1">
      <c r="A778" s="2"/>
      <c r="B778" s="2"/>
      <c r="C778" s="2"/>
      <c r="D778" s="2"/>
      <c r="E778" s="2"/>
      <c r="F778" s="2"/>
      <c r="G778" s="2"/>
      <c r="H778" s="2"/>
      <c r="I778" s="2"/>
      <c r="J778" s="2"/>
      <c r="K778" s="2"/>
      <c r="L778" s="2"/>
      <c r="M778" s="2"/>
      <c r="N778" s="2"/>
      <c r="O778" s="2"/>
      <c r="P778" s="2"/>
      <c r="Q778" s="157"/>
      <c r="R778" s="157"/>
      <c r="S778" s="157"/>
      <c r="T778" s="158"/>
      <c r="U778" s="2"/>
      <c r="V778" s="30"/>
      <c r="W778" s="2"/>
      <c r="X778" s="2"/>
      <c r="Y778" s="2"/>
      <c r="Z778" s="2"/>
    </row>
    <row r="779" ht="13.5" customHeight="1">
      <c r="A779" s="2"/>
      <c r="B779" s="2"/>
      <c r="C779" s="2"/>
      <c r="D779" s="2"/>
      <c r="E779" s="2"/>
      <c r="F779" s="2"/>
      <c r="G779" s="2"/>
      <c r="H779" s="2"/>
      <c r="I779" s="2"/>
      <c r="J779" s="2"/>
      <c r="K779" s="2"/>
      <c r="L779" s="2"/>
      <c r="M779" s="2"/>
      <c r="N779" s="2"/>
      <c r="O779" s="2"/>
      <c r="P779" s="2"/>
      <c r="Q779" s="157"/>
      <c r="R779" s="157"/>
      <c r="S779" s="157"/>
      <c r="T779" s="158"/>
      <c r="U779" s="2"/>
      <c r="V779" s="30"/>
      <c r="W779" s="2"/>
      <c r="X779" s="2"/>
      <c r="Y779" s="2"/>
      <c r="Z779" s="2"/>
    </row>
    <row r="780" ht="13.5" customHeight="1">
      <c r="A780" s="2"/>
      <c r="B780" s="2"/>
      <c r="C780" s="2"/>
      <c r="D780" s="2"/>
      <c r="E780" s="2"/>
      <c r="F780" s="2"/>
      <c r="G780" s="2"/>
      <c r="H780" s="2"/>
      <c r="I780" s="2"/>
      <c r="J780" s="2"/>
      <c r="K780" s="2"/>
      <c r="L780" s="2"/>
      <c r="M780" s="2"/>
      <c r="N780" s="2"/>
      <c r="O780" s="2"/>
      <c r="P780" s="2"/>
      <c r="Q780" s="157"/>
      <c r="R780" s="157"/>
      <c r="S780" s="157"/>
      <c r="T780" s="158"/>
      <c r="U780" s="2"/>
      <c r="V780" s="30"/>
      <c r="W780" s="2"/>
      <c r="X780" s="2"/>
      <c r="Y780" s="2"/>
      <c r="Z780" s="2"/>
    </row>
    <row r="781" ht="13.5" customHeight="1">
      <c r="A781" s="2"/>
      <c r="B781" s="2"/>
      <c r="C781" s="2"/>
      <c r="D781" s="2"/>
      <c r="E781" s="2"/>
      <c r="F781" s="2"/>
      <c r="G781" s="2"/>
      <c r="H781" s="2"/>
      <c r="I781" s="2"/>
      <c r="J781" s="2"/>
      <c r="K781" s="2"/>
      <c r="L781" s="2"/>
      <c r="M781" s="2"/>
      <c r="N781" s="2"/>
      <c r="O781" s="2"/>
      <c r="P781" s="2"/>
      <c r="Q781" s="157"/>
      <c r="R781" s="157"/>
      <c r="S781" s="157"/>
      <c r="T781" s="158"/>
      <c r="U781" s="2"/>
      <c r="V781" s="30"/>
      <c r="W781" s="2"/>
      <c r="X781" s="2"/>
      <c r="Y781" s="2"/>
      <c r="Z781" s="2"/>
    </row>
    <row r="782" ht="13.5" customHeight="1">
      <c r="A782" s="2"/>
      <c r="B782" s="2"/>
      <c r="C782" s="2"/>
      <c r="D782" s="2"/>
      <c r="E782" s="2"/>
      <c r="F782" s="2"/>
      <c r="G782" s="2"/>
      <c r="H782" s="2"/>
      <c r="I782" s="2"/>
      <c r="J782" s="2"/>
      <c r="K782" s="2"/>
      <c r="L782" s="2"/>
      <c r="M782" s="2"/>
      <c r="N782" s="2"/>
      <c r="O782" s="2"/>
      <c r="P782" s="2"/>
      <c r="Q782" s="157"/>
      <c r="R782" s="157"/>
      <c r="S782" s="157"/>
      <c r="T782" s="158"/>
      <c r="U782" s="2"/>
      <c r="V782" s="30"/>
      <c r="W782" s="2"/>
      <c r="X782" s="2"/>
      <c r="Y782" s="2"/>
      <c r="Z782" s="2"/>
    </row>
    <row r="783" ht="13.5" customHeight="1">
      <c r="A783" s="2"/>
      <c r="B783" s="2"/>
      <c r="C783" s="2"/>
      <c r="D783" s="2"/>
      <c r="E783" s="2"/>
      <c r="F783" s="2"/>
      <c r="G783" s="2"/>
      <c r="H783" s="2"/>
      <c r="I783" s="2"/>
      <c r="J783" s="2"/>
      <c r="K783" s="2"/>
      <c r="L783" s="2"/>
      <c r="M783" s="2"/>
      <c r="N783" s="2"/>
      <c r="O783" s="2"/>
      <c r="P783" s="2"/>
      <c r="Q783" s="157"/>
      <c r="R783" s="157"/>
      <c r="S783" s="157"/>
      <c r="T783" s="158"/>
      <c r="U783" s="2"/>
      <c r="V783" s="30"/>
      <c r="W783" s="2"/>
      <c r="X783" s="2"/>
      <c r="Y783" s="2"/>
      <c r="Z783" s="2"/>
    </row>
    <row r="784" ht="13.5" customHeight="1">
      <c r="A784" s="2"/>
      <c r="B784" s="2"/>
      <c r="C784" s="2"/>
      <c r="D784" s="2"/>
      <c r="E784" s="2"/>
      <c r="F784" s="2"/>
      <c r="G784" s="2"/>
      <c r="H784" s="2"/>
      <c r="I784" s="2"/>
      <c r="J784" s="2"/>
      <c r="K784" s="2"/>
      <c r="L784" s="2"/>
      <c r="M784" s="2"/>
      <c r="N784" s="2"/>
      <c r="O784" s="2"/>
      <c r="P784" s="2"/>
      <c r="Q784" s="157"/>
      <c r="R784" s="157"/>
      <c r="S784" s="157"/>
      <c r="T784" s="158"/>
      <c r="U784" s="2"/>
      <c r="V784" s="30"/>
      <c r="W784" s="2"/>
      <c r="X784" s="2"/>
      <c r="Y784" s="2"/>
      <c r="Z784" s="2"/>
    </row>
    <row r="785" ht="13.5" customHeight="1">
      <c r="A785" s="2"/>
      <c r="B785" s="2"/>
      <c r="C785" s="2"/>
      <c r="D785" s="2"/>
      <c r="E785" s="2"/>
      <c r="F785" s="2"/>
      <c r="G785" s="2"/>
      <c r="H785" s="2"/>
      <c r="I785" s="2"/>
      <c r="J785" s="2"/>
      <c r="K785" s="2"/>
      <c r="L785" s="2"/>
      <c r="M785" s="2"/>
      <c r="N785" s="2"/>
      <c r="O785" s="2"/>
      <c r="P785" s="2"/>
      <c r="Q785" s="157"/>
      <c r="R785" s="157"/>
      <c r="S785" s="157"/>
      <c r="T785" s="158"/>
      <c r="U785" s="2"/>
      <c r="V785" s="30"/>
      <c r="W785" s="2"/>
      <c r="X785" s="2"/>
      <c r="Y785" s="2"/>
      <c r="Z785" s="2"/>
    </row>
    <row r="786" ht="13.5" customHeight="1">
      <c r="A786" s="2"/>
      <c r="B786" s="2"/>
      <c r="C786" s="2"/>
      <c r="D786" s="2"/>
      <c r="E786" s="2"/>
      <c r="F786" s="2"/>
      <c r="G786" s="2"/>
      <c r="H786" s="2"/>
      <c r="I786" s="2"/>
      <c r="J786" s="2"/>
      <c r="K786" s="2"/>
      <c r="L786" s="2"/>
      <c r="M786" s="2"/>
      <c r="N786" s="2"/>
      <c r="O786" s="2"/>
      <c r="P786" s="2"/>
      <c r="Q786" s="157"/>
      <c r="R786" s="157"/>
      <c r="S786" s="157"/>
      <c r="T786" s="158"/>
      <c r="U786" s="2"/>
      <c r="V786" s="30"/>
      <c r="W786" s="2"/>
      <c r="X786" s="2"/>
      <c r="Y786" s="2"/>
      <c r="Z786" s="2"/>
    </row>
    <row r="787" ht="13.5" customHeight="1">
      <c r="A787" s="2"/>
      <c r="B787" s="2"/>
      <c r="C787" s="2"/>
      <c r="D787" s="2"/>
      <c r="E787" s="2"/>
      <c r="F787" s="2"/>
      <c r="G787" s="2"/>
      <c r="H787" s="2"/>
      <c r="I787" s="2"/>
      <c r="J787" s="2"/>
      <c r="K787" s="2"/>
      <c r="L787" s="2"/>
      <c r="M787" s="2"/>
      <c r="N787" s="2"/>
      <c r="O787" s="2"/>
      <c r="P787" s="2"/>
      <c r="Q787" s="157"/>
      <c r="R787" s="157"/>
      <c r="S787" s="157"/>
      <c r="T787" s="158"/>
      <c r="U787" s="2"/>
      <c r="V787" s="30"/>
      <c r="W787" s="2"/>
      <c r="X787" s="2"/>
      <c r="Y787" s="2"/>
      <c r="Z787" s="2"/>
    </row>
    <row r="788" ht="13.5" customHeight="1">
      <c r="A788" s="2"/>
      <c r="B788" s="2"/>
      <c r="C788" s="2"/>
      <c r="D788" s="2"/>
      <c r="E788" s="2"/>
      <c r="F788" s="2"/>
      <c r="G788" s="2"/>
      <c r="H788" s="2"/>
      <c r="I788" s="2"/>
      <c r="J788" s="2"/>
      <c r="K788" s="2"/>
      <c r="L788" s="2"/>
      <c r="M788" s="2"/>
      <c r="N788" s="2"/>
      <c r="O788" s="2"/>
      <c r="P788" s="2"/>
      <c r="Q788" s="157"/>
      <c r="R788" s="157"/>
      <c r="S788" s="157"/>
      <c r="T788" s="158"/>
      <c r="U788" s="2"/>
      <c r="V788" s="30"/>
      <c r="W788" s="2"/>
      <c r="X788" s="2"/>
      <c r="Y788" s="2"/>
      <c r="Z788" s="2"/>
    </row>
    <row r="789" ht="13.5" customHeight="1">
      <c r="A789" s="2"/>
      <c r="B789" s="2"/>
      <c r="C789" s="2"/>
      <c r="D789" s="2"/>
      <c r="E789" s="2"/>
      <c r="F789" s="2"/>
      <c r="G789" s="2"/>
      <c r="H789" s="2"/>
      <c r="I789" s="2"/>
      <c r="J789" s="2"/>
      <c r="K789" s="2"/>
      <c r="L789" s="2"/>
      <c r="M789" s="2"/>
      <c r="N789" s="2"/>
      <c r="O789" s="2"/>
      <c r="P789" s="2"/>
      <c r="Q789" s="157"/>
      <c r="R789" s="157"/>
      <c r="S789" s="157"/>
      <c r="T789" s="158"/>
      <c r="U789" s="2"/>
      <c r="V789" s="30"/>
      <c r="W789" s="2"/>
      <c r="X789" s="2"/>
      <c r="Y789" s="2"/>
      <c r="Z789" s="2"/>
    </row>
    <row r="790" ht="13.5" customHeight="1">
      <c r="A790" s="2"/>
      <c r="B790" s="2"/>
      <c r="C790" s="2"/>
      <c r="D790" s="2"/>
      <c r="E790" s="2"/>
      <c r="F790" s="2"/>
      <c r="G790" s="2"/>
      <c r="H790" s="2"/>
      <c r="I790" s="2"/>
      <c r="J790" s="2"/>
      <c r="K790" s="2"/>
      <c r="L790" s="2"/>
      <c r="M790" s="2"/>
      <c r="N790" s="2"/>
      <c r="O790" s="2"/>
      <c r="P790" s="2"/>
      <c r="Q790" s="157"/>
      <c r="R790" s="157"/>
      <c r="S790" s="157"/>
      <c r="T790" s="158"/>
      <c r="U790" s="2"/>
      <c r="V790" s="30"/>
      <c r="W790" s="2"/>
      <c r="X790" s="2"/>
      <c r="Y790" s="2"/>
      <c r="Z790" s="2"/>
    </row>
    <row r="791" ht="13.5" customHeight="1">
      <c r="A791" s="2"/>
      <c r="B791" s="2"/>
      <c r="C791" s="2"/>
      <c r="D791" s="2"/>
      <c r="E791" s="2"/>
      <c r="F791" s="2"/>
      <c r="G791" s="2"/>
      <c r="H791" s="2"/>
      <c r="I791" s="2"/>
      <c r="J791" s="2"/>
      <c r="K791" s="2"/>
      <c r="L791" s="2"/>
      <c r="M791" s="2"/>
      <c r="N791" s="2"/>
      <c r="O791" s="2"/>
      <c r="P791" s="2"/>
      <c r="Q791" s="157"/>
      <c r="R791" s="157"/>
      <c r="S791" s="157"/>
      <c r="T791" s="158"/>
      <c r="U791" s="2"/>
      <c r="V791" s="30"/>
      <c r="W791" s="2"/>
      <c r="X791" s="2"/>
      <c r="Y791" s="2"/>
      <c r="Z791" s="2"/>
    </row>
    <row r="792" ht="13.5" customHeight="1">
      <c r="A792" s="2"/>
      <c r="B792" s="2"/>
      <c r="C792" s="2"/>
      <c r="D792" s="2"/>
      <c r="E792" s="2"/>
      <c r="F792" s="2"/>
      <c r="G792" s="2"/>
      <c r="H792" s="2"/>
      <c r="I792" s="2"/>
      <c r="J792" s="2"/>
      <c r="K792" s="2"/>
      <c r="L792" s="2"/>
      <c r="M792" s="2"/>
      <c r="N792" s="2"/>
      <c r="O792" s="2"/>
      <c r="P792" s="2"/>
      <c r="Q792" s="157"/>
      <c r="R792" s="157"/>
      <c r="S792" s="157"/>
      <c r="T792" s="158"/>
      <c r="U792" s="2"/>
      <c r="V792" s="30"/>
      <c r="W792" s="2"/>
      <c r="X792" s="2"/>
      <c r="Y792" s="2"/>
      <c r="Z792" s="2"/>
    </row>
    <row r="793" ht="13.5" customHeight="1">
      <c r="A793" s="2"/>
      <c r="B793" s="2"/>
      <c r="C793" s="2"/>
      <c r="D793" s="2"/>
      <c r="E793" s="2"/>
      <c r="F793" s="2"/>
      <c r="G793" s="2"/>
      <c r="H793" s="2"/>
      <c r="I793" s="2"/>
      <c r="J793" s="2"/>
      <c r="K793" s="2"/>
      <c r="L793" s="2"/>
      <c r="M793" s="2"/>
      <c r="N793" s="2"/>
      <c r="O793" s="2"/>
      <c r="P793" s="2"/>
      <c r="Q793" s="157"/>
      <c r="R793" s="157"/>
      <c r="S793" s="157"/>
      <c r="T793" s="158"/>
      <c r="U793" s="2"/>
      <c r="V793" s="30"/>
      <c r="W793" s="2"/>
      <c r="X793" s="2"/>
      <c r="Y793" s="2"/>
      <c r="Z793" s="2"/>
    </row>
    <row r="794" ht="13.5" customHeight="1">
      <c r="A794" s="2"/>
      <c r="B794" s="2"/>
      <c r="C794" s="2"/>
      <c r="D794" s="2"/>
      <c r="E794" s="2"/>
      <c r="F794" s="2"/>
      <c r="G794" s="2"/>
      <c r="H794" s="2"/>
      <c r="I794" s="2"/>
      <c r="J794" s="2"/>
      <c r="K794" s="2"/>
      <c r="L794" s="2"/>
      <c r="M794" s="2"/>
      <c r="N794" s="2"/>
      <c r="O794" s="2"/>
      <c r="P794" s="2"/>
      <c r="Q794" s="157"/>
      <c r="R794" s="157"/>
      <c r="S794" s="157"/>
      <c r="T794" s="158"/>
      <c r="U794" s="2"/>
      <c r="V794" s="30"/>
      <c r="W794" s="2"/>
      <c r="X794" s="2"/>
      <c r="Y794" s="2"/>
      <c r="Z794" s="2"/>
    </row>
    <row r="795" ht="13.5" customHeight="1">
      <c r="A795" s="2"/>
      <c r="B795" s="2"/>
      <c r="C795" s="2"/>
      <c r="D795" s="2"/>
      <c r="E795" s="2"/>
      <c r="F795" s="2"/>
      <c r="G795" s="2"/>
      <c r="H795" s="2"/>
      <c r="I795" s="2"/>
      <c r="J795" s="2"/>
      <c r="K795" s="2"/>
      <c r="L795" s="2"/>
      <c r="M795" s="2"/>
      <c r="N795" s="2"/>
      <c r="O795" s="2"/>
      <c r="P795" s="2"/>
      <c r="Q795" s="157"/>
      <c r="R795" s="157"/>
      <c r="S795" s="157"/>
      <c r="T795" s="158"/>
      <c r="U795" s="2"/>
      <c r="V795" s="30"/>
      <c r="W795" s="2"/>
      <c r="X795" s="2"/>
      <c r="Y795" s="2"/>
      <c r="Z795" s="2"/>
    </row>
    <row r="796" ht="13.5" customHeight="1">
      <c r="A796" s="2"/>
      <c r="B796" s="2"/>
      <c r="C796" s="2"/>
      <c r="D796" s="2"/>
      <c r="E796" s="2"/>
      <c r="F796" s="2"/>
      <c r="G796" s="2"/>
      <c r="H796" s="2"/>
      <c r="I796" s="2"/>
      <c r="J796" s="2"/>
      <c r="K796" s="2"/>
      <c r="L796" s="2"/>
      <c r="M796" s="2"/>
      <c r="N796" s="2"/>
      <c r="O796" s="2"/>
      <c r="P796" s="2"/>
      <c r="Q796" s="157"/>
      <c r="R796" s="157"/>
      <c r="S796" s="157"/>
      <c r="T796" s="158"/>
      <c r="U796" s="2"/>
      <c r="V796" s="30"/>
      <c r="W796" s="2"/>
      <c r="X796" s="2"/>
      <c r="Y796" s="2"/>
      <c r="Z796" s="2"/>
    </row>
    <row r="797" ht="13.5" customHeight="1">
      <c r="A797" s="2"/>
      <c r="B797" s="2"/>
      <c r="C797" s="2"/>
      <c r="D797" s="2"/>
      <c r="E797" s="2"/>
      <c r="F797" s="2"/>
      <c r="G797" s="2"/>
      <c r="H797" s="2"/>
      <c r="I797" s="2"/>
      <c r="J797" s="2"/>
      <c r="K797" s="2"/>
      <c r="L797" s="2"/>
      <c r="M797" s="2"/>
      <c r="N797" s="2"/>
      <c r="O797" s="2"/>
      <c r="P797" s="2"/>
      <c r="Q797" s="157"/>
      <c r="R797" s="157"/>
      <c r="S797" s="157"/>
      <c r="T797" s="158"/>
      <c r="U797" s="2"/>
      <c r="V797" s="30"/>
      <c r="W797" s="2"/>
      <c r="X797" s="2"/>
      <c r="Y797" s="2"/>
      <c r="Z797" s="2"/>
    </row>
    <row r="798" ht="13.5" customHeight="1">
      <c r="A798" s="2"/>
      <c r="B798" s="2"/>
      <c r="C798" s="2"/>
      <c r="D798" s="2"/>
      <c r="E798" s="2"/>
      <c r="F798" s="2"/>
      <c r="G798" s="2"/>
      <c r="H798" s="2"/>
      <c r="I798" s="2"/>
      <c r="J798" s="2"/>
      <c r="K798" s="2"/>
      <c r="L798" s="2"/>
      <c r="M798" s="2"/>
      <c r="N798" s="2"/>
      <c r="O798" s="2"/>
      <c r="P798" s="2"/>
      <c r="Q798" s="157"/>
      <c r="R798" s="157"/>
      <c r="S798" s="157"/>
      <c r="T798" s="158"/>
      <c r="U798" s="2"/>
      <c r="V798" s="30"/>
      <c r="W798" s="2"/>
      <c r="X798" s="2"/>
      <c r="Y798" s="2"/>
      <c r="Z798" s="2"/>
    </row>
    <row r="799" ht="13.5" customHeight="1">
      <c r="A799" s="2"/>
      <c r="B799" s="2"/>
      <c r="C799" s="2"/>
      <c r="D799" s="2"/>
      <c r="E799" s="2"/>
      <c r="F799" s="2"/>
      <c r="G799" s="2"/>
      <c r="H799" s="2"/>
      <c r="I799" s="2"/>
      <c r="J799" s="2"/>
      <c r="K799" s="2"/>
      <c r="L799" s="2"/>
      <c r="M799" s="2"/>
      <c r="N799" s="2"/>
      <c r="O799" s="2"/>
      <c r="P799" s="2"/>
      <c r="Q799" s="157"/>
      <c r="R799" s="157"/>
      <c r="S799" s="157"/>
      <c r="T799" s="158"/>
      <c r="U799" s="2"/>
      <c r="V799" s="30"/>
      <c r="W799" s="2"/>
      <c r="X799" s="2"/>
      <c r="Y799" s="2"/>
      <c r="Z799" s="2"/>
    </row>
    <row r="800" ht="13.5" customHeight="1">
      <c r="A800" s="2"/>
      <c r="B800" s="2"/>
      <c r="C800" s="2"/>
      <c r="D800" s="2"/>
      <c r="E800" s="2"/>
      <c r="F800" s="2"/>
      <c r="G800" s="2"/>
      <c r="H800" s="2"/>
      <c r="I800" s="2"/>
      <c r="J800" s="2"/>
      <c r="K800" s="2"/>
      <c r="L800" s="2"/>
      <c r="M800" s="2"/>
      <c r="N800" s="2"/>
      <c r="O800" s="2"/>
      <c r="P800" s="2"/>
      <c r="Q800" s="157"/>
      <c r="R800" s="157"/>
      <c r="S800" s="157"/>
      <c r="T800" s="158"/>
      <c r="U800" s="2"/>
      <c r="V800" s="30"/>
      <c r="W800" s="2"/>
      <c r="X800" s="2"/>
      <c r="Y800" s="2"/>
      <c r="Z800" s="2"/>
    </row>
    <row r="801" ht="13.5" customHeight="1">
      <c r="A801" s="2"/>
      <c r="B801" s="2"/>
      <c r="C801" s="2"/>
      <c r="D801" s="2"/>
      <c r="E801" s="2"/>
      <c r="F801" s="2"/>
      <c r="G801" s="2"/>
      <c r="H801" s="2"/>
      <c r="I801" s="2"/>
      <c r="J801" s="2"/>
      <c r="K801" s="2"/>
      <c r="L801" s="2"/>
      <c r="M801" s="2"/>
      <c r="N801" s="2"/>
      <c r="O801" s="2"/>
      <c r="P801" s="2"/>
      <c r="Q801" s="157"/>
      <c r="R801" s="157"/>
      <c r="S801" s="157"/>
      <c r="T801" s="158"/>
      <c r="U801" s="2"/>
      <c r="V801" s="30"/>
      <c r="W801" s="2"/>
      <c r="X801" s="2"/>
      <c r="Y801" s="2"/>
      <c r="Z801" s="2"/>
    </row>
    <row r="802" ht="13.5" customHeight="1">
      <c r="A802" s="2"/>
      <c r="B802" s="2"/>
      <c r="C802" s="2"/>
      <c r="D802" s="2"/>
      <c r="E802" s="2"/>
      <c r="F802" s="2"/>
      <c r="G802" s="2"/>
      <c r="H802" s="2"/>
      <c r="I802" s="2"/>
      <c r="J802" s="2"/>
      <c r="K802" s="2"/>
      <c r="L802" s="2"/>
      <c r="M802" s="2"/>
      <c r="N802" s="2"/>
      <c r="O802" s="2"/>
      <c r="P802" s="2"/>
      <c r="Q802" s="157"/>
      <c r="R802" s="157"/>
      <c r="S802" s="157"/>
      <c r="T802" s="158"/>
      <c r="U802" s="2"/>
      <c r="V802" s="30"/>
      <c r="W802" s="2"/>
      <c r="X802" s="2"/>
      <c r="Y802" s="2"/>
      <c r="Z802" s="2"/>
    </row>
    <row r="803" ht="13.5" customHeight="1">
      <c r="A803" s="2"/>
      <c r="B803" s="2"/>
      <c r="C803" s="2"/>
      <c r="D803" s="2"/>
      <c r="E803" s="2"/>
      <c r="F803" s="2"/>
      <c r="G803" s="2"/>
      <c r="H803" s="2"/>
      <c r="I803" s="2"/>
      <c r="J803" s="2"/>
      <c r="K803" s="2"/>
      <c r="L803" s="2"/>
      <c r="M803" s="2"/>
      <c r="N803" s="2"/>
      <c r="O803" s="2"/>
      <c r="P803" s="2"/>
      <c r="Q803" s="157"/>
      <c r="R803" s="157"/>
      <c r="S803" s="157"/>
      <c r="T803" s="158"/>
      <c r="U803" s="2"/>
      <c r="V803" s="30"/>
      <c r="W803" s="2"/>
      <c r="X803" s="2"/>
      <c r="Y803" s="2"/>
      <c r="Z803" s="2"/>
    </row>
    <row r="804" ht="13.5" customHeight="1">
      <c r="A804" s="2"/>
      <c r="B804" s="2"/>
      <c r="C804" s="2"/>
      <c r="D804" s="2"/>
      <c r="E804" s="2"/>
      <c r="F804" s="2"/>
      <c r="G804" s="2"/>
      <c r="H804" s="2"/>
      <c r="I804" s="2"/>
      <c r="J804" s="2"/>
      <c r="K804" s="2"/>
      <c r="L804" s="2"/>
      <c r="M804" s="2"/>
      <c r="N804" s="2"/>
      <c r="O804" s="2"/>
      <c r="P804" s="2"/>
      <c r="Q804" s="157"/>
      <c r="R804" s="157"/>
      <c r="S804" s="157"/>
      <c r="T804" s="158"/>
      <c r="U804" s="2"/>
      <c r="V804" s="30"/>
      <c r="W804" s="2"/>
      <c r="X804" s="2"/>
      <c r="Y804" s="2"/>
      <c r="Z804" s="2"/>
    </row>
    <row r="805" ht="13.5" customHeight="1">
      <c r="A805" s="2"/>
      <c r="B805" s="2"/>
      <c r="C805" s="2"/>
      <c r="D805" s="2"/>
      <c r="E805" s="2"/>
      <c r="F805" s="2"/>
      <c r="G805" s="2"/>
      <c r="H805" s="2"/>
      <c r="I805" s="2"/>
      <c r="J805" s="2"/>
      <c r="K805" s="2"/>
      <c r="L805" s="2"/>
      <c r="M805" s="2"/>
      <c r="N805" s="2"/>
      <c r="O805" s="2"/>
      <c r="P805" s="2"/>
      <c r="Q805" s="157"/>
      <c r="R805" s="157"/>
      <c r="S805" s="157"/>
      <c r="T805" s="158"/>
      <c r="U805" s="2"/>
      <c r="V805" s="30"/>
      <c r="W805" s="2"/>
      <c r="X805" s="2"/>
      <c r="Y805" s="2"/>
      <c r="Z805" s="2"/>
    </row>
    <row r="806" ht="13.5" customHeight="1">
      <c r="A806" s="2"/>
      <c r="B806" s="2"/>
      <c r="C806" s="2"/>
      <c r="D806" s="2"/>
      <c r="E806" s="2"/>
      <c r="F806" s="2"/>
      <c r="G806" s="2"/>
      <c r="H806" s="2"/>
      <c r="I806" s="2"/>
      <c r="J806" s="2"/>
      <c r="K806" s="2"/>
      <c r="L806" s="2"/>
      <c r="M806" s="2"/>
      <c r="N806" s="2"/>
      <c r="O806" s="2"/>
      <c r="P806" s="2"/>
      <c r="Q806" s="157"/>
      <c r="R806" s="157"/>
      <c r="S806" s="157"/>
      <c r="T806" s="158"/>
      <c r="U806" s="2"/>
      <c r="V806" s="30"/>
      <c r="W806" s="2"/>
      <c r="X806" s="2"/>
      <c r="Y806" s="2"/>
      <c r="Z806" s="2"/>
    </row>
    <row r="807" ht="13.5" customHeight="1">
      <c r="A807" s="2"/>
      <c r="B807" s="2"/>
      <c r="C807" s="2"/>
      <c r="D807" s="2"/>
      <c r="E807" s="2"/>
      <c r="F807" s="2"/>
      <c r="G807" s="2"/>
      <c r="H807" s="2"/>
      <c r="I807" s="2"/>
      <c r="J807" s="2"/>
      <c r="K807" s="2"/>
      <c r="L807" s="2"/>
      <c r="M807" s="2"/>
      <c r="N807" s="2"/>
      <c r="O807" s="2"/>
      <c r="P807" s="2"/>
      <c r="Q807" s="157"/>
      <c r="R807" s="157"/>
      <c r="S807" s="157"/>
      <c r="T807" s="158"/>
      <c r="U807" s="2"/>
      <c r="V807" s="30"/>
      <c r="W807" s="2"/>
      <c r="X807" s="2"/>
      <c r="Y807" s="2"/>
      <c r="Z807" s="2"/>
    </row>
    <row r="808" ht="13.5" customHeight="1">
      <c r="A808" s="2"/>
      <c r="B808" s="2"/>
      <c r="C808" s="2"/>
      <c r="D808" s="2"/>
      <c r="E808" s="2"/>
      <c r="F808" s="2"/>
      <c r="G808" s="2"/>
      <c r="H808" s="2"/>
      <c r="I808" s="2"/>
      <c r="J808" s="2"/>
      <c r="K808" s="2"/>
      <c r="L808" s="2"/>
      <c r="M808" s="2"/>
      <c r="N808" s="2"/>
      <c r="O808" s="2"/>
      <c r="P808" s="2"/>
      <c r="Q808" s="157"/>
      <c r="R808" s="157"/>
      <c r="S808" s="157"/>
      <c r="T808" s="158"/>
      <c r="U808" s="2"/>
      <c r="V808" s="30"/>
      <c r="W808" s="2"/>
      <c r="X808" s="2"/>
      <c r="Y808" s="2"/>
      <c r="Z808" s="2"/>
    </row>
    <row r="809" ht="13.5" customHeight="1">
      <c r="A809" s="2"/>
      <c r="B809" s="2"/>
      <c r="C809" s="2"/>
      <c r="D809" s="2"/>
      <c r="E809" s="2"/>
      <c r="F809" s="2"/>
      <c r="G809" s="2"/>
      <c r="H809" s="2"/>
      <c r="I809" s="2"/>
      <c r="J809" s="2"/>
      <c r="K809" s="2"/>
      <c r="L809" s="2"/>
      <c r="M809" s="2"/>
      <c r="N809" s="2"/>
      <c r="O809" s="2"/>
      <c r="P809" s="2"/>
      <c r="Q809" s="157"/>
      <c r="R809" s="157"/>
      <c r="S809" s="157"/>
      <c r="T809" s="158"/>
      <c r="U809" s="2"/>
      <c r="V809" s="30"/>
      <c r="W809" s="2"/>
      <c r="X809" s="2"/>
      <c r="Y809" s="2"/>
      <c r="Z809" s="2"/>
    </row>
    <row r="810" ht="13.5" customHeight="1">
      <c r="A810" s="2"/>
      <c r="B810" s="2"/>
      <c r="C810" s="2"/>
      <c r="D810" s="2"/>
      <c r="E810" s="2"/>
      <c r="F810" s="2"/>
      <c r="G810" s="2"/>
      <c r="H810" s="2"/>
      <c r="I810" s="2"/>
      <c r="J810" s="2"/>
      <c r="K810" s="2"/>
      <c r="L810" s="2"/>
      <c r="M810" s="2"/>
      <c r="N810" s="2"/>
      <c r="O810" s="2"/>
      <c r="P810" s="2"/>
      <c r="Q810" s="157"/>
      <c r="R810" s="157"/>
      <c r="S810" s="157"/>
      <c r="T810" s="158"/>
      <c r="U810" s="2"/>
      <c r="V810" s="30"/>
      <c r="W810" s="2"/>
      <c r="X810" s="2"/>
      <c r="Y810" s="2"/>
      <c r="Z810" s="2"/>
    </row>
    <row r="811" ht="13.5" customHeight="1">
      <c r="A811" s="2"/>
      <c r="B811" s="2"/>
      <c r="C811" s="2"/>
      <c r="D811" s="2"/>
      <c r="E811" s="2"/>
      <c r="F811" s="2"/>
      <c r="G811" s="2"/>
      <c r="H811" s="2"/>
      <c r="I811" s="2"/>
      <c r="J811" s="2"/>
      <c r="K811" s="2"/>
      <c r="L811" s="2"/>
      <c r="M811" s="2"/>
      <c r="N811" s="2"/>
      <c r="O811" s="2"/>
      <c r="P811" s="2"/>
      <c r="Q811" s="157"/>
      <c r="R811" s="157"/>
      <c r="S811" s="157"/>
      <c r="T811" s="158"/>
      <c r="U811" s="2"/>
      <c r="V811" s="30"/>
      <c r="W811" s="2"/>
      <c r="X811" s="2"/>
      <c r="Y811" s="2"/>
      <c r="Z811" s="2"/>
    </row>
    <row r="812" ht="13.5" customHeight="1">
      <c r="A812" s="2"/>
      <c r="B812" s="2"/>
      <c r="C812" s="2"/>
      <c r="D812" s="2"/>
      <c r="E812" s="2"/>
      <c r="F812" s="2"/>
      <c r="G812" s="2"/>
      <c r="H812" s="2"/>
      <c r="I812" s="2"/>
      <c r="J812" s="2"/>
      <c r="K812" s="2"/>
      <c r="L812" s="2"/>
      <c r="M812" s="2"/>
      <c r="N812" s="2"/>
      <c r="O812" s="2"/>
      <c r="P812" s="2"/>
      <c r="Q812" s="157"/>
      <c r="R812" s="157"/>
      <c r="S812" s="157"/>
      <c r="T812" s="158"/>
      <c r="U812" s="2"/>
      <c r="V812" s="30"/>
      <c r="W812" s="2"/>
      <c r="X812" s="2"/>
      <c r="Y812" s="2"/>
      <c r="Z812" s="2"/>
    </row>
    <row r="813" ht="13.5" customHeight="1">
      <c r="A813" s="2"/>
      <c r="B813" s="2"/>
      <c r="C813" s="2"/>
      <c r="D813" s="2"/>
      <c r="E813" s="2"/>
      <c r="F813" s="2"/>
      <c r="G813" s="2"/>
      <c r="H813" s="2"/>
      <c r="I813" s="2"/>
      <c r="J813" s="2"/>
      <c r="K813" s="2"/>
      <c r="L813" s="2"/>
      <c r="M813" s="2"/>
      <c r="N813" s="2"/>
      <c r="O813" s="2"/>
      <c r="P813" s="2"/>
      <c r="Q813" s="157"/>
      <c r="R813" s="157"/>
      <c r="S813" s="157"/>
      <c r="T813" s="158"/>
      <c r="U813" s="2"/>
      <c r="V813" s="30"/>
      <c r="W813" s="2"/>
      <c r="X813" s="2"/>
      <c r="Y813" s="2"/>
      <c r="Z813" s="2"/>
    </row>
    <row r="814" ht="13.5" customHeight="1">
      <c r="A814" s="2"/>
      <c r="B814" s="2"/>
      <c r="C814" s="2"/>
      <c r="D814" s="2"/>
      <c r="E814" s="2"/>
      <c r="F814" s="2"/>
      <c r="G814" s="2"/>
      <c r="H814" s="2"/>
      <c r="I814" s="2"/>
      <c r="J814" s="2"/>
      <c r="K814" s="2"/>
      <c r="L814" s="2"/>
      <c r="M814" s="2"/>
      <c r="N814" s="2"/>
      <c r="O814" s="2"/>
      <c r="P814" s="2"/>
      <c r="Q814" s="157"/>
      <c r="R814" s="157"/>
      <c r="S814" s="157"/>
      <c r="T814" s="158"/>
      <c r="U814" s="2"/>
      <c r="V814" s="30"/>
      <c r="W814" s="2"/>
      <c r="X814" s="2"/>
      <c r="Y814" s="2"/>
      <c r="Z814" s="2"/>
    </row>
    <row r="815" ht="13.5" customHeight="1">
      <c r="A815" s="2"/>
      <c r="B815" s="2"/>
      <c r="C815" s="2"/>
      <c r="D815" s="2"/>
      <c r="E815" s="2"/>
      <c r="F815" s="2"/>
      <c r="G815" s="2"/>
      <c r="H815" s="2"/>
      <c r="I815" s="2"/>
      <c r="J815" s="2"/>
      <c r="K815" s="2"/>
      <c r="L815" s="2"/>
      <c r="M815" s="2"/>
      <c r="N815" s="2"/>
      <c r="O815" s="2"/>
      <c r="P815" s="2"/>
      <c r="Q815" s="157"/>
      <c r="R815" s="157"/>
      <c r="S815" s="157"/>
      <c r="T815" s="158"/>
      <c r="U815" s="2"/>
      <c r="V815" s="30"/>
      <c r="W815" s="2"/>
      <c r="X815" s="2"/>
      <c r="Y815" s="2"/>
      <c r="Z815" s="2"/>
    </row>
    <row r="816" ht="13.5" customHeight="1">
      <c r="A816" s="2"/>
      <c r="B816" s="2"/>
      <c r="C816" s="2"/>
      <c r="D816" s="2"/>
      <c r="E816" s="2"/>
      <c r="F816" s="2"/>
      <c r="G816" s="2"/>
      <c r="H816" s="2"/>
      <c r="I816" s="2"/>
      <c r="J816" s="2"/>
      <c r="K816" s="2"/>
      <c r="L816" s="2"/>
      <c r="M816" s="2"/>
      <c r="N816" s="2"/>
      <c r="O816" s="2"/>
      <c r="P816" s="2"/>
      <c r="Q816" s="157"/>
      <c r="R816" s="157"/>
      <c r="S816" s="157"/>
      <c r="T816" s="158"/>
      <c r="U816" s="2"/>
      <c r="V816" s="30"/>
      <c r="W816" s="2"/>
      <c r="X816" s="2"/>
      <c r="Y816" s="2"/>
      <c r="Z816" s="2"/>
    </row>
    <row r="817" ht="13.5" customHeight="1">
      <c r="A817" s="2"/>
      <c r="B817" s="2"/>
      <c r="C817" s="2"/>
      <c r="D817" s="2"/>
      <c r="E817" s="2"/>
      <c r="F817" s="2"/>
      <c r="G817" s="2"/>
      <c r="H817" s="2"/>
      <c r="I817" s="2"/>
      <c r="J817" s="2"/>
      <c r="K817" s="2"/>
      <c r="L817" s="2"/>
      <c r="M817" s="2"/>
      <c r="N817" s="2"/>
      <c r="O817" s="2"/>
      <c r="P817" s="2"/>
      <c r="Q817" s="157"/>
      <c r="R817" s="157"/>
      <c r="S817" s="157"/>
      <c r="T817" s="158"/>
      <c r="U817" s="2"/>
      <c r="V817" s="30"/>
      <c r="W817" s="2"/>
      <c r="X817" s="2"/>
      <c r="Y817" s="2"/>
      <c r="Z817" s="2"/>
    </row>
    <row r="818" ht="13.5" customHeight="1">
      <c r="A818" s="2"/>
      <c r="B818" s="2"/>
      <c r="C818" s="2"/>
      <c r="D818" s="2"/>
      <c r="E818" s="2"/>
      <c r="F818" s="2"/>
      <c r="G818" s="2"/>
      <c r="H818" s="2"/>
      <c r="I818" s="2"/>
      <c r="J818" s="2"/>
      <c r="K818" s="2"/>
      <c r="L818" s="2"/>
      <c r="M818" s="2"/>
      <c r="N818" s="2"/>
      <c r="O818" s="2"/>
      <c r="P818" s="2"/>
      <c r="Q818" s="157"/>
      <c r="R818" s="157"/>
      <c r="S818" s="157"/>
      <c r="T818" s="158"/>
      <c r="U818" s="2"/>
      <c r="V818" s="30"/>
      <c r="W818" s="2"/>
      <c r="X818" s="2"/>
      <c r="Y818" s="2"/>
      <c r="Z818" s="2"/>
    </row>
    <row r="819" ht="13.5" customHeight="1">
      <c r="A819" s="2"/>
      <c r="B819" s="2"/>
      <c r="C819" s="2"/>
      <c r="D819" s="2"/>
      <c r="E819" s="2"/>
      <c r="F819" s="2"/>
      <c r="G819" s="2"/>
      <c r="H819" s="2"/>
      <c r="I819" s="2"/>
      <c r="J819" s="2"/>
      <c r="K819" s="2"/>
      <c r="L819" s="2"/>
      <c r="M819" s="2"/>
      <c r="N819" s="2"/>
      <c r="O819" s="2"/>
      <c r="P819" s="2"/>
      <c r="Q819" s="157"/>
      <c r="R819" s="157"/>
      <c r="S819" s="157"/>
      <c r="T819" s="158"/>
      <c r="U819" s="2"/>
      <c r="V819" s="30"/>
      <c r="W819" s="2"/>
      <c r="X819" s="2"/>
      <c r="Y819" s="2"/>
      <c r="Z819" s="2"/>
    </row>
    <row r="820" ht="13.5" customHeight="1">
      <c r="A820" s="2"/>
      <c r="B820" s="2"/>
      <c r="C820" s="2"/>
      <c r="D820" s="2"/>
      <c r="E820" s="2"/>
      <c r="F820" s="2"/>
      <c r="G820" s="2"/>
      <c r="H820" s="2"/>
      <c r="I820" s="2"/>
      <c r="J820" s="2"/>
      <c r="K820" s="2"/>
      <c r="L820" s="2"/>
      <c r="M820" s="2"/>
      <c r="N820" s="2"/>
      <c r="O820" s="2"/>
      <c r="P820" s="2"/>
      <c r="Q820" s="157"/>
      <c r="R820" s="157"/>
      <c r="S820" s="157"/>
      <c r="T820" s="158"/>
      <c r="U820" s="2"/>
      <c r="V820" s="30"/>
      <c r="W820" s="2"/>
      <c r="X820" s="2"/>
      <c r="Y820" s="2"/>
      <c r="Z820" s="2"/>
    </row>
    <row r="821" ht="13.5" customHeight="1">
      <c r="A821" s="2"/>
      <c r="B821" s="2"/>
      <c r="C821" s="2"/>
      <c r="D821" s="2"/>
      <c r="E821" s="2"/>
      <c r="F821" s="2"/>
      <c r="G821" s="2"/>
      <c r="H821" s="2"/>
      <c r="I821" s="2"/>
      <c r="J821" s="2"/>
      <c r="K821" s="2"/>
      <c r="L821" s="2"/>
      <c r="M821" s="2"/>
      <c r="N821" s="2"/>
      <c r="O821" s="2"/>
      <c r="P821" s="2"/>
      <c r="Q821" s="157"/>
      <c r="R821" s="157"/>
      <c r="S821" s="157"/>
      <c r="T821" s="158"/>
      <c r="U821" s="2"/>
      <c r="V821" s="30"/>
      <c r="W821" s="2"/>
      <c r="X821" s="2"/>
      <c r="Y821" s="2"/>
      <c r="Z821" s="2"/>
    </row>
    <row r="822" ht="13.5" customHeight="1">
      <c r="A822" s="2"/>
      <c r="B822" s="2"/>
      <c r="C822" s="2"/>
      <c r="D822" s="2"/>
      <c r="E822" s="2"/>
      <c r="F822" s="2"/>
      <c r="G822" s="2"/>
      <c r="H822" s="2"/>
      <c r="I822" s="2"/>
      <c r="J822" s="2"/>
      <c r="K822" s="2"/>
      <c r="L822" s="2"/>
      <c r="M822" s="2"/>
      <c r="N822" s="2"/>
      <c r="O822" s="2"/>
      <c r="P822" s="2"/>
      <c r="Q822" s="157"/>
      <c r="R822" s="157"/>
      <c r="S822" s="157"/>
      <c r="T822" s="158"/>
      <c r="U822" s="2"/>
      <c r="V822" s="30"/>
      <c r="W822" s="2"/>
      <c r="X822" s="2"/>
      <c r="Y822" s="2"/>
      <c r="Z822" s="2"/>
    </row>
    <row r="823" ht="13.5" customHeight="1">
      <c r="A823" s="2"/>
      <c r="B823" s="2"/>
      <c r="C823" s="2"/>
      <c r="D823" s="2"/>
      <c r="E823" s="2"/>
      <c r="F823" s="2"/>
      <c r="G823" s="2"/>
      <c r="H823" s="2"/>
      <c r="I823" s="2"/>
      <c r="J823" s="2"/>
      <c r="K823" s="2"/>
      <c r="L823" s="2"/>
      <c r="M823" s="2"/>
      <c r="N823" s="2"/>
      <c r="O823" s="2"/>
      <c r="P823" s="2"/>
      <c r="Q823" s="157"/>
      <c r="R823" s="157"/>
      <c r="S823" s="157"/>
      <c r="T823" s="158"/>
      <c r="U823" s="2"/>
      <c r="V823" s="30"/>
      <c r="W823" s="2"/>
      <c r="X823" s="2"/>
      <c r="Y823" s="2"/>
      <c r="Z823" s="2"/>
    </row>
    <row r="824" ht="13.5" customHeight="1">
      <c r="A824" s="2"/>
      <c r="B824" s="2"/>
      <c r="C824" s="2"/>
      <c r="D824" s="2"/>
      <c r="E824" s="2"/>
      <c r="F824" s="2"/>
      <c r="G824" s="2"/>
      <c r="H824" s="2"/>
      <c r="I824" s="2"/>
      <c r="J824" s="2"/>
      <c r="K824" s="2"/>
      <c r="L824" s="2"/>
      <c r="M824" s="2"/>
      <c r="N824" s="2"/>
      <c r="O824" s="2"/>
      <c r="P824" s="2"/>
      <c r="Q824" s="157"/>
      <c r="R824" s="157"/>
      <c r="S824" s="157"/>
      <c r="T824" s="158"/>
      <c r="U824" s="2"/>
      <c r="V824" s="30"/>
      <c r="W824" s="2"/>
      <c r="X824" s="2"/>
      <c r="Y824" s="2"/>
      <c r="Z824" s="2"/>
    </row>
    <row r="825" ht="13.5" customHeight="1">
      <c r="A825" s="2"/>
      <c r="B825" s="2"/>
      <c r="C825" s="2"/>
      <c r="D825" s="2"/>
      <c r="E825" s="2"/>
      <c r="F825" s="2"/>
      <c r="G825" s="2"/>
      <c r="H825" s="2"/>
      <c r="I825" s="2"/>
      <c r="J825" s="2"/>
      <c r="K825" s="2"/>
      <c r="L825" s="2"/>
      <c r="M825" s="2"/>
      <c r="N825" s="2"/>
      <c r="O825" s="2"/>
      <c r="P825" s="2"/>
      <c r="Q825" s="157"/>
      <c r="R825" s="157"/>
      <c r="S825" s="157"/>
      <c r="T825" s="158"/>
      <c r="U825" s="2"/>
      <c r="V825" s="30"/>
      <c r="W825" s="2"/>
      <c r="X825" s="2"/>
      <c r="Y825" s="2"/>
      <c r="Z825" s="2"/>
    </row>
    <row r="826" ht="13.5" customHeight="1">
      <c r="A826" s="2"/>
      <c r="B826" s="2"/>
      <c r="C826" s="2"/>
      <c r="D826" s="2"/>
      <c r="E826" s="2"/>
      <c r="F826" s="2"/>
      <c r="G826" s="2"/>
      <c r="H826" s="2"/>
      <c r="I826" s="2"/>
      <c r="J826" s="2"/>
      <c r="K826" s="2"/>
      <c r="L826" s="2"/>
      <c r="M826" s="2"/>
      <c r="N826" s="2"/>
      <c r="O826" s="2"/>
      <c r="P826" s="2"/>
      <c r="Q826" s="157"/>
      <c r="R826" s="157"/>
      <c r="S826" s="157"/>
      <c r="T826" s="158"/>
      <c r="U826" s="2"/>
      <c r="V826" s="30"/>
      <c r="W826" s="2"/>
      <c r="X826" s="2"/>
      <c r="Y826" s="2"/>
      <c r="Z826" s="2"/>
    </row>
    <row r="827" ht="13.5" customHeight="1">
      <c r="A827" s="2"/>
      <c r="B827" s="2"/>
      <c r="C827" s="2"/>
      <c r="D827" s="2"/>
      <c r="E827" s="2"/>
      <c r="F827" s="2"/>
      <c r="G827" s="2"/>
      <c r="H827" s="2"/>
      <c r="I827" s="2"/>
      <c r="J827" s="2"/>
      <c r="K827" s="2"/>
      <c r="L827" s="2"/>
      <c r="M827" s="2"/>
      <c r="N827" s="2"/>
      <c r="O827" s="2"/>
      <c r="P827" s="2"/>
      <c r="Q827" s="157"/>
      <c r="R827" s="157"/>
      <c r="S827" s="157"/>
      <c r="T827" s="158"/>
      <c r="U827" s="2"/>
      <c r="V827" s="30"/>
      <c r="W827" s="2"/>
      <c r="X827" s="2"/>
      <c r="Y827" s="2"/>
      <c r="Z827" s="2"/>
    </row>
    <row r="828" ht="13.5" customHeight="1">
      <c r="A828" s="2"/>
      <c r="B828" s="2"/>
      <c r="C828" s="2"/>
      <c r="D828" s="2"/>
      <c r="E828" s="2"/>
      <c r="F828" s="2"/>
      <c r="G828" s="2"/>
      <c r="H828" s="2"/>
      <c r="I828" s="2"/>
      <c r="J828" s="2"/>
      <c r="K828" s="2"/>
      <c r="L828" s="2"/>
      <c r="M828" s="2"/>
      <c r="N828" s="2"/>
      <c r="O828" s="2"/>
      <c r="P828" s="2"/>
      <c r="Q828" s="157"/>
      <c r="R828" s="157"/>
      <c r="S828" s="157"/>
      <c r="T828" s="158"/>
      <c r="U828" s="2"/>
      <c r="V828" s="30"/>
      <c r="W828" s="2"/>
      <c r="X828" s="2"/>
      <c r="Y828" s="2"/>
      <c r="Z828" s="2"/>
    </row>
    <row r="829" ht="13.5" customHeight="1">
      <c r="A829" s="2"/>
      <c r="B829" s="2"/>
      <c r="C829" s="2"/>
      <c r="D829" s="2"/>
      <c r="E829" s="2"/>
      <c r="F829" s="2"/>
      <c r="G829" s="2"/>
      <c r="H829" s="2"/>
      <c r="I829" s="2"/>
      <c r="J829" s="2"/>
      <c r="K829" s="2"/>
      <c r="L829" s="2"/>
      <c r="M829" s="2"/>
      <c r="N829" s="2"/>
      <c r="O829" s="2"/>
      <c r="P829" s="2"/>
      <c r="Q829" s="157"/>
      <c r="R829" s="157"/>
      <c r="S829" s="157"/>
      <c r="T829" s="158"/>
      <c r="U829" s="2"/>
      <c r="V829" s="30"/>
      <c r="W829" s="2"/>
      <c r="X829" s="2"/>
      <c r="Y829" s="2"/>
      <c r="Z829" s="2"/>
    </row>
    <row r="830" ht="13.5" customHeight="1">
      <c r="A830" s="2"/>
      <c r="B830" s="2"/>
      <c r="C830" s="2"/>
      <c r="D830" s="2"/>
      <c r="E830" s="2"/>
      <c r="F830" s="2"/>
      <c r="G830" s="2"/>
      <c r="H830" s="2"/>
      <c r="I830" s="2"/>
      <c r="J830" s="2"/>
      <c r="K830" s="2"/>
      <c r="L830" s="2"/>
      <c r="M830" s="2"/>
      <c r="N830" s="2"/>
      <c r="O830" s="2"/>
      <c r="P830" s="2"/>
      <c r="Q830" s="157"/>
      <c r="R830" s="157"/>
      <c r="S830" s="157"/>
      <c r="T830" s="158"/>
      <c r="U830" s="2"/>
      <c r="V830" s="30"/>
      <c r="W830" s="2"/>
      <c r="X830" s="2"/>
      <c r="Y830" s="2"/>
      <c r="Z830" s="2"/>
    </row>
    <row r="831" ht="13.5" customHeight="1">
      <c r="A831" s="2"/>
      <c r="B831" s="2"/>
      <c r="C831" s="2"/>
      <c r="D831" s="2"/>
      <c r="E831" s="2"/>
      <c r="F831" s="2"/>
      <c r="G831" s="2"/>
      <c r="H831" s="2"/>
      <c r="I831" s="2"/>
      <c r="J831" s="2"/>
      <c r="K831" s="2"/>
      <c r="L831" s="2"/>
      <c r="M831" s="2"/>
      <c r="N831" s="2"/>
      <c r="O831" s="2"/>
      <c r="P831" s="2"/>
      <c r="Q831" s="157"/>
      <c r="R831" s="157"/>
      <c r="S831" s="157"/>
      <c r="T831" s="158"/>
      <c r="U831" s="2"/>
      <c r="V831" s="30"/>
      <c r="W831" s="2"/>
      <c r="X831" s="2"/>
      <c r="Y831" s="2"/>
      <c r="Z831" s="2"/>
    </row>
    <row r="832" ht="13.5" customHeight="1">
      <c r="A832" s="2"/>
      <c r="B832" s="2"/>
      <c r="C832" s="2"/>
      <c r="D832" s="2"/>
      <c r="E832" s="2"/>
      <c r="F832" s="2"/>
      <c r="G832" s="2"/>
      <c r="H832" s="2"/>
      <c r="I832" s="2"/>
      <c r="J832" s="2"/>
      <c r="K832" s="2"/>
      <c r="L832" s="2"/>
      <c r="M832" s="2"/>
      <c r="N832" s="2"/>
      <c r="O832" s="2"/>
      <c r="P832" s="2"/>
      <c r="Q832" s="157"/>
      <c r="R832" s="157"/>
      <c r="S832" s="157"/>
      <c r="T832" s="158"/>
      <c r="U832" s="2"/>
      <c r="V832" s="30"/>
      <c r="W832" s="2"/>
      <c r="X832" s="2"/>
      <c r="Y832" s="2"/>
      <c r="Z832" s="2"/>
    </row>
    <row r="833" ht="13.5" customHeight="1">
      <c r="A833" s="2"/>
      <c r="B833" s="2"/>
      <c r="C833" s="2"/>
      <c r="D833" s="2"/>
      <c r="E833" s="2"/>
      <c r="F833" s="2"/>
      <c r="G833" s="2"/>
      <c r="H833" s="2"/>
      <c r="I833" s="2"/>
      <c r="J833" s="2"/>
      <c r="K833" s="2"/>
      <c r="L833" s="2"/>
      <c r="M833" s="2"/>
      <c r="N833" s="2"/>
      <c r="O833" s="2"/>
      <c r="P833" s="2"/>
      <c r="Q833" s="157"/>
      <c r="R833" s="157"/>
      <c r="S833" s="157"/>
      <c r="T833" s="158"/>
      <c r="U833" s="2"/>
      <c r="V833" s="30"/>
      <c r="W833" s="2"/>
      <c r="X833" s="2"/>
      <c r="Y833" s="2"/>
      <c r="Z833" s="2"/>
    </row>
    <row r="834" ht="13.5" customHeight="1">
      <c r="A834" s="2"/>
      <c r="B834" s="2"/>
      <c r="C834" s="2"/>
      <c r="D834" s="2"/>
      <c r="E834" s="2"/>
      <c r="F834" s="2"/>
      <c r="G834" s="2"/>
      <c r="H834" s="2"/>
      <c r="I834" s="2"/>
      <c r="J834" s="2"/>
      <c r="K834" s="2"/>
      <c r="L834" s="2"/>
      <c r="M834" s="2"/>
      <c r="N834" s="2"/>
      <c r="O834" s="2"/>
      <c r="P834" s="2"/>
      <c r="Q834" s="157"/>
      <c r="R834" s="157"/>
      <c r="S834" s="157"/>
      <c r="T834" s="158"/>
      <c r="U834" s="2"/>
      <c r="V834" s="30"/>
      <c r="W834" s="2"/>
      <c r="X834" s="2"/>
      <c r="Y834" s="2"/>
      <c r="Z834" s="2"/>
    </row>
    <row r="835" ht="13.5" customHeight="1">
      <c r="A835" s="2"/>
      <c r="B835" s="2"/>
      <c r="C835" s="2"/>
      <c r="D835" s="2"/>
      <c r="E835" s="2"/>
      <c r="F835" s="2"/>
      <c r="G835" s="2"/>
      <c r="H835" s="2"/>
      <c r="I835" s="2"/>
      <c r="J835" s="2"/>
      <c r="K835" s="2"/>
      <c r="L835" s="2"/>
      <c r="M835" s="2"/>
      <c r="N835" s="2"/>
      <c r="O835" s="2"/>
      <c r="P835" s="2"/>
      <c r="Q835" s="157"/>
      <c r="R835" s="157"/>
      <c r="S835" s="157"/>
      <c r="T835" s="158"/>
      <c r="U835" s="2"/>
      <c r="V835" s="30"/>
      <c r="W835" s="2"/>
      <c r="X835" s="2"/>
      <c r="Y835" s="2"/>
      <c r="Z835" s="2"/>
    </row>
    <row r="836" ht="13.5" customHeight="1">
      <c r="A836" s="2"/>
      <c r="B836" s="2"/>
      <c r="C836" s="2"/>
      <c r="D836" s="2"/>
      <c r="E836" s="2"/>
      <c r="F836" s="2"/>
      <c r="G836" s="2"/>
      <c r="H836" s="2"/>
      <c r="I836" s="2"/>
      <c r="J836" s="2"/>
      <c r="K836" s="2"/>
      <c r="L836" s="2"/>
      <c r="M836" s="2"/>
      <c r="N836" s="2"/>
      <c r="O836" s="2"/>
      <c r="P836" s="2"/>
      <c r="Q836" s="157"/>
      <c r="R836" s="157"/>
      <c r="S836" s="157"/>
      <c r="T836" s="158"/>
      <c r="U836" s="2"/>
      <c r="V836" s="30"/>
      <c r="W836" s="2"/>
      <c r="X836" s="2"/>
      <c r="Y836" s="2"/>
      <c r="Z836" s="2"/>
    </row>
    <row r="837" ht="13.5" customHeight="1">
      <c r="A837" s="2"/>
      <c r="B837" s="2"/>
      <c r="C837" s="2"/>
      <c r="D837" s="2"/>
      <c r="E837" s="2"/>
      <c r="F837" s="2"/>
      <c r="G837" s="2"/>
      <c r="H837" s="2"/>
      <c r="I837" s="2"/>
      <c r="J837" s="2"/>
      <c r="K837" s="2"/>
      <c r="L837" s="2"/>
      <c r="M837" s="2"/>
      <c r="N837" s="2"/>
      <c r="O837" s="2"/>
      <c r="P837" s="2"/>
      <c r="Q837" s="157"/>
      <c r="R837" s="157"/>
      <c r="S837" s="157"/>
      <c r="T837" s="158"/>
      <c r="U837" s="2"/>
      <c r="V837" s="30"/>
      <c r="W837" s="2"/>
      <c r="X837" s="2"/>
      <c r="Y837" s="2"/>
      <c r="Z837" s="2"/>
    </row>
    <row r="838" ht="13.5" customHeight="1">
      <c r="A838" s="2"/>
      <c r="B838" s="2"/>
      <c r="C838" s="2"/>
      <c r="D838" s="2"/>
      <c r="E838" s="2"/>
      <c r="F838" s="2"/>
      <c r="G838" s="2"/>
      <c r="H838" s="2"/>
      <c r="I838" s="2"/>
      <c r="J838" s="2"/>
      <c r="K838" s="2"/>
      <c r="L838" s="2"/>
      <c r="M838" s="2"/>
      <c r="N838" s="2"/>
      <c r="O838" s="2"/>
      <c r="P838" s="2"/>
      <c r="Q838" s="157"/>
      <c r="R838" s="157"/>
      <c r="S838" s="157"/>
      <c r="T838" s="158"/>
      <c r="U838" s="2"/>
      <c r="V838" s="30"/>
      <c r="W838" s="2"/>
      <c r="X838" s="2"/>
      <c r="Y838" s="2"/>
      <c r="Z838" s="2"/>
    </row>
    <row r="839" ht="13.5" customHeight="1">
      <c r="A839" s="2"/>
      <c r="B839" s="2"/>
      <c r="C839" s="2"/>
      <c r="D839" s="2"/>
      <c r="E839" s="2"/>
      <c r="F839" s="2"/>
      <c r="G839" s="2"/>
      <c r="H839" s="2"/>
      <c r="I839" s="2"/>
      <c r="J839" s="2"/>
      <c r="K839" s="2"/>
      <c r="L839" s="2"/>
      <c r="M839" s="2"/>
      <c r="N839" s="2"/>
      <c r="O839" s="2"/>
      <c r="P839" s="2"/>
      <c r="Q839" s="157"/>
      <c r="R839" s="157"/>
      <c r="S839" s="157"/>
      <c r="T839" s="158"/>
      <c r="U839" s="2"/>
      <c r="V839" s="30"/>
      <c r="W839" s="2"/>
      <c r="X839" s="2"/>
      <c r="Y839" s="2"/>
      <c r="Z839" s="2"/>
    </row>
    <row r="840" ht="13.5" customHeight="1">
      <c r="A840" s="2"/>
      <c r="B840" s="2"/>
      <c r="C840" s="2"/>
      <c r="D840" s="2"/>
      <c r="E840" s="2"/>
      <c r="F840" s="2"/>
      <c r="G840" s="2"/>
      <c r="H840" s="2"/>
      <c r="I840" s="2"/>
      <c r="J840" s="2"/>
      <c r="K840" s="2"/>
      <c r="L840" s="2"/>
      <c r="M840" s="2"/>
      <c r="N840" s="2"/>
      <c r="O840" s="2"/>
      <c r="P840" s="2"/>
      <c r="Q840" s="157"/>
      <c r="R840" s="157"/>
      <c r="S840" s="157"/>
      <c r="T840" s="158"/>
      <c r="U840" s="2"/>
      <c r="V840" s="30"/>
      <c r="W840" s="2"/>
      <c r="X840" s="2"/>
      <c r="Y840" s="2"/>
      <c r="Z840" s="2"/>
    </row>
    <row r="841" ht="13.5" customHeight="1">
      <c r="A841" s="2"/>
      <c r="B841" s="2"/>
      <c r="C841" s="2"/>
      <c r="D841" s="2"/>
      <c r="E841" s="2"/>
      <c r="F841" s="2"/>
      <c r="G841" s="2"/>
      <c r="H841" s="2"/>
      <c r="I841" s="2"/>
      <c r="J841" s="2"/>
      <c r="K841" s="2"/>
      <c r="L841" s="2"/>
      <c r="M841" s="2"/>
      <c r="N841" s="2"/>
      <c r="O841" s="2"/>
      <c r="P841" s="2"/>
      <c r="Q841" s="157"/>
      <c r="R841" s="157"/>
      <c r="S841" s="157"/>
      <c r="T841" s="158"/>
      <c r="U841" s="2"/>
      <c r="V841" s="30"/>
      <c r="W841" s="2"/>
      <c r="X841" s="2"/>
      <c r="Y841" s="2"/>
      <c r="Z841" s="2"/>
    </row>
    <row r="842" ht="13.5" customHeight="1">
      <c r="A842" s="2"/>
      <c r="B842" s="2"/>
      <c r="C842" s="2"/>
      <c r="D842" s="2"/>
      <c r="E842" s="2"/>
      <c r="F842" s="2"/>
      <c r="G842" s="2"/>
      <c r="H842" s="2"/>
      <c r="I842" s="2"/>
      <c r="J842" s="2"/>
      <c r="K842" s="2"/>
      <c r="L842" s="2"/>
      <c r="M842" s="2"/>
      <c r="N842" s="2"/>
      <c r="O842" s="2"/>
      <c r="P842" s="2"/>
      <c r="Q842" s="157"/>
      <c r="R842" s="157"/>
      <c r="S842" s="157"/>
      <c r="T842" s="158"/>
      <c r="U842" s="2"/>
      <c r="V842" s="30"/>
      <c r="W842" s="2"/>
      <c r="X842" s="2"/>
      <c r="Y842" s="2"/>
      <c r="Z842" s="2"/>
    </row>
    <row r="843" ht="13.5" customHeight="1">
      <c r="A843" s="2"/>
      <c r="B843" s="2"/>
      <c r="C843" s="2"/>
      <c r="D843" s="2"/>
      <c r="E843" s="2"/>
      <c r="F843" s="2"/>
      <c r="G843" s="2"/>
      <c r="H843" s="2"/>
      <c r="I843" s="2"/>
      <c r="J843" s="2"/>
      <c r="K843" s="2"/>
      <c r="L843" s="2"/>
      <c r="M843" s="2"/>
      <c r="N843" s="2"/>
      <c r="O843" s="2"/>
      <c r="P843" s="2"/>
      <c r="Q843" s="157"/>
      <c r="R843" s="157"/>
      <c r="S843" s="157"/>
      <c r="T843" s="158"/>
      <c r="U843" s="2"/>
      <c r="V843" s="30"/>
      <c r="W843" s="2"/>
      <c r="X843" s="2"/>
      <c r="Y843" s="2"/>
      <c r="Z843" s="2"/>
    </row>
    <row r="844" ht="13.5" customHeight="1">
      <c r="A844" s="2"/>
      <c r="B844" s="2"/>
      <c r="C844" s="2"/>
      <c r="D844" s="2"/>
      <c r="E844" s="2"/>
      <c r="F844" s="2"/>
      <c r="G844" s="2"/>
      <c r="H844" s="2"/>
      <c r="I844" s="2"/>
      <c r="J844" s="2"/>
      <c r="K844" s="2"/>
      <c r="L844" s="2"/>
      <c r="M844" s="2"/>
      <c r="N844" s="2"/>
      <c r="O844" s="2"/>
      <c r="P844" s="2"/>
      <c r="Q844" s="157"/>
      <c r="R844" s="157"/>
      <c r="S844" s="157"/>
      <c r="T844" s="158"/>
      <c r="U844" s="2"/>
      <c r="V844" s="30"/>
      <c r="W844" s="2"/>
      <c r="X844" s="2"/>
      <c r="Y844" s="2"/>
      <c r="Z844" s="2"/>
    </row>
    <row r="845" ht="13.5" customHeight="1">
      <c r="A845" s="2"/>
      <c r="B845" s="2"/>
      <c r="C845" s="2"/>
      <c r="D845" s="2"/>
      <c r="E845" s="2"/>
      <c r="F845" s="2"/>
      <c r="G845" s="2"/>
      <c r="H845" s="2"/>
      <c r="I845" s="2"/>
      <c r="J845" s="2"/>
      <c r="K845" s="2"/>
      <c r="L845" s="2"/>
      <c r="M845" s="2"/>
      <c r="N845" s="2"/>
      <c r="O845" s="2"/>
      <c r="P845" s="2"/>
      <c r="Q845" s="157"/>
      <c r="R845" s="157"/>
      <c r="S845" s="157"/>
      <c r="T845" s="158"/>
      <c r="U845" s="2"/>
      <c r="V845" s="30"/>
      <c r="W845" s="2"/>
      <c r="X845" s="2"/>
      <c r="Y845" s="2"/>
      <c r="Z845" s="2"/>
    </row>
    <row r="846" ht="13.5" customHeight="1">
      <c r="A846" s="2"/>
      <c r="B846" s="2"/>
      <c r="C846" s="2"/>
      <c r="D846" s="2"/>
      <c r="E846" s="2"/>
      <c r="F846" s="2"/>
      <c r="G846" s="2"/>
      <c r="H846" s="2"/>
      <c r="I846" s="2"/>
      <c r="J846" s="2"/>
      <c r="K846" s="2"/>
      <c r="L846" s="2"/>
      <c r="M846" s="2"/>
      <c r="N846" s="2"/>
      <c r="O846" s="2"/>
      <c r="P846" s="2"/>
      <c r="Q846" s="157"/>
      <c r="R846" s="157"/>
      <c r="S846" s="157"/>
      <c r="T846" s="158"/>
      <c r="U846" s="2"/>
      <c r="V846" s="30"/>
      <c r="W846" s="2"/>
      <c r="X846" s="2"/>
      <c r="Y846" s="2"/>
      <c r="Z846" s="2"/>
    </row>
    <row r="847" ht="13.5" customHeight="1">
      <c r="A847" s="2"/>
      <c r="B847" s="2"/>
      <c r="C847" s="2"/>
      <c r="D847" s="2"/>
      <c r="E847" s="2"/>
      <c r="F847" s="2"/>
      <c r="G847" s="2"/>
      <c r="H847" s="2"/>
      <c r="I847" s="2"/>
      <c r="J847" s="2"/>
      <c r="K847" s="2"/>
      <c r="L847" s="2"/>
      <c r="M847" s="2"/>
      <c r="N847" s="2"/>
      <c r="O847" s="2"/>
      <c r="P847" s="2"/>
      <c r="Q847" s="157"/>
      <c r="R847" s="157"/>
      <c r="S847" s="157"/>
      <c r="T847" s="158"/>
      <c r="U847" s="2"/>
      <c r="V847" s="30"/>
      <c r="W847" s="2"/>
      <c r="X847" s="2"/>
      <c r="Y847" s="2"/>
      <c r="Z847" s="2"/>
    </row>
    <row r="848" ht="13.5" customHeight="1">
      <c r="A848" s="2"/>
      <c r="B848" s="2"/>
      <c r="C848" s="2"/>
      <c r="D848" s="2"/>
      <c r="E848" s="2"/>
      <c r="F848" s="2"/>
      <c r="G848" s="2"/>
      <c r="H848" s="2"/>
      <c r="I848" s="2"/>
      <c r="J848" s="2"/>
      <c r="K848" s="2"/>
      <c r="L848" s="2"/>
      <c r="M848" s="2"/>
      <c r="N848" s="2"/>
      <c r="O848" s="2"/>
      <c r="P848" s="2"/>
      <c r="Q848" s="157"/>
      <c r="R848" s="157"/>
      <c r="S848" s="157"/>
      <c r="T848" s="158"/>
      <c r="U848" s="2"/>
      <c r="V848" s="30"/>
      <c r="W848" s="2"/>
      <c r="X848" s="2"/>
      <c r="Y848" s="2"/>
      <c r="Z848" s="2"/>
    </row>
    <row r="849" ht="13.5" customHeight="1">
      <c r="A849" s="2"/>
      <c r="B849" s="2"/>
      <c r="C849" s="2"/>
      <c r="D849" s="2"/>
      <c r="E849" s="2"/>
      <c r="F849" s="2"/>
      <c r="G849" s="2"/>
      <c r="H849" s="2"/>
      <c r="I849" s="2"/>
      <c r="J849" s="2"/>
      <c r="K849" s="2"/>
      <c r="L849" s="2"/>
      <c r="M849" s="2"/>
      <c r="N849" s="2"/>
      <c r="O849" s="2"/>
      <c r="P849" s="2"/>
      <c r="Q849" s="157"/>
      <c r="R849" s="157"/>
      <c r="S849" s="157"/>
      <c r="T849" s="158"/>
      <c r="U849" s="2"/>
      <c r="V849" s="30"/>
      <c r="W849" s="2"/>
      <c r="X849" s="2"/>
      <c r="Y849" s="2"/>
      <c r="Z849" s="2"/>
    </row>
    <row r="850" ht="13.5" customHeight="1">
      <c r="A850" s="2"/>
      <c r="B850" s="2"/>
      <c r="C850" s="2"/>
      <c r="D850" s="2"/>
      <c r="E850" s="2"/>
      <c r="F850" s="2"/>
      <c r="G850" s="2"/>
      <c r="H850" s="2"/>
      <c r="I850" s="2"/>
      <c r="J850" s="2"/>
      <c r="K850" s="2"/>
      <c r="L850" s="2"/>
      <c r="M850" s="2"/>
      <c r="N850" s="2"/>
      <c r="O850" s="2"/>
      <c r="P850" s="2"/>
      <c r="Q850" s="157"/>
      <c r="R850" s="157"/>
      <c r="S850" s="157"/>
      <c r="T850" s="158"/>
      <c r="U850" s="2"/>
      <c r="V850" s="30"/>
      <c r="W850" s="2"/>
      <c r="X850" s="2"/>
      <c r="Y850" s="2"/>
      <c r="Z850" s="2"/>
    </row>
    <row r="851" ht="13.5" customHeight="1">
      <c r="A851" s="2"/>
      <c r="B851" s="2"/>
      <c r="C851" s="2"/>
      <c r="D851" s="2"/>
      <c r="E851" s="2"/>
      <c r="F851" s="2"/>
      <c r="G851" s="2"/>
      <c r="H851" s="2"/>
      <c r="I851" s="2"/>
      <c r="J851" s="2"/>
      <c r="K851" s="2"/>
      <c r="L851" s="2"/>
      <c r="M851" s="2"/>
      <c r="N851" s="2"/>
      <c r="O851" s="2"/>
      <c r="P851" s="2"/>
      <c r="Q851" s="157"/>
      <c r="R851" s="157"/>
      <c r="S851" s="157"/>
      <c r="T851" s="158"/>
      <c r="U851" s="2"/>
      <c r="V851" s="30"/>
      <c r="W851" s="2"/>
      <c r="X851" s="2"/>
      <c r="Y851" s="2"/>
      <c r="Z851" s="2"/>
    </row>
    <row r="852" ht="13.5" customHeight="1">
      <c r="A852" s="2"/>
      <c r="B852" s="2"/>
      <c r="C852" s="2"/>
      <c r="D852" s="2"/>
      <c r="E852" s="2"/>
      <c r="F852" s="2"/>
      <c r="G852" s="2"/>
      <c r="H852" s="2"/>
      <c r="I852" s="2"/>
      <c r="J852" s="2"/>
      <c r="K852" s="2"/>
      <c r="L852" s="2"/>
      <c r="M852" s="2"/>
      <c r="N852" s="2"/>
      <c r="O852" s="2"/>
      <c r="P852" s="2"/>
      <c r="Q852" s="157"/>
      <c r="R852" s="157"/>
      <c r="S852" s="157"/>
      <c r="T852" s="158"/>
      <c r="U852" s="2"/>
      <c r="V852" s="30"/>
      <c r="W852" s="2"/>
      <c r="X852" s="2"/>
      <c r="Y852" s="2"/>
      <c r="Z852" s="2"/>
    </row>
    <row r="853" ht="13.5" customHeight="1">
      <c r="A853" s="2"/>
      <c r="B853" s="2"/>
      <c r="C853" s="2"/>
      <c r="D853" s="2"/>
      <c r="E853" s="2"/>
      <c r="F853" s="2"/>
      <c r="G853" s="2"/>
      <c r="H853" s="2"/>
      <c r="I853" s="2"/>
      <c r="J853" s="2"/>
      <c r="K853" s="2"/>
      <c r="L853" s="2"/>
      <c r="M853" s="2"/>
      <c r="N853" s="2"/>
      <c r="O853" s="2"/>
      <c r="P853" s="2"/>
      <c r="Q853" s="157"/>
      <c r="R853" s="157"/>
      <c r="S853" s="157"/>
      <c r="T853" s="158"/>
      <c r="U853" s="2"/>
      <c r="V853" s="30"/>
      <c r="W853" s="2"/>
      <c r="X853" s="2"/>
      <c r="Y853" s="2"/>
      <c r="Z853" s="2"/>
    </row>
    <row r="854" ht="13.5" customHeight="1">
      <c r="A854" s="2"/>
      <c r="B854" s="2"/>
      <c r="C854" s="2"/>
      <c r="D854" s="2"/>
      <c r="E854" s="2"/>
      <c r="F854" s="2"/>
      <c r="G854" s="2"/>
      <c r="H854" s="2"/>
      <c r="I854" s="2"/>
      <c r="J854" s="2"/>
      <c r="K854" s="2"/>
      <c r="L854" s="2"/>
      <c r="M854" s="2"/>
      <c r="N854" s="2"/>
      <c r="O854" s="2"/>
      <c r="P854" s="2"/>
      <c r="Q854" s="157"/>
      <c r="R854" s="157"/>
      <c r="S854" s="157"/>
      <c r="T854" s="158"/>
      <c r="U854" s="2"/>
      <c r="V854" s="30"/>
      <c r="W854" s="2"/>
      <c r="X854" s="2"/>
      <c r="Y854" s="2"/>
      <c r="Z854" s="2"/>
    </row>
    <row r="855" ht="13.5" customHeight="1">
      <c r="A855" s="2"/>
      <c r="B855" s="2"/>
      <c r="C855" s="2"/>
      <c r="D855" s="2"/>
      <c r="E855" s="2"/>
      <c r="F855" s="2"/>
      <c r="G855" s="2"/>
      <c r="H855" s="2"/>
      <c r="I855" s="2"/>
      <c r="J855" s="2"/>
      <c r="K855" s="2"/>
      <c r="L855" s="2"/>
      <c r="M855" s="2"/>
      <c r="N855" s="2"/>
      <c r="O855" s="2"/>
      <c r="P855" s="2"/>
      <c r="Q855" s="157"/>
      <c r="R855" s="157"/>
      <c r="S855" s="157"/>
      <c r="T855" s="158"/>
      <c r="U855" s="2"/>
      <c r="V855" s="30"/>
      <c r="W855" s="2"/>
      <c r="X855" s="2"/>
      <c r="Y855" s="2"/>
      <c r="Z855" s="2"/>
    </row>
    <row r="856" ht="13.5" customHeight="1">
      <c r="A856" s="2"/>
      <c r="B856" s="2"/>
      <c r="C856" s="2"/>
      <c r="D856" s="2"/>
      <c r="E856" s="2"/>
      <c r="F856" s="2"/>
      <c r="G856" s="2"/>
      <c r="H856" s="2"/>
      <c r="I856" s="2"/>
      <c r="J856" s="2"/>
      <c r="K856" s="2"/>
      <c r="L856" s="2"/>
      <c r="M856" s="2"/>
      <c r="N856" s="2"/>
      <c r="O856" s="2"/>
      <c r="P856" s="2"/>
      <c r="Q856" s="157"/>
      <c r="R856" s="157"/>
      <c r="S856" s="157"/>
      <c r="T856" s="158"/>
      <c r="U856" s="2"/>
      <c r="V856" s="30"/>
      <c r="W856" s="2"/>
      <c r="X856" s="2"/>
      <c r="Y856" s="2"/>
      <c r="Z856" s="2"/>
    </row>
    <row r="857" ht="13.5" customHeight="1">
      <c r="A857" s="2"/>
      <c r="B857" s="2"/>
      <c r="C857" s="2"/>
      <c r="D857" s="2"/>
      <c r="E857" s="2"/>
      <c r="F857" s="2"/>
      <c r="G857" s="2"/>
      <c r="H857" s="2"/>
      <c r="I857" s="2"/>
      <c r="J857" s="2"/>
      <c r="K857" s="2"/>
      <c r="L857" s="2"/>
      <c r="M857" s="2"/>
      <c r="N857" s="2"/>
      <c r="O857" s="2"/>
      <c r="P857" s="2"/>
      <c r="Q857" s="157"/>
      <c r="R857" s="157"/>
      <c r="S857" s="157"/>
      <c r="T857" s="158"/>
      <c r="U857" s="2"/>
      <c r="V857" s="30"/>
      <c r="W857" s="2"/>
      <c r="X857" s="2"/>
      <c r="Y857" s="2"/>
      <c r="Z857" s="2"/>
    </row>
    <row r="858" ht="13.5" customHeight="1">
      <c r="A858" s="2"/>
      <c r="B858" s="2"/>
      <c r="C858" s="2"/>
      <c r="D858" s="2"/>
      <c r="E858" s="2"/>
      <c r="F858" s="2"/>
      <c r="G858" s="2"/>
      <c r="H858" s="2"/>
      <c r="I858" s="2"/>
      <c r="J858" s="2"/>
      <c r="K858" s="2"/>
      <c r="L858" s="2"/>
      <c r="M858" s="2"/>
      <c r="N858" s="2"/>
      <c r="O858" s="2"/>
      <c r="P858" s="2"/>
      <c r="Q858" s="157"/>
      <c r="R858" s="157"/>
      <c r="S858" s="157"/>
      <c r="T858" s="158"/>
      <c r="U858" s="2"/>
      <c r="V858" s="30"/>
      <c r="W858" s="2"/>
      <c r="X858" s="2"/>
      <c r="Y858" s="2"/>
      <c r="Z858" s="2"/>
    </row>
    <row r="859" ht="13.5" customHeight="1">
      <c r="A859" s="2"/>
      <c r="B859" s="2"/>
      <c r="C859" s="2"/>
      <c r="D859" s="2"/>
      <c r="E859" s="2"/>
      <c r="F859" s="2"/>
      <c r="G859" s="2"/>
      <c r="H859" s="2"/>
      <c r="I859" s="2"/>
      <c r="J859" s="2"/>
      <c r="K859" s="2"/>
      <c r="L859" s="2"/>
      <c r="M859" s="2"/>
      <c r="N859" s="2"/>
      <c r="O859" s="2"/>
      <c r="P859" s="2"/>
      <c r="Q859" s="157"/>
      <c r="R859" s="157"/>
      <c r="S859" s="157"/>
      <c r="T859" s="158"/>
      <c r="U859" s="2"/>
      <c r="V859" s="30"/>
      <c r="W859" s="2"/>
      <c r="X859" s="2"/>
      <c r="Y859" s="2"/>
      <c r="Z859" s="2"/>
    </row>
    <row r="860" ht="13.5" customHeight="1">
      <c r="A860" s="2"/>
      <c r="B860" s="2"/>
      <c r="C860" s="2"/>
      <c r="D860" s="2"/>
      <c r="E860" s="2"/>
      <c r="F860" s="2"/>
      <c r="G860" s="2"/>
      <c r="H860" s="2"/>
      <c r="I860" s="2"/>
      <c r="J860" s="2"/>
      <c r="K860" s="2"/>
      <c r="L860" s="2"/>
      <c r="M860" s="2"/>
      <c r="N860" s="2"/>
      <c r="O860" s="2"/>
      <c r="P860" s="2"/>
      <c r="Q860" s="157"/>
      <c r="R860" s="157"/>
      <c r="S860" s="157"/>
      <c r="T860" s="158"/>
      <c r="U860" s="2"/>
      <c r="V860" s="30"/>
      <c r="W860" s="2"/>
      <c r="X860" s="2"/>
      <c r="Y860" s="2"/>
      <c r="Z860" s="2"/>
    </row>
    <row r="861" ht="13.5" customHeight="1">
      <c r="A861" s="2"/>
      <c r="B861" s="2"/>
      <c r="C861" s="2"/>
      <c r="D861" s="2"/>
      <c r="E861" s="2"/>
      <c r="F861" s="2"/>
      <c r="G861" s="2"/>
      <c r="H861" s="2"/>
      <c r="I861" s="2"/>
      <c r="J861" s="2"/>
      <c r="K861" s="2"/>
      <c r="L861" s="2"/>
      <c r="M861" s="2"/>
      <c r="N861" s="2"/>
      <c r="O861" s="2"/>
      <c r="P861" s="2"/>
      <c r="Q861" s="157"/>
      <c r="R861" s="157"/>
      <c r="S861" s="157"/>
      <c r="T861" s="158"/>
      <c r="U861" s="2"/>
      <c r="V861" s="30"/>
      <c r="W861" s="2"/>
      <c r="X861" s="2"/>
      <c r="Y861" s="2"/>
      <c r="Z861" s="2"/>
    </row>
    <row r="862" ht="13.5" customHeight="1">
      <c r="A862" s="2"/>
      <c r="B862" s="2"/>
      <c r="C862" s="2"/>
      <c r="D862" s="2"/>
      <c r="E862" s="2"/>
      <c r="F862" s="2"/>
      <c r="G862" s="2"/>
      <c r="H862" s="2"/>
      <c r="I862" s="2"/>
      <c r="J862" s="2"/>
      <c r="K862" s="2"/>
      <c r="L862" s="2"/>
      <c r="M862" s="2"/>
      <c r="N862" s="2"/>
      <c r="O862" s="2"/>
      <c r="P862" s="2"/>
      <c r="Q862" s="157"/>
      <c r="R862" s="157"/>
      <c r="S862" s="157"/>
      <c r="T862" s="158"/>
      <c r="U862" s="2"/>
      <c r="V862" s="30"/>
      <c r="W862" s="2"/>
      <c r="X862" s="2"/>
      <c r="Y862" s="2"/>
      <c r="Z862" s="2"/>
    </row>
    <row r="863" ht="13.5" customHeight="1">
      <c r="A863" s="2"/>
      <c r="B863" s="2"/>
      <c r="C863" s="2"/>
      <c r="D863" s="2"/>
      <c r="E863" s="2"/>
      <c r="F863" s="2"/>
      <c r="G863" s="2"/>
      <c r="H863" s="2"/>
      <c r="I863" s="2"/>
      <c r="J863" s="2"/>
      <c r="K863" s="2"/>
      <c r="L863" s="2"/>
      <c r="M863" s="2"/>
      <c r="N863" s="2"/>
      <c r="O863" s="2"/>
      <c r="P863" s="2"/>
      <c r="Q863" s="157"/>
      <c r="R863" s="157"/>
      <c r="S863" s="157"/>
      <c r="T863" s="158"/>
      <c r="U863" s="2"/>
      <c r="V863" s="30"/>
      <c r="W863" s="2"/>
      <c r="X863" s="2"/>
      <c r="Y863" s="2"/>
      <c r="Z863" s="2"/>
    </row>
    <row r="864" ht="13.5" customHeight="1">
      <c r="A864" s="2"/>
      <c r="B864" s="2"/>
      <c r="C864" s="2"/>
      <c r="D864" s="2"/>
      <c r="E864" s="2"/>
      <c r="F864" s="2"/>
      <c r="G864" s="2"/>
      <c r="H864" s="2"/>
      <c r="I864" s="2"/>
      <c r="J864" s="2"/>
      <c r="K864" s="2"/>
      <c r="L864" s="2"/>
      <c r="M864" s="2"/>
      <c r="N864" s="2"/>
      <c r="O864" s="2"/>
      <c r="P864" s="2"/>
      <c r="Q864" s="157"/>
      <c r="R864" s="157"/>
      <c r="S864" s="157"/>
      <c r="T864" s="158"/>
      <c r="U864" s="2"/>
      <c r="V864" s="30"/>
      <c r="W864" s="2"/>
      <c r="X864" s="2"/>
      <c r="Y864" s="2"/>
      <c r="Z864" s="2"/>
    </row>
    <row r="865" ht="13.5" customHeight="1">
      <c r="A865" s="2"/>
      <c r="B865" s="2"/>
      <c r="C865" s="2"/>
      <c r="D865" s="2"/>
      <c r="E865" s="2"/>
      <c r="F865" s="2"/>
      <c r="G865" s="2"/>
      <c r="H865" s="2"/>
      <c r="I865" s="2"/>
      <c r="J865" s="2"/>
      <c r="K865" s="2"/>
      <c r="L865" s="2"/>
      <c r="M865" s="2"/>
      <c r="N865" s="2"/>
      <c r="O865" s="2"/>
      <c r="P865" s="2"/>
      <c r="Q865" s="157"/>
      <c r="R865" s="157"/>
      <c r="S865" s="157"/>
      <c r="T865" s="158"/>
      <c r="U865" s="2"/>
      <c r="V865" s="30"/>
      <c r="W865" s="2"/>
      <c r="X865" s="2"/>
      <c r="Y865" s="2"/>
      <c r="Z865" s="2"/>
    </row>
    <row r="866" ht="13.5" customHeight="1">
      <c r="A866" s="2"/>
      <c r="B866" s="2"/>
      <c r="C866" s="2"/>
      <c r="D866" s="2"/>
      <c r="E866" s="2"/>
      <c r="F866" s="2"/>
      <c r="G866" s="2"/>
      <c r="H866" s="2"/>
      <c r="I866" s="2"/>
      <c r="J866" s="2"/>
      <c r="K866" s="2"/>
      <c r="L866" s="2"/>
      <c r="M866" s="2"/>
      <c r="N866" s="2"/>
      <c r="O866" s="2"/>
      <c r="P866" s="2"/>
      <c r="Q866" s="157"/>
      <c r="R866" s="157"/>
      <c r="S866" s="157"/>
      <c r="T866" s="158"/>
      <c r="U866" s="2"/>
      <c r="V866" s="30"/>
      <c r="W866" s="2"/>
      <c r="X866" s="2"/>
      <c r="Y866" s="2"/>
      <c r="Z866" s="2"/>
    </row>
    <row r="867" ht="13.5" customHeight="1">
      <c r="A867" s="2"/>
      <c r="B867" s="2"/>
      <c r="C867" s="2"/>
      <c r="D867" s="2"/>
      <c r="E867" s="2"/>
      <c r="F867" s="2"/>
      <c r="G867" s="2"/>
      <c r="H867" s="2"/>
      <c r="I867" s="2"/>
      <c r="J867" s="2"/>
      <c r="K867" s="2"/>
      <c r="L867" s="2"/>
      <c r="M867" s="2"/>
      <c r="N867" s="2"/>
      <c r="O867" s="2"/>
      <c r="P867" s="2"/>
      <c r="Q867" s="157"/>
      <c r="R867" s="157"/>
      <c r="S867" s="157"/>
      <c r="T867" s="158"/>
      <c r="U867" s="2"/>
      <c r="V867" s="30"/>
      <c r="W867" s="2"/>
      <c r="X867" s="2"/>
      <c r="Y867" s="2"/>
      <c r="Z867" s="2"/>
    </row>
    <row r="868" ht="13.5" customHeight="1">
      <c r="A868" s="2"/>
      <c r="B868" s="2"/>
      <c r="C868" s="2"/>
      <c r="D868" s="2"/>
      <c r="E868" s="2"/>
      <c r="F868" s="2"/>
      <c r="G868" s="2"/>
      <c r="H868" s="2"/>
      <c r="I868" s="2"/>
      <c r="J868" s="2"/>
      <c r="K868" s="2"/>
      <c r="L868" s="2"/>
      <c r="M868" s="2"/>
      <c r="N868" s="2"/>
      <c r="O868" s="2"/>
      <c r="P868" s="2"/>
      <c r="Q868" s="157"/>
      <c r="R868" s="157"/>
      <c r="S868" s="157"/>
      <c r="T868" s="158"/>
      <c r="U868" s="2"/>
      <c r="V868" s="30"/>
      <c r="W868" s="2"/>
      <c r="X868" s="2"/>
      <c r="Y868" s="2"/>
      <c r="Z868" s="2"/>
    </row>
    <row r="869" ht="13.5" customHeight="1">
      <c r="A869" s="2"/>
      <c r="B869" s="2"/>
      <c r="C869" s="2"/>
      <c r="D869" s="2"/>
      <c r="E869" s="2"/>
      <c r="F869" s="2"/>
      <c r="G869" s="2"/>
      <c r="H869" s="2"/>
      <c r="I869" s="2"/>
      <c r="J869" s="2"/>
      <c r="K869" s="2"/>
      <c r="L869" s="2"/>
      <c r="M869" s="2"/>
      <c r="N869" s="2"/>
      <c r="O869" s="2"/>
      <c r="P869" s="2"/>
      <c r="Q869" s="157"/>
      <c r="R869" s="157"/>
      <c r="S869" s="157"/>
      <c r="T869" s="158"/>
      <c r="U869" s="2"/>
      <c r="V869" s="30"/>
      <c r="W869" s="2"/>
      <c r="X869" s="2"/>
      <c r="Y869" s="2"/>
      <c r="Z869" s="2"/>
    </row>
    <row r="870" ht="13.5" customHeight="1">
      <c r="A870" s="2"/>
      <c r="B870" s="2"/>
      <c r="C870" s="2"/>
      <c r="D870" s="2"/>
      <c r="E870" s="2"/>
      <c r="F870" s="2"/>
      <c r="G870" s="2"/>
      <c r="H870" s="2"/>
      <c r="I870" s="2"/>
      <c r="J870" s="2"/>
      <c r="K870" s="2"/>
      <c r="L870" s="2"/>
      <c r="M870" s="2"/>
      <c r="N870" s="2"/>
      <c r="O870" s="2"/>
      <c r="P870" s="2"/>
      <c r="Q870" s="157"/>
      <c r="R870" s="157"/>
      <c r="S870" s="157"/>
      <c r="T870" s="158"/>
      <c r="U870" s="2"/>
      <c r="V870" s="30"/>
      <c r="W870" s="2"/>
      <c r="X870" s="2"/>
      <c r="Y870" s="2"/>
      <c r="Z870" s="2"/>
    </row>
    <row r="871" ht="13.5" customHeight="1">
      <c r="A871" s="2"/>
      <c r="B871" s="2"/>
      <c r="C871" s="2"/>
      <c r="D871" s="2"/>
      <c r="E871" s="2"/>
      <c r="F871" s="2"/>
      <c r="G871" s="2"/>
      <c r="H871" s="2"/>
      <c r="I871" s="2"/>
      <c r="J871" s="2"/>
      <c r="K871" s="2"/>
      <c r="L871" s="2"/>
      <c r="M871" s="2"/>
      <c r="N871" s="2"/>
      <c r="O871" s="2"/>
      <c r="P871" s="2"/>
      <c r="Q871" s="157"/>
      <c r="R871" s="157"/>
      <c r="S871" s="157"/>
      <c r="T871" s="158"/>
      <c r="U871" s="2"/>
      <c r="V871" s="30"/>
      <c r="W871" s="2"/>
      <c r="X871" s="2"/>
      <c r="Y871" s="2"/>
      <c r="Z871" s="2"/>
    </row>
    <row r="872" ht="13.5" customHeight="1">
      <c r="A872" s="2"/>
      <c r="B872" s="2"/>
      <c r="C872" s="2"/>
      <c r="D872" s="2"/>
      <c r="E872" s="2"/>
      <c r="F872" s="2"/>
      <c r="G872" s="2"/>
      <c r="H872" s="2"/>
      <c r="I872" s="2"/>
      <c r="J872" s="2"/>
      <c r="K872" s="2"/>
      <c r="L872" s="2"/>
      <c r="M872" s="2"/>
      <c r="N872" s="2"/>
      <c r="O872" s="2"/>
      <c r="P872" s="2"/>
      <c r="Q872" s="157"/>
      <c r="R872" s="157"/>
      <c r="S872" s="157"/>
      <c r="T872" s="158"/>
      <c r="U872" s="2"/>
      <c r="V872" s="30"/>
      <c r="W872" s="2"/>
      <c r="X872" s="2"/>
      <c r="Y872" s="2"/>
      <c r="Z872" s="2"/>
    </row>
    <row r="873" ht="13.5" customHeight="1">
      <c r="A873" s="2"/>
      <c r="B873" s="2"/>
      <c r="C873" s="2"/>
      <c r="D873" s="2"/>
      <c r="E873" s="2"/>
      <c r="F873" s="2"/>
      <c r="G873" s="2"/>
      <c r="H873" s="2"/>
      <c r="I873" s="2"/>
      <c r="J873" s="2"/>
      <c r="K873" s="2"/>
      <c r="L873" s="2"/>
      <c r="M873" s="2"/>
      <c r="N873" s="2"/>
      <c r="O873" s="2"/>
      <c r="P873" s="2"/>
      <c r="Q873" s="157"/>
      <c r="R873" s="157"/>
      <c r="S873" s="157"/>
      <c r="T873" s="158"/>
      <c r="U873" s="2"/>
      <c r="V873" s="30"/>
      <c r="W873" s="2"/>
      <c r="X873" s="2"/>
      <c r="Y873" s="2"/>
      <c r="Z873" s="2"/>
    </row>
    <row r="874" ht="13.5" customHeight="1">
      <c r="A874" s="2"/>
      <c r="B874" s="2"/>
      <c r="C874" s="2"/>
      <c r="D874" s="2"/>
      <c r="E874" s="2"/>
      <c r="F874" s="2"/>
      <c r="G874" s="2"/>
      <c r="H874" s="2"/>
      <c r="I874" s="2"/>
      <c r="J874" s="2"/>
      <c r="K874" s="2"/>
      <c r="L874" s="2"/>
      <c r="M874" s="2"/>
      <c r="N874" s="2"/>
      <c r="O874" s="2"/>
      <c r="P874" s="2"/>
      <c r="Q874" s="157"/>
      <c r="R874" s="157"/>
      <c r="S874" s="157"/>
      <c r="T874" s="158"/>
      <c r="U874" s="2"/>
      <c r="V874" s="30"/>
      <c r="W874" s="2"/>
      <c r="X874" s="2"/>
      <c r="Y874" s="2"/>
      <c r="Z874" s="2"/>
    </row>
    <row r="875" ht="13.5" customHeight="1">
      <c r="A875" s="2"/>
      <c r="B875" s="2"/>
      <c r="C875" s="2"/>
      <c r="D875" s="2"/>
      <c r="E875" s="2"/>
      <c r="F875" s="2"/>
      <c r="G875" s="2"/>
      <c r="H875" s="2"/>
      <c r="I875" s="2"/>
      <c r="J875" s="2"/>
      <c r="K875" s="2"/>
      <c r="L875" s="2"/>
      <c r="M875" s="2"/>
      <c r="N875" s="2"/>
      <c r="O875" s="2"/>
      <c r="P875" s="2"/>
      <c r="Q875" s="157"/>
      <c r="R875" s="157"/>
      <c r="S875" s="157"/>
      <c r="T875" s="158"/>
      <c r="U875" s="2"/>
      <c r="V875" s="30"/>
      <c r="W875" s="2"/>
      <c r="X875" s="2"/>
      <c r="Y875" s="2"/>
      <c r="Z875" s="2"/>
    </row>
    <row r="876" ht="13.5" customHeight="1">
      <c r="A876" s="2"/>
      <c r="B876" s="2"/>
      <c r="C876" s="2"/>
      <c r="D876" s="2"/>
      <c r="E876" s="2"/>
      <c r="F876" s="2"/>
      <c r="G876" s="2"/>
      <c r="H876" s="2"/>
      <c r="I876" s="2"/>
      <c r="J876" s="2"/>
      <c r="K876" s="2"/>
      <c r="L876" s="2"/>
      <c r="M876" s="2"/>
      <c r="N876" s="2"/>
      <c r="O876" s="2"/>
      <c r="P876" s="2"/>
      <c r="Q876" s="157"/>
      <c r="R876" s="157"/>
      <c r="S876" s="157"/>
      <c r="T876" s="158"/>
      <c r="U876" s="2"/>
      <c r="V876" s="30"/>
      <c r="W876" s="2"/>
      <c r="X876" s="2"/>
      <c r="Y876" s="2"/>
      <c r="Z876" s="2"/>
    </row>
    <row r="877" ht="13.5" customHeight="1">
      <c r="A877" s="2"/>
      <c r="B877" s="2"/>
      <c r="C877" s="2"/>
      <c r="D877" s="2"/>
      <c r="E877" s="2"/>
      <c r="F877" s="2"/>
      <c r="G877" s="2"/>
      <c r="H877" s="2"/>
      <c r="I877" s="2"/>
      <c r="J877" s="2"/>
      <c r="K877" s="2"/>
      <c r="L877" s="2"/>
      <c r="M877" s="2"/>
      <c r="N877" s="2"/>
      <c r="O877" s="2"/>
      <c r="P877" s="2"/>
      <c r="Q877" s="157"/>
      <c r="R877" s="157"/>
      <c r="S877" s="157"/>
      <c r="T877" s="158"/>
      <c r="U877" s="2"/>
      <c r="V877" s="30"/>
      <c r="W877" s="2"/>
      <c r="X877" s="2"/>
      <c r="Y877" s="2"/>
      <c r="Z877" s="2"/>
    </row>
    <row r="878" ht="13.5" customHeight="1">
      <c r="A878" s="2"/>
      <c r="B878" s="2"/>
      <c r="C878" s="2"/>
      <c r="D878" s="2"/>
      <c r="E878" s="2"/>
      <c r="F878" s="2"/>
      <c r="G878" s="2"/>
      <c r="H878" s="2"/>
      <c r="I878" s="2"/>
      <c r="J878" s="2"/>
      <c r="K878" s="2"/>
      <c r="L878" s="2"/>
      <c r="M878" s="2"/>
      <c r="N878" s="2"/>
      <c r="O878" s="2"/>
      <c r="P878" s="2"/>
      <c r="Q878" s="157"/>
      <c r="R878" s="157"/>
      <c r="S878" s="157"/>
      <c r="T878" s="158"/>
      <c r="U878" s="2"/>
      <c r="V878" s="30"/>
      <c r="W878" s="2"/>
      <c r="X878" s="2"/>
      <c r="Y878" s="2"/>
      <c r="Z878" s="2"/>
    </row>
    <row r="879" ht="13.5" customHeight="1">
      <c r="A879" s="2"/>
      <c r="B879" s="2"/>
      <c r="C879" s="2"/>
      <c r="D879" s="2"/>
      <c r="E879" s="2"/>
      <c r="F879" s="2"/>
      <c r="G879" s="2"/>
      <c r="H879" s="2"/>
      <c r="I879" s="2"/>
      <c r="J879" s="2"/>
      <c r="K879" s="2"/>
      <c r="L879" s="2"/>
      <c r="M879" s="2"/>
      <c r="N879" s="2"/>
      <c r="O879" s="2"/>
      <c r="P879" s="2"/>
      <c r="Q879" s="157"/>
      <c r="R879" s="157"/>
      <c r="S879" s="157"/>
      <c r="T879" s="158"/>
      <c r="U879" s="2"/>
      <c r="V879" s="30"/>
      <c r="W879" s="2"/>
      <c r="X879" s="2"/>
      <c r="Y879" s="2"/>
      <c r="Z879" s="2"/>
    </row>
    <row r="880" ht="13.5" customHeight="1">
      <c r="A880" s="2"/>
      <c r="B880" s="2"/>
      <c r="C880" s="2"/>
      <c r="D880" s="2"/>
      <c r="E880" s="2"/>
      <c r="F880" s="2"/>
      <c r="G880" s="2"/>
      <c r="H880" s="2"/>
      <c r="I880" s="2"/>
      <c r="J880" s="2"/>
      <c r="K880" s="2"/>
      <c r="L880" s="2"/>
      <c r="M880" s="2"/>
      <c r="N880" s="2"/>
      <c r="O880" s="2"/>
      <c r="P880" s="2"/>
      <c r="Q880" s="157"/>
      <c r="R880" s="157"/>
      <c r="S880" s="157"/>
      <c r="T880" s="158"/>
      <c r="U880" s="2"/>
      <c r="V880" s="30"/>
      <c r="W880" s="2"/>
      <c r="X880" s="2"/>
      <c r="Y880" s="2"/>
      <c r="Z880" s="2"/>
    </row>
    <row r="881" ht="13.5" customHeight="1">
      <c r="A881" s="2"/>
      <c r="B881" s="2"/>
      <c r="C881" s="2"/>
      <c r="D881" s="2"/>
      <c r="E881" s="2"/>
      <c r="F881" s="2"/>
      <c r="G881" s="2"/>
      <c r="H881" s="2"/>
      <c r="I881" s="2"/>
      <c r="J881" s="2"/>
      <c r="K881" s="2"/>
      <c r="L881" s="2"/>
      <c r="M881" s="2"/>
      <c r="N881" s="2"/>
      <c r="O881" s="2"/>
      <c r="P881" s="2"/>
      <c r="Q881" s="157"/>
      <c r="R881" s="157"/>
      <c r="S881" s="157"/>
      <c r="T881" s="158"/>
      <c r="U881" s="2"/>
      <c r="V881" s="30"/>
      <c r="W881" s="2"/>
      <c r="X881" s="2"/>
      <c r="Y881" s="2"/>
      <c r="Z881" s="2"/>
    </row>
    <row r="882" ht="13.5" customHeight="1">
      <c r="A882" s="2"/>
      <c r="B882" s="2"/>
      <c r="C882" s="2"/>
      <c r="D882" s="2"/>
      <c r="E882" s="2"/>
      <c r="F882" s="2"/>
      <c r="G882" s="2"/>
      <c r="H882" s="2"/>
      <c r="I882" s="2"/>
      <c r="J882" s="2"/>
      <c r="K882" s="2"/>
      <c r="L882" s="2"/>
      <c r="M882" s="2"/>
      <c r="N882" s="2"/>
      <c r="O882" s="2"/>
      <c r="P882" s="2"/>
      <c r="Q882" s="157"/>
      <c r="R882" s="157"/>
      <c r="S882" s="157"/>
      <c r="T882" s="158"/>
      <c r="U882" s="2"/>
      <c r="V882" s="30"/>
      <c r="W882" s="2"/>
      <c r="X882" s="2"/>
      <c r="Y882" s="2"/>
      <c r="Z882" s="2"/>
    </row>
    <row r="883" ht="13.5" customHeight="1">
      <c r="A883" s="2"/>
      <c r="B883" s="2"/>
      <c r="C883" s="2"/>
      <c r="D883" s="2"/>
      <c r="E883" s="2"/>
      <c r="F883" s="2"/>
      <c r="G883" s="2"/>
      <c r="H883" s="2"/>
      <c r="I883" s="2"/>
      <c r="J883" s="2"/>
      <c r="K883" s="2"/>
      <c r="L883" s="2"/>
      <c r="M883" s="2"/>
      <c r="N883" s="2"/>
      <c r="O883" s="2"/>
      <c r="P883" s="2"/>
      <c r="Q883" s="157"/>
      <c r="R883" s="157"/>
      <c r="S883" s="157"/>
      <c r="T883" s="158"/>
      <c r="U883" s="2"/>
      <c r="V883" s="30"/>
      <c r="W883" s="2"/>
      <c r="X883" s="2"/>
      <c r="Y883" s="2"/>
      <c r="Z883" s="2"/>
    </row>
    <row r="884" ht="13.5" customHeight="1">
      <c r="A884" s="2"/>
      <c r="B884" s="2"/>
      <c r="C884" s="2"/>
      <c r="D884" s="2"/>
      <c r="E884" s="2"/>
      <c r="F884" s="2"/>
      <c r="G884" s="2"/>
      <c r="H884" s="2"/>
      <c r="I884" s="2"/>
      <c r="J884" s="2"/>
      <c r="K884" s="2"/>
      <c r="L884" s="2"/>
      <c r="M884" s="2"/>
      <c r="N884" s="2"/>
      <c r="O884" s="2"/>
      <c r="P884" s="2"/>
      <c r="Q884" s="157"/>
      <c r="R884" s="157"/>
      <c r="S884" s="157"/>
      <c r="T884" s="158"/>
      <c r="U884" s="2"/>
      <c r="V884" s="30"/>
      <c r="W884" s="2"/>
      <c r="X884" s="2"/>
      <c r="Y884" s="2"/>
      <c r="Z884" s="2"/>
    </row>
    <row r="885" ht="13.5" customHeight="1">
      <c r="A885" s="2"/>
      <c r="B885" s="2"/>
      <c r="C885" s="2"/>
      <c r="D885" s="2"/>
      <c r="E885" s="2"/>
      <c r="F885" s="2"/>
      <c r="G885" s="2"/>
      <c r="H885" s="2"/>
      <c r="I885" s="2"/>
      <c r="J885" s="2"/>
      <c r="K885" s="2"/>
      <c r="L885" s="2"/>
      <c r="M885" s="2"/>
      <c r="N885" s="2"/>
      <c r="O885" s="2"/>
      <c r="P885" s="2"/>
      <c r="Q885" s="157"/>
      <c r="R885" s="157"/>
      <c r="S885" s="157"/>
      <c r="T885" s="158"/>
      <c r="U885" s="2"/>
      <c r="V885" s="30"/>
      <c r="W885" s="2"/>
      <c r="X885" s="2"/>
      <c r="Y885" s="2"/>
      <c r="Z885" s="2"/>
    </row>
    <row r="886" ht="13.5" customHeight="1">
      <c r="A886" s="2"/>
      <c r="B886" s="2"/>
      <c r="C886" s="2"/>
      <c r="D886" s="2"/>
      <c r="E886" s="2"/>
      <c r="F886" s="2"/>
      <c r="G886" s="2"/>
      <c r="H886" s="2"/>
      <c r="I886" s="2"/>
      <c r="J886" s="2"/>
      <c r="K886" s="2"/>
      <c r="L886" s="2"/>
      <c r="M886" s="2"/>
      <c r="N886" s="2"/>
      <c r="O886" s="2"/>
      <c r="P886" s="2"/>
      <c r="Q886" s="157"/>
      <c r="R886" s="157"/>
      <c r="S886" s="157"/>
      <c r="T886" s="158"/>
      <c r="U886" s="2"/>
      <c r="V886" s="30"/>
      <c r="W886" s="2"/>
      <c r="X886" s="2"/>
      <c r="Y886" s="2"/>
      <c r="Z886" s="2"/>
    </row>
    <row r="887" ht="13.5" customHeight="1">
      <c r="A887" s="2"/>
      <c r="B887" s="2"/>
      <c r="C887" s="2"/>
      <c r="D887" s="2"/>
      <c r="E887" s="2"/>
      <c r="F887" s="2"/>
      <c r="G887" s="2"/>
      <c r="H887" s="2"/>
      <c r="I887" s="2"/>
      <c r="J887" s="2"/>
      <c r="K887" s="2"/>
      <c r="L887" s="2"/>
      <c r="M887" s="2"/>
      <c r="N887" s="2"/>
      <c r="O887" s="2"/>
      <c r="P887" s="2"/>
      <c r="Q887" s="157"/>
      <c r="R887" s="157"/>
      <c r="S887" s="157"/>
      <c r="T887" s="158"/>
      <c r="U887" s="2"/>
      <c r="V887" s="30"/>
      <c r="W887" s="2"/>
      <c r="X887" s="2"/>
      <c r="Y887" s="2"/>
      <c r="Z887" s="2"/>
    </row>
    <row r="888" ht="13.5" customHeight="1">
      <c r="A888" s="2"/>
      <c r="B888" s="2"/>
      <c r="C888" s="2"/>
      <c r="D888" s="2"/>
      <c r="E888" s="2"/>
      <c r="F888" s="2"/>
      <c r="G888" s="2"/>
      <c r="H888" s="2"/>
      <c r="I888" s="2"/>
      <c r="J888" s="2"/>
      <c r="K888" s="2"/>
      <c r="L888" s="2"/>
      <c r="M888" s="2"/>
      <c r="N888" s="2"/>
      <c r="O888" s="2"/>
      <c r="P888" s="2"/>
      <c r="Q888" s="157"/>
      <c r="R888" s="157"/>
      <c r="S888" s="157"/>
      <c r="T888" s="158"/>
      <c r="U888" s="2"/>
      <c r="V888" s="30"/>
      <c r="W888" s="2"/>
      <c r="X888" s="2"/>
      <c r="Y888" s="2"/>
      <c r="Z888" s="2"/>
    </row>
    <row r="889" ht="13.5" customHeight="1">
      <c r="A889" s="2"/>
      <c r="B889" s="2"/>
      <c r="C889" s="2"/>
      <c r="D889" s="2"/>
      <c r="E889" s="2"/>
      <c r="F889" s="2"/>
      <c r="G889" s="2"/>
      <c r="H889" s="2"/>
      <c r="I889" s="2"/>
      <c r="J889" s="2"/>
      <c r="K889" s="2"/>
      <c r="L889" s="2"/>
      <c r="M889" s="2"/>
      <c r="N889" s="2"/>
      <c r="O889" s="2"/>
      <c r="P889" s="2"/>
      <c r="Q889" s="157"/>
      <c r="R889" s="157"/>
      <c r="S889" s="157"/>
      <c r="T889" s="158"/>
      <c r="U889" s="2"/>
      <c r="V889" s="30"/>
      <c r="W889" s="2"/>
      <c r="X889" s="2"/>
      <c r="Y889" s="2"/>
      <c r="Z889" s="2"/>
    </row>
    <row r="890" ht="13.5" customHeight="1">
      <c r="A890" s="2"/>
      <c r="B890" s="2"/>
      <c r="C890" s="2"/>
      <c r="D890" s="2"/>
      <c r="E890" s="2"/>
      <c r="F890" s="2"/>
      <c r="G890" s="2"/>
      <c r="H890" s="2"/>
      <c r="I890" s="2"/>
      <c r="J890" s="2"/>
      <c r="K890" s="2"/>
      <c r="L890" s="2"/>
      <c r="M890" s="2"/>
      <c r="N890" s="2"/>
      <c r="O890" s="2"/>
      <c r="P890" s="2"/>
      <c r="Q890" s="157"/>
      <c r="R890" s="157"/>
      <c r="S890" s="157"/>
      <c r="T890" s="158"/>
      <c r="U890" s="2"/>
      <c r="V890" s="30"/>
      <c r="W890" s="2"/>
      <c r="X890" s="2"/>
      <c r="Y890" s="2"/>
      <c r="Z890" s="2"/>
    </row>
    <row r="891" ht="13.5" customHeight="1">
      <c r="A891" s="2"/>
      <c r="B891" s="2"/>
      <c r="C891" s="2"/>
      <c r="D891" s="2"/>
      <c r="E891" s="2"/>
      <c r="F891" s="2"/>
      <c r="G891" s="2"/>
      <c r="H891" s="2"/>
      <c r="I891" s="2"/>
      <c r="J891" s="2"/>
      <c r="K891" s="2"/>
      <c r="L891" s="2"/>
      <c r="M891" s="2"/>
      <c r="N891" s="2"/>
      <c r="O891" s="2"/>
      <c r="P891" s="2"/>
      <c r="Q891" s="157"/>
      <c r="R891" s="157"/>
      <c r="S891" s="157"/>
      <c r="T891" s="158"/>
      <c r="U891" s="2"/>
      <c r="V891" s="30"/>
      <c r="W891" s="2"/>
      <c r="X891" s="2"/>
      <c r="Y891" s="2"/>
      <c r="Z891" s="2"/>
    </row>
    <row r="892" ht="13.5" customHeight="1">
      <c r="A892" s="2"/>
      <c r="B892" s="2"/>
      <c r="C892" s="2"/>
      <c r="D892" s="2"/>
      <c r="E892" s="2"/>
      <c r="F892" s="2"/>
      <c r="G892" s="2"/>
      <c r="H892" s="2"/>
      <c r="I892" s="2"/>
      <c r="J892" s="2"/>
      <c r="K892" s="2"/>
      <c r="L892" s="2"/>
      <c r="M892" s="2"/>
      <c r="N892" s="2"/>
      <c r="O892" s="2"/>
      <c r="P892" s="2"/>
      <c r="Q892" s="157"/>
      <c r="R892" s="157"/>
      <c r="S892" s="157"/>
      <c r="T892" s="158"/>
      <c r="U892" s="2"/>
      <c r="V892" s="30"/>
      <c r="W892" s="2"/>
      <c r="X892" s="2"/>
      <c r="Y892" s="2"/>
      <c r="Z892" s="2"/>
    </row>
    <row r="893" ht="13.5" customHeight="1">
      <c r="A893" s="2"/>
      <c r="B893" s="2"/>
      <c r="C893" s="2"/>
      <c r="D893" s="2"/>
      <c r="E893" s="2"/>
      <c r="F893" s="2"/>
      <c r="G893" s="2"/>
      <c r="H893" s="2"/>
      <c r="I893" s="2"/>
      <c r="J893" s="2"/>
      <c r="K893" s="2"/>
      <c r="L893" s="2"/>
      <c r="M893" s="2"/>
      <c r="N893" s="2"/>
      <c r="O893" s="2"/>
      <c r="P893" s="2"/>
      <c r="Q893" s="157"/>
      <c r="R893" s="157"/>
      <c r="S893" s="157"/>
      <c r="T893" s="158"/>
      <c r="U893" s="2"/>
      <c r="V893" s="30"/>
      <c r="W893" s="2"/>
      <c r="X893" s="2"/>
      <c r="Y893" s="2"/>
      <c r="Z893" s="2"/>
    </row>
    <row r="894" ht="13.5" customHeight="1">
      <c r="A894" s="2"/>
      <c r="B894" s="2"/>
      <c r="C894" s="2"/>
      <c r="D894" s="2"/>
      <c r="E894" s="2"/>
      <c r="F894" s="2"/>
      <c r="G894" s="2"/>
      <c r="H894" s="2"/>
      <c r="I894" s="2"/>
      <c r="J894" s="2"/>
      <c r="K894" s="2"/>
      <c r="L894" s="2"/>
      <c r="M894" s="2"/>
      <c r="N894" s="2"/>
      <c r="O894" s="2"/>
      <c r="P894" s="2"/>
      <c r="Q894" s="157"/>
      <c r="R894" s="157"/>
      <c r="S894" s="157"/>
      <c r="T894" s="158"/>
      <c r="U894" s="2"/>
      <c r="V894" s="30"/>
      <c r="W894" s="2"/>
      <c r="X894" s="2"/>
      <c r="Y894" s="2"/>
      <c r="Z894" s="2"/>
    </row>
    <row r="895" ht="13.5" customHeight="1">
      <c r="A895" s="2"/>
      <c r="B895" s="2"/>
      <c r="C895" s="2"/>
      <c r="D895" s="2"/>
      <c r="E895" s="2"/>
      <c r="F895" s="2"/>
      <c r="G895" s="2"/>
      <c r="H895" s="2"/>
      <c r="I895" s="2"/>
      <c r="J895" s="2"/>
      <c r="K895" s="2"/>
      <c r="L895" s="2"/>
      <c r="M895" s="2"/>
      <c r="N895" s="2"/>
      <c r="O895" s="2"/>
      <c r="P895" s="2"/>
      <c r="Q895" s="157"/>
      <c r="R895" s="157"/>
      <c r="S895" s="157"/>
      <c r="T895" s="158"/>
      <c r="U895" s="2"/>
      <c r="V895" s="30"/>
      <c r="W895" s="2"/>
      <c r="X895" s="2"/>
      <c r="Y895" s="2"/>
      <c r="Z895" s="2"/>
    </row>
    <row r="896" ht="13.5" customHeight="1">
      <c r="A896" s="2"/>
      <c r="B896" s="2"/>
      <c r="C896" s="2"/>
      <c r="D896" s="2"/>
      <c r="E896" s="2"/>
      <c r="F896" s="2"/>
      <c r="G896" s="2"/>
      <c r="H896" s="2"/>
      <c r="I896" s="2"/>
      <c r="J896" s="2"/>
      <c r="K896" s="2"/>
      <c r="L896" s="2"/>
      <c r="M896" s="2"/>
      <c r="N896" s="2"/>
      <c r="O896" s="2"/>
      <c r="P896" s="2"/>
      <c r="Q896" s="157"/>
      <c r="R896" s="157"/>
      <c r="S896" s="157"/>
      <c r="T896" s="158"/>
      <c r="U896" s="2"/>
      <c r="V896" s="30"/>
      <c r="W896" s="2"/>
      <c r="X896" s="2"/>
      <c r="Y896" s="2"/>
      <c r="Z896" s="2"/>
    </row>
    <row r="897" ht="13.5" customHeight="1">
      <c r="A897" s="2"/>
      <c r="B897" s="2"/>
      <c r="C897" s="2"/>
      <c r="D897" s="2"/>
      <c r="E897" s="2"/>
      <c r="F897" s="2"/>
      <c r="G897" s="2"/>
      <c r="H897" s="2"/>
      <c r="I897" s="2"/>
      <c r="J897" s="2"/>
      <c r="K897" s="2"/>
      <c r="L897" s="2"/>
      <c r="M897" s="2"/>
      <c r="N897" s="2"/>
      <c r="O897" s="2"/>
      <c r="P897" s="2"/>
      <c r="Q897" s="157"/>
      <c r="R897" s="157"/>
      <c r="S897" s="157"/>
      <c r="T897" s="158"/>
      <c r="U897" s="2"/>
      <c r="V897" s="30"/>
      <c r="W897" s="2"/>
      <c r="X897" s="2"/>
      <c r="Y897" s="2"/>
      <c r="Z897" s="2"/>
    </row>
    <row r="898" ht="13.5" customHeight="1">
      <c r="A898" s="2"/>
      <c r="B898" s="2"/>
      <c r="C898" s="2"/>
      <c r="D898" s="2"/>
      <c r="E898" s="2"/>
      <c r="F898" s="2"/>
      <c r="G898" s="2"/>
      <c r="H898" s="2"/>
      <c r="I898" s="2"/>
      <c r="J898" s="2"/>
      <c r="K898" s="2"/>
      <c r="L898" s="2"/>
      <c r="M898" s="2"/>
      <c r="N898" s="2"/>
      <c r="O898" s="2"/>
      <c r="P898" s="2"/>
      <c r="Q898" s="157"/>
      <c r="R898" s="157"/>
      <c r="S898" s="157"/>
      <c r="T898" s="158"/>
      <c r="U898" s="2"/>
      <c r="V898" s="30"/>
      <c r="W898" s="2"/>
      <c r="X898" s="2"/>
      <c r="Y898" s="2"/>
      <c r="Z898" s="2"/>
    </row>
    <row r="899" ht="13.5" customHeight="1">
      <c r="A899" s="2"/>
      <c r="B899" s="2"/>
      <c r="C899" s="2"/>
      <c r="D899" s="2"/>
      <c r="E899" s="2"/>
      <c r="F899" s="2"/>
      <c r="G899" s="2"/>
      <c r="H899" s="2"/>
      <c r="I899" s="2"/>
      <c r="J899" s="2"/>
      <c r="K899" s="2"/>
      <c r="L899" s="2"/>
      <c r="M899" s="2"/>
      <c r="N899" s="2"/>
      <c r="O899" s="2"/>
      <c r="P899" s="2"/>
      <c r="Q899" s="157"/>
      <c r="R899" s="157"/>
      <c r="S899" s="157"/>
      <c r="T899" s="158"/>
      <c r="U899" s="2"/>
      <c r="V899" s="30"/>
      <c r="W899" s="2"/>
      <c r="X899" s="2"/>
      <c r="Y899" s="2"/>
      <c r="Z899" s="2"/>
    </row>
    <row r="900" ht="13.5" customHeight="1">
      <c r="A900" s="2"/>
      <c r="B900" s="2"/>
      <c r="C900" s="2"/>
      <c r="D900" s="2"/>
      <c r="E900" s="2"/>
      <c r="F900" s="2"/>
      <c r="G900" s="2"/>
      <c r="H900" s="2"/>
      <c r="I900" s="2"/>
      <c r="J900" s="2"/>
      <c r="K900" s="2"/>
      <c r="L900" s="2"/>
      <c r="M900" s="2"/>
      <c r="N900" s="2"/>
      <c r="O900" s="2"/>
      <c r="P900" s="2"/>
      <c r="Q900" s="157"/>
      <c r="R900" s="157"/>
      <c r="S900" s="157"/>
      <c r="T900" s="158"/>
      <c r="U900" s="2"/>
      <c r="V900" s="30"/>
      <c r="W900" s="2"/>
      <c r="X900" s="2"/>
      <c r="Y900" s="2"/>
      <c r="Z900" s="2"/>
    </row>
    <row r="901" ht="13.5" customHeight="1">
      <c r="A901" s="2"/>
      <c r="B901" s="2"/>
      <c r="C901" s="2"/>
      <c r="D901" s="2"/>
      <c r="E901" s="2"/>
      <c r="F901" s="2"/>
      <c r="G901" s="2"/>
      <c r="H901" s="2"/>
      <c r="I901" s="2"/>
      <c r="J901" s="2"/>
      <c r="K901" s="2"/>
      <c r="L901" s="2"/>
      <c r="M901" s="2"/>
      <c r="N901" s="2"/>
      <c r="O901" s="2"/>
      <c r="P901" s="2"/>
      <c r="Q901" s="157"/>
      <c r="R901" s="157"/>
      <c r="S901" s="157"/>
      <c r="T901" s="158"/>
      <c r="U901" s="2"/>
      <c r="V901" s="30"/>
      <c r="W901" s="2"/>
      <c r="X901" s="2"/>
      <c r="Y901" s="2"/>
      <c r="Z901" s="2"/>
    </row>
    <row r="902" ht="13.5" customHeight="1">
      <c r="A902" s="2"/>
      <c r="B902" s="2"/>
      <c r="C902" s="2"/>
      <c r="D902" s="2"/>
      <c r="E902" s="2"/>
      <c r="F902" s="2"/>
      <c r="G902" s="2"/>
      <c r="H902" s="2"/>
      <c r="I902" s="2"/>
      <c r="J902" s="2"/>
      <c r="K902" s="2"/>
      <c r="L902" s="2"/>
      <c r="M902" s="2"/>
      <c r="N902" s="2"/>
      <c r="O902" s="2"/>
      <c r="P902" s="2"/>
      <c r="Q902" s="157"/>
      <c r="R902" s="157"/>
      <c r="S902" s="157"/>
      <c r="T902" s="158"/>
      <c r="U902" s="2"/>
      <c r="V902" s="30"/>
      <c r="W902" s="2"/>
      <c r="X902" s="2"/>
      <c r="Y902" s="2"/>
      <c r="Z902" s="2"/>
    </row>
    <row r="903" ht="13.5" customHeight="1">
      <c r="A903" s="2"/>
      <c r="B903" s="2"/>
      <c r="C903" s="2"/>
      <c r="D903" s="2"/>
      <c r="E903" s="2"/>
      <c r="F903" s="2"/>
      <c r="G903" s="2"/>
      <c r="H903" s="2"/>
      <c r="I903" s="2"/>
      <c r="J903" s="2"/>
      <c r="K903" s="2"/>
      <c r="L903" s="2"/>
      <c r="M903" s="2"/>
      <c r="N903" s="2"/>
      <c r="O903" s="2"/>
      <c r="P903" s="2"/>
      <c r="Q903" s="157"/>
      <c r="R903" s="157"/>
      <c r="S903" s="157"/>
      <c r="T903" s="158"/>
      <c r="U903" s="2"/>
      <c r="V903" s="30"/>
      <c r="W903" s="2"/>
      <c r="X903" s="2"/>
      <c r="Y903" s="2"/>
      <c r="Z903" s="2"/>
    </row>
    <row r="904" ht="13.5" customHeight="1">
      <c r="A904" s="2"/>
      <c r="B904" s="2"/>
      <c r="C904" s="2"/>
      <c r="D904" s="2"/>
      <c r="E904" s="2"/>
      <c r="F904" s="2"/>
      <c r="G904" s="2"/>
      <c r="H904" s="2"/>
      <c r="I904" s="2"/>
      <c r="J904" s="2"/>
      <c r="K904" s="2"/>
      <c r="L904" s="2"/>
      <c r="M904" s="2"/>
      <c r="N904" s="2"/>
      <c r="O904" s="2"/>
      <c r="P904" s="2"/>
      <c r="Q904" s="157"/>
      <c r="R904" s="157"/>
      <c r="S904" s="157"/>
      <c r="T904" s="158"/>
      <c r="U904" s="2"/>
      <c r="V904" s="30"/>
      <c r="W904" s="2"/>
      <c r="X904" s="2"/>
      <c r="Y904" s="2"/>
      <c r="Z904" s="2"/>
    </row>
    <row r="905" ht="13.5" customHeight="1">
      <c r="A905" s="2"/>
      <c r="B905" s="2"/>
      <c r="C905" s="2"/>
      <c r="D905" s="2"/>
      <c r="E905" s="2"/>
      <c r="F905" s="2"/>
      <c r="G905" s="2"/>
      <c r="H905" s="2"/>
      <c r="I905" s="2"/>
      <c r="J905" s="2"/>
      <c r="K905" s="2"/>
      <c r="L905" s="2"/>
      <c r="M905" s="2"/>
      <c r="N905" s="2"/>
      <c r="O905" s="2"/>
      <c r="P905" s="2"/>
      <c r="Q905" s="157"/>
      <c r="R905" s="157"/>
      <c r="S905" s="157"/>
      <c r="T905" s="158"/>
      <c r="U905" s="2"/>
      <c r="V905" s="30"/>
      <c r="W905" s="2"/>
      <c r="X905" s="2"/>
      <c r="Y905" s="2"/>
      <c r="Z905" s="2"/>
    </row>
    <row r="906" ht="13.5" customHeight="1">
      <c r="A906" s="2"/>
      <c r="B906" s="2"/>
      <c r="C906" s="2"/>
      <c r="D906" s="2"/>
      <c r="E906" s="2"/>
      <c r="F906" s="2"/>
      <c r="G906" s="2"/>
      <c r="H906" s="2"/>
      <c r="I906" s="2"/>
      <c r="J906" s="2"/>
      <c r="K906" s="2"/>
      <c r="L906" s="2"/>
      <c r="M906" s="2"/>
      <c r="N906" s="2"/>
      <c r="O906" s="2"/>
      <c r="P906" s="2"/>
      <c r="Q906" s="157"/>
      <c r="R906" s="157"/>
      <c r="S906" s="157"/>
      <c r="T906" s="158"/>
      <c r="U906" s="2"/>
      <c r="V906" s="30"/>
      <c r="W906" s="2"/>
      <c r="X906" s="2"/>
      <c r="Y906" s="2"/>
      <c r="Z906" s="2"/>
    </row>
    <row r="907" ht="13.5" customHeight="1">
      <c r="A907" s="2"/>
      <c r="B907" s="2"/>
      <c r="C907" s="2"/>
      <c r="D907" s="2"/>
      <c r="E907" s="2"/>
      <c r="F907" s="2"/>
      <c r="G907" s="2"/>
      <c r="H907" s="2"/>
      <c r="I907" s="2"/>
      <c r="J907" s="2"/>
      <c r="K907" s="2"/>
      <c r="L907" s="2"/>
      <c r="M907" s="2"/>
      <c r="N907" s="2"/>
      <c r="O907" s="2"/>
      <c r="P907" s="2"/>
      <c r="Q907" s="157"/>
      <c r="R907" s="157"/>
      <c r="S907" s="157"/>
      <c r="T907" s="158"/>
      <c r="U907" s="2"/>
      <c r="V907" s="30"/>
      <c r="W907" s="2"/>
      <c r="X907" s="2"/>
      <c r="Y907" s="2"/>
      <c r="Z907" s="2"/>
    </row>
    <row r="908" ht="13.5" customHeight="1">
      <c r="A908" s="2"/>
      <c r="B908" s="2"/>
      <c r="C908" s="2"/>
      <c r="D908" s="2"/>
      <c r="E908" s="2"/>
      <c r="F908" s="2"/>
      <c r="G908" s="2"/>
      <c r="H908" s="2"/>
      <c r="I908" s="2"/>
      <c r="J908" s="2"/>
      <c r="K908" s="2"/>
      <c r="L908" s="2"/>
      <c r="M908" s="2"/>
      <c r="N908" s="2"/>
      <c r="O908" s="2"/>
      <c r="P908" s="2"/>
      <c r="Q908" s="157"/>
      <c r="R908" s="157"/>
      <c r="S908" s="157"/>
      <c r="T908" s="158"/>
      <c r="U908" s="2"/>
      <c r="V908" s="30"/>
      <c r="W908" s="2"/>
      <c r="X908" s="2"/>
      <c r="Y908" s="2"/>
      <c r="Z908" s="2"/>
    </row>
    <row r="909" ht="13.5" customHeight="1">
      <c r="A909" s="2"/>
      <c r="B909" s="2"/>
      <c r="C909" s="2"/>
      <c r="D909" s="2"/>
      <c r="E909" s="2"/>
      <c r="F909" s="2"/>
      <c r="G909" s="2"/>
      <c r="H909" s="2"/>
      <c r="I909" s="2"/>
      <c r="J909" s="2"/>
      <c r="K909" s="2"/>
      <c r="L909" s="2"/>
      <c r="M909" s="2"/>
      <c r="N909" s="2"/>
      <c r="O909" s="2"/>
      <c r="P909" s="2"/>
      <c r="Q909" s="157"/>
      <c r="R909" s="157"/>
      <c r="S909" s="157"/>
      <c r="T909" s="158"/>
      <c r="U909" s="2"/>
      <c r="V909" s="30"/>
      <c r="W909" s="2"/>
      <c r="X909" s="2"/>
      <c r="Y909" s="2"/>
      <c r="Z909" s="2"/>
    </row>
    <row r="910" ht="13.5" customHeight="1">
      <c r="A910" s="2"/>
      <c r="B910" s="2"/>
      <c r="C910" s="2"/>
      <c r="D910" s="2"/>
      <c r="E910" s="2"/>
      <c r="F910" s="2"/>
      <c r="G910" s="2"/>
      <c r="H910" s="2"/>
      <c r="I910" s="2"/>
      <c r="J910" s="2"/>
      <c r="K910" s="2"/>
      <c r="L910" s="2"/>
      <c r="M910" s="2"/>
      <c r="N910" s="2"/>
      <c r="O910" s="2"/>
      <c r="P910" s="2"/>
      <c r="Q910" s="157"/>
      <c r="R910" s="157"/>
      <c r="S910" s="157"/>
      <c r="T910" s="158"/>
      <c r="U910" s="2"/>
      <c r="V910" s="30"/>
      <c r="W910" s="2"/>
      <c r="X910" s="2"/>
      <c r="Y910" s="2"/>
      <c r="Z910" s="2"/>
    </row>
    <row r="911" ht="13.5" customHeight="1">
      <c r="A911" s="2"/>
      <c r="B911" s="2"/>
      <c r="C911" s="2"/>
      <c r="D911" s="2"/>
      <c r="E911" s="2"/>
      <c r="F911" s="2"/>
      <c r="G911" s="2"/>
      <c r="H911" s="2"/>
      <c r="I911" s="2"/>
      <c r="J911" s="2"/>
      <c r="K911" s="2"/>
      <c r="L911" s="2"/>
      <c r="M911" s="2"/>
      <c r="N911" s="2"/>
      <c r="O911" s="2"/>
      <c r="P911" s="2"/>
      <c r="Q911" s="157"/>
      <c r="R911" s="157"/>
      <c r="S911" s="157"/>
      <c r="T911" s="158"/>
      <c r="U911" s="2"/>
      <c r="V911" s="30"/>
      <c r="W911" s="2"/>
      <c r="X911" s="2"/>
      <c r="Y911" s="2"/>
      <c r="Z911" s="2"/>
    </row>
    <row r="912" ht="13.5" customHeight="1">
      <c r="A912" s="2"/>
      <c r="B912" s="2"/>
      <c r="C912" s="2"/>
      <c r="D912" s="2"/>
      <c r="E912" s="2"/>
      <c r="F912" s="2"/>
      <c r="G912" s="2"/>
      <c r="H912" s="2"/>
      <c r="I912" s="2"/>
      <c r="J912" s="2"/>
      <c r="K912" s="2"/>
      <c r="L912" s="2"/>
      <c r="M912" s="2"/>
      <c r="N912" s="2"/>
      <c r="O912" s="2"/>
      <c r="P912" s="2"/>
      <c r="Q912" s="157"/>
      <c r="R912" s="157"/>
      <c r="S912" s="157"/>
      <c r="T912" s="158"/>
      <c r="U912" s="2"/>
      <c r="V912" s="30"/>
      <c r="W912" s="2"/>
      <c r="X912" s="2"/>
      <c r="Y912" s="2"/>
      <c r="Z912" s="2"/>
    </row>
    <row r="913" ht="13.5" customHeight="1">
      <c r="A913" s="2"/>
      <c r="B913" s="2"/>
      <c r="C913" s="2"/>
      <c r="D913" s="2"/>
      <c r="E913" s="2"/>
      <c r="F913" s="2"/>
      <c r="G913" s="2"/>
      <c r="H913" s="2"/>
      <c r="I913" s="2"/>
      <c r="J913" s="2"/>
      <c r="K913" s="2"/>
      <c r="L913" s="2"/>
      <c r="M913" s="2"/>
      <c r="N913" s="2"/>
      <c r="O913" s="2"/>
      <c r="P913" s="2"/>
      <c r="Q913" s="157"/>
      <c r="R913" s="157"/>
      <c r="S913" s="157"/>
      <c r="T913" s="158"/>
      <c r="U913" s="2"/>
      <c r="V913" s="30"/>
      <c r="W913" s="2"/>
      <c r="X913" s="2"/>
      <c r="Y913" s="2"/>
      <c r="Z913" s="2"/>
    </row>
    <row r="914" ht="13.5" customHeight="1">
      <c r="A914" s="2"/>
      <c r="B914" s="2"/>
      <c r="C914" s="2"/>
      <c r="D914" s="2"/>
      <c r="E914" s="2"/>
      <c r="F914" s="2"/>
      <c r="G914" s="2"/>
      <c r="H914" s="2"/>
      <c r="I914" s="2"/>
      <c r="J914" s="2"/>
      <c r="K914" s="2"/>
      <c r="L914" s="2"/>
      <c r="M914" s="2"/>
      <c r="N914" s="2"/>
      <c r="O914" s="2"/>
      <c r="P914" s="2"/>
      <c r="Q914" s="157"/>
      <c r="R914" s="157"/>
      <c r="S914" s="157"/>
      <c r="T914" s="158"/>
      <c r="U914" s="2"/>
      <c r="V914" s="30"/>
      <c r="W914" s="2"/>
      <c r="X914" s="2"/>
      <c r="Y914" s="2"/>
      <c r="Z914" s="2"/>
    </row>
    <row r="915" ht="13.5" customHeight="1">
      <c r="A915" s="2"/>
      <c r="B915" s="2"/>
      <c r="C915" s="2"/>
      <c r="D915" s="2"/>
      <c r="E915" s="2"/>
      <c r="F915" s="2"/>
      <c r="G915" s="2"/>
      <c r="H915" s="2"/>
      <c r="I915" s="2"/>
      <c r="J915" s="2"/>
      <c r="K915" s="2"/>
      <c r="L915" s="2"/>
      <c r="M915" s="2"/>
      <c r="N915" s="2"/>
      <c r="O915" s="2"/>
      <c r="P915" s="2"/>
      <c r="Q915" s="157"/>
      <c r="R915" s="157"/>
      <c r="S915" s="157"/>
      <c r="T915" s="158"/>
      <c r="U915" s="2"/>
      <c r="V915" s="30"/>
      <c r="W915" s="2"/>
      <c r="X915" s="2"/>
      <c r="Y915" s="2"/>
      <c r="Z915" s="2"/>
    </row>
    <row r="916" ht="13.5" customHeight="1">
      <c r="A916" s="2"/>
      <c r="B916" s="2"/>
      <c r="C916" s="2"/>
      <c r="D916" s="2"/>
      <c r="E916" s="2"/>
      <c r="F916" s="2"/>
      <c r="G916" s="2"/>
      <c r="H916" s="2"/>
      <c r="I916" s="2"/>
      <c r="J916" s="2"/>
      <c r="K916" s="2"/>
      <c r="L916" s="2"/>
      <c r="M916" s="2"/>
      <c r="N916" s="2"/>
      <c r="O916" s="2"/>
      <c r="P916" s="2"/>
      <c r="Q916" s="157"/>
      <c r="R916" s="157"/>
      <c r="S916" s="157"/>
      <c r="T916" s="158"/>
      <c r="U916" s="2"/>
      <c r="V916" s="30"/>
      <c r="W916" s="2"/>
      <c r="X916" s="2"/>
      <c r="Y916" s="2"/>
      <c r="Z916" s="2"/>
    </row>
    <row r="917" ht="13.5" customHeight="1">
      <c r="A917" s="2"/>
      <c r="B917" s="2"/>
      <c r="C917" s="2"/>
      <c r="D917" s="2"/>
      <c r="E917" s="2"/>
      <c r="F917" s="2"/>
      <c r="G917" s="2"/>
      <c r="H917" s="2"/>
      <c r="I917" s="2"/>
      <c r="J917" s="2"/>
      <c r="K917" s="2"/>
      <c r="L917" s="2"/>
      <c r="M917" s="2"/>
      <c r="N917" s="2"/>
      <c r="O917" s="2"/>
      <c r="P917" s="2"/>
      <c r="Q917" s="157"/>
      <c r="R917" s="157"/>
      <c r="S917" s="157"/>
      <c r="T917" s="158"/>
      <c r="U917" s="2"/>
      <c r="V917" s="30"/>
      <c r="W917" s="2"/>
      <c r="X917" s="2"/>
      <c r="Y917" s="2"/>
      <c r="Z917" s="2"/>
    </row>
    <row r="918" ht="13.5" customHeight="1">
      <c r="A918" s="2"/>
      <c r="B918" s="2"/>
      <c r="C918" s="2"/>
      <c r="D918" s="2"/>
      <c r="E918" s="2"/>
      <c r="F918" s="2"/>
      <c r="G918" s="2"/>
      <c r="H918" s="2"/>
      <c r="I918" s="2"/>
      <c r="J918" s="2"/>
      <c r="K918" s="2"/>
      <c r="L918" s="2"/>
      <c r="M918" s="2"/>
      <c r="N918" s="2"/>
      <c r="O918" s="2"/>
      <c r="P918" s="2"/>
      <c r="Q918" s="157"/>
      <c r="R918" s="157"/>
      <c r="S918" s="157"/>
      <c r="T918" s="158"/>
      <c r="U918" s="2"/>
      <c r="V918" s="30"/>
      <c r="W918" s="2"/>
      <c r="X918" s="2"/>
      <c r="Y918" s="2"/>
      <c r="Z918" s="2"/>
    </row>
    <row r="919" ht="13.5" customHeight="1">
      <c r="A919" s="2"/>
      <c r="B919" s="2"/>
      <c r="C919" s="2"/>
      <c r="D919" s="2"/>
      <c r="E919" s="2"/>
      <c r="F919" s="2"/>
      <c r="G919" s="2"/>
      <c r="H919" s="2"/>
      <c r="I919" s="2"/>
      <c r="J919" s="2"/>
      <c r="K919" s="2"/>
      <c r="L919" s="2"/>
      <c r="M919" s="2"/>
      <c r="N919" s="2"/>
      <c r="O919" s="2"/>
      <c r="P919" s="2"/>
      <c r="Q919" s="157"/>
      <c r="R919" s="157"/>
      <c r="S919" s="157"/>
      <c r="T919" s="158"/>
      <c r="U919" s="2"/>
      <c r="V919" s="30"/>
      <c r="W919" s="2"/>
      <c r="X919" s="2"/>
      <c r="Y919" s="2"/>
      <c r="Z919" s="2"/>
    </row>
    <row r="920" ht="13.5" customHeight="1">
      <c r="A920" s="2"/>
      <c r="B920" s="2"/>
      <c r="C920" s="2"/>
      <c r="D920" s="2"/>
      <c r="E920" s="2"/>
      <c r="F920" s="2"/>
      <c r="G920" s="2"/>
      <c r="H920" s="2"/>
      <c r="I920" s="2"/>
      <c r="J920" s="2"/>
      <c r="K920" s="2"/>
      <c r="L920" s="2"/>
      <c r="M920" s="2"/>
      <c r="N920" s="2"/>
      <c r="O920" s="2"/>
      <c r="P920" s="2"/>
      <c r="Q920" s="157"/>
      <c r="R920" s="157"/>
      <c r="S920" s="157"/>
      <c r="T920" s="158"/>
      <c r="U920" s="2"/>
      <c r="V920" s="30"/>
      <c r="W920" s="2"/>
      <c r="X920" s="2"/>
      <c r="Y920" s="2"/>
      <c r="Z920" s="2"/>
    </row>
    <row r="921" ht="13.5" customHeight="1">
      <c r="A921" s="2"/>
      <c r="B921" s="2"/>
      <c r="C921" s="2"/>
      <c r="D921" s="2"/>
      <c r="E921" s="2"/>
      <c r="F921" s="2"/>
      <c r="G921" s="2"/>
      <c r="H921" s="2"/>
      <c r="I921" s="2"/>
      <c r="J921" s="2"/>
      <c r="K921" s="2"/>
      <c r="L921" s="2"/>
      <c r="M921" s="2"/>
      <c r="N921" s="2"/>
      <c r="O921" s="2"/>
      <c r="P921" s="2"/>
      <c r="Q921" s="157"/>
      <c r="R921" s="157"/>
      <c r="S921" s="157"/>
      <c r="T921" s="158"/>
      <c r="U921" s="2"/>
      <c r="V921" s="30"/>
      <c r="W921" s="2"/>
      <c r="X921" s="2"/>
      <c r="Y921" s="2"/>
      <c r="Z921" s="2"/>
    </row>
    <row r="922" ht="13.5" customHeight="1">
      <c r="A922" s="2"/>
      <c r="B922" s="2"/>
      <c r="C922" s="2"/>
      <c r="D922" s="2"/>
      <c r="E922" s="2"/>
      <c r="F922" s="2"/>
      <c r="G922" s="2"/>
      <c r="H922" s="2"/>
      <c r="I922" s="2"/>
      <c r="J922" s="2"/>
      <c r="K922" s="2"/>
      <c r="L922" s="2"/>
      <c r="M922" s="2"/>
      <c r="N922" s="2"/>
      <c r="O922" s="2"/>
      <c r="P922" s="2"/>
      <c r="Q922" s="157"/>
      <c r="R922" s="157"/>
      <c r="S922" s="157"/>
      <c r="T922" s="158"/>
      <c r="U922" s="2"/>
      <c r="V922" s="30"/>
      <c r="W922" s="2"/>
      <c r="X922" s="2"/>
      <c r="Y922" s="2"/>
      <c r="Z922" s="2"/>
    </row>
    <row r="923" ht="13.5" customHeight="1">
      <c r="A923" s="2"/>
      <c r="B923" s="2"/>
      <c r="C923" s="2"/>
      <c r="D923" s="2"/>
      <c r="E923" s="2"/>
      <c r="F923" s="2"/>
      <c r="G923" s="2"/>
      <c r="H923" s="2"/>
      <c r="I923" s="2"/>
      <c r="J923" s="2"/>
      <c r="K923" s="2"/>
      <c r="L923" s="2"/>
      <c r="M923" s="2"/>
      <c r="N923" s="2"/>
      <c r="O923" s="2"/>
      <c r="P923" s="2"/>
      <c r="Q923" s="157"/>
      <c r="R923" s="157"/>
      <c r="S923" s="157"/>
      <c r="T923" s="158"/>
      <c r="U923" s="2"/>
      <c r="V923" s="30"/>
      <c r="W923" s="2"/>
      <c r="X923" s="2"/>
      <c r="Y923" s="2"/>
      <c r="Z923" s="2"/>
    </row>
    <row r="924" ht="13.5" customHeight="1">
      <c r="A924" s="2"/>
      <c r="B924" s="2"/>
      <c r="C924" s="2"/>
      <c r="D924" s="2"/>
      <c r="E924" s="2"/>
      <c r="F924" s="2"/>
      <c r="G924" s="2"/>
      <c r="H924" s="2"/>
      <c r="I924" s="2"/>
      <c r="J924" s="2"/>
      <c r="K924" s="2"/>
      <c r="L924" s="2"/>
      <c r="M924" s="2"/>
      <c r="N924" s="2"/>
      <c r="O924" s="2"/>
      <c r="P924" s="2"/>
      <c r="Q924" s="157"/>
      <c r="R924" s="157"/>
      <c r="S924" s="157"/>
      <c r="T924" s="158"/>
      <c r="U924" s="2"/>
      <c r="V924" s="30"/>
      <c r="W924" s="2"/>
      <c r="X924" s="2"/>
      <c r="Y924" s="2"/>
      <c r="Z924" s="2"/>
    </row>
    <row r="925" ht="13.5" customHeight="1">
      <c r="A925" s="2"/>
      <c r="B925" s="2"/>
      <c r="C925" s="2"/>
      <c r="D925" s="2"/>
      <c r="E925" s="2"/>
      <c r="F925" s="2"/>
      <c r="G925" s="2"/>
      <c r="H925" s="2"/>
      <c r="I925" s="2"/>
      <c r="J925" s="2"/>
      <c r="K925" s="2"/>
      <c r="L925" s="2"/>
      <c r="M925" s="2"/>
      <c r="N925" s="2"/>
      <c r="O925" s="2"/>
      <c r="P925" s="2"/>
      <c r="Q925" s="157"/>
      <c r="R925" s="157"/>
      <c r="S925" s="157"/>
      <c r="T925" s="158"/>
      <c r="U925" s="2"/>
      <c r="V925" s="30"/>
      <c r="W925" s="2"/>
      <c r="X925" s="2"/>
      <c r="Y925" s="2"/>
      <c r="Z925" s="2"/>
    </row>
    <row r="926" ht="13.5" customHeight="1">
      <c r="A926" s="2"/>
      <c r="B926" s="2"/>
      <c r="C926" s="2"/>
      <c r="D926" s="2"/>
      <c r="E926" s="2"/>
      <c r="F926" s="2"/>
      <c r="G926" s="2"/>
      <c r="H926" s="2"/>
      <c r="I926" s="2"/>
      <c r="J926" s="2"/>
      <c r="K926" s="2"/>
      <c r="L926" s="2"/>
      <c r="M926" s="2"/>
      <c r="N926" s="2"/>
      <c r="O926" s="2"/>
      <c r="P926" s="2"/>
      <c r="Q926" s="157"/>
      <c r="R926" s="157"/>
      <c r="S926" s="157"/>
      <c r="T926" s="158"/>
      <c r="U926" s="2"/>
      <c r="V926" s="30"/>
      <c r="W926" s="2"/>
      <c r="X926" s="2"/>
      <c r="Y926" s="2"/>
      <c r="Z926" s="2"/>
    </row>
    <row r="927" ht="13.5" customHeight="1">
      <c r="A927" s="2"/>
      <c r="B927" s="2"/>
      <c r="C927" s="2"/>
      <c r="D927" s="2"/>
      <c r="E927" s="2"/>
      <c r="F927" s="2"/>
      <c r="G927" s="2"/>
      <c r="H927" s="2"/>
      <c r="I927" s="2"/>
      <c r="J927" s="2"/>
      <c r="K927" s="2"/>
      <c r="L927" s="2"/>
      <c r="M927" s="2"/>
      <c r="N927" s="2"/>
      <c r="O927" s="2"/>
      <c r="P927" s="2"/>
      <c r="Q927" s="157"/>
      <c r="R927" s="157"/>
      <c r="S927" s="157"/>
      <c r="T927" s="158"/>
      <c r="U927" s="2"/>
      <c r="V927" s="30"/>
      <c r="W927" s="2"/>
      <c r="X927" s="2"/>
      <c r="Y927" s="2"/>
      <c r="Z927" s="2"/>
    </row>
    <row r="928" ht="13.5" customHeight="1">
      <c r="A928" s="2"/>
      <c r="B928" s="2"/>
      <c r="C928" s="2"/>
      <c r="D928" s="2"/>
      <c r="E928" s="2"/>
      <c r="F928" s="2"/>
      <c r="G928" s="2"/>
      <c r="H928" s="2"/>
      <c r="I928" s="2"/>
      <c r="J928" s="2"/>
      <c r="K928" s="2"/>
      <c r="L928" s="2"/>
      <c r="M928" s="2"/>
      <c r="N928" s="2"/>
      <c r="O928" s="2"/>
      <c r="P928" s="2"/>
      <c r="Q928" s="157"/>
      <c r="R928" s="157"/>
      <c r="S928" s="157"/>
      <c r="T928" s="158"/>
      <c r="U928" s="2"/>
      <c r="V928" s="30"/>
      <c r="W928" s="2"/>
      <c r="X928" s="2"/>
      <c r="Y928" s="2"/>
      <c r="Z928" s="2"/>
    </row>
    <row r="929" ht="13.5" customHeight="1">
      <c r="A929" s="2"/>
      <c r="B929" s="2"/>
      <c r="C929" s="2"/>
      <c r="D929" s="2"/>
      <c r="E929" s="2"/>
      <c r="F929" s="2"/>
      <c r="G929" s="2"/>
      <c r="H929" s="2"/>
      <c r="I929" s="2"/>
      <c r="J929" s="2"/>
      <c r="K929" s="2"/>
      <c r="L929" s="2"/>
      <c r="M929" s="2"/>
      <c r="N929" s="2"/>
      <c r="O929" s="2"/>
      <c r="P929" s="2"/>
      <c r="Q929" s="157"/>
      <c r="R929" s="157"/>
      <c r="S929" s="157"/>
      <c r="T929" s="158"/>
      <c r="U929" s="2"/>
      <c r="V929" s="30"/>
      <c r="W929" s="2"/>
      <c r="X929" s="2"/>
      <c r="Y929" s="2"/>
      <c r="Z929" s="2"/>
    </row>
    <row r="930" ht="13.5" customHeight="1">
      <c r="A930" s="2"/>
      <c r="B930" s="2"/>
      <c r="C930" s="2"/>
      <c r="D930" s="2"/>
      <c r="E930" s="2"/>
      <c r="F930" s="2"/>
      <c r="G930" s="2"/>
      <c r="H930" s="2"/>
      <c r="I930" s="2"/>
      <c r="J930" s="2"/>
      <c r="K930" s="2"/>
      <c r="L930" s="2"/>
      <c r="M930" s="2"/>
      <c r="N930" s="2"/>
      <c r="O930" s="2"/>
      <c r="P930" s="2"/>
      <c r="Q930" s="157"/>
      <c r="R930" s="157"/>
      <c r="S930" s="157"/>
      <c r="T930" s="158"/>
      <c r="U930" s="2"/>
      <c r="V930" s="30"/>
      <c r="W930" s="2"/>
      <c r="X930" s="2"/>
      <c r="Y930" s="2"/>
      <c r="Z930" s="2"/>
    </row>
    <row r="931" ht="13.5" customHeight="1">
      <c r="A931" s="2"/>
      <c r="B931" s="2"/>
      <c r="C931" s="2"/>
      <c r="D931" s="2"/>
      <c r="E931" s="2"/>
      <c r="F931" s="2"/>
      <c r="G931" s="2"/>
      <c r="H931" s="2"/>
      <c r="I931" s="2"/>
      <c r="J931" s="2"/>
      <c r="K931" s="2"/>
      <c r="L931" s="2"/>
      <c r="M931" s="2"/>
      <c r="N931" s="2"/>
      <c r="O931" s="2"/>
      <c r="P931" s="2"/>
      <c r="Q931" s="157"/>
      <c r="R931" s="157"/>
      <c r="S931" s="157"/>
      <c r="T931" s="158"/>
      <c r="U931" s="2"/>
      <c r="V931" s="30"/>
      <c r="W931" s="2"/>
      <c r="X931" s="2"/>
      <c r="Y931" s="2"/>
      <c r="Z931" s="2"/>
    </row>
    <row r="932" ht="13.5" customHeight="1">
      <c r="A932" s="2"/>
      <c r="B932" s="2"/>
      <c r="C932" s="2"/>
      <c r="D932" s="2"/>
      <c r="E932" s="2"/>
      <c r="F932" s="2"/>
      <c r="G932" s="2"/>
      <c r="H932" s="2"/>
      <c r="I932" s="2"/>
      <c r="J932" s="2"/>
      <c r="K932" s="2"/>
      <c r="L932" s="2"/>
      <c r="M932" s="2"/>
      <c r="N932" s="2"/>
      <c r="O932" s="2"/>
      <c r="P932" s="2"/>
      <c r="Q932" s="157"/>
      <c r="R932" s="157"/>
      <c r="S932" s="157"/>
      <c r="T932" s="158"/>
      <c r="U932" s="2"/>
      <c r="V932" s="30"/>
      <c r="W932" s="2"/>
      <c r="X932" s="2"/>
      <c r="Y932" s="2"/>
      <c r="Z932" s="2"/>
    </row>
    <row r="933" ht="13.5" customHeight="1">
      <c r="A933" s="2"/>
      <c r="B933" s="2"/>
      <c r="C933" s="2"/>
      <c r="D933" s="2"/>
      <c r="E933" s="2"/>
      <c r="F933" s="2"/>
      <c r="G933" s="2"/>
      <c r="H933" s="2"/>
      <c r="I933" s="2"/>
      <c r="J933" s="2"/>
      <c r="K933" s="2"/>
      <c r="L933" s="2"/>
      <c r="M933" s="2"/>
      <c r="N933" s="2"/>
      <c r="O933" s="2"/>
      <c r="P933" s="2"/>
      <c r="Q933" s="157"/>
      <c r="R933" s="157"/>
      <c r="S933" s="157"/>
      <c r="T933" s="158"/>
      <c r="U933" s="2"/>
      <c r="V933" s="30"/>
      <c r="W933" s="2"/>
      <c r="X933" s="2"/>
      <c r="Y933" s="2"/>
      <c r="Z933" s="2"/>
    </row>
    <row r="934" ht="13.5" customHeight="1">
      <c r="A934" s="2"/>
      <c r="B934" s="2"/>
      <c r="C934" s="2"/>
      <c r="D934" s="2"/>
      <c r="E934" s="2"/>
      <c r="F934" s="2"/>
      <c r="G934" s="2"/>
      <c r="H934" s="2"/>
      <c r="I934" s="2"/>
      <c r="J934" s="2"/>
      <c r="K934" s="2"/>
      <c r="L934" s="2"/>
      <c r="M934" s="2"/>
      <c r="N934" s="2"/>
      <c r="O934" s="2"/>
      <c r="P934" s="2"/>
      <c r="Q934" s="157"/>
      <c r="R934" s="157"/>
      <c r="S934" s="157"/>
      <c r="T934" s="158"/>
      <c r="U934" s="2"/>
      <c r="V934" s="30"/>
      <c r="W934" s="2"/>
      <c r="X934" s="2"/>
      <c r="Y934" s="2"/>
      <c r="Z934" s="2"/>
    </row>
    <row r="935" ht="13.5" customHeight="1">
      <c r="A935" s="2"/>
      <c r="B935" s="2"/>
      <c r="C935" s="2"/>
      <c r="D935" s="2"/>
      <c r="E935" s="2"/>
      <c r="F935" s="2"/>
      <c r="G935" s="2"/>
      <c r="H935" s="2"/>
      <c r="I935" s="2"/>
      <c r="J935" s="2"/>
      <c r="K935" s="2"/>
      <c r="L935" s="2"/>
      <c r="M935" s="2"/>
      <c r="N935" s="2"/>
      <c r="O935" s="2"/>
      <c r="P935" s="2"/>
      <c r="Q935" s="157"/>
      <c r="R935" s="157"/>
      <c r="S935" s="157"/>
      <c r="T935" s="158"/>
      <c r="U935" s="2"/>
      <c r="V935" s="30"/>
      <c r="W935" s="2"/>
      <c r="X935" s="2"/>
      <c r="Y935" s="2"/>
      <c r="Z935" s="2"/>
    </row>
    <row r="936" ht="13.5" customHeight="1">
      <c r="A936" s="2"/>
      <c r="B936" s="2"/>
      <c r="C936" s="2"/>
      <c r="D936" s="2"/>
      <c r="E936" s="2"/>
      <c r="F936" s="2"/>
      <c r="G936" s="2"/>
      <c r="H936" s="2"/>
      <c r="I936" s="2"/>
      <c r="J936" s="2"/>
      <c r="K936" s="2"/>
      <c r="L936" s="2"/>
      <c r="M936" s="2"/>
      <c r="N936" s="2"/>
      <c r="O936" s="2"/>
      <c r="P936" s="2"/>
      <c r="Q936" s="157"/>
      <c r="R936" s="157"/>
      <c r="S936" s="157"/>
      <c r="T936" s="158"/>
      <c r="U936" s="2"/>
      <c r="V936" s="30"/>
      <c r="W936" s="2"/>
      <c r="X936" s="2"/>
      <c r="Y936" s="2"/>
      <c r="Z936" s="2"/>
    </row>
    <row r="937" ht="13.5" customHeight="1">
      <c r="A937" s="2"/>
      <c r="B937" s="2"/>
      <c r="C937" s="2"/>
      <c r="D937" s="2"/>
      <c r="E937" s="2"/>
      <c r="F937" s="2"/>
      <c r="G937" s="2"/>
      <c r="H937" s="2"/>
      <c r="I937" s="2"/>
      <c r="J937" s="2"/>
      <c r="K937" s="2"/>
      <c r="L937" s="2"/>
      <c r="M937" s="2"/>
      <c r="N937" s="2"/>
      <c r="O937" s="2"/>
      <c r="P937" s="2"/>
      <c r="Q937" s="157"/>
      <c r="R937" s="157"/>
      <c r="S937" s="157"/>
      <c r="T937" s="158"/>
      <c r="U937" s="2"/>
      <c r="V937" s="30"/>
      <c r="W937" s="2"/>
      <c r="X937" s="2"/>
      <c r="Y937" s="2"/>
      <c r="Z937" s="2"/>
    </row>
    <row r="938" ht="13.5" customHeight="1">
      <c r="A938" s="2"/>
      <c r="B938" s="2"/>
      <c r="C938" s="2"/>
      <c r="D938" s="2"/>
      <c r="E938" s="2"/>
      <c r="F938" s="2"/>
      <c r="G938" s="2"/>
      <c r="H938" s="2"/>
      <c r="I938" s="2"/>
      <c r="J938" s="2"/>
      <c r="K938" s="2"/>
      <c r="L938" s="2"/>
      <c r="M938" s="2"/>
      <c r="N938" s="2"/>
      <c r="O938" s="2"/>
      <c r="P938" s="2"/>
      <c r="Q938" s="157"/>
      <c r="R938" s="157"/>
      <c r="S938" s="157"/>
      <c r="T938" s="158"/>
      <c r="U938" s="2"/>
      <c r="V938" s="30"/>
      <c r="W938" s="2"/>
      <c r="X938" s="2"/>
      <c r="Y938" s="2"/>
      <c r="Z938" s="2"/>
    </row>
    <row r="939" ht="13.5" customHeight="1">
      <c r="A939" s="2"/>
      <c r="B939" s="2"/>
      <c r="C939" s="2"/>
      <c r="D939" s="2"/>
      <c r="E939" s="2"/>
      <c r="F939" s="2"/>
      <c r="G939" s="2"/>
      <c r="H939" s="2"/>
      <c r="I939" s="2"/>
      <c r="J939" s="2"/>
      <c r="K939" s="2"/>
      <c r="L939" s="2"/>
      <c r="M939" s="2"/>
      <c r="N939" s="2"/>
      <c r="O939" s="2"/>
      <c r="P939" s="2"/>
      <c r="Q939" s="157"/>
      <c r="R939" s="157"/>
      <c r="S939" s="157"/>
      <c r="T939" s="158"/>
      <c r="U939" s="2"/>
      <c r="V939" s="30"/>
      <c r="W939" s="2"/>
      <c r="X939" s="2"/>
      <c r="Y939" s="2"/>
      <c r="Z939" s="2"/>
    </row>
    <row r="940" ht="13.5" customHeight="1">
      <c r="A940" s="2"/>
      <c r="B940" s="2"/>
      <c r="C940" s="2"/>
      <c r="D940" s="2"/>
      <c r="E940" s="2"/>
      <c r="F940" s="2"/>
      <c r="G940" s="2"/>
      <c r="H940" s="2"/>
      <c r="I940" s="2"/>
      <c r="J940" s="2"/>
      <c r="K940" s="2"/>
      <c r="L940" s="2"/>
      <c r="M940" s="2"/>
      <c r="N940" s="2"/>
      <c r="O940" s="2"/>
      <c r="P940" s="2"/>
      <c r="Q940" s="157"/>
      <c r="R940" s="157"/>
      <c r="S940" s="157"/>
      <c r="T940" s="158"/>
      <c r="U940" s="2"/>
      <c r="V940" s="30"/>
      <c r="W940" s="2"/>
      <c r="X940" s="2"/>
      <c r="Y940" s="2"/>
      <c r="Z940" s="2"/>
    </row>
    <row r="941" ht="13.5" customHeight="1">
      <c r="A941" s="2"/>
      <c r="B941" s="2"/>
      <c r="C941" s="2"/>
      <c r="D941" s="2"/>
      <c r="E941" s="2"/>
      <c r="F941" s="2"/>
      <c r="G941" s="2"/>
      <c r="H941" s="2"/>
      <c r="I941" s="2"/>
      <c r="J941" s="2"/>
      <c r="K941" s="2"/>
      <c r="L941" s="2"/>
      <c r="M941" s="2"/>
      <c r="N941" s="2"/>
      <c r="O941" s="2"/>
      <c r="P941" s="2"/>
      <c r="Q941" s="157"/>
      <c r="R941" s="157"/>
      <c r="S941" s="157"/>
      <c r="T941" s="158"/>
      <c r="U941" s="2"/>
      <c r="V941" s="30"/>
      <c r="W941" s="2"/>
      <c r="X941" s="2"/>
      <c r="Y941" s="2"/>
      <c r="Z941" s="2"/>
    </row>
    <row r="942" ht="13.5" customHeight="1">
      <c r="A942" s="2"/>
      <c r="B942" s="2"/>
      <c r="C942" s="2"/>
      <c r="D942" s="2"/>
      <c r="E942" s="2"/>
      <c r="F942" s="2"/>
      <c r="G942" s="2"/>
      <c r="H942" s="2"/>
      <c r="I942" s="2"/>
      <c r="J942" s="2"/>
      <c r="K942" s="2"/>
      <c r="L942" s="2"/>
      <c r="M942" s="2"/>
      <c r="N942" s="2"/>
      <c r="O942" s="2"/>
      <c r="P942" s="2"/>
      <c r="Q942" s="157"/>
      <c r="R942" s="157"/>
      <c r="S942" s="157"/>
      <c r="T942" s="158"/>
      <c r="U942" s="2"/>
      <c r="V942" s="30"/>
      <c r="W942" s="2"/>
      <c r="X942" s="2"/>
      <c r="Y942" s="2"/>
      <c r="Z942" s="2"/>
    </row>
    <row r="943" ht="13.5" customHeight="1">
      <c r="A943" s="2"/>
      <c r="B943" s="2"/>
      <c r="C943" s="2"/>
      <c r="D943" s="2"/>
      <c r="E943" s="2"/>
      <c r="F943" s="2"/>
      <c r="G943" s="2"/>
      <c r="H943" s="2"/>
      <c r="I943" s="2"/>
      <c r="J943" s="2"/>
      <c r="K943" s="2"/>
      <c r="L943" s="2"/>
      <c r="M943" s="2"/>
      <c r="N943" s="2"/>
      <c r="O943" s="2"/>
      <c r="P943" s="2"/>
      <c r="Q943" s="157"/>
      <c r="R943" s="157"/>
      <c r="S943" s="157"/>
      <c r="T943" s="158"/>
      <c r="U943" s="2"/>
      <c r="V943" s="30"/>
      <c r="W943" s="2"/>
      <c r="X943" s="2"/>
      <c r="Y943" s="2"/>
      <c r="Z943" s="2"/>
    </row>
    <row r="944" ht="13.5" customHeight="1">
      <c r="A944" s="2"/>
      <c r="B944" s="2"/>
      <c r="C944" s="2"/>
      <c r="D944" s="2"/>
      <c r="E944" s="2"/>
      <c r="F944" s="2"/>
      <c r="G944" s="2"/>
      <c r="H944" s="2"/>
      <c r="I944" s="2"/>
      <c r="J944" s="2"/>
      <c r="K944" s="2"/>
      <c r="L944" s="2"/>
      <c r="M944" s="2"/>
      <c r="N944" s="2"/>
      <c r="O944" s="2"/>
      <c r="P944" s="2"/>
      <c r="Q944" s="157"/>
      <c r="R944" s="157"/>
      <c r="S944" s="157"/>
      <c r="T944" s="158"/>
      <c r="U944" s="2"/>
      <c r="V944" s="30"/>
      <c r="W944" s="2"/>
      <c r="X944" s="2"/>
      <c r="Y944" s="2"/>
      <c r="Z944" s="2"/>
    </row>
    <row r="945" ht="13.5" customHeight="1">
      <c r="A945" s="2"/>
      <c r="B945" s="2"/>
      <c r="C945" s="2"/>
      <c r="D945" s="2"/>
      <c r="E945" s="2"/>
      <c r="F945" s="2"/>
      <c r="G945" s="2"/>
      <c r="H945" s="2"/>
      <c r="I945" s="2"/>
      <c r="J945" s="2"/>
      <c r="K945" s="2"/>
      <c r="L945" s="2"/>
      <c r="M945" s="2"/>
      <c r="N945" s="2"/>
      <c r="O945" s="2"/>
      <c r="P945" s="2"/>
      <c r="Q945" s="157"/>
      <c r="R945" s="157"/>
      <c r="S945" s="157"/>
      <c r="T945" s="158"/>
      <c r="U945" s="2"/>
      <c r="V945" s="30"/>
      <c r="W945" s="2"/>
      <c r="X945" s="2"/>
      <c r="Y945" s="2"/>
      <c r="Z945" s="2"/>
    </row>
    <row r="946" ht="13.5" customHeight="1">
      <c r="A946" s="2"/>
      <c r="B946" s="2"/>
      <c r="C946" s="2"/>
      <c r="D946" s="2"/>
      <c r="E946" s="2"/>
      <c r="F946" s="2"/>
      <c r="G946" s="2"/>
      <c r="H946" s="2"/>
      <c r="I946" s="2"/>
      <c r="J946" s="2"/>
      <c r="K946" s="2"/>
      <c r="L946" s="2"/>
      <c r="M946" s="2"/>
      <c r="N946" s="2"/>
      <c r="O946" s="2"/>
      <c r="P946" s="2"/>
      <c r="Q946" s="157"/>
      <c r="R946" s="157"/>
      <c r="S946" s="157"/>
      <c r="T946" s="158"/>
      <c r="U946" s="2"/>
      <c r="V946" s="30"/>
      <c r="W946" s="2"/>
      <c r="X946" s="2"/>
      <c r="Y946" s="2"/>
      <c r="Z946" s="2"/>
    </row>
    <row r="947" ht="13.5" customHeight="1">
      <c r="A947" s="2"/>
      <c r="B947" s="2"/>
      <c r="C947" s="2"/>
      <c r="D947" s="2"/>
      <c r="E947" s="2"/>
      <c r="F947" s="2"/>
      <c r="G947" s="2"/>
      <c r="H947" s="2"/>
      <c r="I947" s="2"/>
      <c r="J947" s="2"/>
      <c r="K947" s="2"/>
      <c r="L947" s="2"/>
      <c r="M947" s="2"/>
      <c r="N947" s="2"/>
      <c r="O947" s="2"/>
      <c r="P947" s="2"/>
      <c r="Q947" s="157"/>
      <c r="R947" s="157"/>
      <c r="S947" s="157"/>
      <c r="T947" s="158"/>
      <c r="U947" s="2"/>
      <c r="V947" s="30"/>
      <c r="W947" s="2"/>
      <c r="X947" s="2"/>
      <c r="Y947" s="2"/>
      <c r="Z947" s="2"/>
    </row>
    <row r="948" ht="13.5" customHeight="1">
      <c r="A948" s="2"/>
      <c r="B948" s="2"/>
      <c r="C948" s="2"/>
      <c r="D948" s="2"/>
      <c r="E948" s="2"/>
      <c r="F948" s="2"/>
      <c r="G948" s="2"/>
      <c r="H948" s="2"/>
      <c r="I948" s="2"/>
      <c r="J948" s="2"/>
      <c r="K948" s="2"/>
      <c r="L948" s="2"/>
      <c r="M948" s="2"/>
      <c r="N948" s="2"/>
      <c r="O948" s="2"/>
      <c r="P948" s="2"/>
      <c r="Q948" s="157"/>
      <c r="R948" s="157"/>
      <c r="S948" s="157"/>
      <c r="T948" s="158"/>
      <c r="U948" s="2"/>
      <c r="V948" s="30"/>
      <c r="W948" s="2"/>
      <c r="X948" s="2"/>
      <c r="Y948" s="2"/>
      <c r="Z948" s="2"/>
    </row>
    <row r="949" ht="13.5" customHeight="1">
      <c r="A949" s="2"/>
      <c r="B949" s="2"/>
      <c r="C949" s="2"/>
      <c r="D949" s="2"/>
      <c r="E949" s="2"/>
      <c r="F949" s="2"/>
      <c r="G949" s="2"/>
      <c r="H949" s="2"/>
      <c r="I949" s="2"/>
      <c r="J949" s="2"/>
      <c r="K949" s="2"/>
      <c r="L949" s="2"/>
      <c r="M949" s="2"/>
      <c r="N949" s="2"/>
      <c r="O949" s="2"/>
      <c r="P949" s="2"/>
      <c r="Q949" s="157"/>
      <c r="R949" s="157"/>
      <c r="S949" s="157"/>
      <c r="T949" s="158"/>
      <c r="U949" s="2"/>
      <c r="V949" s="30"/>
      <c r="W949" s="2"/>
      <c r="X949" s="2"/>
      <c r="Y949" s="2"/>
      <c r="Z949" s="2"/>
    </row>
    <row r="950" ht="13.5" customHeight="1">
      <c r="A950" s="2"/>
      <c r="B950" s="2"/>
      <c r="C950" s="2"/>
      <c r="D950" s="2"/>
      <c r="E950" s="2"/>
      <c r="F950" s="2"/>
      <c r="G950" s="2"/>
      <c r="H950" s="2"/>
      <c r="I950" s="2"/>
      <c r="J950" s="2"/>
      <c r="K950" s="2"/>
      <c r="L950" s="2"/>
      <c r="M950" s="2"/>
      <c r="N950" s="2"/>
      <c r="O950" s="2"/>
      <c r="P950" s="2"/>
      <c r="Q950" s="157"/>
      <c r="R950" s="157"/>
      <c r="S950" s="157"/>
      <c r="T950" s="158"/>
      <c r="U950" s="2"/>
      <c r="V950" s="30"/>
      <c r="W950" s="2"/>
      <c r="X950" s="2"/>
      <c r="Y950" s="2"/>
      <c r="Z950" s="2"/>
    </row>
    <row r="951" ht="13.5" customHeight="1">
      <c r="A951" s="2"/>
      <c r="B951" s="2"/>
      <c r="C951" s="2"/>
      <c r="D951" s="2"/>
      <c r="E951" s="2"/>
      <c r="F951" s="2"/>
      <c r="G951" s="2"/>
      <c r="H951" s="2"/>
      <c r="I951" s="2"/>
      <c r="J951" s="2"/>
      <c r="K951" s="2"/>
      <c r="L951" s="2"/>
      <c r="M951" s="2"/>
      <c r="N951" s="2"/>
      <c r="O951" s="2"/>
      <c r="P951" s="2"/>
      <c r="Q951" s="157"/>
      <c r="R951" s="157"/>
      <c r="S951" s="157"/>
      <c r="T951" s="158"/>
      <c r="U951" s="2"/>
      <c r="V951" s="30"/>
      <c r="W951" s="2"/>
      <c r="X951" s="2"/>
      <c r="Y951" s="2"/>
      <c r="Z951" s="2"/>
    </row>
    <row r="952" ht="13.5" customHeight="1">
      <c r="A952" s="2"/>
      <c r="B952" s="2"/>
      <c r="C952" s="2"/>
      <c r="D952" s="2"/>
      <c r="E952" s="2"/>
      <c r="F952" s="2"/>
      <c r="G952" s="2"/>
      <c r="H952" s="2"/>
      <c r="I952" s="2"/>
      <c r="J952" s="2"/>
      <c r="K952" s="2"/>
      <c r="L952" s="2"/>
      <c r="M952" s="2"/>
      <c r="N952" s="2"/>
      <c r="O952" s="2"/>
      <c r="P952" s="2"/>
      <c r="Q952" s="157"/>
      <c r="R952" s="157"/>
      <c r="S952" s="157"/>
      <c r="T952" s="158"/>
      <c r="U952" s="2"/>
      <c r="V952" s="30"/>
      <c r="W952" s="2"/>
      <c r="X952" s="2"/>
      <c r="Y952" s="2"/>
      <c r="Z952" s="2"/>
    </row>
    <row r="953" ht="13.5" customHeight="1">
      <c r="A953" s="2"/>
      <c r="B953" s="2"/>
      <c r="C953" s="2"/>
      <c r="D953" s="2"/>
      <c r="E953" s="2"/>
      <c r="F953" s="2"/>
      <c r="G953" s="2"/>
      <c r="H953" s="2"/>
      <c r="I953" s="2"/>
      <c r="J953" s="2"/>
      <c r="K953" s="2"/>
      <c r="L953" s="2"/>
      <c r="M953" s="2"/>
      <c r="N953" s="2"/>
      <c r="O953" s="2"/>
      <c r="P953" s="2"/>
      <c r="Q953" s="157"/>
      <c r="R953" s="157"/>
      <c r="S953" s="157"/>
      <c r="T953" s="158"/>
      <c r="U953" s="2"/>
      <c r="V953" s="30"/>
      <c r="W953" s="2"/>
      <c r="X953" s="2"/>
      <c r="Y953" s="2"/>
      <c r="Z953" s="2"/>
    </row>
    <row r="954" ht="13.5" customHeight="1">
      <c r="A954" s="2"/>
      <c r="B954" s="2"/>
      <c r="C954" s="2"/>
      <c r="D954" s="2"/>
      <c r="E954" s="2"/>
      <c r="F954" s="2"/>
      <c r="G954" s="2"/>
      <c r="H954" s="2"/>
      <c r="I954" s="2"/>
      <c r="J954" s="2"/>
      <c r="K954" s="2"/>
      <c r="L954" s="2"/>
      <c r="M954" s="2"/>
      <c r="N954" s="2"/>
      <c r="O954" s="2"/>
      <c r="P954" s="2"/>
      <c r="Q954" s="157"/>
      <c r="R954" s="157"/>
      <c r="S954" s="157"/>
      <c r="T954" s="158"/>
      <c r="U954" s="2"/>
      <c r="V954" s="30"/>
      <c r="W954" s="2"/>
      <c r="X954" s="2"/>
      <c r="Y954" s="2"/>
      <c r="Z954" s="2"/>
    </row>
    <row r="955" ht="13.5" customHeight="1">
      <c r="A955" s="2"/>
      <c r="B955" s="2"/>
      <c r="C955" s="2"/>
      <c r="D955" s="2"/>
      <c r="E955" s="2"/>
      <c r="F955" s="2"/>
      <c r="G955" s="2"/>
      <c r="H955" s="2"/>
      <c r="I955" s="2"/>
      <c r="J955" s="2"/>
      <c r="K955" s="2"/>
      <c r="L955" s="2"/>
      <c r="M955" s="2"/>
      <c r="N955" s="2"/>
      <c r="O955" s="2"/>
      <c r="P955" s="2"/>
      <c r="Q955" s="157"/>
      <c r="R955" s="157"/>
      <c r="S955" s="157"/>
      <c r="T955" s="158"/>
      <c r="U955" s="2"/>
      <c r="V955" s="30"/>
      <c r="W955" s="2"/>
      <c r="X955" s="2"/>
      <c r="Y955" s="2"/>
      <c r="Z955" s="2"/>
    </row>
    <row r="956" ht="13.5" customHeight="1">
      <c r="A956" s="2"/>
      <c r="B956" s="2"/>
      <c r="C956" s="2"/>
      <c r="D956" s="2"/>
      <c r="E956" s="2"/>
      <c r="F956" s="2"/>
      <c r="G956" s="2"/>
      <c r="H956" s="2"/>
      <c r="I956" s="2"/>
      <c r="J956" s="2"/>
      <c r="K956" s="2"/>
      <c r="L956" s="2"/>
      <c r="M956" s="2"/>
      <c r="N956" s="2"/>
      <c r="O956" s="2"/>
      <c r="P956" s="2"/>
      <c r="Q956" s="157"/>
      <c r="R956" s="157"/>
      <c r="S956" s="157"/>
      <c r="T956" s="158"/>
      <c r="U956" s="2"/>
      <c r="V956" s="30"/>
      <c r="W956" s="2"/>
      <c r="X956" s="2"/>
      <c r="Y956" s="2"/>
      <c r="Z956" s="2"/>
    </row>
    <row r="957" ht="13.5" customHeight="1">
      <c r="A957" s="2"/>
      <c r="B957" s="2"/>
      <c r="C957" s="2"/>
      <c r="D957" s="2"/>
      <c r="E957" s="2"/>
      <c r="F957" s="2"/>
      <c r="G957" s="2"/>
      <c r="H957" s="2"/>
      <c r="I957" s="2"/>
      <c r="J957" s="2"/>
      <c r="K957" s="2"/>
      <c r="L957" s="2"/>
      <c r="M957" s="2"/>
      <c r="N957" s="2"/>
      <c r="O957" s="2"/>
      <c r="P957" s="2"/>
      <c r="Q957" s="157"/>
      <c r="R957" s="157"/>
      <c r="S957" s="157"/>
      <c r="T957" s="158"/>
      <c r="U957" s="2"/>
      <c r="V957" s="30"/>
      <c r="W957" s="2"/>
      <c r="X957" s="2"/>
      <c r="Y957" s="2"/>
      <c r="Z957" s="2"/>
    </row>
    <row r="958" ht="13.5" customHeight="1">
      <c r="A958" s="2"/>
      <c r="B958" s="2"/>
      <c r="C958" s="2"/>
      <c r="D958" s="2"/>
      <c r="E958" s="2"/>
      <c r="F958" s="2"/>
      <c r="G958" s="2"/>
      <c r="H958" s="2"/>
      <c r="I958" s="2"/>
      <c r="J958" s="2"/>
      <c r="K958" s="2"/>
      <c r="L958" s="2"/>
      <c r="M958" s="2"/>
      <c r="N958" s="2"/>
      <c r="O958" s="2"/>
      <c r="P958" s="2"/>
      <c r="Q958" s="157"/>
      <c r="R958" s="157"/>
      <c r="S958" s="157"/>
      <c r="T958" s="158"/>
      <c r="U958" s="2"/>
      <c r="V958" s="30"/>
      <c r="W958" s="2"/>
      <c r="X958" s="2"/>
      <c r="Y958" s="2"/>
      <c r="Z958" s="2"/>
    </row>
    <row r="959" ht="13.5" customHeight="1">
      <c r="A959" s="2"/>
      <c r="B959" s="2"/>
      <c r="C959" s="2"/>
      <c r="D959" s="2"/>
      <c r="E959" s="2"/>
      <c r="F959" s="2"/>
      <c r="G959" s="2"/>
      <c r="H959" s="2"/>
      <c r="I959" s="2"/>
      <c r="J959" s="2"/>
      <c r="K959" s="2"/>
      <c r="L959" s="2"/>
      <c r="M959" s="2"/>
      <c r="N959" s="2"/>
      <c r="O959" s="2"/>
      <c r="P959" s="2"/>
      <c r="Q959" s="157"/>
      <c r="R959" s="157"/>
      <c r="S959" s="157"/>
      <c r="T959" s="158"/>
      <c r="U959" s="2"/>
      <c r="V959" s="30"/>
      <c r="W959" s="2"/>
      <c r="X959" s="2"/>
      <c r="Y959" s="2"/>
      <c r="Z959" s="2"/>
    </row>
    <row r="960" ht="13.5" customHeight="1">
      <c r="A960" s="2"/>
      <c r="B960" s="2"/>
      <c r="C960" s="2"/>
      <c r="D960" s="2"/>
      <c r="E960" s="2"/>
      <c r="F960" s="2"/>
      <c r="G960" s="2"/>
      <c r="H960" s="2"/>
      <c r="I960" s="2"/>
      <c r="J960" s="2"/>
      <c r="K960" s="2"/>
      <c r="L960" s="2"/>
      <c r="M960" s="2"/>
      <c r="N960" s="2"/>
      <c r="O960" s="2"/>
      <c r="P960" s="2"/>
      <c r="Q960" s="157"/>
      <c r="R960" s="157"/>
      <c r="S960" s="157"/>
      <c r="T960" s="158"/>
      <c r="U960" s="2"/>
      <c r="V960" s="30"/>
      <c r="W960" s="2"/>
      <c r="X960" s="2"/>
      <c r="Y960" s="2"/>
      <c r="Z960" s="2"/>
    </row>
    <row r="961" ht="13.5" customHeight="1">
      <c r="A961" s="2"/>
      <c r="B961" s="2"/>
      <c r="C961" s="2"/>
      <c r="D961" s="2"/>
      <c r="E961" s="2"/>
      <c r="F961" s="2"/>
      <c r="G961" s="2"/>
      <c r="H961" s="2"/>
      <c r="I961" s="2"/>
      <c r="J961" s="2"/>
      <c r="K961" s="2"/>
      <c r="L961" s="2"/>
      <c r="M961" s="2"/>
      <c r="N961" s="2"/>
      <c r="O961" s="2"/>
      <c r="P961" s="2"/>
      <c r="Q961" s="157"/>
      <c r="R961" s="157"/>
      <c r="S961" s="157"/>
      <c r="T961" s="158"/>
      <c r="U961" s="2"/>
      <c r="V961" s="30"/>
      <c r="W961" s="2"/>
      <c r="X961" s="2"/>
      <c r="Y961" s="2"/>
      <c r="Z961" s="2"/>
    </row>
    <row r="962" ht="13.5" customHeight="1">
      <c r="A962" s="2"/>
      <c r="B962" s="2"/>
      <c r="C962" s="2"/>
      <c r="D962" s="2"/>
      <c r="E962" s="2"/>
      <c r="F962" s="2"/>
      <c r="G962" s="2"/>
      <c r="H962" s="2"/>
      <c r="I962" s="2"/>
      <c r="J962" s="2"/>
      <c r="K962" s="2"/>
      <c r="L962" s="2"/>
      <c r="M962" s="2"/>
      <c r="N962" s="2"/>
      <c r="O962" s="2"/>
      <c r="P962" s="2"/>
      <c r="Q962" s="157"/>
      <c r="R962" s="157"/>
      <c r="S962" s="157"/>
      <c r="T962" s="158"/>
      <c r="U962" s="2"/>
      <c r="V962" s="30"/>
      <c r="W962" s="2"/>
      <c r="X962" s="2"/>
      <c r="Y962" s="2"/>
      <c r="Z962" s="2"/>
    </row>
    <row r="963" ht="13.5" customHeight="1">
      <c r="A963" s="2"/>
      <c r="B963" s="2"/>
      <c r="C963" s="2"/>
      <c r="D963" s="2"/>
      <c r="E963" s="2"/>
      <c r="F963" s="2"/>
      <c r="G963" s="2"/>
      <c r="H963" s="2"/>
      <c r="I963" s="2"/>
      <c r="J963" s="2"/>
      <c r="K963" s="2"/>
      <c r="L963" s="2"/>
      <c r="M963" s="2"/>
      <c r="N963" s="2"/>
      <c r="O963" s="2"/>
      <c r="P963" s="2"/>
      <c r="Q963" s="157"/>
      <c r="R963" s="157"/>
      <c r="S963" s="157"/>
      <c r="T963" s="158"/>
      <c r="U963" s="2"/>
      <c r="V963" s="30"/>
      <c r="W963" s="2"/>
      <c r="X963" s="2"/>
      <c r="Y963" s="2"/>
      <c r="Z963" s="2"/>
    </row>
    <row r="964" ht="13.5" customHeight="1">
      <c r="A964" s="2"/>
      <c r="B964" s="2"/>
      <c r="C964" s="2"/>
      <c r="D964" s="2"/>
      <c r="E964" s="2"/>
      <c r="F964" s="2"/>
      <c r="G964" s="2"/>
      <c r="H964" s="2"/>
      <c r="I964" s="2"/>
      <c r="J964" s="2"/>
      <c r="K964" s="2"/>
      <c r="L964" s="2"/>
      <c r="M964" s="2"/>
      <c r="N964" s="2"/>
      <c r="O964" s="2"/>
      <c r="P964" s="2"/>
      <c r="Q964" s="157"/>
      <c r="R964" s="157"/>
      <c r="S964" s="157"/>
      <c r="T964" s="158"/>
      <c r="U964" s="2"/>
      <c r="V964" s="30"/>
      <c r="W964" s="2"/>
      <c r="X964" s="2"/>
      <c r="Y964" s="2"/>
      <c r="Z964" s="2"/>
    </row>
    <row r="965" ht="13.5" customHeight="1">
      <c r="A965" s="2"/>
      <c r="B965" s="2"/>
      <c r="C965" s="2"/>
      <c r="D965" s="2"/>
      <c r="E965" s="2"/>
      <c r="F965" s="2"/>
      <c r="G965" s="2"/>
      <c r="H965" s="2"/>
      <c r="I965" s="2"/>
      <c r="J965" s="2"/>
      <c r="K965" s="2"/>
      <c r="L965" s="2"/>
      <c r="M965" s="2"/>
      <c r="N965" s="2"/>
      <c r="O965" s="2"/>
      <c r="P965" s="2"/>
      <c r="Q965" s="157"/>
      <c r="R965" s="157"/>
      <c r="S965" s="157"/>
      <c r="T965" s="158"/>
      <c r="U965" s="2"/>
      <c r="V965" s="30"/>
      <c r="W965" s="2"/>
      <c r="X965" s="2"/>
      <c r="Y965" s="2"/>
      <c r="Z965" s="2"/>
    </row>
    <row r="966" ht="13.5" customHeight="1">
      <c r="A966" s="2"/>
      <c r="B966" s="2"/>
      <c r="C966" s="2"/>
      <c r="D966" s="2"/>
      <c r="E966" s="2"/>
      <c r="F966" s="2"/>
      <c r="G966" s="2"/>
      <c r="H966" s="2"/>
      <c r="I966" s="2"/>
      <c r="J966" s="2"/>
      <c r="K966" s="2"/>
      <c r="L966" s="2"/>
      <c r="M966" s="2"/>
      <c r="N966" s="2"/>
      <c r="O966" s="2"/>
      <c r="P966" s="2"/>
      <c r="Q966" s="157"/>
      <c r="R966" s="157"/>
      <c r="S966" s="157"/>
      <c r="T966" s="158"/>
      <c r="U966" s="2"/>
      <c r="V966" s="30"/>
      <c r="W966" s="2"/>
      <c r="X966" s="2"/>
      <c r="Y966" s="2"/>
      <c r="Z966" s="2"/>
    </row>
    <row r="967" ht="13.5" customHeight="1">
      <c r="A967" s="2"/>
      <c r="B967" s="2"/>
      <c r="C967" s="2"/>
      <c r="D967" s="2"/>
      <c r="E967" s="2"/>
      <c r="F967" s="2"/>
      <c r="G967" s="2"/>
      <c r="H967" s="2"/>
      <c r="I967" s="2"/>
      <c r="J967" s="2"/>
      <c r="K967" s="2"/>
      <c r="L967" s="2"/>
      <c r="M967" s="2"/>
      <c r="N967" s="2"/>
      <c r="O967" s="2"/>
      <c r="P967" s="2"/>
      <c r="Q967" s="157"/>
      <c r="R967" s="157"/>
      <c r="S967" s="157"/>
      <c r="T967" s="158"/>
      <c r="U967" s="2"/>
      <c r="V967" s="30"/>
      <c r="W967" s="2"/>
      <c r="X967" s="2"/>
      <c r="Y967" s="2"/>
      <c r="Z967" s="2"/>
    </row>
    <row r="968" ht="13.5" customHeight="1">
      <c r="A968" s="2"/>
      <c r="B968" s="2"/>
      <c r="C968" s="2"/>
      <c r="D968" s="2"/>
      <c r="E968" s="2"/>
      <c r="F968" s="2"/>
      <c r="G968" s="2"/>
      <c r="H968" s="2"/>
      <c r="I968" s="2"/>
      <c r="J968" s="2"/>
      <c r="K968" s="2"/>
      <c r="L968" s="2"/>
      <c r="M968" s="2"/>
      <c r="N968" s="2"/>
      <c r="O968" s="2"/>
      <c r="P968" s="2"/>
      <c r="Q968" s="157"/>
      <c r="R968" s="157"/>
      <c r="S968" s="157"/>
      <c r="T968" s="158"/>
      <c r="U968" s="2"/>
      <c r="V968" s="30"/>
      <c r="W968" s="2"/>
      <c r="X968" s="2"/>
      <c r="Y968" s="2"/>
      <c r="Z968" s="2"/>
    </row>
    <row r="969" ht="13.5" customHeight="1">
      <c r="A969" s="2"/>
      <c r="B969" s="2"/>
      <c r="C969" s="2"/>
      <c r="D969" s="2"/>
      <c r="E969" s="2"/>
      <c r="F969" s="2"/>
      <c r="G969" s="2"/>
      <c r="H969" s="2"/>
      <c r="I969" s="2"/>
      <c r="J969" s="2"/>
      <c r="K969" s="2"/>
      <c r="L969" s="2"/>
      <c r="M969" s="2"/>
      <c r="N969" s="2"/>
      <c r="O969" s="2"/>
      <c r="P969" s="2"/>
      <c r="Q969" s="157"/>
      <c r="R969" s="157"/>
      <c r="S969" s="157"/>
      <c r="T969" s="158"/>
      <c r="U969" s="2"/>
      <c r="V969" s="30"/>
      <c r="W969" s="2"/>
      <c r="X969" s="2"/>
      <c r="Y969" s="2"/>
      <c r="Z969" s="2"/>
    </row>
    <row r="970" ht="13.5" customHeight="1">
      <c r="A970" s="2"/>
      <c r="B970" s="2"/>
      <c r="C970" s="2"/>
      <c r="D970" s="2"/>
      <c r="E970" s="2"/>
      <c r="F970" s="2"/>
      <c r="G970" s="2"/>
      <c r="H970" s="2"/>
      <c r="I970" s="2"/>
      <c r="J970" s="2"/>
      <c r="K970" s="2"/>
      <c r="L970" s="2"/>
      <c r="M970" s="2"/>
      <c r="N970" s="2"/>
      <c r="O970" s="2"/>
      <c r="P970" s="2"/>
      <c r="Q970" s="157"/>
      <c r="R970" s="157"/>
      <c r="S970" s="157"/>
      <c r="T970" s="158"/>
      <c r="U970" s="2"/>
      <c r="V970" s="30"/>
      <c r="W970" s="2"/>
      <c r="X970" s="2"/>
      <c r="Y970" s="2"/>
      <c r="Z970" s="2"/>
    </row>
    <row r="971" ht="13.5" customHeight="1">
      <c r="A971" s="2"/>
      <c r="B971" s="2"/>
      <c r="C971" s="2"/>
      <c r="D971" s="2"/>
      <c r="E971" s="2"/>
      <c r="F971" s="2"/>
      <c r="G971" s="2"/>
      <c r="H971" s="2"/>
      <c r="I971" s="2"/>
      <c r="J971" s="2"/>
      <c r="K971" s="2"/>
      <c r="L971" s="2"/>
      <c r="M971" s="2"/>
      <c r="N971" s="2"/>
      <c r="O971" s="2"/>
      <c r="P971" s="2"/>
      <c r="Q971" s="157"/>
      <c r="R971" s="157"/>
      <c r="S971" s="157"/>
      <c r="T971" s="158"/>
      <c r="U971" s="2"/>
      <c r="V971" s="30"/>
      <c r="W971" s="2"/>
      <c r="X971" s="2"/>
      <c r="Y971" s="2"/>
      <c r="Z971" s="2"/>
    </row>
    <row r="972" ht="13.5" customHeight="1">
      <c r="A972" s="2"/>
      <c r="B972" s="2"/>
      <c r="C972" s="2"/>
      <c r="D972" s="2"/>
      <c r="E972" s="2"/>
      <c r="F972" s="2"/>
      <c r="G972" s="2"/>
      <c r="H972" s="2"/>
      <c r="I972" s="2"/>
      <c r="J972" s="2"/>
      <c r="K972" s="2"/>
      <c r="L972" s="2"/>
      <c r="M972" s="2"/>
      <c r="N972" s="2"/>
      <c r="O972" s="2"/>
      <c r="P972" s="2"/>
      <c r="Q972" s="157"/>
      <c r="R972" s="157"/>
      <c r="S972" s="157"/>
      <c r="T972" s="158"/>
      <c r="U972" s="2"/>
      <c r="V972" s="30"/>
      <c r="W972" s="2"/>
      <c r="X972" s="2"/>
      <c r="Y972" s="2"/>
      <c r="Z972" s="2"/>
    </row>
    <row r="973" ht="13.5" customHeight="1">
      <c r="A973" s="2"/>
      <c r="B973" s="2"/>
      <c r="C973" s="2"/>
      <c r="D973" s="2"/>
      <c r="E973" s="2"/>
      <c r="F973" s="2"/>
      <c r="G973" s="2"/>
      <c r="H973" s="2"/>
      <c r="I973" s="2"/>
      <c r="J973" s="2"/>
      <c r="K973" s="2"/>
      <c r="L973" s="2"/>
      <c r="M973" s="2"/>
      <c r="N973" s="2"/>
      <c r="O973" s="2"/>
      <c r="P973" s="2"/>
      <c r="Q973" s="157"/>
      <c r="R973" s="157"/>
      <c r="S973" s="157"/>
      <c r="T973" s="158"/>
      <c r="U973" s="2"/>
      <c r="V973" s="30"/>
      <c r="W973" s="2"/>
      <c r="X973" s="2"/>
      <c r="Y973" s="2"/>
      <c r="Z973" s="2"/>
    </row>
    <row r="974" ht="13.5" customHeight="1">
      <c r="A974" s="2"/>
      <c r="B974" s="2"/>
      <c r="C974" s="2"/>
      <c r="D974" s="2"/>
      <c r="E974" s="2"/>
      <c r="F974" s="2"/>
      <c r="G974" s="2"/>
      <c r="H974" s="2"/>
      <c r="I974" s="2"/>
      <c r="J974" s="2"/>
      <c r="K974" s="2"/>
      <c r="L974" s="2"/>
      <c r="M974" s="2"/>
      <c r="N974" s="2"/>
      <c r="O974" s="2"/>
      <c r="P974" s="2"/>
      <c r="Q974" s="157"/>
      <c r="R974" s="157"/>
      <c r="S974" s="157"/>
      <c r="T974" s="158"/>
      <c r="U974" s="2"/>
      <c r="V974" s="30"/>
      <c r="W974" s="2"/>
      <c r="X974" s="2"/>
      <c r="Y974" s="2"/>
      <c r="Z974" s="2"/>
    </row>
    <row r="975" ht="13.5" customHeight="1">
      <c r="A975" s="2"/>
      <c r="B975" s="2"/>
      <c r="C975" s="2"/>
      <c r="D975" s="2"/>
      <c r="E975" s="2"/>
      <c r="F975" s="2"/>
      <c r="G975" s="2"/>
      <c r="H975" s="2"/>
      <c r="I975" s="2"/>
      <c r="J975" s="2"/>
      <c r="K975" s="2"/>
      <c r="L975" s="2"/>
      <c r="M975" s="2"/>
      <c r="N975" s="2"/>
      <c r="O975" s="2"/>
      <c r="P975" s="2"/>
      <c r="Q975" s="157"/>
      <c r="R975" s="157"/>
      <c r="S975" s="157"/>
      <c r="T975" s="158"/>
      <c r="U975" s="2"/>
      <c r="V975" s="30"/>
      <c r="W975" s="2"/>
      <c r="X975" s="2"/>
      <c r="Y975" s="2"/>
      <c r="Z975" s="2"/>
    </row>
    <row r="976" ht="13.5" customHeight="1">
      <c r="A976" s="2"/>
      <c r="B976" s="2"/>
      <c r="C976" s="2"/>
      <c r="D976" s="2"/>
      <c r="E976" s="2"/>
      <c r="F976" s="2"/>
      <c r="G976" s="2"/>
      <c r="H976" s="2"/>
      <c r="I976" s="2"/>
      <c r="J976" s="2"/>
      <c r="K976" s="2"/>
      <c r="L976" s="2"/>
      <c r="M976" s="2"/>
      <c r="N976" s="2"/>
      <c r="O976" s="2"/>
      <c r="P976" s="2"/>
      <c r="Q976" s="157"/>
      <c r="R976" s="157"/>
      <c r="S976" s="157"/>
      <c r="T976" s="158"/>
      <c r="U976" s="2"/>
      <c r="V976" s="30"/>
      <c r="W976" s="2"/>
      <c r="X976" s="2"/>
      <c r="Y976" s="2"/>
      <c r="Z976" s="2"/>
    </row>
    <row r="977" ht="13.5" customHeight="1">
      <c r="A977" s="2"/>
      <c r="B977" s="2"/>
      <c r="C977" s="2"/>
      <c r="D977" s="2"/>
      <c r="E977" s="2"/>
      <c r="F977" s="2"/>
      <c r="G977" s="2"/>
      <c r="H977" s="2"/>
      <c r="I977" s="2"/>
      <c r="J977" s="2"/>
      <c r="K977" s="2"/>
      <c r="L977" s="2"/>
      <c r="M977" s="2"/>
      <c r="N977" s="2"/>
      <c r="O977" s="2"/>
      <c r="P977" s="2"/>
      <c r="Q977" s="157"/>
      <c r="R977" s="157"/>
      <c r="S977" s="157"/>
      <c r="T977" s="158"/>
      <c r="U977" s="2"/>
      <c r="V977" s="30"/>
      <c r="W977" s="2"/>
      <c r="X977" s="2"/>
      <c r="Y977" s="2"/>
      <c r="Z977" s="2"/>
    </row>
    <row r="978" ht="13.5" customHeight="1">
      <c r="A978" s="2"/>
      <c r="B978" s="2"/>
      <c r="C978" s="2"/>
      <c r="D978" s="2"/>
      <c r="E978" s="2"/>
      <c r="F978" s="2"/>
      <c r="G978" s="2"/>
      <c r="H978" s="2"/>
      <c r="I978" s="2"/>
      <c r="J978" s="2"/>
      <c r="K978" s="2"/>
      <c r="L978" s="2"/>
      <c r="M978" s="2"/>
      <c r="N978" s="2"/>
      <c r="O978" s="2"/>
      <c r="P978" s="2"/>
      <c r="Q978" s="157"/>
      <c r="R978" s="157"/>
      <c r="S978" s="157"/>
      <c r="T978" s="158"/>
      <c r="U978" s="2"/>
      <c r="V978" s="30"/>
      <c r="W978" s="2"/>
      <c r="X978" s="2"/>
      <c r="Y978" s="2"/>
      <c r="Z978" s="2"/>
    </row>
    <row r="979" ht="13.5" customHeight="1">
      <c r="A979" s="2"/>
      <c r="B979" s="2"/>
      <c r="C979" s="2"/>
      <c r="D979" s="2"/>
      <c r="E979" s="2"/>
      <c r="F979" s="2"/>
      <c r="G979" s="2"/>
      <c r="H979" s="2"/>
      <c r="I979" s="2"/>
      <c r="J979" s="2"/>
      <c r="K979" s="2"/>
      <c r="L979" s="2"/>
      <c r="M979" s="2"/>
      <c r="N979" s="2"/>
      <c r="O979" s="2"/>
      <c r="P979" s="2"/>
      <c r="Q979" s="157"/>
      <c r="R979" s="157"/>
      <c r="S979" s="157"/>
      <c r="T979" s="158"/>
      <c r="U979" s="2"/>
      <c r="V979" s="30"/>
      <c r="W979" s="2"/>
      <c r="X979" s="2"/>
      <c r="Y979" s="2"/>
      <c r="Z979" s="2"/>
    </row>
    <row r="980" ht="13.5" customHeight="1">
      <c r="A980" s="2"/>
      <c r="B980" s="2"/>
      <c r="C980" s="2"/>
      <c r="D980" s="2"/>
      <c r="E980" s="2"/>
      <c r="F980" s="2"/>
      <c r="G980" s="2"/>
      <c r="H980" s="2"/>
      <c r="I980" s="2"/>
      <c r="J980" s="2"/>
      <c r="K980" s="2"/>
      <c r="L980" s="2"/>
      <c r="M980" s="2"/>
      <c r="N980" s="2"/>
      <c r="O980" s="2"/>
      <c r="P980" s="2"/>
      <c r="Q980" s="157"/>
      <c r="R980" s="157"/>
      <c r="S980" s="157"/>
      <c r="T980" s="158"/>
      <c r="U980" s="2"/>
      <c r="V980" s="30"/>
      <c r="W980" s="2"/>
      <c r="X980" s="2"/>
      <c r="Y980" s="2"/>
      <c r="Z980" s="2"/>
    </row>
    <row r="981" ht="13.5" customHeight="1">
      <c r="A981" s="2"/>
      <c r="B981" s="2"/>
      <c r="C981" s="2"/>
      <c r="D981" s="2"/>
      <c r="E981" s="2"/>
      <c r="F981" s="2"/>
      <c r="G981" s="2"/>
      <c r="H981" s="2"/>
      <c r="I981" s="2"/>
      <c r="J981" s="2"/>
      <c r="K981" s="2"/>
      <c r="L981" s="2"/>
      <c r="M981" s="2"/>
      <c r="N981" s="2"/>
      <c r="O981" s="2"/>
      <c r="P981" s="2"/>
      <c r="Q981" s="157"/>
      <c r="R981" s="157"/>
      <c r="S981" s="157"/>
      <c r="T981" s="158"/>
      <c r="U981" s="2"/>
      <c r="V981" s="30"/>
      <c r="W981" s="2"/>
      <c r="X981" s="2"/>
      <c r="Y981" s="2"/>
      <c r="Z981" s="2"/>
    </row>
    <row r="982" ht="13.5" customHeight="1">
      <c r="A982" s="2"/>
      <c r="B982" s="2"/>
      <c r="C982" s="2"/>
      <c r="D982" s="2"/>
      <c r="E982" s="2"/>
      <c r="F982" s="2"/>
      <c r="G982" s="2"/>
      <c r="H982" s="2"/>
      <c r="I982" s="2"/>
      <c r="J982" s="2"/>
      <c r="K982" s="2"/>
      <c r="L982" s="2"/>
      <c r="M982" s="2"/>
      <c r="N982" s="2"/>
      <c r="O982" s="2"/>
      <c r="P982" s="2"/>
      <c r="Q982" s="157"/>
      <c r="R982" s="157"/>
      <c r="S982" s="157"/>
      <c r="T982" s="158"/>
      <c r="U982" s="2"/>
      <c r="V982" s="30"/>
      <c r="W982" s="2"/>
      <c r="X982" s="2"/>
      <c r="Y982" s="2"/>
      <c r="Z982" s="2"/>
    </row>
    <row r="983" ht="13.5" customHeight="1">
      <c r="A983" s="2"/>
      <c r="B983" s="2"/>
      <c r="C983" s="2"/>
      <c r="D983" s="2"/>
      <c r="E983" s="2"/>
      <c r="F983" s="2"/>
      <c r="G983" s="2"/>
      <c r="H983" s="2"/>
      <c r="I983" s="2"/>
      <c r="J983" s="2"/>
      <c r="K983" s="2"/>
      <c r="L983" s="2"/>
      <c r="M983" s="2"/>
      <c r="N983" s="2"/>
      <c r="O983" s="2"/>
      <c r="P983" s="2"/>
      <c r="Q983" s="157"/>
      <c r="R983" s="157"/>
      <c r="S983" s="157"/>
      <c r="T983" s="158"/>
      <c r="U983" s="2"/>
      <c r="V983" s="30"/>
      <c r="W983" s="2"/>
      <c r="X983" s="2"/>
      <c r="Y983" s="2"/>
      <c r="Z983" s="2"/>
    </row>
    <row r="984" ht="13.5" customHeight="1">
      <c r="A984" s="2"/>
      <c r="B984" s="2"/>
      <c r="C984" s="2"/>
      <c r="D984" s="2"/>
      <c r="E984" s="2"/>
      <c r="F984" s="2"/>
      <c r="G984" s="2"/>
      <c r="H984" s="2"/>
      <c r="I984" s="2"/>
      <c r="J984" s="2"/>
      <c r="K984" s="2"/>
      <c r="L984" s="2"/>
      <c r="M984" s="2"/>
      <c r="N984" s="2"/>
      <c r="O984" s="2"/>
      <c r="P984" s="2"/>
      <c r="Q984" s="157"/>
      <c r="R984" s="157"/>
      <c r="S984" s="157"/>
      <c r="T984" s="158"/>
      <c r="U984" s="2"/>
      <c r="V984" s="30"/>
      <c r="W984" s="2"/>
      <c r="X984" s="2"/>
      <c r="Y984" s="2"/>
      <c r="Z984" s="2"/>
    </row>
    <row r="985" ht="13.5" customHeight="1">
      <c r="A985" s="2"/>
      <c r="B985" s="2"/>
      <c r="C985" s="2"/>
      <c r="D985" s="2"/>
      <c r="E985" s="2"/>
      <c r="F985" s="2"/>
      <c r="G985" s="2"/>
      <c r="H985" s="2"/>
      <c r="I985" s="2"/>
      <c r="J985" s="2"/>
      <c r="K985" s="2"/>
      <c r="L985" s="2"/>
      <c r="M985" s="2"/>
      <c r="N985" s="2"/>
      <c r="O985" s="2"/>
      <c r="P985" s="2"/>
      <c r="Q985" s="157"/>
      <c r="R985" s="157"/>
      <c r="S985" s="157"/>
      <c r="T985" s="158"/>
      <c r="U985" s="2"/>
      <c r="V985" s="30"/>
      <c r="W985" s="2"/>
      <c r="X985" s="2"/>
      <c r="Y985" s="2"/>
      <c r="Z985" s="2"/>
    </row>
    <row r="986" ht="13.5" customHeight="1">
      <c r="A986" s="2"/>
      <c r="B986" s="2"/>
      <c r="C986" s="2"/>
      <c r="D986" s="2"/>
      <c r="E986" s="2"/>
      <c r="F986" s="2"/>
      <c r="G986" s="2"/>
      <c r="H986" s="2"/>
      <c r="I986" s="2"/>
      <c r="J986" s="2"/>
      <c r="K986" s="2"/>
      <c r="L986" s="2"/>
      <c r="M986" s="2"/>
      <c r="N986" s="2"/>
      <c r="O986" s="2"/>
      <c r="P986" s="2"/>
      <c r="Q986" s="157"/>
      <c r="R986" s="157"/>
      <c r="S986" s="157"/>
      <c r="T986" s="158"/>
      <c r="U986" s="2"/>
      <c r="V986" s="30"/>
      <c r="W986" s="2"/>
      <c r="X986" s="2"/>
      <c r="Y986" s="2"/>
      <c r="Z986" s="2"/>
    </row>
    <row r="987" ht="13.5" customHeight="1">
      <c r="A987" s="2"/>
      <c r="B987" s="2"/>
      <c r="C987" s="2"/>
      <c r="D987" s="2"/>
      <c r="E987" s="2"/>
      <c r="F987" s="2"/>
      <c r="G987" s="2"/>
      <c r="H987" s="2"/>
      <c r="I987" s="2"/>
      <c r="J987" s="2"/>
      <c r="K987" s="2"/>
      <c r="L987" s="2"/>
      <c r="M987" s="2"/>
      <c r="N987" s="2"/>
      <c r="O987" s="2"/>
      <c r="P987" s="2"/>
      <c r="Q987" s="157"/>
      <c r="R987" s="157"/>
      <c r="S987" s="157"/>
      <c r="T987" s="158"/>
      <c r="U987" s="2"/>
      <c r="V987" s="30"/>
      <c r="W987" s="2"/>
      <c r="X987" s="2"/>
      <c r="Y987" s="2"/>
      <c r="Z987" s="2"/>
    </row>
    <row r="988" ht="13.5" customHeight="1">
      <c r="A988" s="2"/>
      <c r="B988" s="2"/>
      <c r="C988" s="2"/>
      <c r="D988" s="2"/>
      <c r="E988" s="2"/>
      <c r="F988" s="2"/>
      <c r="G988" s="2"/>
      <c r="H988" s="2"/>
      <c r="I988" s="2"/>
      <c r="J988" s="2"/>
      <c r="K988" s="2"/>
      <c r="L988" s="2"/>
      <c r="M988" s="2"/>
      <c r="N988" s="2"/>
      <c r="O988" s="2"/>
      <c r="P988" s="2"/>
      <c r="Q988" s="157"/>
      <c r="R988" s="157"/>
      <c r="S988" s="157"/>
      <c r="T988" s="158"/>
      <c r="U988" s="2"/>
      <c r="V988" s="30"/>
      <c r="W988" s="2"/>
      <c r="X988" s="2"/>
      <c r="Y988" s="2"/>
      <c r="Z988" s="2"/>
    </row>
    <row r="989" ht="13.5" customHeight="1">
      <c r="A989" s="2"/>
      <c r="B989" s="2"/>
      <c r="C989" s="2"/>
      <c r="D989" s="2"/>
      <c r="E989" s="2"/>
      <c r="F989" s="2"/>
      <c r="G989" s="2"/>
      <c r="H989" s="2"/>
      <c r="I989" s="2"/>
      <c r="J989" s="2"/>
      <c r="K989" s="2"/>
      <c r="L989" s="2"/>
      <c r="M989" s="2"/>
      <c r="N989" s="2"/>
      <c r="O989" s="2"/>
      <c r="P989" s="2"/>
      <c r="Q989" s="157"/>
      <c r="R989" s="157"/>
      <c r="S989" s="157"/>
      <c r="T989" s="158"/>
      <c r="U989" s="2"/>
      <c r="V989" s="30"/>
      <c r="W989" s="2"/>
      <c r="X989" s="2"/>
      <c r="Y989" s="2"/>
      <c r="Z989" s="2"/>
    </row>
    <row r="990" ht="13.5" customHeight="1">
      <c r="A990" s="2"/>
      <c r="B990" s="2"/>
      <c r="C990" s="2"/>
      <c r="D990" s="2"/>
      <c r="E990" s="2"/>
      <c r="F990" s="2"/>
      <c r="G990" s="2"/>
      <c r="H990" s="2"/>
      <c r="I990" s="2"/>
      <c r="J990" s="2"/>
      <c r="K990" s="2"/>
      <c r="L990" s="2"/>
      <c r="M990" s="2"/>
      <c r="N990" s="2"/>
      <c r="O990" s="2"/>
      <c r="P990" s="2"/>
      <c r="Q990" s="157"/>
      <c r="R990" s="157"/>
      <c r="S990" s="157"/>
      <c r="T990" s="158"/>
      <c r="U990" s="2"/>
      <c r="V990" s="30"/>
      <c r="W990" s="2"/>
      <c r="X990" s="2"/>
      <c r="Y990" s="2"/>
      <c r="Z990" s="2"/>
    </row>
    <row r="991" ht="13.5" customHeight="1">
      <c r="A991" s="2"/>
      <c r="B991" s="2"/>
      <c r="C991" s="2"/>
      <c r="D991" s="2"/>
      <c r="E991" s="2"/>
      <c r="F991" s="2"/>
      <c r="G991" s="2"/>
      <c r="H991" s="2"/>
      <c r="I991" s="2"/>
      <c r="J991" s="2"/>
      <c r="K991" s="2"/>
      <c r="L991" s="2"/>
      <c r="M991" s="2"/>
      <c r="N991" s="2"/>
      <c r="O991" s="2"/>
      <c r="P991" s="2"/>
      <c r="Q991" s="157"/>
      <c r="R991" s="157"/>
      <c r="S991" s="157"/>
      <c r="T991" s="158"/>
      <c r="U991" s="2"/>
      <c r="V991" s="30"/>
      <c r="W991" s="2"/>
      <c r="X991" s="2"/>
      <c r="Y991" s="2"/>
      <c r="Z991" s="2"/>
    </row>
    <row r="992" ht="13.5" customHeight="1">
      <c r="A992" s="2"/>
      <c r="B992" s="2"/>
      <c r="C992" s="2"/>
      <c r="D992" s="2"/>
      <c r="E992" s="2"/>
      <c r="F992" s="2"/>
      <c r="G992" s="2"/>
      <c r="H992" s="2"/>
      <c r="I992" s="2"/>
      <c r="J992" s="2"/>
      <c r="K992" s="2"/>
      <c r="L992" s="2"/>
      <c r="M992" s="2"/>
      <c r="N992" s="2"/>
      <c r="O992" s="2"/>
      <c r="P992" s="2"/>
      <c r="Q992" s="157"/>
      <c r="R992" s="157"/>
      <c r="S992" s="157"/>
      <c r="T992" s="158"/>
      <c r="U992" s="2"/>
      <c r="V992" s="30"/>
      <c r="W992" s="2"/>
      <c r="X992" s="2"/>
      <c r="Y992" s="2"/>
      <c r="Z992" s="2"/>
    </row>
    <row r="993" ht="13.5" customHeight="1">
      <c r="A993" s="2"/>
      <c r="B993" s="2"/>
      <c r="C993" s="2"/>
      <c r="D993" s="2"/>
      <c r="E993" s="2"/>
      <c r="F993" s="2"/>
      <c r="G993" s="2"/>
      <c r="H993" s="2"/>
      <c r="I993" s="2"/>
      <c r="J993" s="2"/>
      <c r="K993" s="2"/>
      <c r="L993" s="2"/>
      <c r="M993" s="2"/>
      <c r="N993" s="2"/>
      <c r="O993" s="2"/>
      <c r="P993" s="2"/>
      <c r="Q993" s="157"/>
      <c r="R993" s="157"/>
      <c r="S993" s="157"/>
      <c r="T993" s="158"/>
      <c r="U993" s="2"/>
      <c r="V993" s="30"/>
      <c r="W993" s="2"/>
      <c r="X993" s="2"/>
      <c r="Y993" s="2"/>
      <c r="Z993" s="2"/>
    </row>
    <row r="994" ht="13.5" customHeight="1">
      <c r="A994" s="2"/>
      <c r="B994" s="2"/>
      <c r="C994" s="2"/>
      <c r="D994" s="2"/>
      <c r="E994" s="2"/>
      <c r="F994" s="2"/>
      <c r="G994" s="2"/>
      <c r="H994" s="2"/>
      <c r="I994" s="2"/>
      <c r="J994" s="2"/>
      <c r="K994" s="2"/>
      <c r="L994" s="2"/>
      <c r="M994" s="2"/>
      <c r="N994" s="2"/>
      <c r="O994" s="2"/>
      <c r="P994" s="2"/>
      <c r="Q994" s="157"/>
      <c r="R994" s="157"/>
      <c r="S994" s="157"/>
      <c r="T994" s="158"/>
      <c r="U994" s="2"/>
      <c r="V994" s="30"/>
      <c r="W994" s="2"/>
      <c r="X994" s="2"/>
      <c r="Y994" s="2"/>
      <c r="Z994" s="2"/>
    </row>
    <row r="995" ht="13.5" customHeight="1">
      <c r="A995" s="2"/>
      <c r="B995" s="2"/>
      <c r="C995" s="2"/>
      <c r="D995" s="2"/>
      <c r="E995" s="2"/>
      <c r="F995" s="2"/>
      <c r="G995" s="2"/>
      <c r="H995" s="2"/>
      <c r="I995" s="2"/>
      <c r="J995" s="2"/>
      <c r="K995" s="2"/>
      <c r="L995" s="2"/>
      <c r="M995" s="2"/>
      <c r="N995" s="2"/>
      <c r="O995" s="2"/>
      <c r="P995" s="2"/>
      <c r="Q995" s="157"/>
      <c r="R995" s="157"/>
      <c r="S995" s="157"/>
      <c r="T995" s="158"/>
      <c r="U995" s="2"/>
      <c r="V995" s="30"/>
      <c r="W995" s="2"/>
      <c r="X995" s="2"/>
      <c r="Y995" s="2"/>
      <c r="Z995" s="2"/>
    </row>
    <row r="996" ht="13.5" customHeight="1">
      <c r="A996" s="2"/>
      <c r="B996" s="2"/>
      <c r="C996" s="2"/>
      <c r="D996" s="2"/>
      <c r="E996" s="2"/>
      <c r="F996" s="2"/>
      <c r="G996" s="2"/>
      <c r="H996" s="2"/>
      <c r="I996" s="2"/>
      <c r="J996" s="2"/>
      <c r="K996" s="2"/>
      <c r="L996" s="2"/>
      <c r="M996" s="2"/>
      <c r="N996" s="2"/>
      <c r="O996" s="2"/>
      <c r="P996" s="2"/>
      <c r="Q996" s="157"/>
      <c r="R996" s="157"/>
      <c r="S996" s="157"/>
      <c r="T996" s="158"/>
      <c r="U996" s="2"/>
      <c r="V996" s="30"/>
      <c r="W996" s="2"/>
      <c r="X996" s="2"/>
      <c r="Y996" s="2"/>
      <c r="Z996" s="2"/>
    </row>
    <row r="997" ht="13.5" customHeight="1">
      <c r="A997" s="2"/>
      <c r="B997" s="2"/>
      <c r="C997" s="2"/>
      <c r="D997" s="2"/>
      <c r="E997" s="2"/>
      <c r="F997" s="2"/>
      <c r="G997" s="2"/>
      <c r="H997" s="2"/>
      <c r="I997" s="2"/>
      <c r="J997" s="2"/>
      <c r="K997" s="2"/>
      <c r="L997" s="2"/>
      <c r="M997" s="2"/>
      <c r="N997" s="2"/>
      <c r="O997" s="2"/>
      <c r="P997" s="2"/>
      <c r="Q997" s="157"/>
      <c r="R997" s="157"/>
      <c r="S997" s="157"/>
      <c r="T997" s="158"/>
      <c r="U997" s="2"/>
      <c r="V997" s="30"/>
      <c r="W997" s="2"/>
      <c r="X997" s="2"/>
      <c r="Y997" s="2"/>
      <c r="Z997" s="2"/>
    </row>
    <row r="998" ht="13.5" customHeight="1">
      <c r="A998" s="2"/>
      <c r="B998" s="2"/>
      <c r="C998" s="2"/>
      <c r="D998" s="2"/>
      <c r="E998" s="2"/>
      <c r="F998" s="2"/>
      <c r="G998" s="2"/>
      <c r="H998" s="2"/>
      <c r="I998" s="2"/>
      <c r="J998" s="2"/>
      <c r="K998" s="2"/>
      <c r="L998" s="2"/>
      <c r="M998" s="2"/>
      <c r="N998" s="2"/>
      <c r="O998" s="2"/>
      <c r="P998" s="2"/>
      <c r="Q998" s="157"/>
      <c r="R998" s="157"/>
      <c r="S998" s="157"/>
      <c r="T998" s="158"/>
      <c r="U998" s="2"/>
      <c r="V998" s="30"/>
      <c r="W998" s="2"/>
      <c r="X998" s="2"/>
      <c r="Y998" s="2"/>
      <c r="Z998" s="2"/>
    </row>
    <row r="999" ht="13.5" customHeight="1">
      <c r="A999" s="2"/>
      <c r="B999" s="2"/>
      <c r="C999" s="2"/>
      <c r="D999" s="2"/>
      <c r="E999" s="2"/>
      <c r="F999" s="2"/>
      <c r="G999" s="2"/>
      <c r="H999" s="2"/>
      <c r="I999" s="2"/>
      <c r="J999" s="2"/>
      <c r="K999" s="2"/>
      <c r="L999" s="2"/>
      <c r="M999" s="2"/>
      <c r="N999" s="2"/>
      <c r="O999" s="2"/>
      <c r="P999" s="2"/>
      <c r="Q999" s="157"/>
      <c r="R999" s="157"/>
      <c r="S999" s="157"/>
      <c r="T999" s="158"/>
      <c r="U999" s="2"/>
      <c r="V999" s="30"/>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157"/>
      <c r="R1000" s="157"/>
      <c r="S1000" s="157"/>
      <c r="T1000" s="158"/>
      <c r="U1000" s="2"/>
      <c r="V1000" s="30"/>
      <c r="W1000" s="2"/>
      <c r="X1000" s="2"/>
      <c r="Y1000" s="2"/>
      <c r="Z1000" s="2"/>
    </row>
  </sheetData>
  <mergeCells count="58">
    <mergeCell ref="A22:A29"/>
    <mergeCell ref="A30:A33"/>
    <mergeCell ref="A34:A36"/>
    <mergeCell ref="A37:A52"/>
    <mergeCell ref="B37:B52"/>
    <mergeCell ref="C37:C52"/>
    <mergeCell ref="D37:D52"/>
    <mergeCell ref="A53:A67"/>
    <mergeCell ref="B53:B67"/>
    <mergeCell ref="C53:C67"/>
    <mergeCell ref="D53:D67"/>
    <mergeCell ref="B68:B82"/>
    <mergeCell ref="C68:C82"/>
    <mergeCell ref="D68:D82"/>
    <mergeCell ref="A1:T1"/>
    <mergeCell ref="A2:C2"/>
    <mergeCell ref="D2:G2"/>
    <mergeCell ref="H2:J2"/>
    <mergeCell ref="K2:O2"/>
    <mergeCell ref="P2:R2"/>
    <mergeCell ref="S2:T2"/>
    <mergeCell ref="A3:C3"/>
    <mergeCell ref="D3:G3"/>
    <mergeCell ref="H3:J3"/>
    <mergeCell ref="P3:R3"/>
    <mergeCell ref="S3:T3"/>
    <mergeCell ref="A6:A15"/>
    <mergeCell ref="D6:D15"/>
    <mergeCell ref="B22:B29"/>
    <mergeCell ref="C22:C29"/>
    <mergeCell ref="B30:B33"/>
    <mergeCell ref="C30:C33"/>
    <mergeCell ref="D30:D33"/>
    <mergeCell ref="B34:B36"/>
    <mergeCell ref="C34:C36"/>
    <mergeCell ref="D34:D36"/>
    <mergeCell ref="B6:B15"/>
    <mergeCell ref="C6:C15"/>
    <mergeCell ref="A16:A21"/>
    <mergeCell ref="B16:B21"/>
    <mergeCell ref="C16:C21"/>
    <mergeCell ref="D16:D21"/>
    <mergeCell ref="D22:D29"/>
    <mergeCell ref="L53:L67"/>
    <mergeCell ref="L68:L82"/>
    <mergeCell ref="L83:L88"/>
    <mergeCell ref="K3:O3"/>
    <mergeCell ref="L6:L15"/>
    <mergeCell ref="L16:L21"/>
    <mergeCell ref="L22:L29"/>
    <mergeCell ref="L30:L33"/>
    <mergeCell ref="L34:L36"/>
    <mergeCell ref="L37:L52"/>
    <mergeCell ref="A68:A82"/>
    <mergeCell ref="A83:A88"/>
    <mergeCell ref="B83:B88"/>
    <mergeCell ref="C83:C88"/>
    <mergeCell ref="D83:D88"/>
  </mergeCells>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5" width="14.38"/>
    <col customWidth="1" min="6" max="6" width="25.25"/>
    <col customWidth="1" min="7" max="7" width="62.63"/>
    <col customWidth="1" min="8" max="9" width="12.63"/>
    <col customWidth="1" min="10" max="10" width="38.0"/>
    <col customWidth="1" min="11" max="11" width="47.88"/>
    <col customWidth="1" hidden="1" min="12" max="12" width="18.88"/>
    <col customWidth="1" hidden="1" min="13" max="13" width="31.75"/>
    <col customWidth="1" hidden="1" min="14" max="16" width="12.63"/>
    <col customWidth="1" min="17" max="17" width="12.63"/>
    <col customWidth="1" min="18" max="19" width="15.75"/>
    <col customWidth="1" min="20" max="20" width="20.75"/>
    <col customWidth="1" min="21" max="26" width="12.63"/>
  </cols>
  <sheetData>
    <row r="1" ht="30.0" customHeight="1">
      <c r="A1" s="21" t="s">
        <v>1909</v>
      </c>
      <c r="B1" s="24"/>
      <c r="C1" s="24"/>
      <c r="D1" s="24"/>
      <c r="E1" s="24"/>
      <c r="F1" s="24"/>
      <c r="G1" s="24"/>
      <c r="H1" s="24"/>
      <c r="I1" s="24"/>
      <c r="J1" s="24"/>
      <c r="K1" s="24"/>
      <c r="L1" s="24"/>
      <c r="M1" s="24"/>
      <c r="N1" s="24"/>
      <c r="O1" s="24"/>
      <c r="P1" s="24"/>
      <c r="Q1" s="24"/>
      <c r="R1" s="24"/>
      <c r="S1" s="24"/>
      <c r="T1" s="27"/>
      <c r="U1" s="2"/>
      <c r="V1" s="2"/>
      <c r="W1" s="2"/>
      <c r="X1" s="2"/>
      <c r="Y1" s="2"/>
      <c r="Z1" s="2"/>
    </row>
    <row r="2" ht="19.5" customHeight="1">
      <c r="A2" s="35" t="s">
        <v>38</v>
      </c>
      <c r="B2" s="37"/>
      <c r="C2" s="39"/>
      <c r="D2" s="40" t="s">
        <v>47</v>
      </c>
      <c r="E2" s="37"/>
      <c r="F2" s="37"/>
      <c r="G2" s="39"/>
      <c r="H2" s="35" t="s">
        <v>50</v>
      </c>
      <c r="I2" s="37"/>
      <c r="J2" s="39"/>
      <c r="K2" s="40" t="s">
        <v>2381</v>
      </c>
      <c r="L2" s="37"/>
      <c r="M2" s="37"/>
      <c r="N2" s="37"/>
      <c r="O2" s="39"/>
      <c r="P2" s="35" t="s">
        <v>6</v>
      </c>
      <c r="Q2" s="37"/>
      <c r="R2" s="39"/>
      <c r="S2" s="40" t="s">
        <v>33</v>
      </c>
      <c r="T2" s="39"/>
      <c r="U2" s="2"/>
      <c r="V2" s="2"/>
      <c r="W2" s="2"/>
      <c r="X2" s="2"/>
      <c r="Y2" s="2"/>
      <c r="Z2" s="2"/>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2"/>
      <c r="V3" s="2"/>
      <c r="W3" s="2"/>
      <c r="X3" s="2"/>
      <c r="Y3" s="2"/>
      <c r="Z3" s="2"/>
    </row>
    <row r="4" ht="13.5" customHeight="1">
      <c r="A4" s="49"/>
      <c r="B4" s="49"/>
      <c r="C4" s="49"/>
      <c r="D4" s="49"/>
      <c r="E4" s="49"/>
      <c r="F4" s="49"/>
      <c r="G4" s="49"/>
      <c r="H4" s="49"/>
      <c r="I4" s="49"/>
      <c r="J4" s="49"/>
      <c r="K4" s="49"/>
      <c r="L4" s="49"/>
      <c r="M4" s="49"/>
      <c r="N4" s="49"/>
      <c r="O4" s="49"/>
      <c r="P4" s="49"/>
      <c r="Q4" s="51"/>
      <c r="R4" s="51"/>
      <c r="S4" s="51"/>
      <c r="T4" s="49"/>
      <c r="U4" s="2"/>
      <c r="V4" s="2"/>
      <c r="W4" s="2"/>
      <c r="X4" s="2"/>
      <c r="Y4" s="2"/>
      <c r="Z4" s="2"/>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3" t="s">
        <v>82</v>
      </c>
      <c r="U5" s="2"/>
      <c r="V5" s="2"/>
      <c r="W5" s="2"/>
      <c r="X5" s="2"/>
      <c r="Y5" s="2"/>
      <c r="Z5" s="2"/>
    </row>
    <row r="6" ht="13.5" customHeight="1">
      <c r="A6" s="59" t="s">
        <v>2381</v>
      </c>
      <c r="B6" s="59" t="s">
        <v>466</v>
      </c>
      <c r="C6" s="60" t="s">
        <v>2382</v>
      </c>
      <c r="D6" s="60" t="s">
        <v>2383</v>
      </c>
      <c r="E6" s="61" t="s">
        <v>2384</v>
      </c>
      <c r="F6" s="62" t="s">
        <v>2385</v>
      </c>
      <c r="G6" s="63" t="s">
        <v>2386</v>
      </c>
      <c r="H6" s="61" t="s">
        <v>88</v>
      </c>
      <c r="I6" s="63"/>
      <c r="J6" s="68" t="s">
        <v>2387</v>
      </c>
      <c r="K6" s="90"/>
      <c r="L6" s="60" t="s">
        <v>2388</v>
      </c>
      <c r="M6" s="61"/>
      <c r="N6" s="61"/>
      <c r="O6" s="61"/>
      <c r="P6" s="61"/>
      <c r="Q6" s="61" t="s">
        <v>93</v>
      </c>
      <c r="R6" s="61" t="s">
        <v>94</v>
      </c>
      <c r="S6" s="61" t="s">
        <v>94</v>
      </c>
      <c r="T6" s="66">
        <v>46246.0</v>
      </c>
      <c r="U6" s="2"/>
      <c r="V6" s="2"/>
      <c r="W6" s="2"/>
      <c r="X6" s="2"/>
      <c r="Y6" s="2"/>
      <c r="Z6" s="2"/>
    </row>
    <row r="7" ht="13.5" customHeight="1">
      <c r="A7" s="67"/>
      <c r="B7" s="67"/>
      <c r="C7" s="67"/>
      <c r="D7" s="67"/>
      <c r="E7" s="61" t="s">
        <v>2389</v>
      </c>
      <c r="F7" s="62" t="s">
        <v>2390</v>
      </c>
      <c r="G7" s="63" t="s">
        <v>2391</v>
      </c>
      <c r="H7" s="61" t="s">
        <v>88</v>
      </c>
      <c r="I7" s="63"/>
      <c r="J7" s="68" t="s">
        <v>2392</v>
      </c>
      <c r="K7" s="90"/>
      <c r="L7" s="67"/>
      <c r="M7" s="61"/>
      <c r="N7" s="61"/>
      <c r="O7" s="61"/>
      <c r="P7" s="61"/>
      <c r="Q7" s="61" t="s">
        <v>93</v>
      </c>
      <c r="R7" s="61" t="s">
        <v>94</v>
      </c>
      <c r="S7" s="61" t="s">
        <v>94</v>
      </c>
      <c r="T7" s="66">
        <v>46246.0</v>
      </c>
      <c r="U7" s="2"/>
      <c r="V7" s="2"/>
      <c r="W7" s="2"/>
      <c r="X7" s="2"/>
      <c r="Y7" s="2"/>
      <c r="Z7" s="2"/>
    </row>
    <row r="8" ht="13.5" customHeight="1">
      <c r="A8" s="67"/>
      <c r="B8" s="67"/>
      <c r="C8" s="67"/>
      <c r="D8" s="67"/>
      <c r="E8" s="61" t="s">
        <v>2393</v>
      </c>
      <c r="F8" s="62" t="s">
        <v>2394</v>
      </c>
      <c r="G8" s="63" t="s">
        <v>2395</v>
      </c>
      <c r="H8" s="61" t="s">
        <v>88</v>
      </c>
      <c r="I8" s="63"/>
      <c r="J8" s="75" t="s">
        <v>2396</v>
      </c>
      <c r="K8" s="162" t="s">
        <v>2397</v>
      </c>
      <c r="L8" s="67"/>
      <c r="M8" s="61"/>
      <c r="N8" s="61"/>
      <c r="O8" s="61"/>
      <c r="P8" s="61"/>
      <c r="Q8" s="61" t="s">
        <v>93</v>
      </c>
      <c r="R8" s="61" t="s">
        <v>94</v>
      </c>
      <c r="S8" s="61" t="s">
        <v>94</v>
      </c>
      <c r="T8" s="66">
        <v>46255.0</v>
      </c>
      <c r="U8" s="2"/>
      <c r="V8" s="2"/>
      <c r="W8" s="2"/>
      <c r="X8" s="2"/>
      <c r="Y8" s="2"/>
      <c r="Z8" s="2"/>
    </row>
    <row r="9" ht="13.5" customHeight="1">
      <c r="A9" s="67"/>
      <c r="B9" s="67"/>
      <c r="C9" s="67"/>
      <c r="D9" s="67"/>
      <c r="E9" s="61" t="s">
        <v>2398</v>
      </c>
      <c r="F9" s="68"/>
      <c r="G9" s="63" t="s">
        <v>2399</v>
      </c>
      <c r="H9" s="61" t="s">
        <v>88</v>
      </c>
      <c r="I9" s="63"/>
      <c r="J9" s="68" t="s">
        <v>2400</v>
      </c>
      <c r="K9" s="90"/>
      <c r="L9" s="67"/>
      <c r="M9" s="61"/>
      <c r="N9" s="61"/>
      <c r="O9" s="61"/>
      <c r="P9" s="61"/>
      <c r="Q9" s="61" t="s">
        <v>93</v>
      </c>
      <c r="R9" s="61" t="s">
        <v>94</v>
      </c>
      <c r="S9" s="61" t="s">
        <v>94</v>
      </c>
      <c r="T9" s="66">
        <v>46246.0</v>
      </c>
      <c r="U9" s="2"/>
      <c r="V9" s="2"/>
      <c r="W9" s="2"/>
      <c r="X9" s="2"/>
      <c r="Y9" s="2"/>
      <c r="Z9" s="2"/>
    </row>
    <row r="10" ht="13.5" customHeight="1">
      <c r="A10" s="67"/>
      <c r="B10" s="67"/>
      <c r="C10" s="67"/>
      <c r="D10" s="67"/>
      <c r="E10" s="61" t="s">
        <v>2401</v>
      </c>
      <c r="F10" s="62" t="s">
        <v>2402</v>
      </c>
      <c r="G10" s="63" t="s">
        <v>2403</v>
      </c>
      <c r="H10" s="61" t="s">
        <v>88</v>
      </c>
      <c r="I10" s="63"/>
      <c r="J10" s="68" t="s">
        <v>2404</v>
      </c>
      <c r="K10" s="90"/>
      <c r="L10" s="67"/>
      <c r="M10" s="61"/>
      <c r="N10" s="61"/>
      <c r="O10" s="61"/>
      <c r="P10" s="61"/>
      <c r="Q10" s="61" t="s">
        <v>93</v>
      </c>
      <c r="R10" s="61" t="s">
        <v>94</v>
      </c>
      <c r="S10" s="61" t="s">
        <v>94</v>
      </c>
      <c r="T10" s="66">
        <v>46246.0</v>
      </c>
      <c r="U10" s="2"/>
      <c r="V10" s="2"/>
      <c r="W10" s="2"/>
      <c r="X10" s="2"/>
      <c r="Y10" s="2"/>
      <c r="Z10" s="2"/>
    </row>
    <row r="11" ht="13.5" customHeight="1">
      <c r="A11" s="67"/>
      <c r="B11" s="67"/>
      <c r="C11" s="67"/>
      <c r="D11" s="67"/>
      <c r="E11" s="61" t="s">
        <v>2405</v>
      </c>
      <c r="F11" s="68"/>
      <c r="G11" s="63" t="s">
        <v>2406</v>
      </c>
      <c r="H11" s="61" t="s">
        <v>88</v>
      </c>
      <c r="I11" s="63"/>
      <c r="J11" s="68" t="s">
        <v>2407</v>
      </c>
      <c r="K11" s="90"/>
      <c r="L11" s="67"/>
      <c r="M11" s="61"/>
      <c r="N11" s="61"/>
      <c r="O11" s="61"/>
      <c r="P11" s="61"/>
      <c r="Q11" s="61" t="s">
        <v>93</v>
      </c>
      <c r="R11" s="61" t="s">
        <v>94</v>
      </c>
      <c r="S11" s="61" t="s">
        <v>94</v>
      </c>
      <c r="T11" s="66">
        <v>46246.0</v>
      </c>
      <c r="U11" s="2"/>
      <c r="V11" s="2"/>
      <c r="W11" s="2"/>
      <c r="X11" s="2"/>
      <c r="Y11" s="2"/>
      <c r="Z11" s="2"/>
    </row>
    <row r="12" ht="13.5" customHeight="1">
      <c r="A12" s="67"/>
      <c r="B12" s="67"/>
      <c r="C12" s="67"/>
      <c r="D12" s="67"/>
      <c r="E12" s="61" t="s">
        <v>2408</v>
      </c>
      <c r="F12" s="62" t="s">
        <v>2409</v>
      </c>
      <c r="G12" s="63" t="s">
        <v>2410</v>
      </c>
      <c r="H12" s="61" t="s">
        <v>88</v>
      </c>
      <c r="I12" s="63"/>
      <c r="J12" s="68" t="s">
        <v>2411</v>
      </c>
      <c r="K12" s="90"/>
      <c r="L12" s="67"/>
      <c r="M12" s="61"/>
      <c r="N12" s="61"/>
      <c r="O12" s="61"/>
      <c r="P12" s="61"/>
      <c r="Q12" s="61" t="s">
        <v>93</v>
      </c>
      <c r="R12" s="61" t="s">
        <v>94</v>
      </c>
      <c r="S12" s="61" t="s">
        <v>94</v>
      </c>
      <c r="T12" s="66">
        <v>46246.0</v>
      </c>
      <c r="U12" s="2"/>
      <c r="V12" s="2"/>
      <c r="W12" s="2"/>
      <c r="X12" s="2"/>
      <c r="Y12" s="2"/>
      <c r="Z12" s="2"/>
    </row>
    <row r="13" ht="13.5" customHeight="1">
      <c r="A13" s="67"/>
      <c r="B13" s="67"/>
      <c r="C13" s="67"/>
      <c r="D13" s="67"/>
      <c r="E13" s="61" t="s">
        <v>2412</v>
      </c>
      <c r="F13" s="68"/>
      <c r="G13" s="63" t="s">
        <v>2413</v>
      </c>
      <c r="H13" s="61" t="s">
        <v>88</v>
      </c>
      <c r="I13" s="63"/>
      <c r="J13" s="68" t="s">
        <v>2414</v>
      </c>
      <c r="K13" s="90"/>
      <c r="L13" s="67"/>
      <c r="M13" s="61"/>
      <c r="N13" s="61"/>
      <c r="O13" s="61"/>
      <c r="P13" s="61"/>
      <c r="Q13" s="61" t="s">
        <v>93</v>
      </c>
      <c r="R13" s="61" t="s">
        <v>94</v>
      </c>
      <c r="S13" s="61" t="s">
        <v>94</v>
      </c>
      <c r="T13" s="66">
        <v>46246.0</v>
      </c>
      <c r="U13" s="2"/>
      <c r="V13" s="2"/>
      <c r="W13" s="2"/>
      <c r="X13" s="2"/>
      <c r="Y13" s="2"/>
      <c r="Z13" s="2"/>
    </row>
    <row r="14" ht="13.5" customHeight="1">
      <c r="A14" s="67"/>
      <c r="B14" s="67"/>
      <c r="C14" s="67"/>
      <c r="D14" s="67"/>
      <c r="E14" s="61" t="s">
        <v>2415</v>
      </c>
      <c r="F14" s="62" t="s">
        <v>2416</v>
      </c>
      <c r="G14" s="63" t="s">
        <v>2417</v>
      </c>
      <c r="H14" s="61" t="s">
        <v>88</v>
      </c>
      <c r="I14" s="63"/>
      <c r="J14" s="68" t="s">
        <v>2418</v>
      </c>
      <c r="K14" s="90"/>
      <c r="L14" s="67"/>
      <c r="M14" s="61"/>
      <c r="N14" s="61"/>
      <c r="O14" s="61"/>
      <c r="P14" s="61"/>
      <c r="Q14" s="61" t="s">
        <v>93</v>
      </c>
      <c r="R14" s="61" t="s">
        <v>94</v>
      </c>
      <c r="S14" s="61" t="s">
        <v>94</v>
      </c>
      <c r="T14" s="66">
        <v>46246.0</v>
      </c>
      <c r="U14" s="2"/>
      <c r="V14" s="2"/>
      <c r="W14" s="2"/>
      <c r="X14" s="2"/>
      <c r="Y14" s="2"/>
      <c r="Z14" s="2"/>
    </row>
    <row r="15" ht="13.5" customHeight="1">
      <c r="A15" s="77"/>
      <c r="B15" s="77"/>
      <c r="C15" s="77"/>
      <c r="D15" s="77"/>
      <c r="E15" s="61" t="s">
        <v>2419</v>
      </c>
      <c r="F15" s="68"/>
      <c r="G15" s="63" t="s">
        <v>2420</v>
      </c>
      <c r="H15" s="61" t="s">
        <v>88</v>
      </c>
      <c r="I15" s="63"/>
      <c r="J15" s="68" t="s">
        <v>2421</v>
      </c>
      <c r="K15" s="90"/>
      <c r="L15" s="77"/>
      <c r="M15" s="61"/>
      <c r="N15" s="61"/>
      <c r="O15" s="61"/>
      <c r="P15" s="61"/>
      <c r="Q15" s="61" t="s">
        <v>93</v>
      </c>
      <c r="R15" s="61" t="s">
        <v>94</v>
      </c>
      <c r="S15" s="61" t="s">
        <v>94</v>
      </c>
      <c r="T15" s="66">
        <v>46246.0</v>
      </c>
      <c r="U15" s="2"/>
      <c r="V15" s="2"/>
      <c r="W15" s="2"/>
      <c r="X15" s="2"/>
      <c r="Y15" s="2"/>
      <c r="Z15" s="2"/>
    </row>
    <row r="16" ht="13.5" customHeight="1">
      <c r="A16" s="78" t="s">
        <v>2381</v>
      </c>
      <c r="B16" s="78" t="s">
        <v>473</v>
      </c>
      <c r="C16" s="79" t="s">
        <v>474</v>
      </c>
      <c r="D16" s="79" t="s">
        <v>2422</v>
      </c>
      <c r="E16" s="89" t="s">
        <v>2423</v>
      </c>
      <c r="F16" s="70" t="s">
        <v>2424</v>
      </c>
      <c r="G16" s="83" t="s">
        <v>2425</v>
      </c>
      <c r="H16" s="81" t="s">
        <v>88</v>
      </c>
      <c r="I16" s="83"/>
      <c r="J16" s="178" t="s">
        <v>2426</v>
      </c>
      <c r="K16" s="90"/>
      <c r="L16" s="79" t="s">
        <v>2388</v>
      </c>
      <c r="M16" s="147"/>
      <c r="N16" s="147"/>
      <c r="O16" s="147"/>
      <c r="P16" s="147"/>
      <c r="Q16" s="147" t="s">
        <v>93</v>
      </c>
      <c r="R16" s="81" t="s">
        <v>94</v>
      </c>
      <c r="S16" s="81" t="s">
        <v>94</v>
      </c>
      <c r="T16" s="84">
        <v>46246.0</v>
      </c>
      <c r="U16" s="2"/>
      <c r="V16" s="2"/>
      <c r="W16" s="2"/>
      <c r="X16" s="2"/>
      <c r="Y16" s="2"/>
      <c r="Z16" s="2"/>
    </row>
    <row r="17" ht="13.5" customHeight="1">
      <c r="A17" s="67"/>
      <c r="B17" s="67"/>
      <c r="C17" s="67"/>
      <c r="D17" s="67"/>
      <c r="E17" s="89" t="s">
        <v>2427</v>
      </c>
      <c r="F17" s="70"/>
      <c r="G17" s="83" t="s">
        <v>2428</v>
      </c>
      <c r="H17" s="81" t="s">
        <v>88</v>
      </c>
      <c r="I17" s="83"/>
      <c r="J17" s="178" t="s">
        <v>2429</v>
      </c>
      <c r="K17" s="90"/>
      <c r="L17" s="67"/>
      <c r="M17" s="147"/>
      <c r="N17" s="147"/>
      <c r="O17" s="147"/>
      <c r="P17" s="147"/>
      <c r="Q17" s="147" t="s">
        <v>93</v>
      </c>
      <c r="R17" s="81" t="s">
        <v>94</v>
      </c>
      <c r="S17" s="81" t="s">
        <v>94</v>
      </c>
      <c r="T17" s="148">
        <v>46246.0</v>
      </c>
      <c r="U17" s="2"/>
      <c r="V17" s="2"/>
      <c r="W17" s="2"/>
      <c r="X17" s="2"/>
      <c r="Y17" s="2"/>
      <c r="Z17" s="2"/>
    </row>
    <row r="18" ht="13.5" customHeight="1">
      <c r="A18" s="67"/>
      <c r="B18" s="67"/>
      <c r="C18" s="67"/>
      <c r="D18" s="67"/>
      <c r="E18" s="89" t="s">
        <v>2430</v>
      </c>
      <c r="F18" s="70" t="s">
        <v>2431</v>
      </c>
      <c r="G18" s="83" t="s">
        <v>2432</v>
      </c>
      <c r="H18" s="81" t="s">
        <v>88</v>
      </c>
      <c r="I18" s="83"/>
      <c r="J18" s="178" t="s">
        <v>2433</v>
      </c>
      <c r="K18" s="90"/>
      <c r="L18" s="67"/>
      <c r="M18" s="147"/>
      <c r="N18" s="147"/>
      <c r="O18" s="147"/>
      <c r="P18" s="147"/>
      <c r="Q18" s="147" t="s">
        <v>93</v>
      </c>
      <c r="R18" s="81" t="s">
        <v>94</v>
      </c>
      <c r="S18" s="81" t="s">
        <v>94</v>
      </c>
      <c r="T18" s="148">
        <v>46246.0</v>
      </c>
      <c r="U18" s="2"/>
      <c r="V18" s="2"/>
      <c r="W18" s="2"/>
      <c r="X18" s="2"/>
      <c r="Y18" s="2"/>
      <c r="Z18" s="2"/>
    </row>
    <row r="19" ht="13.5" customHeight="1">
      <c r="A19" s="67"/>
      <c r="B19" s="67"/>
      <c r="C19" s="67"/>
      <c r="D19" s="67"/>
      <c r="E19" s="89" t="s">
        <v>2434</v>
      </c>
      <c r="F19" s="70"/>
      <c r="G19" s="83" t="s">
        <v>2435</v>
      </c>
      <c r="H19" s="81" t="s">
        <v>88</v>
      </c>
      <c r="I19" s="83"/>
      <c r="J19" s="178" t="s">
        <v>2436</v>
      </c>
      <c r="K19" s="90"/>
      <c r="L19" s="67"/>
      <c r="M19" s="147"/>
      <c r="N19" s="147"/>
      <c r="O19" s="147"/>
      <c r="P19" s="147"/>
      <c r="Q19" s="147" t="s">
        <v>93</v>
      </c>
      <c r="R19" s="81" t="s">
        <v>94</v>
      </c>
      <c r="S19" s="81" t="s">
        <v>94</v>
      </c>
      <c r="T19" s="148">
        <v>46246.0</v>
      </c>
      <c r="U19" s="2"/>
      <c r="V19" s="2"/>
      <c r="W19" s="2"/>
      <c r="X19" s="2"/>
      <c r="Y19" s="2"/>
      <c r="Z19" s="2"/>
    </row>
    <row r="20" ht="13.5" customHeight="1">
      <c r="A20" s="67"/>
      <c r="B20" s="67"/>
      <c r="C20" s="67"/>
      <c r="D20" s="67"/>
      <c r="E20" s="89" t="s">
        <v>2437</v>
      </c>
      <c r="F20" s="70"/>
      <c r="G20" s="83" t="s">
        <v>2438</v>
      </c>
      <c r="H20" s="81" t="s">
        <v>88</v>
      </c>
      <c r="I20" s="83"/>
      <c r="J20" s="178" t="s">
        <v>2439</v>
      </c>
      <c r="K20" s="90"/>
      <c r="L20" s="67"/>
      <c r="M20" s="147"/>
      <c r="N20" s="147"/>
      <c r="O20" s="147"/>
      <c r="P20" s="147"/>
      <c r="Q20" s="147" t="s">
        <v>93</v>
      </c>
      <c r="R20" s="81" t="s">
        <v>94</v>
      </c>
      <c r="S20" s="81" t="s">
        <v>94</v>
      </c>
      <c r="T20" s="148">
        <v>46246.0</v>
      </c>
      <c r="U20" s="2"/>
      <c r="V20" s="2"/>
      <c r="W20" s="2"/>
      <c r="X20" s="2"/>
      <c r="Y20" s="2"/>
      <c r="Z20" s="2"/>
    </row>
    <row r="21" ht="13.5" customHeight="1">
      <c r="A21" s="67"/>
      <c r="B21" s="67"/>
      <c r="C21" s="67"/>
      <c r="D21" s="67"/>
      <c r="E21" s="89" t="s">
        <v>2440</v>
      </c>
      <c r="F21" s="70" t="s">
        <v>2441</v>
      </c>
      <c r="G21" s="83" t="s">
        <v>2442</v>
      </c>
      <c r="H21" s="81" t="s">
        <v>88</v>
      </c>
      <c r="I21" s="83"/>
      <c r="J21" s="178" t="s">
        <v>2443</v>
      </c>
      <c r="K21" s="90"/>
      <c r="L21" s="67"/>
      <c r="M21" s="147"/>
      <c r="N21" s="147"/>
      <c r="O21" s="147"/>
      <c r="P21" s="147"/>
      <c r="Q21" s="147" t="s">
        <v>93</v>
      </c>
      <c r="R21" s="81" t="s">
        <v>94</v>
      </c>
      <c r="S21" s="81" t="s">
        <v>94</v>
      </c>
      <c r="T21" s="148">
        <v>46246.0</v>
      </c>
      <c r="U21" s="2"/>
      <c r="V21" s="2"/>
      <c r="W21" s="2"/>
      <c r="X21" s="2"/>
      <c r="Y21" s="2"/>
      <c r="Z21" s="2"/>
    </row>
    <row r="22" ht="13.5" customHeight="1">
      <c r="A22" s="77"/>
      <c r="B22" s="77"/>
      <c r="C22" s="77"/>
      <c r="D22" s="77"/>
      <c r="E22" s="89" t="s">
        <v>2444</v>
      </c>
      <c r="F22" s="70"/>
      <c r="G22" s="83" t="s">
        <v>2445</v>
      </c>
      <c r="H22" s="81" t="s">
        <v>88</v>
      </c>
      <c r="I22" s="83"/>
      <c r="J22" s="178" t="s">
        <v>2446</v>
      </c>
      <c r="K22" s="90"/>
      <c r="L22" s="77"/>
      <c r="M22" s="147"/>
      <c r="N22" s="147"/>
      <c r="O22" s="147"/>
      <c r="P22" s="147"/>
      <c r="Q22" s="147" t="s">
        <v>93</v>
      </c>
      <c r="R22" s="81" t="s">
        <v>94</v>
      </c>
      <c r="S22" s="81" t="s">
        <v>94</v>
      </c>
      <c r="T22" s="148">
        <v>46246.0</v>
      </c>
      <c r="U22" s="2"/>
      <c r="V22" s="2"/>
      <c r="W22" s="2"/>
      <c r="X22" s="2"/>
      <c r="Y22" s="2"/>
      <c r="Z22" s="2"/>
    </row>
    <row r="23" ht="13.5" customHeight="1">
      <c r="A23" s="59" t="s">
        <v>2381</v>
      </c>
      <c r="B23" s="59" t="s">
        <v>480</v>
      </c>
      <c r="C23" s="60" t="s">
        <v>481</v>
      </c>
      <c r="D23" s="60" t="s">
        <v>2447</v>
      </c>
      <c r="E23" s="61" t="s">
        <v>2448</v>
      </c>
      <c r="F23" s="62" t="s">
        <v>2449</v>
      </c>
      <c r="G23" s="63" t="s">
        <v>2450</v>
      </c>
      <c r="H23" s="61" t="s">
        <v>88</v>
      </c>
      <c r="I23" s="63"/>
      <c r="J23" s="68" t="s">
        <v>2451</v>
      </c>
      <c r="K23" s="90"/>
      <c r="L23" s="60" t="s">
        <v>2452</v>
      </c>
      <c r="M23" s="61"/>
      <c r="N23" s="61"/>
      <c r="O23" s="61"/>
      <c r="P23" s="61"/>
      <c r="Q23" s="61" t="s">
        <v>93</v>
      </c>
      <c r="R23" s="61" t="s">
        <v>94</v>
      </c>
      <c r="S23" s="61" t="s">
        <v>94</v>
      </c>
      <c r="T23" s="66">
        <v>46246.0</v>
      </c>
      <c r="U23" s="2"/>
      <c r="V23" s="2"/>
      <c r="W23" s="2"/>
      <c r="X23" s="2"/>
      <c r="Y23" s="2"/>
      <c r="Z23" s="2"/>
    </row>
    <row r="24" ht="13.5" customHeight="1">
      <c r="A24" s="67"/>
      <c r="B24" s="67"/>
      <c r="C24" s="67"/>
      <c r="D24" s="67"/>
      <c r="E24" s="61" t="s">
        <v>2453</v>
      </c>
      <c r="F24" s="62" t="s">
        <v>2454</v>
      </c>
      <c r="G24" s="63" t="s">
        <v>2455</v>
      </c>
      <c r="H24" s="61" t="s">
        <v>88</v>
      </c>
      <c r="I24" s="63"/>
      <c r="J24" s="68" t="s">
        <v>2456</v>
      </c>
      <c r="K24" s="90"/>
      <c r="L24" s="67"/>
      <c r="M24" s="61"/>
      <c r="N24" s="61"/>
      <c r="O24" s="61"/>
      <c r="P24" s="61"/>
      <c r="Q24" s="61" t="s">
        <v>93</v>
      </c>
      <c r="R24" s="61" t="s">
        <v>94</v>
      </c>
      <c r="S24" s="61" t="s">
        <v>94</v>
      </c>
      <c r="T24" s="66">
        <v>46246.0</v>
      </c>
      <c r="U24" s="2"/>
      <c r="V24" s="2"/>
      <c r="W24" s="2"/>
      <c r="X24" s="2"/>
      <c r="Y24" s="2"/>
      <c r="Z24" s="2"/>
    </row>
    <row r="25" ht="13.5" customHeight="1">
      <c r="A25" s="77"/>
      <c r="B25" s="77"/>
      <c r="C25" s="77"/>
      <c r="D25" s="77"/>
      <c r="E25" s="61" t="s">
        <v>2457</v>
      </c>
      <c r="F25" s="62" t="s">
        <v>2458</v>
      </c>
      <c r="G25" s="63" t="s">
        <v>2459</v>
      </c>
      <c r="H25" s="61" t="s">
        <v>88</v>
      </c>
      <c r="I25" s="63"/>
      <c r="J25" s="68" t="s">
        <v>2460</v>
      </c>
      <c r="K25" s="90"/>
      <c r="L25" s="77"/>
      <c r="M25" s="61"/>
      <c r="N25" s="61"/>
      <c r="O25" s="61"/>
      <c r="P25" s="61"/>
      <c r="Q25" s="61" t="s">
        <v>93</v>
      </c>
      <c r="R25" s="61" t="s">
        <v>94</v>
      </c>
      <c r="S25" s="61" t="s">
        <v>94</v>
      </c>
      <c r="T25" s="66">
        <v>46246.0</v>
      </c>
      <c r="U25" s="2"/>
      <c r="V25" s="2"/>
      <c r="W25" s="2"/>
      <c r="X25" s="2"/>
      <c r="Y25" s="2"/>
      <c r="Z25" s="2"/>
    </row>
    <row r="26" ht="56.25" customHeight="1">
      <c r="A26" s="78" t="s">
        <v>2381</v>
      </c>
      <c r="B26" s="78" t="s">
        <v>486</v>
      </c>
      <c r="C26" s="79" t="s">
        <v>487</v>
      </c>
      <c r="D26" s="79" t="s">
        <v>2461</v>
      </c>
      <c r="E26" s="89" t="s">
        <v>2462</v>
      </c>
      <c r="F26" s="70" t="s">
        <v>2463</v>
      </c>
      <c r="G26" s="83" t="s">
        <v>2464</v>
      </c>
      <c r="H26" s="81" t="s">
        <v>88</v>
      </c>
      <c r="I26" s="83"/>
      <c r="J26" s="117" t="s">
        <v>2465</v>
      </c>
      <c r="K26" s="90"/>
      <c r="L26" s="79" t="s">
        <v>2452</v>
      </c>
      <c r="M26" s="147"/>
      <c r="N26" s="147"/>
      <c r="O26" s="147"/>
      <c r="P26" s="147"/>
      <c r="Q26" s="147" t="s">
        <v>93</v>
      </c>
      <c r="R26" s="81" t="s">
        <v>94</v>
      </c>
      <c r="S26" s="81" t="s">
        <v>94</v>
      </c>
      <c r="T26" s="84">
        <v>46246.0</v>
      </c>
      <c r="U26" s="2"/>
      <c r="V26" s="2"/>
      <c r="W26" s="2"/>
      <c r="X26" s="2"/>
      <c r="Y26" s="2"/>
      <c r="Z26" s="2"/>
    </row>
    <row r="27" ht="13.5" customHeight="1">
      <c r="A27" s="67"/>
      <c r="B27" s="67"/>
      <c r="C27" s="67"/>
      <c r="D27" s="67"/>
      <c r="E27" s="89" t="s">
        <v>2466</v>
      </c>
      <c r="F27" s="70"/>
      <c r="G27" s="83" t="s">
        <v>2467</v>
      </c>
      <c r="H27" s="81" t="s">
        <v>88</v>
      </c>
      <c r="I27" s="83"/>
      <c r="J27" s="117" t="s">
        <v>2468</v>
      </c>
      <c r="K27" s="90"/>
      <c r="L27" s="67"/>
      <c r="M27" s="147"/>
      <c r="N27" s="147"/>
      <c r="O27" s="147"/>
      <c r="P27" s="147"/>
      <c r="Q27" s="147" t="s">
        <v>93</v>
      </c>
      <c r="R27" s="81" t="s">
        <v>94</v>
      </c>
      <c r="S27" s="81" t="s">
        <v>94</v>
      </c>
      <c r="T27" s="148">
        <v>46246.0</v>
      </c>
      <c r="U27" s="2"/>
      <c r="V27" s="2"/>
      <c r="W27" s="2"/>
      <c r="X27" s="2"/>
      <c r="Y27" s="2"/>
      <c r="Z27" s="2"/>
    </row>
    <row r="28" ht="13.5" customHeight="1">
      <c r="A28" s="67"/>
      <c r="B28" s="67"/>
      <c r="C28" s="67"/>
      <c r="D28" s="67"/>
      <c r="E28" s="89" t="s">
        <v>2469</v>
      </c>
      <c r="F28" s="70"/>
      <c r="G28" s="83" t="s">
        <v>2470</v>
      </c>
      <c r="H28" s="81" t="s">
        <v>88</v>
      </c>
      <c r="I28" s="83"/>
      <c r="J28" s="117" t="s">
        <v>2471</v>
      </c>
      <c r="K28" s="90"/>
      <c r="L28" s="67"/>
      <c r="M28" s="147"/>
      <c r="N28" s="147"/>
      <c r="O28" s="147"/>
      <c r="P28" s="147"/>
      <c r="Q28" s="147" t="s">
        <v>93</v>
      </c>
      <c r="R28" s="81" t="s">
        <v>94</v>
      </c>
      <c r="S28" s="81" t="s">
        <v>94</v>
      </c>
      <c r="T28" s="148">
        <v>46246.0</v>
      </c>
      <c r="U28" s="2"/>
      <c r="V28" s="2"/>
      <c r="W28" s="2"/>
      <c r="X28" s="2"/>
      <c r="Y28" s="2"/>
      <c r="Z28" s="2"/>
    </row>
    <row r="29" ht="13.5" customHeight="1">
      <c r="A29" s="67"/>
      <c r="B29" s="67"/>
      <c r="C29" s="67"/>
      <c r="D29" s="67"/>
      <c r="E29" s="89" t="s">
        <v>2472</v>
      </c>
      <c r="F29" s="70" t="s">
        <v>2473</v>
      </c>
      <c r="G29" s="83" t="s">
        <v>2474</v>
      </c>
      <c r="H29" s="81" t="s">
        <v>88</v>
      </c>
      <c r="I29" s="83"/>
      <c r="J29" s="117" t="s">
        <v>2475</v>
      </c>
      <c r="K29" s="90"/>
      <c r="L29" s="67"/>
      <c r="M29" s="147"/>
      <c r="N29" s="147"/>
      <c r="O29" s="147"/>
      <c r="P29" s="147"/>
      <c r="Q29" s="147" t="s">
        <v>93</v>
      </c>
      <c r="R29" s="81" t="s">
        <v>94</v>
      </c>
      <c r="S29" s="81" t="s">
        <v>94</v>
      </c>
      <c r="T29" s="148">
        <v>46246.0</v>
      </c>
      <c r="U29" s="2"/>
      <c r="V29" s="2"/>
      <c r="W29" s="2"/>
      <c r="X29" s="2"/>
      <c r="Y29" s="2"/>
      <c r="Z29" s="2"/>
    </row>
    <row r="30" ht="13.5" customHeight="1">
      <c r="A30" s="77"/>
      <c r="B30" s="77"/>
      <c r="C30" s="77"/>
      <c r="D30" s="77"/>
      <c r="E30" s="89" t="s">
        <v>2476</v>
      </c>
      <c r="F30" s="70"/>
      <c r="G30" s="83" t="s">
        <v>2477</v>
      </c>
      <c r="H30" s="81" t="s">
        <v>88</v>
      </c>
      <c r="I30" s="83"/>
      <c r="J30" s="117" t="s">
        <v>2478</v>
      </c>
      <c r="K30" s="90"/>
      <c r="L30" s="77"/>
      <c r="M30" s="147"/>
      <c r="N30" s="147"/>
      <c r="O30" s="147"/>
      <c r="P30" s="147"/>
      <c r="Q30" s="147" t="s">
        <v>93</v>
      </c>
      <c r="R30" s="81" t="s">
        <v>94</v>
      </c>
      <c r="S30" s="81" t="s">
        <v>94</v>
      </c>
      <c r="T30" s="148">
        <v>46246.0</v>
      </c>
      <c r="U30" s="2"/>
      <c r="V30" s="2"/>
      <c r="W30" s="2"/>
      <c r="X30" s="2"/>
      <c r="Y30" s="2"/>
      <c r="Z30" s="2"/>
    </row>
    <row r="31" ht="13.5" customHeight="1">
      <c r="A31" s="59" t="s">
        <v>2381</v>
      </c>
      <c r="B31" s="59" t="s">
        <v>492</v>
      </c>
      <c r="C31" s="60" t="s">
        <v>493</v>
      </c>
      <c r="D31" s="60" t="s">
        <v>2479</v>
      </c>
      <c r="E31" s="61" t="s">
        <v>2480</v>
      </c>
      <c r="F31" s="62" t="s">
        <v>2481</v>
      </c>
      <c r="G31" s="63" t="s">
        <v>2482</v>
      </c>
      <c r="H31" s="61" t="s">
        <v>88</v>
      </c>
      <c r="I31" s="63"/>
      <c r="J31" s="63" t="s">
        <v>2483</v>
      </c>
      <c r="K31" s="90"/>
      <c r="L31" s="60" t="s">
        <v>2452</v>
      </c>
      <c r="M31" s="61"/>
      <c r="N31" s="61"/>
      <c r="O31" s="61"/>
      <c r="P31" s="61"/>
      <c r="Q31" s="61" t="s">
        <v>93</v>
      </c>
      <c r="R31" s="61" t="s">
        <v>94</v>
      </c>
      <c r="S31" s="61" t="s">
        <v>94</v>
      </c>
      <c r="T31" s="66">
        <v>46246.0</v>
      </c>
      <c r="U31" s="2"/>
      <c r="V31" s="2"/>
      <c r="W31" s="2"/>
      <c r="X31" s="2"/>
      <c r="Y31" s="2"/>
      <c r="Z31" s="2"/>
    </row>
    <row r="32" ht="13.5" customHeight="1">
      <c r="A32" s="67"/>
      <c r="B32" s="67"/>
      <c r="C32" s="67"/>
      <c r="D32" s="67"/>
      <c r="E32" s="61" t="s">
        <v>2484</v>
      </c>
      <c r="F32" s="62"/>
      <c r="G32" s="63" t="s">
        <v>2406</v>
      </c>
      <c r="H32" s="61" t="s">
        <v>88</v>
      </c>
      <c r="I32" s="63"/>
      <c r="J32" s="63" t="s">
        <v>2485</v>
      </c>
      <c r="K32" s="90"/>
      <c r="L32" s="67"/>
      <c r="M32" s="61"/>
      <c r="N32" s="61"/>
      <c r="O32" s="61"/>
      <c r="P32" s="61"/>
      <c r="Q32" s="61" t="s">
        <v>93</v>
      </c>
      <c r="R32" s="61" t="s">
        <v>94</v>
      </c>
      <c r="S32" s="61" t="s">
        <v>94</v>
      </c>
      <c r="T32" s="66">
        <v>46246.0</v>
      </c>
      <c r="U32" s="2"/>
      <c r="V32" s="2"/>
      <c r="W32" s="2"/>
      <c r="X32" s="2"/>
      <c r="Y32" s="2"/>
      <c r="Z32" s="2"/>
    </row>
    <row r="33" ht="13.5" customHeight="1">
      <c r="A33" s="67"/>
      <c r="B33" s="67"/>
      <c r="C33" s="67"/>
      <c r="D33" s="67"/>
      <c r="E33" s="61" t="s">
        <v>2486</v>
      </c>
      <c r="F33" s="62" t="s">
        <v>2487</v>
      </c>
      <c r="G33" s="63" t="s">
        <v>2488</v>
      </c>
      <c r="H33" s="61" t="s">
        <v>88</v>
      </c>
      <c r="I33" s="63"/>
      <c r="J33" s="63" t="s">
        <v>2488</v>
      </c>
      <c r="K33" s="90"/>
      <c r="L33" s="67"/>
      <c r="M33" s="61"/>
      <c r="N33" s="61"/>
      <c r="O33" s="61"/>
      <c r="P33" s="61"/>
      <c r="Q33" s="61" t="s">
        <v>93</v>
      </c>
      <c r="R33" s="61" t="s">
        <v>94</v>
      </c>
      <c r="S33" s="61" t="s">
        <v>94</v>
      </c>
      <c r="T33" s="66">
        <v>46246.0</v>
      </c>
      <c r="U33" s="2"/>
      <c r="V33" s="2"/>
      <c r="W33" s="2"/>
      <c r="X33" s="2"/>
      <c r="Y33" s="2"/>
      <c r="Z33" s="2"/>
    </row>
    <row r="34" ht="13.5" customHeight="1">
      <c r="A34" s="67"/>
      <c r="B34" s="67"/>
      <c r="C34" s="67"/>
      <c r="D34" s="67"/>
      <c r="E34" s="61" t="s">
        <v>2489</v>
      </c>
      <c r="F34" s="62"/>
      <c r="G34" s="63" t="s">
        <v>2490</v>
      </c>
      <c r="H34" s="61" t="s">
        <v>88</v>
      </c>
      <c r="I34" s="63"/>
      <c r="J34" s="63" t="s">
        <v>2490</v>
      </c>
      <c r="K34" s="90"/>
      <c r="L34" s="67"/>
      <c r="M34" s="61"/>
      <c r="N34" s="61"/>
      <c r="O34" s="61"/>
      <c r="P34" s="61"/>
      <c r="Q34" s="61" t="s">
        <v>93</v>
      </c>
      <c r="R34" s="61" t="s">
        <v>94</v>
      </c>
      <c r="S34" s="61" t="s">
        <v>94</v>
      </c>
      <c r="T34" s="66">
        <v>46246.0</v>
      </c>
      <c r="U34" s="2"/>
      <c r="V34" s="2"/>
      <c r="W34" s="2"/>
      <c r="X34" s="2"/>
      <c r="Y34" s="2"/>
      <c r="Z34" s="2"/>
    </row>
    <row r="35" ht="13.5" customHeight="1">
      <c r="A35" s="67"/>
      <c r="B35" s="67"/>
      <c r="C35" s="67"/>
      <c r="D35" s="67"/>
      <c r="E35" s="61" t="s">
        <v>2491</v>
      </c>
      <c r="F35" s="62"/>
      <c r="G35" s="63" t="s">
        <v>2492</v>
      </c>
      <c r="H35" s="61" t="s">
        <v>88</v>
      </c>
      <c r="I35" s="63"/>
      <c r="J35" s="63" t="s">
        <v>2492</v>
      </c>
      <c r="K35" s="90"/>
      <c r="L35" s="67"/>
      <c r="M35" s="61"/>
      <c r="N35" s="61"/>
      <c r="O35" s="61"/>
      <c r="P35" s="61"/>
      <c r="Q35" s="61" t="s">
        <v>93</v>
      </c>
      <c r="R35" s="61" t="s">
        <v>94</v>
      </c>
      <c r="S35" s="61" t="s">
        <v>94</v>
      </c>
      <c r="T35" s="66">
        <v>46246.0</v>
      </c>
      <c r="U35" s="2"/>
      <c r="V35" s="2"/>
      <c r="W35" s="2"/>
      <c r="X35" s="2"/>
      <c r="Y35" s="2"/>
      <c r="Z35" s="2"/>
    </row>
    <row r="36" ht="13.5" customHeight="1">
      <c r="A36" s="67"/>
      <c r="B36" s="67"/>
      <c r="C36" s="67"/>
      <c r="D36" s="67"/>
      <c r="E36" s="61" t="s">
        <v>2493</v>
      </c>
      <c r="F36" s="62"/>
      <c r="G36" s="63" t="s">
        <v>2494</v>
      </c>
      <c r="H36" s="61" t="s">
        <v>88</v>
      </c>
      <c r="I36" s="63"/>
      <c r="J36" s="63" t="s">
        <v>2495</v>
      </c>
      <c r="K36" s="90"/>
      <c r="L36" s="67"/>
      <c r="M36" s="61"/>
      <c r="N36" s="61"/>
      <c r="O36" s="61"/>
      <c r="P36" s="61"/>
      <c r="Q36" s="61" t="s">
        <v>93</v>
      </c>
      <c r="R36" s="61" t="s">
        <v>94</v>
      </c>
      <c r="S36" s="61" t="s">
        <v>94</v>
      </c>
      <c r="T36" s="66">
        <v>46246.0</v>
      </c>
      <c r="U36" s="2"/>
      <c r="V36" s="2"/>
      <c r="W36" s="2"/>
      <c r="X36" s="2"/>
      <c r="Y36" s="2"/>
      <c r="Z36" s="2"/>
    </row>
    <row r="37" ht="13.5" customHeight="1">
      <c r="A37" s="67"/>
      <c r="B37" s="67"/>
      <c r="C37" s="67"/>
      <c r="D37" s="67"/>
      <c r="E37" s="61" t="s">
        <v>2496</v>
      </c>
      <c r="F37" s="62" t="s">
        <v>2497</v>
      </c>
      <c r="G37" s="63" t="s">
        <v>2498</v>
      </c>
      <c r="H37" s="61" t="s">
        <v>88</v>
      </c>
      <c r="I37" s="63"/>
      <c r="J37" s="63" t="s">
        <v>2499</v>
      </c>
      <c r="K37" s="90"/>
      <c r="L37" s="67"/>
      <c r="M37" s="61"/>
      <c r="N37" s="61"/>
      <c r="O37" s="61"/>
      <c r="P37" s="61"/>
      <c r="Q37" s="61" t="s">
        <v>93</v>
      </c>
      <c r="R37" s="61" t="s">
        <v>94</v>
      </c>
      <c r="S37" s="61" t="s">
        <v>94</v>
      </c>
      <c r="T37" s="66">
        <v>46246.0</v>
      </c>
      <c r="U37" s="2"/>
      <c r="V37" s="2"/>
      <c r="W37" s="2"/>
      <c r="X37" s="2"/>
      <c r="Y37" s="2"/>
      <c r="Z37" s="2"/>
    </row>
    <row r="38" ht="13.5" customHeight="1">
      <c r="A38" s="67"/>
      <c r="B38" s="67"/>
      <c r="C38" s="67"/>
      <c r="D38" s="67"/>
      <c r="E38" s="61" t="s">
        <v>2500</v>
      </c>
      <c r="F38" s="62"/>
      <c r="G38" s="63" t="s">
        <v>2501</v>
      </c>
      <c r="H38" s="61" t="s">
        <v>88</v>
      </c>
      <c r="I38" s="63"/>
      <c r="J38" s="63" t="s">
        <v>2502</v>
      </c>
      <c r="K38" s="90"/>
      <c r="L38" s="67"/>
      <c r="M38" s="61"/>
      <c r="N38" s="61"/>
      <c r="O38" s="61"/>
      <c r="P38" s="61"/>
      <c r="Q38" s="61" t="s">
        <v>93</v>
      </c>
      <c r="R38" s="61" t="s">
        <v>94</v>
      </c>
      <c r="S38" s="61" t="s">
        <v>94</v>
      </c>
      <c r="T38" s="66">
        <v>46246.0</v>
      </c>
      <c r="U38" s="2"/>
      <c r="V38" s="2"/>
      <c r="W38" s="2"/>
      <c r="X38" s="2"/>
      <c r="Y38" s="2"/>
      <c r="Z38" s="2"/>
    </row>
    <row r="39" ht="13.5" customHeight="1">
      <c r="A39" s="67"/>
      <c r="B39" s="67"/>
      <c r="C39" s="67"/>
      <c r="D39" s="67"/>
      <c r="E39" s="61" t="s">
        <v>2503</v>
      </c>
      <c r="F39" s="62" t="s">
        <v>2504</v>
      </c>
      <c r="G39" s="63" t="s">
        <v>2505</v>
      </c>
      <c r="H39" s="61" t="s">
        <v>88</v>
      </c>
      <c r="I39" s="63"/>
      <c r="J39" s="63" t="s">
        <v>2506</v>
      </c>
      <c r="K39" s="90"/>
      <c r="L39" s="67"/>
      <c r="M39" s="61"/>
      <c r="N39" s="61"/>
      <c r="O39" s="61"/>
      <c r="P39" s="61"/>
      <c r="Q39" s="61" t="s">
        <v>93</v>
      </c>
      <c r="R39" s="61" t="s">
        <v>94</v>
      </c>
      <c r="S39" s="61" t="s">
        <v>94</v>
      </c>
      <c r="T39" s="66">
        <v>46246.0</v>
      </c>
      <c r="U39" s="2"/>
      <c r="V39" s="2"/>
      <c r="W39" s="2"/>
      <c r="X39" s="2"/>
      <c r="Y39" s="2"/>
      <c r="Z39" s="2"/>
    </row>
    <row r="40" ht="13.5" customHeight="1">
      <c r="A40" s="67"/>
      <c r="B40" s="67"/>
      <c r="C40" s="67"/>
      <c r="D40" s="67"/>
      <c r="E40" s="61" t="s">
        <v>2507</v>
      </c>
      <c r="F40" s="62"/>
      <c r="G40" s="63" t="s">
        <v>2508</v>
      </c>
      <c r="H40" s="61" t="s">
        <v>88</v>
      </c>
      <c r="I40" s="63"/>
      <c r="J40" s="63" t="s">
        <v>2509</v>
      </c>
      <c r="K40" s="90"/>
      <c r="L40" s="67"/>
      <c r="M40" s="61"/>
      <c r="N40" s="61"/>
      <c r="O40" s="61"/>
      <c r="P40" s="61"/>
      <c r="Q40" s="61" t="s">
        <v>93</v>
      </c>
      <c r="R40" s="61" t="s">
        <v>94</v>
      </c>
      <c r="S40" s="61" t="s">
        <v>94</v>
      </c>
      <c r="T40" s="66">
        <v>46246.0</v>
      </c>
      <c r="U40" s="2"/>
      <c r="V40" s="2"/>
      <c r="W40" s="2"/>
      <c r="X40" s="2"/>
      <c r="Y40" s="2"/>
      <c r="Z40" s="2"/>
    </row>
    <row r="41" ht="13.5" customHeight="1">
      <c r="A41" s="67"/>
      <c r="B41" s="67"/>
      <c r="C41" s="67"/>
      <c r="D41" s="67"/>
      <c r="E41" s="61" t="s">
        <v>2510</v>
      </c>
      <c r="F41" s="62" t="s">
        <v>2511</v>
      </c>
      <c r="G41" s="63" t="s">
        <v>2512</v>
      </c>
      <c r="H41" s="61" t="s">
        <v>88</v>
      </c>
      <c r="I41" s="63"/>
      <c r="J41" s="63" t="s">
        <v>2513</v>
      </c>
      <c r="K41" s="90"/>
      <c r="L41" s="67"/>
      <c r="M41" s="61"/>
      <c r="N41" s="61"/>
      <c r="O41" s="61"/>
      <c r="P41" s="61"/>
      <c r="Q41" s="61" t="s">
        <v>93</v>
      </c>
      <c r="R41" s="61" t="s">
        <v>94</v>
      </c>
      <c r="S41" s="61" t="s">
        <v>94</v>
      </c>
      <c r="T41" s="66">
        <v>46246.0</v>
      </c>
      <c r="U41" s="2"/>
      <c r="V41" s="2"/>
      <c r="W41" s="2"/>
      <c r="X41" s="2"/>
      <c r="Y41" s="2"/>
      <c r="Z41" s="2"/>
    </row>
    <row r="42" ht="13.5" customHeight="1">
      <c r="A42" s="77"/>
      <c r="B42" s="77"/>
      <c r="C42" s="77"/>
      <c r="D42" s="77"/>
      <c r="E42" s="61" t="s">
        <v>2514</v>
      </c>
      <c r="F42" s="62"/>
      <c r="G42" s="63" t="s">
        <v>2515</v>
      </c>
      <c r="H42" s="61" t="s">
        <v>88</v>
      </c>
      <c r="I42" s="63"/>
      <c r="J42" s="63" t="s">
        <v>2516</v>
      </c>
      <c r="K42" s="90"/>
      <c r="L42" s="77"/>
      <c r="M42" s="61"/>
      <c r="N42" s="61"/>
      <c r="O42" s="61"/>
      <c r="P42" s="61"/>
      <c r="Q42" s="61" t="s">
        <v>93</v>
      </c>
      <c r="R42" s="61" t="s">
        <v>94</v>
      </c>
      <c r="S42" s="61" t="s">
        <v>94</v>
      </c>
      <c r="T42" s="66">
        <v>46246.0</v>
      </c>
      <c r="U42" s="2"/>
      <c r="V42" s="2"/>
      <c r="W42" s="2"/>
      <c r="X42" s="2"/>
      <c r="Y42" s="2"/>
      <c r="Z42" s="2"/>
    </row>
    <row r="43" ht="13.5" customHeight="1">
      <c r="A43" s="78" t="s">
        <v>2381</v>
      </c>
      <c r="B43" s="78" t="s">
        <v>500</v>
      </c>
      <c r="C43" s="79" t="s">
        <v>501</v>
      </c>
      <c r="D43" s="79" t="s">
        <v>2517</v>
      </c>
      <c r="E43" s="89" t="s">
        <v>2518</v>
      </c>
      <c r="F43" s="70" t="s">
        <v>2519</v>
      </c>
      <c r="G43" s="83" t="s">
        <v>2520</v>
      </c>
      <c r="H43" s="81" t="s">
        <v>88</v>
      </c>
      <c r="I43" s="83"/>
      <c r="J43" s="83" t="s">
        <v>2521</v>
      </c>
      <c r="K43" s="90"/>
      <c r="L43" s="79" t="s">
        <v>2522</v>
      </c>
      <c r="M43" s="147"/>
      <c r="N43" s="147"/>
      <c r="O43" s="147"/>
      <c r="P43" s="147"/>
      <c r="Q43" s="147" t="s">
        <v>93</v>
      </c>
      <c r="R43" s="81" t="s">
        <v>94</v>
      </c>
      <c r="S43" s="81" t="s">
        <v>94</v>
      </c>
      <c r="T43" s="84">
        <v>46246.0</v>
      </c>
      <c r="U43" s="2"/>
      <c r="V43" s="2"/>
      <c r="W43" s="2"/>
      <c r="X43" s="2"/>
      <c r="Y43" s="2"/>
      <c r="Z43" s="2"/>
    </row>
    <row r="44" ht="13.5" customHeight="1">
      <c r="A44" s="67"/>
      <c r="B44" s="67"/>
      <c r="C44" s="67"/>
      <c r="D44" s="67"/>
      <c r="E44" s="89" t="s">
        <v>2523</v>
      </c>
      <c r="F44" s="70"/>
      <c r="G44" s="83" t="s">
        <v>2524</v>
      </c>
      <c r="H44" s="81" t="s">
        <v>88</v>
      </c>
      <c r="I44" s="83"/>
      <c r="J44" s="83" t="s">
        <v>2525</v>
      </c>
      <c r="K44" s="90"/>
      <c r="L44" s="67"/>
      <c r="M44" s="147"/>
      <c r="N44" s="147"/>
      <c r="O44" s="147"/>
      <c r="P44" s="147"/>
      <c r="Q44" s="147" t="s">
        <v>93</v>
      </c>
      <c r="R44" s="81" t="s">
        <v>94</v>
      </c>
      <c r="S44" s="81" t="s">
        <v>94</v>
      </c>
      <c r="T44" s="148">
        <v>46246.0</v>
      </c>
      <c r="U44" s="2"/>
      <c r="V44" s="2"/>
      <c r="W44" s="2"/>
      <c r="X44" s="2"/>
      <c r="Y44" s="2"/>
      <c r="Z44" s="2"/>
    </row>
    <row r="45" ht="13.5" customHeight="1">
      <c r="A45" s="67"/>
      <c r="B45" s="67"/>
      <c r="C45" s="67"/>
      <c r="D45" s="67"/>
      <c r="E45" s="89" t="s">
        <v>2526</v>
      </c>
      <c r="F45" s="70"/>
      <c r="G45" s="83" t="s">
        <v>2527</v>
      </c>
      <c r="H45" s="81" t="s">
        <v>88</v>
      </c>
      <c r="I45" s="83"/>
      <c r="J45" s="83" t="s">
        <v>2528</v>
      </c>
      <c r="K45" s="90"/>
      <c r="L45" s="67"/>
      <c r="M45" s="147"/>
      <c r="N45" s="147"/>
      <c r="O45" s="147"/>
      <c r="P45" s="147"/>
      <c r="Q45" s="147" t="s">
        <v>93</v>
      </c>
      <c r="R45" s="81" t="s">
        <v>94</v>
      </c>
      <c r="S45" s="81" t="s">
        <v>94</v>
      </c>
      <c r="T45" s="148">
        <v>46246.0</v>
      </c>
      <c r="U45" s="2"/>
      <c r="V45" s="2"/>
      <c r="W45" s="2"/>
      <c r="X45" s="2"/>
      <c r="Y45" s="2"/>
      <c r="Z45" s="2"/>
    </row>
    <row r="46" ht="13.5" customHeight="1">
      <c r="A46" s="67"/>
      <c r="B46" s="67"/>
      <c r="C46" s="67"/>
      <c r="D46" s="67"/>
      <c r="E46" s="89" t="s">
        <v>2529</v>
      </c>
      <c r="F46" s="70" t="s">
        <v>2530</v>
      </c>
      <c r="G46" s="83" t="s">
        <v>2531</v>
      </c>
      <c r="H46" s="81" t="s">
        <v>88</v>
      </c>
      <c r="I46" s="83"/>
      <c r="J46" s="83" t="s">
        <v>2532</v>
      </c>
      <c r="K46" s="90"/>
      <c r="L46" s="67"/>
      <c r="M46" s="147"/>
      <c r="N46" s="147"/>
      <c r="O46" s="147"/>
      <c r="P46" s="147"/>
      <c r="Q46" s="147" t="s">
        <v>93</v>
      </c>
      <c r="R46" s="81" t="s">
        <v>94</v>
      </c>
      <c r="S46" s="81" t="s">
        <v>94</v>
      </c>
      <c r="T46" s="148">
        <v>46246.0</v>
      </c>
      <c r="U46" s="2"/>
      <c r="V46" s="2"/>
      <c r="W46" s="2"/>
      <c r="X46" s="2"/>
      <c r="Y46" s="2"/>
      <c r="Z46" s="2"/>
    </row>
    <row r="47" ht="13.5" customHeight="1">
      <c r="A47" s="67"/>
      <c r="B47" s="67"/>
      <c r="C47" s="67"/>
      <c r="D47" s="67"/>
      <c r="E47" s="89" t="s">
        <v>2533</v>
      </c>
      <c r="F47" s="70"/>
      <c r="G47" s="83" t="s">
        <v>2534</v>
      </c>
      <c r="H47" s="81" t="s">
        <v>88</v>
      </c>
      <c r="I47" s="83"/>
      <c r="J47" s="83" t="s">
        <v>2535</v>
      </c>
      <c r="K47" s="90"/>
      <c r="L47" s="67"/>
      <c r="M47" s="147"/>
      <c r="N47" s="147"/>
      <c r="O47" s="147"/>
      <c r="P47" s="147"/>
      <c r="Q47" s="147" t="s">
        <v>93</v>
      </c>
      <c r="R47" s="81" t="s">
        <v>94</v>
      </c>
      <c r="S47" s="81" t="s">
        <v>94</v>
      </c>
      <c r="T47" s="148">
        <v>46246.0</v>
      </c>
      <c r="U47" s="2"/>
      <c r="V47" s="2"/>
      <c r="W47" s="2"/>
      <c r="X47" s="2"/>
      <c r="Y47" s="2"/>
      <c r="Z47" s="2"/>
    </row>
    <row r="48" ht="13.5" customHeight="1">
      <c r="A48" s="67"/>
      <c r="B48" s="67"/>
      <c r="C48" s="67"/>
      <c r="D48" s="67"/>
      <c r="E48" s="89" t="s">
        <v>2536</v>
      </c>
      <c r="F48" s="70" t="s">
        <v>2537</v>
      </c>
      <c r="G48" s="83" t="s">
        <v>2538</v>
      </c>
      <c r="H48" s="81" t="s">
        <v>88</v>
      </c>
      <c r="I48" s="83"/>
      <c r="J48" s="83" t="s">
        <v>2539</v>
      </c>
      <c r="K48" s="90"/>
      <c r="L48" s="67"/>
      <c r="M48" s="85"/>
      <c r="N48" s="85"/>
      <c r="O48" s="85"/>
      <c r="P48" s="85"/>
      <c r="Q48" s="147" t="s">
        <v>93</v>
      </c>
      <c r="R48" s="81" t="s">
        <v>94</v>
      </c>
      <c r="S48" s="81" t="s">
        <v>94</v>
      </c>
      <c r="T48" s="148">
        <v>46246.0</v>
      </c>
      <c r="U48" s="2"/>
      <c r="V48" s="2"/>
      <c r="W48" s="2"/>
      <c r="X48" s="2"/>
      <c r="Y48" s="2"/>
      <c r="Z48" s="2"/>
    </row>
    <row r="49" ht="13.5" customHeight="1">
      <c r="A49" s="67"/>
      <c r="B49" s="67"/>
      <c r="C49" s="67"/>
      <c r="D49" s="67"/>
      <c r="E49" s="89" t="s">
        <v>2540</v>
      </c>
      <c r="F49" s="70"/>
      <c r="G49" s="83" t="s">
        <v>2541</v>
      </c>
      <c r="H49" s="81" t="s">
        <v>88</v>
      </c>
      <c r="I49" s="83"/>
      <c r="J49" s="83" t="s">
        <v>2542</v>
      </c>
      <c r="K49" s="90"/>
      <c r="L49" s="67"/>
      <c r="M49" s="85"/>
      <c r="N49" s="85"/>
      <c r="O49" s="85"/>
      <c r="P49" s="85"/>
      <c r="Q49" s="147" t="s">
        <v>93</v>
      </c>
      <c r="R49" s="81" t="s">
        <v>94</v>
      </c>
      <c r="S49" s="81" t="s">
        <v>94</v>
      </c>
      <c r="T49" s="148">
        <v>46246.0</v>
      </c>
      <c r="U49" s="2"/>
      <c r="V49" s="2"/>
      <c r="W49" s="2"/>
      <c r="X49" s="2"/>
      <c r="Y49" s="2"/>
      <c r="Z49" s="2"/>
    </row>
    <row r="50" ht="13.5" customHeight="1">
      <c r="A50" s="67"/>
      <c r="B50" s="67"/>
      <c r="C50" s="67"/>
      <c r="D50" s="67"/>
      <c r="E50" s="89" t="s">
        <v>2543</v>
      </c>
      <c r="F50" s="70" t="s">
        <v>2544</v>
      </c>
      <c r="G50" s="83" t="s">
        <v>2545</v>
      </c>
      <c r="H50" s="81" t="s">
        <v>88</v>
      </c>
      <c r="I50" s="83"/>
      <c r="J50" s="83" t="s">
        <v>2546</v>
      </c>
      <c r="K50" s="90"/>
      <c r="L50" s="67"/>
      <c r="M50" s="85"/>
      <c r="N50" s="85"/>
      <c r="O50" s="85"/>
      <c r="P50" s="85"/>
      <c r="Q50" s="147" t="s">
        <v>93</v>
      </c>
      <c r="R50" s="81" t="s">
        <v>94</v>
      </c>
      <c r="S50" s="81" t="s">
        <v>94</v>
      </c>
      <c r="T50" s="148">
        <v>46246.0</v>
      </c>
      <c r="U50" s="2"/>
      <c r="V50" s="2"/>
      <c r="W50" s="2"/>
      <c r="X50" s="2"/>
      <c r="Y50" s="2"/>
      <c r="Z50" s="2"/>
    </row>
    <row r="51" ht="13.5" customHeight="1">
      <c r="A51" s="67"/>
      <c r="B51" s="67"/>
      <c r="C51" s="67"/>
      <c r="D51" s="67"/>
      <c r="E51" s="89" t="s">
        <v>2547</v>
      </c>
      <c r="F51" s="70"/>
      <c r="G51" s="83" t="s">
        <v>2548</v>
      </c>
      <c r="H51" s="81" t="s">
        <v>88</v>
      </c>
      <c r="I51" s="83"/>
      <c r="J51" s="83" t="s">
        <v>2549</v>
      </c>
      <c r="K51" s="90"/>
      <c r="L51" s="67"/>
      <c r="M51" s="85"/>
      <c r="N51" s="85"/>
      <c r="O51" s="85"/>
      <c r="P51" s="85"/>
      <c r="Q51" s="147" t="s">
        <v>93</v>
      </c>
      <c r="R51" s="81" t="s">
        <v>94</v>
      </c>
      <c r="S51" s="81" t="s">
        <v>94</v>
      </c>
      <c r="T51" s="148">
        <v>46246.0</v>
      </c>
      <c r="U51" s="2"/>
      <c r="V51" s="2"/>
      <c r="W51" s="2"/>
      <c r="X51" s="2"/>
      <c r="Y51" s="2"/>
      <c r="Z51" s="2"/>
    </row>
    <row r="52" ht="13.5" customHeight="1">
      <c r="A52" s="77"/>
      <c r="B52" s="77"/>
      <c r="C52" s="77"/>
      <c r="D52" s="77"/>
      <c r="E52" s="89" t="s">
        <v>2550</v>
      </c>
      <c r="F52" s="70" t="s">
        <v>2551</v>
      </c>
      <c r="G52" s="83" t="s">
        <v>2552</v>
      </c>
      <c r="H52" s="81" t="s">
        <v>88</v>
      </c>
      <c r="I52" s="83"/>
      <c r="J52" s="83" t="s">
        <v>2553</v>
      </c>
      <c r="K52" s="90"/>
      <c r="L52" s="77"/>
      <c r="M52" s="85"/>
      <c r="N52" s="85"/>
      <c r="O52" s="85"/>
      <c r="P52" s="85"/>
      <c r="Q52" s="147" t="s">
        <v>93</v>
      </c>
      <c r="R52" s="81" t="s">
        <v>94</v>
      </c>
      <c r="S52" s="81" t="s">
        <v>94</v>
      </c>
      <c r="T52" s="148">
        <v>46246.0</v>
      </c>
      <c r="U52" s="2"/>
      <c r="V52" s="2"/>
      <c r="W52" s="2"/>
      <c r="X52" s="2"/>
      <c r="Y52" s="2"/>
      <c r="Z52" s="2"/>
    </row>
    <row r="53" ht="13.5" customHeight="1">
      <c r="A53" s="59" t="s">
        <v>2381</v>
      </c>
      <c r="B53" s="59" t="s">
        <v>504</v>
      </c>
      <c r="C53" s="60" t="s">
        <v>2554</v>
      </c>
      <c r="D53" s="60" t="s">
        <v>2555</v>
      </c>
      <c r="E53" s="61" t="s">
        <v>2556</v>
      </c>
      <c r="F53" s="62" t="s">
        <v>2557</v>
      </c>
      <c r="G53" s="63" t="s">
        <v>2558</v>
      </c>
      <c r="H53" s="61" t="s">
        <v>88</v>
      </c>
      <c r="I53" s="63"/>
      <c r="J53" s="63" t="s">
        <v>2559</v>
      </c>
      <c r="K53" s="90"/>
      <c r="L53" s="60" t="s">
        <v>2452</v>
      </c>
      <c r="M53" s="61"/>
      <c r="N53" s="61"/>
      <c r="O53" s="61"/>
      <c r="P53" s="61"/>
      <c r="Q53" s="61" t="s">
        <v>93</v>
      </c>
      <c r="R53" s="61" t="s">
        <v>94</v>
      </c>
      <c r="S53" s="61" t="s">
        <v>94</v>
      </c>
      <c r="T53" s="66">
        <v>46246.0</v>
      </c>
      <c r="U53" s="2"/>
      <c r="V53" s="2"/>
      <c r="W53" s="2"/>
      <c r="X53" s="2"/>
      <c r="Y53" s="2"/>
      <c r="Z53" s="2"/>
    </row>
    <row r="54" ht="13.5" customHeight="1">
      <c r="A54" s="67"/>
      <c r="B54" s="67"/>
      <c r="C54" s="67"/>
      <c r="D54" s="67"/>
      <c r="E54" s="61" t="s">
        <v>2560</v>
      </c>
      <c r="F54" s="62"/>
      <c r="G54" s="63" t="s">
        <v>2561</v>
      </c>
      <c r="H54" s="61" t="s">
        <v>88</v>
      </c>
      <c r="I54" s="63"/>
      <c r="J54" s="63" t="s">
        <v>2562</v>
      </c>
      <c r="K54" s="90"/>
      <c r="L54" s="67"/>
      <c r="M54" s="61"/>
      <c r="N54" s="61"/>
      <c r="O54" s="61"/>
      <c r="P54" s="61"/>
      <c r="Q54" s="61" t="s">
        <v>93</v>
      </c>
      <c r="R54" s="61" t="s">
        <v>94</v>
      </c>
      <c r="S54" s="61" t="s">
        <v>94</v>
      </c>
      <c r="T54" s="66">
        <v>46246.0</v>
      </c>
      <c r="U54" s="2"/>
      <c r="V54" s="2"/>
      <c r="W54" s="2"/>
      <c r="X54" s="2"/>
      <c r="Y54" s="2"/>
      <c r="Z54" s="2"/>
    </row>
    <row r="55" ht="13.5" customHeight="1">
      <c r="A55" s="67"/>
      <c r="B55" s="67"/>
      <c r="C55" s="67"/>
      <c r="D55" s="67"/>
      <c r="E55" s="61" t="s">
        <v>2563</v>
      </c>
      <c r="F55" s="62" t="s">
        <v>2564</v>
      </c>
      <c r="G55" s="63" t="s">
        <v>2565</v>
      </c>
      <c r="H55" s="61" t="s">
        <v>88</v>
      </c>
      <c r="I55" s="63"/>
      <c r="J55" s="63" t="s">
        <v>2566</v>
      </c>
      <c r="K55" s="90"/>
      <c r="L55" s="67"/>
      <c r="M55" s="61"/>
      <c r="N55" s="61"/>
      <c r="O55" s="61"/>
      <c r="P55" s="61"/>
      <c r="Q55" s="61" t="s">
        <v>93</v>
      </c>
      <c r="R55" s="61" t="s">
        <v>94</v>
      </c>
      <c r="S55" s="61" t="s">
        <v>94</v>
      </c>
      <c r="T55" s="66">
        <v>46246.0</v>
      </c>
      <c r="U55" s="2"/>
      <c r="V55" s="2"/>
      <c r="W55" s="2"/>
      <c r="X55" s="2"/>
      <c r="Y55" s="2"/>
      <c r="Z55" s="2"/>
    </row>
    <row r="56" ht="13.5" customHeight="1">
      <c r="A56" s="67"/>
      <c r="B56" s="67"/>
      <c r="C56" s="67"/>
      <c r="D56" s="67"/>
      <c r="E56" s="61" t="s">
        <v>2567</v>
      </c>
      <c r="F56" s="62"/>
      <c r="G56" s="63" t="s">
        <v>2568</v>
      </c>
      <c r="H56" s="61" t="s">
        <v>88</v>
      </c>
      <c r="I56" s="63"/>
      <c r="J56" s="63" t="s">
        <v>2569</v>
      </c>
      <c r="K56" s="90"/>
      <c r="L56" s="67"/>
      <c r="M56" s="61"/>
      <c r="N56" s="61"/>
      <c r="O56" s="61"/>
      <c r="P56" s="61"/>
      <c r="Q56" s="61" t="s">
        <v>93</v>
      </c>
      <c r="R56" s="61" t="s">
        <v>94</v>
      </c>
      <c r="S56" s="61" t="s">
        <v>94</v>
      </c>
      <c r="T56" s="66">
        <v>46246.0</v>
      </c>
      <c r="U56" s="2"/>
      <c r="V56" s="2"/>
      <c r="W56" s="2"/>
      <c r="X56" s="2"/>
      <c r="Y56" s="2"/>
      <c r="Z56" s="2"/>
    </row>
    <row r="57" ht="13.5" customHeight="1">
      <c r="A57" s="67"/>
      <c r="B57" s="67"/>
      <c r="C57" s="67"/>
      <c r="D57" s="67"/>
      <c r="E57" s="61" t="s">
        <v>2570</v>
      </c>
      <c r="F57" s="62" t="s">
        <v>2571</v>
      </c>
      <c r="G57" s="63" t="s">
        <v>2572</v>
      </c>
      <c r="H57" s="61" t="s">
        <v>88</v>
      </c>
      <c r="I57" s="63"/>
      <c r="J57" s="63" t="s">
        <v>2573</v>
      </c>
      <c r="K57" s="90"/>
      <c r="L57" s="67"/>
      <c r="M57" s="61"/>
      <c r="N57" s="61"/>
      <c r="O57" s="61"/>
      <c r="P57" s="61"/>
      <c r="Q57" s="61" t="s">
        <v>93</v>
      </c>
      <c r="R57" s="61" t="s">
        <v>94</v>
      </c>
      <c r="S57" s="61" t="s">
        <v>94</v>
      </c>
      <c r="T57" s="66">
        <v>46246.0</v>
      </c>
      <c r="U57" s="2"/>
      <c r="V57" s="2"/>
      <c r="W57" s="2"/>
      <c r="X57" s="2"/>
      <c r="Y57" s="2"/>
      <c r="Z57" s="2"/>
    </row>
    <row r="58" ht="13.5" customHeight="1">
      <c r="A58" s="77"/>
      <c r="B58" s="77"/>
      <c r="C58" s="77"/>
      <c r="D58" s="77"/>
      <c r="E58" s="61" t="s">
        <v>2574</v>
      </c>
      <c r="F58" s="62"/>
      <c r="G58" s="63" t="s">
        <v>2575</v>
      </c>
      <c r="H58" s="61" t="s">
        <v>88</v>
      </c>
      <c r="I58" s="63"/>
      <c r="J58" s="63" t="s">
        <v>2576</v>
      </c>
      <c r="K58" s="90"/>
      <c r="L58" s="77"/>
      <c r="M58" s="61"/>
      <c r="N58" s="61"/>
      <c r="O58" s="61"/>
      <c r="P58" s="61"/>
      <c r="Q58" s="61" t="s">
        <v>93</v>
      </c>
      <c r="R58" s="61" t="s">
        <v>94</v>
      </c>
      <c r="S58" s="61" t="s">
        <v>94</v>
      </c>
      <c r="T58" s="66">
        <v>46246.0</v>
      </c>
      <c r="U58" s="2"/>
      <c r="V58" s="2"/>
      <c r="W58" s="2"/>
      <c r="X58" s="2"/>
      <c r="Y58" s="2"/>
      <c r="Z58" s="2"/>
    </row>
    <row r="59" ht="13.5" customHeight="1">
      <c r="A59" s="89" t="s">
        <v>2381</v>
      </c>
      <c r="B59" s="93" t="s">
        <v>512</v>
      </c>
      <c r="C59" s="179" t="s">
        <v>1900</v>
      </c>
      <c r="D59" s="179" t="s">
        <v>1900</v>
      </c>
      <c r="E59" s="93" t="s">
        <v>2577</v>
      </c>
      <c r="F59" s="138" t="s">
        <v>1902</v>
      </c>
      <c r="G59" s="138" t="s">
        <v>1902</v>
      </c>
      <c r="H59" s="93" t="s">
        <v>1890</v>
      </c>
      <c r="I59" s="81" t="s">
        <v>60</v>
      </c>
      <c r="J59" s="138" t="s">
        <v>2578</v>
      </c>
      <c r="K59" s="162" t="s">
        <v>2579</v>
      </c>
      <c r="L59" s="180"/>
      <c r="M59" s="180"/>
      <c r="N59" s="180"/>
      <c r="O59" s="180"/>
      <c r="P59" s="180"/>
      <c r="Q59" s="147" t="s">
        <v>93</v>
      </c>
      <c r="R59" s="81" t="s">
        <v>94</v>
      </c>
      <c r="S59" s="81" t="s">
        <v>94</v>
      </c>
      <c r="T59" s="155">
        <v>46255.0</v>
      </c>
      <c r="U59" s="28"/>
      <c r="V59" s="30"/>
      <c r="W59" s="28"/>
      <c r="X59" s="28"/>
      <c r="Y59" s="28"/>
      <c r="Z59" s="28"/>
    </row>
    <row r="60" ht="13.5" customHeight="1">
      <c r="A60" s="89" t="s">
        <v>2381</v>
      </c>
      <c r="B60" s="93" t="s">
        <v>516</v>
      </c>
      <c r="C60" s="138" t="s">
        <v>2580</v>
      </c>
      <c r="D60" s="138" t="s">
        <v>2580</v>
      </c>
      <c r="E60" s="93" t="s">
        <v>2581</v>
      </c>
      <c r="F60" s="138" t="s">
        <v>2580</v>
      </c>
      <c r="G60" s="138" t="s">
        <v>2582</v>
      </c>
      <c r="H60" s="152" t="s">
        <v>1890</v>
      </c>
      <c r="I60" s="152" t="s">
        <v>60</v>
      </c>
      <c r="J60" s="140" t="s">
        <v>2583</v>
      </c>
      <c r="K60" s="162" t="s">
        <v>2584</v>
      </c>
      <c r="L60" s="154"/>
      <c r="M60" s="154"/>
      <c r="N60" s="154"/>
      <c r="O60" s="154"/>
      <c r="P60" s="154"/>
      <c r="Q60" s="147" t="s">
        <v>93</v>
      </c>
      <c r="R60" s="81" t="s">
        <v>94</v>
      </c>
      <c r="S60" s="81" t="s">
        <v>94</v>
      </c>
      <c r="T60" s="155">
        <v>46255.0</v>
      </c>
      <c r="U60" s="143"/>
      <c r="V60" s="143"/>
      <c r="W60" s="143"/>
      <c r="X60" s="143"/>
      <c r="Y60" s="143"/>
      <c r="Z60" s="143"/>
    </row>
    <row r="61" ht="13.5" customHeight="1">
      <c r="A61" s="49"/>
      <c r="B61" s="49"/>
      <c r="C61" s="49"/>
      <c r="D61" s="49"/>
      <c r="E61" s="49"/>
      <c r="F61" s="49"/>
      <c r="G61" s="49"/>
      <c r="H61" s="49"/>
      <c r="I61" s="49"/>
      <c r="J61" s="49"/>
      <c r="K61" s="49"/>
      <c r="L61" s="49"/>
      <c r="M61" s="49"/>
      <c r="N61" s="49"/>
      <c r="O61" s="49"/>
      <c r="P61" s="49"/>
      <c r="Q61" s="51"/>
      <c r="R61" s="51"/>
      <c r="S61" s="51"/>
      <c r="T61" s="49"/>
      <c r="U61" s="2"/>
      <c r="V61" s="2"/>
      <c r="W61" s="2"/>
      <c r="X61" s="2"/>
      <c r="Y61" s="2"/>
      <c r="Z61" s="2"/>
    </row>
    <row r="62" ht="13.5" customHeight="1">
      <c r="A62" s="49"/>
      <c r="B62" s="49"/>
      <c r="C62" s="49"/>
      <c r="D62" s="49"/>
      <c r="E62" s="49"/>
      <c r="F62" s="49"/>
      <c r="G62" s="49"/>
      <c r="H62" s="49"/>
      <c r="I62" s="49"/>
      <c r="J62" s="49"/>
      <c r="K62" s="49"/>
      <c r="L62" s="49"/>
      <c r="M62" s="49"/>
      <c r="N62" s="49"/>
      <c r="O62" s="49"/>
      <c r="P62" s="49"/>
      <c r="Q62" s="51"/>
      <c r="R62" s="51"/>
      <c r="S62" s="51"/>
      <c r="T62" s="49"/>
      <c r="U62" s="2"/>
      <c r="V62" s="2"/>
      <c r="W62" s="2"/>
      <c r="X62" s="2"/>
      <c r="Y62" s="2"/>
      <c r="Z62" s="2"/>
    </row>
    <row r="63" ht="13.5" customHeight="1">
      <c r="A63" s="49"/>
      <c r="B63" s="49"/>
      <c r="C63" s="49"/>
      <c r="D63" s="49"/>
      <c r="E63" s="49"/>
      <c r="F63" s="49"/>
      <c r="G63" s="49"/>
      <c r="H63" s="49"/>
      <c r="I63" s="49"/>
      <c r="J63" s="49"/>
      <c r="K63" s="49"/>
      <c r="L63" s="49"/>
      <c r="M63" s="49"/>
      <c r="N63" s="49"/>
      <c r="O63" s="49"/>
      <c r="P63" s="49"/>
      <c r="Q63" s="51"/>
      <c r="R63" s="51"/>
      <c r="S63" s="51"/>
      <c r="T63" s="49"/>
      <c r="U63" s="2"/>
      <c r="V63" s="2"/>
      <c r="W63" s="2"/>
      <c r="X63" s="2"/>
      <c r="Y63" s="2"/>
      <c r="Z63" s="2"/>
    </row>
    <row r="64" ht="13.5" customHeight="1">
      <c r="A64" s="49"/>
      <c r="B64" s="49"/>
      <c r="C64" s="49"/>
      <c r="D64" s="49"/>
      <c r="E64" s="49"/>
      <c r="F64" s="49"/>
      <c r="G64" s="49"/>
      <c r="H64" s="49"/>
      <c r="I64" s="49"/>
      <c r="J64" s="49"/>
      <c r="K64" s="49"/>
      <c r="L64" s="49"/>
      <c r="M64" s="49"/>
      <c r="N64" s="49"/>
      <c r="O64" s="49"/>
      <c r="P64" s="49"/>
      <c r="Q64" s="51"/>
      <c r="R64" s="51"/>
      <c r="S64" s="51"/>
      <c r="T64" s="49"/>
      <c r="U64" s="2"/>
      <c r="V64" s="2"/>
      <c r="W64" s="2"/>
      <c r="X64" s="2"/>
      <c r="Y64" s="2"/>
      <c r="Z64" s="2"/>
    </row>
    <row r="65" ht="13.5" customHeight="1">
      <c r="A65" s="49"/>
      <c r="B65" s="49"/>
      <c r="C65" s="49"/>
      <c r="D65" s="49"/>
      <c r="E65" s="49"/>
      <c r="F65" s="49"/>
      <c r="G65" s="49"/>
      <c r="H65" s="49"/>
      <c r="I65" s="49"/>
      <c r="J65" s="49"/>
      <c r="K65" s="49"/>
      <c r="L65" s="49"/>
      <c r="M65" s="49"/>
      <c r="N65" s="49"/>
      <c r="O65" s="49"/>
      <c r="P65" s="49"/>
      <c r="Q65" s="51"/>
      <c r="R65" s="51"/>
      <c r="S65" s="51"/>
      <c r="T65" s="49"/>
      <c r="U65" s="2"/>
      <c r="V65" s="2"/>
      <c r="W65" s="2"/>
      <c r="X65" s="2"/>
      <c r="Y65" s="2"/>
      <c r="Z65" s="2"/>
    </row>
    <row r="66" ht="13.5" customHeight="1">
      <c r="A66" s="49"/>
      <c r="B66" s="49"/>
      <c r="C66" s="49"/>
      <c r="D66" s="49"/>
      <c r="E66" s="49"/>
      <c r="F66" s="49"/>
      <c r="G66" s="49"/>
      <c r="H66" s="49"/>
      <c r="I66" s="49"/>
      <c r="J66" s="49"/>
      <c r="K66" s="49"/>
      <c r="L66" s="49"/>
      <c r="M66" s="49"/>
      <c r="N66" s="49"/>
      <c r="O66" s="49"/>
      <c r="P66" s="49"/>
      <c r="Q66" s="51"/>
      <c r="R66" s="51"/>
      <c r="S66" s="51"/>
      <c r="T66" s="49"/>
      <c r="U66" s="2"/>
      <c r="V66" s="2"/>
      <c r="W66" s="2"/>
      <c r="X66" s="2"/>
      <c r="Y66" s="2"/>
      <c r="Z66" s="2"/>
    </row>
    <row r="67" ht="13.5" customHeight="1">
      <c r="A67" s="49"/>
      <c r="B67" s="49"/>
      <c r="C67" s="49"/>
      <c r="D67" s="49"/>
      <c r="E67" s="49"/>
      <c r="F67" s="49"/>
      <c r="G67" s="49"/>
      <c r="H67" s="49"/>
      <c r="I67" s="49"/>
      <c r="J67" s="49"/>
      <c r="K67" s="49"/>
      <c r="L67" s="49"/>
      <c r="M67" s="49"/>
      <c r="N67" s="49"/>
      <c r="O67" s="49"/>
      <c r="P67" s="49"/>
      <c r="Q67" s="51"/>
      <c r="R67" s="51"/>
      <c r="S67" s="51"/>
      <c r="T67" s="49"/>
      <c r="U67" s="2"/>
      <c r="V67" s="2"/>
      <c r="W67" s="2"/>
      <c r="X67" s="2"/>
      <c r="Y67" s="2"/>
      <c r="Z67" s="2"/>
    </row>
    <row r="68" ht="13.5" customHeight="1">
      <c r="A68" s="49"/>
      <c r="B68" s="49"/>
      <c r="C68" s="49"/>
      <c r="D68" s="49"/>
      <c r="E68" s="49"/>
      <c r="F68" s="49"/>
      <c r="G68" s="49"/>
      <c r="H68" s="49"/>
      <c r="I68" s="49"/>
      <c r="J68" s="49"/>
      <c r="K68" s="49"/>
      <c r="L68" s="49"/>
      <c r="M68" s="49"/>
      <c r="N68" s="49"/>
      <c r="O68" s="49"/>
      <c r="P68" s="49"/>
      <c r="Q68" s="51"/>
      <c r="R68" s="51"/>
      <c r="S68" s="51"/>
      <c r="T68" s="49"/>
      <c r="U68" s="2"/>
      <c r="V68" s="2"/>
      <c r="W68" s="2"/>
      <c r="X68" s="2"/>
      <c r="Y68" s="2"/>
      <c r="Z68" s="2"/>
    </row>
    <row r="69" ht="13.5" customHeight="1">
      <c r="A69" s="49"/>
      <c r="B69" s="49"/>
      <c r="C69" s="49"/>
      <c r="D69" s="49"/>
      <c r="E69" s="49"/>
      <c r="F69" s="49"/>
      <c r="G69" s="49"/>
      <c r="H69" s="49"/>
      <c r="I69" s="49"/>
      <c r="J69" s="49"/>
      <c r="K69" s="49"/>
      <c r="L69" s="49"/>
      <c r="M69" s="49"/>
      <c r="N69" s="49"/>
      <c r="O69" s="49"/>
      <c r="P69" s="49"/>
      <c r="Q69" s="51"/>
      <c r="R69" s="51"/>
      <c r="S69" s="51"/>
      <c r="T69" s="49"/>
      <c r="U69" s="2"/>
      <c r="V69" s="2"/>
      <c r="W69" s="2"/>
      <c r="X69" s="2"/>
      <c r="Y69" s="2"/>
      <c r="Z69" s="2"/>
    </row>
    <row r="70" ht="13.5" customHeight="1">
      <c r="A70" s="49"/>
      <c r="B70" s="49"/>
      <c r="C70" s="49"/>
      <c r="D70" s="49"/>
      <c r="E70" s="49"/>
      <c r="F70" s="49"/>
      <c r="G70" s="49"/>
      <c r="H70" s="49"/>
      <c r="I70" s="49"/>
      <c r="J70" s="49"/>
      <c r="K70" s="49"/>
      <c r="L70" s="49"/>
      <c r="M70" s="49"/>
      <c r="N70" s="49"/>
      <c r="O70" s="49"/>
      <c r="P70" s="49"/>
      <c r="Q70" s="51"/>
      <c r="R70" s="51"/>
      <c r="S70" s="51"/>
      <c r="T70" s="49"/>
      <c r="U70" s="2"/>
      <c r="V70" s="2"/>
      <c r="W70" s="2"/>
      <c r="X70" s="2"/>
      <c r="Y70" s="2"/>
      <c r="Z70" s="2"/>
    </row>
    <row r="71" ht="13.5" customHeight="1">
      <c r="A71" s="49"/>
      <c r="B71" s="49"/>
      <c r="C71" s="49"/>
      <c r="D71" s="49"/>
      <c r="E71" s="49"/>
      <c r="F71" s="49"/>
      <c r="G71" s="49"/>
      <c r="H71" s="49"/>
      <c r="I71" s="49"/>
      <c r="J71" s="49"/>
      <c r="K71" s="49"/>
      <c r="L71" s="49"/>
      <c r="M71" s="49"/>
      <c r="N71" s="49"/>
      <c r="O71" s="49"/>
      <c r="P71" s="49"/>
      <c r="Q71" s="51"/>
      <c r="R71" s="51"/>
      <c r="S71" s="51"/>
      <c r="T71" s="49"/>
      <c r="U71" s="2"/>
      <c r="V71" s="2"/>
      <c r="W71" s="2"/>
      <c r="X71" s="2"/>
      <c r="Y71" s="2"/>
      <c r="Z71" s="2"/>
    </row>
    <row r="72" ht="13.5" customHeight="1">
      <c r="A72" s="49"/>
      <c r="B72" s="49"/>
      <c r="C72" s="49"/>
      <c r="D72" s="49"/>
      <c r="E72" s="49"/>
      <c r="F72" s="49"/>
      <c r="G72" s="49"/>
      <c r="H72" s="49"/>
      <c r="I72" s="49"/>
      <c r="J72" s="49"/>
      <c r="K72" s="49"/>
      <c r="L72" s="49"/>
      <c r="M72" s="49"/>
      <c r="N72" s="49"/>
      <c r="O72" s="49"/>
      <c r="P72" s="49"/>
      <c r="Q72" s="51"/>
      <c r="R72" s="51"/>
      <c r="S72" s="51"/>
      <c r="T72" s="49"/>
      <c r="U72" s="2"/>
      <c r="V72" s="2"/>
      <c r="W72" s="2"/>
      <c r="X72" s="2"/>
      <c r="Y72" s="2"/>
      <c r="Z72" s="2"/>
    </row>
    <row r="73" ht="13.5" customHeight="1">
      <c r="A73" s="49"/>
      <c r="B73" s="49"/>
      <c r="C73" s="49"/>
      <c r="D73" s="49"/>
      <c r="E73" s="49"/>
      <c r="F73" s="49"/>
      <c r="G73" s="49"/>
      <c r="H73" s="49"/>
      <c r="I73" s="49"/>
      <c r="J73" s="49"/>
      <c r="K73" s="49"/>
      <c r="L73" s="49"/>
      <c r="M73" s="49"/>
      <c r="N73" s="49"/>
      <c r="O73" s="49"/>
      <c r="P73" s="49"/>
      <c r="Q73" s="51"/>
      <c r="R73" s="51"/>
      <c r="S73" s="51"/>
      <c r="T73" s="49"/>
      <c r="U73" s="2"/>
      <c r="V73" s="2"/>
      <c r="W73" s="2"/>
      <c r="X73" s="2"/>
      <c r="Y73" s="2"/>
      <c r="Z73" s="2"/>
    </row>
    <row r="74" ht="13.5" customHeight="1">
      <c r="A74" s="49"/>
      <c r="B74" s="49"/>
      <c r="C74" s="49"/>
      <c r="D74" s="49"/>
      <c r="E74" s="49"/>
      <c r="F74" s="49"/>
      <c r="G74" s="49"/>
      <c r="H74" s="49"/>
      <c r="I74" s="49"/>
      <c r="J74" s="49"/>
      <c r="K74" s="49"/>
      <c r="L74" s="49"/>
      <c r="M74" s="49"/>
      <c r="N74" s="49"/>
      <c r="O74" s="49"/>
      <c r="P74" s="49"/>
      <c r="Q74" s="51"/>
      <c r="R74" s="51"/>
      <c r="S74" s="51"/>
      <c r="T74" s="49"/>
      <c r="U74" s="2"/>
      <c r="V74" s="2"/>
      <c r="W74" s="2"/>
      <c r="X74" s="2"/>
      <c r="Y74" s="2"/>
      <c r="Z74" s="2"/>
    </row>
    <row r="75" ht="13.5" customHeight="1">
      <c r="A75" s="49"/>
      <c r="B75" s="49"/>
      <c r="C75" s="49"/>
      <c r="D75" s="49"/>
      <c r="E75" s="49"/>
      <c r="F75" s="49"/>
      <c r="G75" s="49"/>
      <c r="H75" s="49"/>
      <c r="I75" s="49"/>
      <c r="J75" s="49"/>
      <c r="K75" s="49"/>
      <c r="L75" s="49"/>
      <c r="M75" s="49"/>
      <c r="N75" s="49"/>
      <c r="O75" s="49"/>
      <c r="P75" s="49"/>
      <c r="Q75" s="51"/>
      <c r="R75" s="51"/>
      <c r="S75" s="51"/>
      <c r="T75" s="49"/>
      <c r="U75" s="2"/>
      <c r="V75" s="2"/>
      <c r="W75" s="2"/>
      <c r="X75" s="2"/>
      <c r="Y75" s="2"/>
      <c r="Z75" s="2"/>
    </row>
    <row r="76" ht="13.5" customHeight="1">
      <c r="A76" s="49"/>
      <c r="B76" s="49"/>
      <c r="C76" s="49"/>
      <c r="D76" s="49"/>
      <c r="E76" s="49"/>
      <c r="F76" s="49"/>
      <c r="G76" s="49"/>
      <c r="H76" s="49"/>
      <c r="I76" s="49"/>
      <c r="J76" s="49"/>
      <c r="K76" s="49"/>
      <c r="L76" s="49"/>
      <c r="M76" s="49"/>
      <c r="N76" s="49"/>
      <c r="O76" s="49"/>
      <c r="P76" s="49"/>
      <c r="Q76" s="51"/>
      <c r="R76" s="51"/>
      <c r="S76" s="51"/>
      <c r="T76" s="49"/>
      <c r="U76" s="2"/>
      <c r="V76" s="2"/>
      <c r="W76" s="2"/>
      <c r="X76" s="2"/>
      <c r="Y76" s="2"/>
      <c r="Z76" s="2"/>
    </row>
    <row r="77" ht="13.5" customHeight="1">
      <c r="A77" s="49"/>
      <c r="B77" s="49"/>
      <c r="C77" s="49"/>
      <c r="D77" s="49"/>
      <c r="E77" s="49"/>
      <c r="F77" s="49"/>
      <c r="G77" s="49"/>
      <c r="H77" s="49"/>
      <c r="I77" s="49"/>
      <c r="J77" s="49"/>
      <c r="K77" s="49"/>
      <c r="L77" s="49"/>
      <c r="M77" s="49"/>
      <c r="N77" s="49"/>
      <c r="O77" s="49"/>
      <c r="P77" s="49"/>
      <c r="Q77" s="51"/>
      <c r="R77" s="51"/>
      <c r="S77" s="51"/>
      <c r="T77" s="49"/>
      <c r="U77" s="2"/>
      <c r="V77" s="2"/>
      <c r="W77" s="2"/>
      <c r="X77" s="2"/>
      <c r="Y77" s="2"/>
      <c r="Z77" s="2"/>
    </row>
    <row r="78" ht="13.5" customHeight="1">
      <c r="A78" s="49"/>
      <c r="B78" s="49"/>
      <c r="C78" s="49"/>
      <c r="D78" s="49"/>
      <c r="E78" s="49"/>
      <c r="F78" s="49"/>
      <c r="G78" s="49"/>
      <c r="H78" s="49"/>
      <c r="I78" s="49"/>
      <c r="J78" s="49"/>
      <c r="K78" s="49"/>
      <c r="L78" s="49"/>
      <c r="M78" s="49"/>
      <c r="N78" s="49"/>
      <c r="O78" s="49"/>
      <c r="P78" s="49"/>
      <c r="Q78" s="51"/>
      <c r="R78" s="51"/>
      <c r="S78" s="51"/>
      <c r="T78" s="49"/>
      <c r="U78" s="2"/>
      <c r="V78" s="2"/>
      <c r="W78" s="2"/>
      <c r="X78" s="2"/>
      <c r="Y78" s="2"/>
      <c r="Z78" s="2"/>
    </row>
    <row r="79" ht="13.5" customHeight="1">
      <c r="A79" s="49"/>
      <c r="B79" s="49"/>
      <c r="C79" s="49"/>
      <c r="D79" s="49"/>
      <c r="E79" s="49"/>
      <c r="F79" s="49"/>
      <c r="G79" s="49"/>
      <c r="H79" s="49"/>
      <c r="I79" s="49"/>
      <c r="J79" s="49"/>
      <c r="K79" s="49"/>
      <c r="L79" s="49"/>
      <c r="M79" s="49"/>
      <c r="N79" s="49"/>
      <c r="O79" s="49"/>
      <c r="P79" s="49"/>
      <c r="Q79" s="51"/>
      <c r="R79" s="51"/>
      <c r="S79" s="51"/>
      <c r="T79" s="49"/>
      <c r="U79" s="2"/>
      <c r="V79" s="2"/>
      <c r="W79" s="2"/>
      <c r="X79" s="2"/>
      <c r="Y79" s="2"/>
      <c r="Z79" s="2"/>
    </row>
    <row r="80" ht="13.5" customHeight="1">
      <c r="A80" s="49"/>
      <c r="B80" s="49"/>
      <c r="C80" s="49"/>
      <c r="D80" s="49"/>
      <c r="E80" s="49"/>
      <c r="F80" s="49"/>
      <c r="G80" s="49"/>
      <c r="H80" s="49"/>
      <c r="I80" s="49"/>
      <c r="J80" s="49"/>
      <c r="K80" s="49"/>
      <c r="L80" s="49"/>
      <c r="M80" s="49"/>
      <c r="N80" s="49"/>
      <c r="O80" s="49"/>
      <c r="P80" s="49"/>
      <c r="Q80" s="51"/>
      <c r="R80" s="51"/>
      <c r="S80" s="51"/>
      <c r="T80" s="49"/>
      <c r="U80" s="2"/>
      <c r="V80" s="2"/>
      <c r="W80" s="2"/>
      <c r="X80" s="2"/>
      <c r="Y80" s="2"/>
      <c r="Z80" s="2"/>
    </row>
    <row r="81" ht="13.5" customHeight="1">
      <c r="A81" s="49"/>
      <c r="B81" s="49"/>
      <c r="C81" s="49"/>
      <c r="D81" s="49"/>
      <c r="E81" s="49"/>
      <c r="F81" s="49"/>
      <c r="G81" s="49"/>
      <c r="H81" s="49"/>
      <c r="I81" s="49"/>
      <c r="J81" s="49"/>
      <c r="K81" s="49"/>
      <c r="L81" s="49"/>
      <c r="M81" s="49"/>
      <c r="N81" s="49"/>
      <c r="O81" s="49"/>
      <c r="P81" s="49"/>
      <c r="Q81" s="51"/>
      <c r="R81" s="51"/>
      <c r="S81" s="51"/>
      <c r="T81" s="49"/>
      <c r="U81" s="2"/>
      <c r="V81" s="2"/>
      <c r="W81" s="2"/>
      <c r="X81" s="2"/>
      <c r="Y81" s="2"/>
      <c r="Z81" s="2"/>
    </row>
    <row r="82" ht="13.5" customHeight="1">
      <c r="A82" s="49"/>
      <c r="B82" s="49"/>
      <c r="C82" s="49"/>
      <c r="D82" s="49"/>
      <c r="E82" s="49"/>
      <c r="F82" s="49"/>
      <c r="G82" s="49"/>
      <c r="H82" s="49"/>
      <c r="I82" s="49"/>
      <c r="J82" s="49"/>
      <c r="K82" s="49"/>
      <c r="L82" s="49"/>
      <c r="M82" s="49"/>
      <c r="N82" s="49"/>
      <c r="O82" s="49"/>
      <c r="P82" s="49"/>
      <c r="Q82" s="51"/>
      <c r="R82" s="51"/>
      <c r="S82" s="51"/>
      <c r="T82" s="49"/>
      <c r="U82" s="2"/>
      <c r="V82" s="2"/>
      <c r="W82" s="2"/>
      <c r="X82" s="2"/>
      <c r="Y82" s="2"/>
      <c r="Z82" s="2"/>
    </row>
    <row r="83" ht="13.5" customHeight="1">
      <c r="A83" s="49"/>
      <c r="B83" s="49"/>
      <c r="C83" s="49"/>
      <c r="D83" s="49"/>
      <c r="E83" s="49"/>
      <c r="F83" s="49"/>
      <c r="G83" s="49"/>
      <c r="H83" s="49"/>
      <c r="I83" s="49"/>
      <c r="J83" s="49"/>
      <c r="K83" s="49"/>
      <c r="L83" s="49"/>
      <c r="M83" s="49"/>
      <c r="N83" s="49"/>
      <c r="O83" s="49"/>
      <c r="P83" s="49"/>
      <c r="Q83" s="51"/>
      <c r="R83" s="51"/>
      <c r="S83" s="51"/>
      <c r="T83" s="49"/>
      <c r="U83" s="2"/>
      <c r="V83" s="2"/>
      <c r="W83" s="2"/>
      <c r="X83" s="2"/>
      <c r="Y83" s="2"/>
      <c r="Z83" s="2"/>
    </row>
    <row r="84" ht="13.5" customHeight="1">
      <c r="A84" s="49"/>
      <c r="B84" s="49"/>
      <c r="C84" s="49"/>
      <c r="D84" s="49"/>
      <c r="E84" s="49"/>
      <c r="F84" s="49"/>
      <c r="G84" s="49"/>
      <c r="H84" s="49"/>
      <c r="I84" s="49"/>
      <c r="J84" s="49"/>
      <c r="K84" s="49"/>
      <c r="L84" s="49"/>
      <c r="M84" s="49"/>
      <c r="N84" s="49"/>
      <c r="O84" s="49"/>
      <c r="P84" s="49"/>
      <c r="Q84" s="51"/>
      <c r="R84" s="51"/>
      <c r="S84" s="51"/>
      <c r="T84" s="49"/>
      <c r="U84" s="2"/>
      <c r="V84" s="2"/>
      <c r="W84" s="2"/>
      <c r="X84" s="2"/>
      <c r="Y84" s="2"/>
      <c r="Z84" s="2"/>
    </row>
    <row r="85" ht="13.5" customHeight="1">
      <c r="A85" s="49"/>
      <c r="B85" s="49"/>
      <c r="C85" s="49"/>
      <c r="D85" s="49"/>
      <c r="E85" s="49"/>
      <c r="F85" s="49"/>
      <c r="G85" s="49"/>
      <c r="H85" s="49"/>
      <c r="I85" s="49"/>
      <c r="J85" s="49"/>
      <c r="K85" s="49"/>
      <c r="L85" s="49"/>
      <c r="M85" s="49"/>
      <c r="N85" s="49"/>
      <c r="O85" s="49"/>
      <c r="P85" s="49"/>
      <c r="Q85" s="51"/>
      <c r="R85" s="51"/>
      <c r="S85" s="51"/>
      <c r="T85" s="49"/>
      <c r="U85" s="2"/>
      <c r="V85" s="2"/>
      <c r="W85" s="2"/>
      <c r="X85" s="2"/>
      <c r="Y85" s="2"/>
      <c r="Z85" s="2"/>
    </row>
    <row r="86" ht="13.5" customHeight="1">
      <c r="A86" s="49"/>
      <c r="B86" s="49"/>
      <c r="C86" s="49"/>
      <c r="D86" s="49"/>
      <c r="E86" s="49"/>
      <c r="F86" s="49"/>
      <c r="G86" s="49"/>
      <c r="H86" s="49"/>
      <c r="I86" s="49"/>
      <c r="J86" s="49"/>
      <c r="K86" s="49"/>
      <c r="L86" s="49"/>
      <c r="M86" s="49"/>
      <c r="N86" s="49"/>
      <c r="O86" s="49"/>
      <c r="P86" s="49"/>
      <c r="Q86" s="51"/>
      <c r="R86" s="51"/>
      <c r="S86" s="51"/>
      <c r="T86" s="49"/>
      <c r="U86" s="2"/>
      <c r="V86" s="2"/>
      <c r="W86" s="2"/>
      <c r="X86" s="2"/>
      <c r="Y86" s="2"/>
      <c r="Z86" s="2"/>
    </row>
    <row r="87" ht="13.5" customHeight="1">
      <c r="A87" s="49"/>
      <c r="B87" s="49"/>
      <c r="C87" s="49"/>
      <c r="D87" s="49"/>
      <c r="E87" s="49"/>
      <c r="F87" s="49"/>
      <c r="G87" s="49"/>
      <c r="H87" s="49"/>
      <c r="I87" s="49"/>
      <c r="J87" s="49"/>
      <c r="K87" s="49"/>
      <c r="L87" s="49"/>
      <c r="M87" s="49"/>
      <c r="N87" s="49"/>
      <c r="O87" s="49"/>
      <c r="P87" s="49"/>
      <c r="Q87" s="51"/>
      <c r="R87" s="51"/>
      <c r="S87" s="51"/>
      <c r="T87" s="49"/>
      <c r="U87" s="2"/>
      <c r="V87" s="2"/>
      <c r="W87" s="2"/>
      <c r="X87" s="2"/>
      <c r="Y87" s="2"/>
      <c r="Z87" s="2"/>
    </row>
    <row r="88" ht="13.5" customHeight="1">
      <c r="A88" s="49"/>
      <c r="B88" s="49"/>
      <c r="C88" s="49"/>
      <c r="D88" s="49"/>
      <c r="E88" s="49"/>
      <c r="F88" s="49"/>
      <c r="G88" s="49"/>
      <c r="H88" s="49"/>
      <c r="I88" s="49"/>
      <c r="J88" s="49"/>
      <c r="K88" s="49"/>
      <c r="L88" s="49"/>
      <c r="M88" s="49"/>
      <c r="N88" s="49"/>
      <c r="O88" s="49"/>
      <c r="P88" s="49"/>
      <c r="Q88" s="51"/>
      <c r="R88" s="51"/>
      <c r="S88" s="51"/>
      <c r="T88" s="49"/>
      <c r="U88" s="2"/>
      <c r="V88" s="2"/>
      <c r="W88" s="2"/>
      <c r="X88" s="2"/>
      <c r="Y88" s="2"/>
      <c r="Z88" s="2"/>
    </row>
    <row r="89" ht="13.5" customHeight="1">
      <c r="A89" s="49"/>
      <c r="B89" s="49"/>
      <c r="C89" s="49"/>
      <c r="D89" s="49"/>
      <c r="E89" s="49"/>
      <c r="F89" s="49"/>
      <c r="G89" s="49"/>
      <c r="H89" s="49"/>
      <c r="I89" s="49"/>
      <c r="J89" s="49"/>
      <c r="K89" s="49"/>
      <c r="L89" s="49"/>
      <c r="M89" s="49"/>
      <c r="N89" s="49"/>
      <c r="O89" s="49"/>
      <c r="P89" s="49"/>
      <c r="Q89" s="51"/>
      <c r="R89" s="51"/>
      <c r="S89" s="51"/>
      <c r="T89" s="49"/>
      <c r="U89" s="2"/>
      <c r="V89" s="2"/>
      <c r="W89" s="2"/>
      <c r="X89" s="2"/>
      <c r="Y89" s="2"/>
      <c r="Z89" s="2"/>
    </row>
    <row r="90" ht="13.5" customHeight="1">
      <c r="A90" s="49"/>
      <c r="B90" s="49"/>
      <c r="C90" s="49"/>
      <c r="D90" s="49"/>
      <c r="E90" s="49"/>
      <c r="F90" s="49"/>
      <c r="G90" s="49"/>
      <c r="H90" s="49"/>
      <c r="I90" s="49"/>
      <c r="J90" s="49"/>
      <c r="K90" s="49"/>
      <c r="L90" s="49"/>
      <c r="M90" s="49"/>
      <c r="N90" s="49"/>
      <c r="O90" s="49"/>
      <c r="P90" s="49"/>
      <c r="Q90" s="51"/>
      <c r="R90" s="51"/>
      <c r="S90" s="51"/>
      <c r="T90" s="49"/>
      <c r="U90" s="2"/>
      <c r="V90" s="2"/>
      <c r="W90" s="2"/>
      <c r="X90" s="2"/>
      <c r="Y90" s="2"/>
      <c r="Z90" s="2"/>
    </row>
    <row r="91" ht="13.5" customHeight="1">
      <c r="A91" s="49"/>
      <c r="B91" s="49"/>
      <c r="C91" s="49"/>
      <c r="D91" s="49"/>
      <c r="E91" s="49"/>
      <c r="F91" s="49"/>
      <c r="G91" s="49"/>
      <c r="H91" s="49"/>
      <c r="I91" s="49"/>
      <c r="J91" s="49"/>
      <c r="K91" s="49"/>
      <c r="L91" s="49"/>
      <c r="M91" s="49"/>
      <c r="N91" s="49"/>
      <c r="O91" s="49"/>
      <c r="P91" s="49"/>
      <c r="Q91" s="51"/>
      <c r="R91" s="51"/>
      <c r="S91" s="51"/>
      <c r="T91" s="49"/>
      <c r="U91" s="2"/>
      <c r="V91" s="2"/>
      <c r="W91" s="2"/>
      <c r="X91" s="2"/>
      <c r="Y91" s="2"/>
      <c r="Z91" s="2"/>
    </row>
    <row r="92" ht="13.5" customHeight="1">
      <c r="A92" s="49"/>
      <c r="B92" s="49"/>
      <c r="C92" s="49"/>
      <c r="D92" s="49"/>
      <c r="E92" s="49"/>
      <c r="F92" s="49"/>
      <c r="G92" s="49"/>
      <c r="H92" s="49"/>
      <c r="I92" s="49"/>
      <c r="J92" s="49"/>
      <c r="K92" s="49"/>
      <c r="L92" s="49"/>
      <c r="M92" s="49"/>
      <c r="N92" s="49"/>
      <c r="O92" s="49"/>
      <c r="P92" s="49"/>
      <c r="Q92" s="51"/>
      <c r="R92" s="51"/>
      <c r="S92" s="51"/>
      <c r="T92" s="49"/>
      <c r="U92" s="2"/>
      <c r="V92" s="2"/>
      <c r="W92" s="2"/>
      <c r="X92" s="2"/>
      <c r="Y92" s="2"/>
      <c r="Z92" s="2"/>
    </row>
    <row r="93" ht="13.5" customHeight="1">
      <c r="A93" s="49"/>
      <c r="B93" s="49"/>
      <c r="C93" s="49"/>
      <c r="D93" s="49"/>
      <c r="E93" s="49"/>
      <c r="F93" s="49"/>
      <c r="G93" s="49"/>
      <c r="H93" s="49"/>
      <c r="I93" s="49"/>
      <c r="J93" s="49"/>
      <c r="K93" s="49"/>
      <c r="L93" s="49"/>
      <c r="M93" s="49"/>
      <c r="N93" s="49"/>
      <c r="O93" s="49"/>
      <c r="P93" s="49"/>
      <c r="Q93" s="51"/>
      <c r="R93" s="51"/>
      <c r="S93" s="51"/>
      <c r="T93" s="49"/>
      <c r="U93" s="2"/>
      <c r="V93" s="2"/>
      <c r="W93" s="2"/>
      <c r="X93" s="2"/>
      <c r="Y93" s="2"/>
      <c r="Z93" s="2"/>
    </row>
    <row r="94" ht="13.5" customHeight="1">
      <c r="A94" s="49"/>
      <c r="B94" s="49"/>
      <c r="C94" s="49"/>
      <c r="D94" s="49"/>
      <c r="E94" s="49"/>
      <c r="F94" s="49"/>
      <c r="G94" s="49"/>
      <c r="H94" s="49"/>
      <c r="I94" s="49"/>
      <c r="J94" s="49"/>
      <c r="K94" s="49"/>
      <c r="L94" s="49"/>
      <c r="M94" s="49"/>
      <c r="N94" s="49"/>
      <c r="O94" s="49"/>
      <c r="P94" s="49"/>
      <c r="Q94" s="51"/>
      <c r="R94" s="51"/>
      <c r="S94" s="51"/>
      <c r="T94" s="49"/>
      <c r="U94" s="2"/>
      <c r="V94" s="2"/>
      <c r="W94" s="2"/>
      <c r="X94" s="2"/>
      <c r="Y94" s="2"/>
      <c r="Z94" s="2"/>
    </row>
    <row r="95" ht="13.5" customHeight="1">
      <c r="A95" s="49"/>
      <c r="B95" s="49"/>
      <c r="C95" s="49"/>
      <c r="D95" s="49"/>
      <c r="E95" s="49"/>
      <c r="F95" s="49"/>
      <c r="G95" s="49"/>
      <c r="H95" s="49"/>
      <c r="I95" s="49"/>
      <c r="J95" s="49"/>
      <c r="K95" s="49"/>
      <c r="L95" s="49"/>
      <c r="M95" s="49"/>
      <c r="N95" s="49"/>
      <c r="O95" s="49"/>
      <c r="P95" s="49"/>
      <c r="Q95" s="51"/>
      <c r="R95" s="51"/>
      <c r="S95" s="51"/>
      <c r="T95" s="49"/>
      <c r="U95" s="2"/>
      <c r="V95" s="2"/>
      <c r="W95" s="2"/>
      <c r="X95" s="2"/>
      <c r="Y95" s="2"/>
      <c r="Z95" s="2"/>
    </row>
    <row r="96" ht="13.5" customHeight="1">
      <c r="A96" s="49"/>
      <c r="B96" s="49"/>
      <c r="C96" s="49"/>
      <c r="D96" s="49"/>
      <c r="E96" s="49"/>
      <c r="F96" s="49"/>
      <c r="G96" s="49"/>
      <c r="H96" s="49"/>
      <c r="I96" s="49"/>
      <c r="J96" s="49"/>
      <c r="K96" s="49"/>
      <c r="L96" s="49"/>
      <c r="M96" s="49"/>
      <c r="N96" s="49"/>
      <c r="O96" s="49"/>
      <c r="P96" s="49"/>
      <c r="Q96" s="51"/>
      <c r="R96" s="51"/>
      <c r="S96" s="51"/>
      <c r="T96" s="49"/>
      <c r="U96" s="2"/>
      <c r="V96" s="2"/>
      <c r="W96" s="2"/>
      <c r="X96" s="2"/>
      <c r="Y96" s="2"/>
      <c r="Z96" s="2"/>
    </row>
    <row r="97" ht="13.5" customHeight="1">
      <c r="A97" s="49"/>
      <c r="B97" s="49"/>
      <c r="C97" s="49"/>
      <c r="D97" s="49"/>
      <c r="E97" s="49"/>
      <c r="F97" s="49"/>
      <c r="G97" s="49"/>
      <c r="H97" s="49"/>
      <c r="I97" s="49"/>
      <c r="J97" s="49"/>
      <c r="K97" s="49"/>
      <c r="L97" s="49"/>
      <c r="M97" s="49"/>
      <c r="N97" s="49"/>
      <c r="O97" s="49"/>
      <c r="P97" s="49"/>
      <c r="Q97" s="51"/>
      <c r="R97" s="51"/>
      <c r="S97" s="51"/>
      <c r="T97" s="49"/>
      <c r="U97" s="2"/>
      <c r="V97" s="2"/>
      <c r="W97" s="2"/>
      <c r="X97" s="2"/>
      <c r="Y97" s="2"/>
      <c r="Z97" s="2"/>
    </row>
    <row r="98" ht="13.5" customHeight="1">
      <c r="A98" s="49"/>
      <c r="B98" s="49"/>
      <c r="C98" s="49"/>
      <c r="D98" s="49"/>
      <c r="E98" s="49"/>
      <c r="F98" s="49"/>
      <c r="G98" s="49"/>
      <c r="H98" s="49"/>
      <c r="I98" s="49"/>
      <c r="J98" s="49"/>
      <c r="K98" s="49"/>
      <c r="L98" s="49"/>
      <c r="M98" s="49"/>
      <c r="N98" s="49"/>
      <c r="O98" s="49"/>
      <c r="P98" s="49"/>
      <c r="Q98" s="51"/>
      <c r="R98" s="51"/>
      <c r="S98" s="51"/>
      <c r="T98" s="49"/>
      <c r="U98" s="2"/>
      <c r="V98" s="2"/>
      <c r="W98" s="2"/>
      <c r="X98" s="2"/>
      <c r="Y98" s="2"/>
      <c r="Z98" s="2"/>
    </row>
    <row r="99" ht="13.5" customHeight="1">
      <c r="A99" s="49"/>
      <c r="B99" s="49"/>
      <c r="C99" s="49"/>
      <c r="D99" s="49"/>
      <c r="E99" s="49"/>
      <c r="F99" s="49"/>
      <c r="G99" s="49"/>
      <c r="H99" s="49"/>
      <c r="I99" s="49"/>
      <c r="J99" s="49"/>
      <c r="K99" s="49"/>
      <c r="L99" s="49"/>
      <c r="M99" s="49"/>
      <c r="N99" s="49"/>
      <c r="O99" s="49"/>
      <c r="P99" s="49"/>
      <c r="Q99" s="51"/>
      <c r="R99" s="51"/>
      <c r="S99" s="51"/>
      <c r="T99" s="49"/>
      <c r="U99" s="2"/>
      <c r="V99" s="2"/>
      <c r="W99" s="2"/>
      <c r="X99" s="2"/>
      <c r="Y99" s="2"/>
      <c r="Z99" s="2"/>
    </row>
    <row r="100" ht="13.5" customHeight="1">
      <c r="A100" s="49"/>
      <c r="B100" s="49"/>
      <c r="C100" s="49"/>
      <c r="D100" s="49"/>
      <c r="E100" s="49"/>
      <c r="F100" s="49"/>
      <c r="G100" s="49"/>
      <c r="H100" s="49"/>
      <c r="I100" s="49"/>
      <c r="J100" s="49"/>
      <c r="K100" s="49"/>
      <c r="L100" s="49"/>
      <c r="M100" s="49"/>
      <c r="N100" s="49"/>
      <c r="O100" s="49"/>
      <c r="P100" s="49"/>
      <c r="Q100" s="51"/>
      <c r="R100" s="51"/>
      <c r="S100" s="51"/>
      <c r="T100" s="49"/>
      <c r="U100" s="2"/>
      <c r="V100" s="2"/>
      <c r="W100" s="2"/>
      <c r="X100" s="2"/>
      <c r="Y100" s="2"/>
      <c r="Z100" s="2"/>
    </row>
    <row r="101" ht="13.5" customHeight="1">
      <c r="A101" s="49"/>
      <c r="B101" s="49"/>
      <c r="C101" s="49"/>
      <c r="D101" s="49"/>
      <c r="E101" s="49"/>
      <c r="F101" s="49"/>
      <c r="G101" s="49"/>
      <c r="H101" s="49"/>
      <c r="I101" s="49"/>
      <c r="J101" s="49"/>
      <c r="K101" s="49"/>
      <c r="L101" s="49"/>
      <c r="M101" s="49"/>
      <c r="N101" s="49"/>
      <c r="O101" s="49"/>
      <c r="P101" s="49"/>
      <c r="Q101" s="51"/>
      <c r="R101" s="51"/>
      <c r="S101" s="51"/>
      <c r="T101" s="49"/>
      <c r="U101" s="2"/>
      <c r="V101" s="2"/>
      <c r="W101" s="2"/>
      <c r="X101" s="2"/>
      <c r="Y101" s="2"/>
      <c r="Z101" s="2"/>
    </row>
    <row r="102" ht="13.5" customHeight="1">
      <c r="A102" s="49"/>
      <c r="B102" s="49"/>
      <c r="C102" s="49"/>
      <c r="D102" s="49"/>
      <c r="E102" s="49"/>
      <c r="F102" s="49"/>
      <c r="G102" s="49"/>
      <c r="H102" s="49"/>
      <c r="I102" s="49"/>
      <c r="J102" s="49"/>
      <c r="K102" s="49"/>
      <c r="L102" s="49"/>
      <c r="M102" s="49"/>
      <c r="N102" s="49"/>
      <c r="O102" s="49"/>
      <c r="P102" s="49"/>
      <c r="Q102" s="51"/>
      <c r="R102" s="51"/>
      <c r="S102" s="51"/>
      <c r="T102" s="49"/>
      <c r="U102" s="2"/>
      <c r="V102" s="2"/>
      <c r="W102" s="2"/>
      <c r="X102" s="2"/>
      <c r="Y102" s="2"/>
      <c r="Z102" s="2"/>
    </row>
    <row r="103" ht="13.5" customHeight="1">
      <c r="A103" s="49"/>
      <c r="B103" s="49"/>
      <c r="C103" s="49"/>
      <c r="D103" s="49"/>
      <c r="E103" s="49"/>
      <c r="F103" s="49"/>
      <c r="G103" s="49"/>
      <c r="H103" s="49"/>
      <c r="I103" s="49"/>
      <c r="J103" s="49"/>
      <c r="K103" s="49"/>
      <c r="L103" s="49"/>
      <c r="M103" s="49"/>
      <c r="N103" s="49"/>
      <c r="O103" s="49"/>
      <c r="P103" s="49"/>
      <c r="Q103" s="51"/>
      <c r="R103" s="51"/>
      <c r="S103" s="51"/>
      <c r="T103" s="49"/>
      <c r="U103" s="2"/>
      <c r="V103" s="2"/>
      <c r="W103" s="2"/>
      <c r="X103" s="2"/>
      <c r="Y103" s="2"/>
      <c r="Z103" s="2"/>
    </row>
    <row r="104" ht="13.5" customHeight="1">
      <c r="A104" s="49"/>
      <c r="B104" s="49"/>
      <c r="C104" s="49"/>
      <c r="D104" s="49"/>
      <c r="E104" s="49"/>
      <c r="F104" s="49"/>
      <c r="G104" s="49"/>
      <c r="H104" s="49"/>
      <c r="I104" s="49"/>
      <c r="J104" s="49"/>
      <c r="K104" s="49"/>
      <c r="L104" s="49"/>
      <c r="M104" s="49"/>
      <c r="N104" s="49"/>
      <c r="O104" s="49"/>
      <c r="P104" s="49"/>
      <c r="Q104" s="51"/>
      <c r="R104" s="51"/>
      <c r="S104" s="51"/>
      <c r="T104" s="49"/>
      <c r="U104" s="2"/>
      <c r="V104" s="2"/>
      <c r="W104" s="2"/>
      <c r="X104" s="2"/>
      <c r="Y104" s="2"/>
      <c r="Z104" s="2"/>
    </row>
    <row r="105" ht="13.5" customHeight="1">
      <c r="A105" s="49"/>
      <c r="B105" s="49"/>
      <c r="C105" s="49"/>
      <c r="D105" s="49"/>
      <c r="E105" s="49"/>
      <c r="F105" s="49"/>
      <c r="G105" s="49"/>
      <c r="H105" s="49"/>
      <c r="I105" s="49"/>
      <c r="J105" s="49"/>
      <c r="K105" s="49"/>
      <c r="L105" s="49"/>
      <c r="M105" s="49"/>
      <c r="N105" s="49"/>
      <c r="O105" s="49"/>
      <c r="P105" s="49"/>
      <c r="Q105" s="51"/>
      <c r="R105" s="51"/>
      <c r="S105" s="51"/>
      <c r="T105" s="49"/>
      <c r="U105" s="2"/>
      <c r="V105" s="2"/>
      <c r="W105" s="2"/>
      <c r="X105" s="2"/>
      <c r="Y105" s="2"/>
      <c r="Z105" s="2"/>
    </row>
    <row r="106" ht="13.5" customHeight="1">
      <c r="A106" s="49"/>
      <c r="B106" s="49"/>
      <c r="C106" s="49"/>
      <c r="D106" s="49"/>
      <c r="E106" s="49"/>
      <c r="F106" s="49"/>
      <c r="G106" s="49"/>
      <c r="H106" s="49"/>
      <c r="I106" s="49"/>
      <c r="J106" s="49"/>
      <c r="K106" s="49"/>
      <c r="L106" s="49"/>
      <c r="M106" s="49"/>
      <c r="N106" s="49"/>
      <c r="O106" s="49"/>
      <c r="P106" s="49"/>
      <c r="Q106" s="51"/>
      <c r="R106" s="51"/>
      <c r="S106" s="51"/>
      <c r="T106" s="49"/>
      <c r="U106" s="2"/>
      <c r="V106" s="2"/>
      <c r="W106" s="2"/>
      <c r="X106" s="2"/>
      <c r="Y106" s="2"/>
      <c r="Z106" s="2"/>
    </row>
    <row r="107" ht="13.5" customHeight="1">
      <c r="A107" s="49"/>
      <c r="B107" s="49"/>
      <c r="C107" s="49"/>
      <c r="D107" s="49"/>
      <c r="E107" s="49"/>
      <c r="F107" s="49"/>
      <c r="G107" s="49"/>
      <c r="H107" s="49"/>
      <c r="I107" s="49"/>
      <c r="J107" s="49"/>
      <c r="K107" s="49"/>
      <c r="L107" s="49"/>
      <c r="M107" s="49"/>
      <c r="N107" s="49"/>
      <c r="O107" s="49"/>
      <c r="P107" s="49"/>
      <c r="Q107" s="51"/>
      <c r="R107" s="51"/>
      <c r="S107" s="51"/>
      <c r="T107" s="49"/>
      <c r="U107" s="2"/>
      <c r="V107" s="2"/>
      <c r="W107" s="2"/>
      <c r="X107" s="2"/>
      <c r="Y107" s="2"/>
      <c r="Z107" s="2"/>
    </row>
    <row r="108" ht="13.5" customHeight="1">
      <c r="A108" s="49"/>
      <c r="B108" s="49"/>
      <c r="C108" s="49"/>
      <c r="D108" s="49"/>
      <c r="E108" s="49"/>
      <c r="F108" s="49"/>
      <c r="G108" s="49"/>
      <c r="H108" s="49"/>
      <c r="I108" s="49"/>
      <c r="J108" s="49"/>
      <c r="K108" s="49"/>
      <c r="L108" s="49"/>
      <c r="M108" s="49"/>
      <c r="N108" s="49"/>
      <c r="O108" s="49"/>
      <c r="P108" s="49"/>
      <c r="Q108" s="51"/>
      <c r="R108" s="51"/>
      <c r="S108" s="51"/>
      <c r="T108" s="49"/>
      <c r="U108" s="2"/>
      <c r="V108" s="2"/>
      <c r="W108" s="2"/>
      <c r="X108" s="2"/>
      <c r="Y108" s="2"/>
      <c r="Z108" s="2"/>
    </row>
    <row r="109" ht="13.5" customHeight="1">
      <c r="A109" s="49"/>
      <c r="B109" s="49"/>
      <c r="C109" s="49"/>
      <c r="D109" s="49"/>
      <c r="E109" s="49"/>
      <c r="F109" s="49"/>
      <c r="G109" s="49"/>
      <c r="H109" s="49"/>
      <c r="I109" s="49"/>
      <c r="J109" s="49"/>
      <c r="K109" s="49"/>
      <c r="L109" s="49"/>
      <c r="M109" s="49"/>
      <c r="N109" s="49"/>
      <c r="O109" s="49"/>
      <c r="P109" s="49"/>
      <c r="Q109" s="51"/>
      <c r="R109" s="51"/>
      <c r="S109" s="51"/>
      <c r="T109" s="49"/>
      <c r="U109" s="2"/>
      <c r="V109" s="2"/>
      <c r="W109" s="2"/>
      <c r="X109" s="2"/>
      <c r="Y109" s="2"/>
      <c r="Z109" s="2"/>
    </row>
    <row r="110" ht="13.5" customHeight="1">
      <c r="A110" s="49"/>
      <c r="B110" s="49"/>
      <c r="C110" s="49"/>
      <c r="D110" s="49"/>
      <c r="E110" s="49"/>
      <c r="F110" s="49"/>
      <c r="G110" s="49"/>
      <c r="H110" s="49"/>
      <c r="I110" s="49"/>
      <c r="J110" s="49"/>
      <c r="K110" s="49"/>
      <c r="L110" s="49"/>
      <c r="M110" s="49"/>
      <c r="N110" s="49"/>
      <c r="O110" s="49"/>
      <c r="P110" s="49"/>
      <c r="Q110" s="51"/>
      <c r="R110" s="51"/>
      <c r="S110" s="51"/>
      <c r="T110" s="49"/>
      <c r="U110" s="2"/>
      <c r="V110" s="2"/>
      <c r="W110" s="2"/>
      <c r="X110" s="2"/>
      <c r="Y110" s="2"/>
      <c r="Z110" s="2"/>
    </row>
    <row r="111" ht="13.5" customHeight="1">
      <c r="A111" s="49"/>
      <c r="B111" s="49"/>
      <c r="C111" s="49"/>
      <c r="D111" s="49"/>
      <c r="E111" s="49"/>
      <c r="F111" s="49"/>
      <c r="G111" s="49"/>
      <c r="H111" s="49"/>
      <c r="I111" s="49"/>
      <c r="J111" s="49"/>
      <c r="K111" s="49"/>
      <c r="L111" s="49"/>
      <c r="M111" s="49"/>
      <c r="N111" s="49"/>
      <c r="O111" s="49"/>
      <c r="P111" s="49"/>
      <c r="Q111" s="51"/>
      <c r="R111" s="51"/>
      <c r="S111" s="51"/>
      <c r="T111" s="49"/>
      <c r="U111" s="2"/>
      <c r="V111" s="2"/>
      <c r="W111" s="2"/>
      <c r="X111" s="2"/>
      <c r="Y111" s="2"/>
      <c r="Z111" s="2"/>
    </row>
    <row r="112" ht="13.5" customHeight="1">
      <c r="A112" s="49"/>
      <c r="B112" s="49"/>
      <c r="C112" s="49"/>
      <c r="D112" s="49"/>
      <c r="E112" s="49"/>
      <c r="F112" s="49"/>
      <c r="G112" s="49"/>
      <c r="H112" s="49"/>
      <c r="I112" s="49"/>
      <c r="J112" s="49"/>
      <c r="K112" s="49"/>
      <c r="L112" s="49"/>
      <c r="M112" s="49"/>
      <c r="N112" s="49"/>
      <c r="O112" s="49"/>
      <c r="P112" s="49"/>
      <c r="Q112" s="51"/>
      <c r="R112" s="51"/>
      <c r="S112" s="51"/>
      <c r="T112" s="49"/>
      <c r="U112" s="2"/>
      <c r="V112" s="2"/>
      <c r="W112" s="2"/>
      <c r="X112" s="2"/>
      <c r="Y112" s="2"/>
      <c r="Z112" s="2"/>
    </row>
    <row r="113" ht="13.5" customHeight="1">
      <c r="A113" s="49"/>
      <c r="B113" s="49"/>
      <c r="C113" s="49"/>
      <c r="D113" s="49"/>
      <c r="E113" s="49"/>
      <c r="F113" s="49"/>
      <c r="G113" s="49"/>
      <c r="H113" s="49"/>
      <c r="I113" s="49"/>
      <c r="J113" s="49"/>
      <c r="K113" s="49"/>
      <c r="L113" s="49"/>
      <c r="M113" s="49"/>
      <c r="N113" s="49"/>
      <c r="O113" s="49"/>
      <c r="P113" s="49"/>
      <c r="Q113" s="51"/>
      <c r="R113" s="51"/>
      <c r="S113" s="51"/>
      <c r="T113" s="49"/>
      <c r="U113" s="2"/>
      <c r="V113" s="2"/>
      <c r="W113" s="2"/>
      <c r="X113" s="2"/>
      <c r="Y113" s="2"/>
      <c r="Z113" s="2"/>
    </row>
    <row r="114" ht="13.5" customHeight="1">
      <c r="A114" s="49"/>
      <c r="B114" s="49"/>
      <c r="C114" s="49"/>
      <c r="D114" s="49"/>
      <c r="E114" s="49"/>
      <c r="F114" s="49"/>
      <c r="G114" s="49"/>
      <c r="H114" s="49"/>
      <c r="I114" s="49"/>
      <c r="J114" s="49"/>
      <c r="K114" s="49"/>
      <c r="L114" s="49"/>
      <c r="M114" s="49"/>
      <c r="N114" s="49"/>
      <c r="O114" s="49"/>
      <c r="P114" s="49"/>
      <c r="Q114" s="51"/>
      <c r="R114" s="51"/>
      <c r="S114" s="51"/>
      <c r="T114" s="49"/>
      <c r="U114" s="2"/>
      <c r="V114" s="2"/>
      <c r="W114" s="2"/>
      <c r="X114" s="2"/>
      <c r="Y114" s="2"/>
      <c r="Z114" s="2"/>
    </row>
    <row r="115" ht="13.5" customHeight="1">
      <c r="A115" s="49"/>
      <c r="B115" s="49"/>
      <c r="C115" s="49"/>
      <c r="D115" s="49"/>
      <c r="E115" s="49"/>
      <c r="F115" s="49"/>
      <c r="G115" s="49"/>
      <c r="H115" s="49"/>
      <c r="I115" s="49"/>
      <c r="J115" s="49"/>
      <c r="K115" s="49"/>
      <c r="L115" s="49"/>
      <c r="M115" s="49"/>
      <c r="N115" s="49"/>
      <c r="O115" s="49"/>
      <c r="P115" s="49"/>
      <c r="Q115" s="51"/>
      <c r="R115" s="51"/>
      <c r="S115" s="51"/>
      <c r="T115" s="49"/>
      <c r="U115" s="2"/>
      <c r="V115" s="2"/>
      <c r="W115" s="2"/>
      <c r="X115" s="2"/>
      <c r="Y115" s="2"/>
      <c r="Z115" s="2"/>
    </row>
    <row r="116" ht="13.5" customHeight="1">
      <c r="A116" s="49"/>
      <c r="B116" s="49"/>
      <c r="C116" s="49"/>
      <c r="D116" s="49"/>
      <c r="E116" s="49"/>
      <c r="F116" s="49"/>
      <c r="G116" s="49"/>
      <c r="H116" s="49"/>
      <c r="I116" s="49"/>
      <c r="J116" s="49"/>
      <c r="K116" s="49"/>
      <c r="L116" s="49"/>
      <c r="M116" s="49"/>
      <c r="N116" s="49"/>
      <c r="O116" s="49"/>
      <c r="P116" s="49"/>
      <c r="Q116" s="51"/>
      <c r="R116" s="51"/>
      <c r="S116" s="51"/>
      <c r="T116" s="49"/>
      <c r="U116" s="2"/>
      <c r="V116" s="2"/>
      <c r="W116" s="2"/>
      <c r="X116" s="2"/>
      <c r="Y116" s="2"/>
      <c r="Z116" s="2"/>
    </row>
    <row r="117" ht="13.5" customHeight="1">
      <c r="A117" s="49"/>
      <c r="B117" s="49"/>
      <c r="C117" s="49"/>
      <c r="D117" s="49"/>
      <c r="E117" s="49"/>
      <c r="F117" s="49"/>
      <c r="G117" s="49"/>
      <c r="H117" s="49"/>
      <c r="I117" s="49"/>
      <c r="J117" s="49"/>
      <c r="K117" s="49"/>
      <c r="L117" s="49"/>
      <c r="M117" s="49"/>
      <c r="N117" s="49"/>
      <c r="O117" s="49"/>
      <c r="P117" s="49"/>
      <c r="Q117" s="51"/>
      <c r="R117" s="51"/>
      <c r="S117" s="51"/>
      <c r="T117" s="49"/>
      <c r="U117" s="2"/>
      <c r="V117" s="2"/>
      <c r="W117" s="2"/>
      <c r="X117" s="2"/>
      <c r="Y117" s="2"/>
      <c r="Z117" s="2"/>
    </row>
    <row r="118" ht="13.5" customHeight="1">
      <c r="A118" s="49"/>
      <c r="B118" s="49"/>
      <c r="C118" s="49"/>
      <c r="D118" s="49"/>
      <c r="E118" s="49"/>
      <c r="F118" s="49"/>
      <c r="G118" s="49"/>
      <c r="H118" s="49"/>
      <c r="I118" s="49"/>
      <c r="J118" s="49"/>
      <c r="K118" s="49"/>
      <c r="L118" s="49"/>
      <c r="M118" s="49"/>
      <c r="N118" s="49"/>
      <c r="O118" s="49"/>
      <c r="P118" s="49"/>
      <c r="Q118" s="51"/>
      <c r="R118" s="51"/>
      <c r="S118" s="51"/>
      <c r="T118" s="49"/>
      <c r="U118" s="2"/>
      <c r="V118" s="2"/>
      <c r="W118" s="2"/>
      <c r="X118" s="2"/>
      <c r="Y118" s="2"/>
      <c r="Z118" s="2"/>
    </row>
    <row r="119" ht="13.5" customHeight="1">
      <c r="A119" s="49"/>
      <c r="B119" s="49"/>
      <c r="C119" s="49"/>
      <c r="D119" s="49"/>
      <c r="E119" s="49"/>
      <c r="F119" s="49"/>
      <c r="G119" s="49"/>
      <c r="H119" s="49"/>
      <c r="I119" s="49"/>
      <c r="J119" s="49"/>
      <c r="K119" s="49"/>
      <c r="L119" s="49"/>
      <c r="M119" s="49"/>
      <c r="N119" s="49"/>
      <c r="O119" s="49"/>
      <c r="P119" s="49"/>
      <c r="Q119" s="51"/>
      <c r="R119" s="51"/>
      <c r="S119" s="51"/>
      <c r="T119" s="49"/>
      <c r="U119" s="2"/>
      <c r="V119" s="2"/>
      <c r="W119" s="2"/>
      <c r="X119" s="2"/>
      <c r="Y119" s="2"/>
      <c r="Z119" s="2"/>
    </row>
    <row r="120" ht="13.5" customHeight="1">
      <c r="A120" s="49"/>
      <c r="B120" s="49"/>
      <c r="C120" s="49"/>
      <c r="D120" s="49"/>
      <c r="E120" s="49"/>
      <c r="F120" s="49"/>
      <c r="G120" s="49"/>
      <c r="H120" s="49"/>
      <c r="I120" s="49"/>
      <c r="J120" s="49"/>
      <c r="K120" s="49"/>
      <c r="L120" s="49"/>
      <c r="M120" s="49"/>
      <c r="N120" s="49"/>
      <c r="O120" s="49"/>
      <c r="P120" s="49"/>
      <c r="Q120" s="51"/>
      <c r="R120" s="51"/>
      <c r="S120" s="51"/>
      <c r="T120" s="49"/>
      <c r="U120" s="2"/>
      <c r="V120" s="2"/>
      <c r="W120" s="2"/>
      <c r="X120" s="2"/>
      <c r="Y120" s="2"/>
      <c r="Z120" s="2"/>
    </row>
    <row r="121" ht="13.5" customHeight="1">
      <c r="A121" s="49"/>
      <c r="B121" s="49"/>
      <c r="C121" s="49"/>
      <c r="D121" s="49"/>
      <c r="E121" s="49"/>
      <c r="F121" s="49"/>
      <c r="G121" s="49"/>
      <c r="H121" s="49"/>
      <c r="I121" s="49"/>
      <c r="J121" s="49"/>
      <c r="K121" s="49"/>
      <c r="L121" s="49"/>
      <c r="M121" s="49"/>
      <c r="N121" s="49"/>
      <c r="O121" s="49"/>
      <c r="P121" s="49"/>
      <c r="Q121" s="51"/>
      <c r="R121" s="51"/>
      <c r="S121" s="51"/>
      <c r="T121" s="49"/>
      <c r="U121" s="2"/>
      <c r="V121" s="2"/>
      <c r="W121" s="2"/>
      <c r="X121" s="2"/>
      <c r="Y121" s="2"/>
      <c r="Z121" s="2"/>
    </row>
    <row r="122" ht="13.5" customHeight="1">
      <c r="A122" s="49"/>
      <c r="B122" s="49"/>
      <c r="C122" s="49"/>
      <c r="D122" s="49"/>
      <c r="E122" s="49"/>
      <c r="F122" s="49"/>
      <c r="G122" s="49"/>
      <c r="H122" s="49"/>
      <c r="I122" s="49"/>
      <c r="J122" s="49"/>
      <c r="K122" s="49"/>
      <c r="L122" s="49"/>
      <c r="M122" s="49"/>
      <c r="N122" s="49"/>
      <c r="O122" s="49"/>
      <c r="P122" s="49"/>
      <c r="Q122" s="51"/>
      <c r="R122" s="51"/>
      <c r="S122" s="51"/>
      <c r="T122" s="49"/>
      <c r="U122" s="2"/>
      <c r="V122" s="2"/>
      <c r="W122" s="2"/>
      <c r="X122" s="2"/>
      <c r="Y122" s="2"/>
      <c r="Z122" s="2"/>
    </row>
    <row r="123" ht="13.5" customHeight="1">
      <c r="A123" s="49"/>
      <c r="B123" s="49"/>
      <c r="C123" s="49"/>
      <c r="D123" s="49"/>
      <c r="E123" s="49"/>
      <c r="F123" s="49"/>
      <c r="G123" s="49"/>
      <c r="H123" s="49"/>
      <c r="I123" s="49"/>
      <c r="J123" s="49"/>
      <c r="K123" s="49"/>
      <c r="L123" s="49"/>
      <c r="M123" s="49"/>
      <c r="N123" s="49"/>
      <c r="O123" s="49"/>
      <c r="P123" s="49"/>
      <c r="Q123" s="51"/>
      <c r="R123" s="51"/>
      <c r="S123" s="51"/>
      <c r="T123" s="49"/>
      <c r="U123" s="2"/>
      <c r="V123" s="2"/>
      <c r="W123" s="2"/>
      <c r="X123" s="2"/>
      <c r="Y123" s="2"/>
      <c r="Z123" s="2"/>
    </row>
    <row r="124" ht="13.5" customHeight="1">
      <c r="A124" s="49"/>
      <c r="B124" s="49"/>
      <c r="C124" s="49"/>
      <c r="D124" s="49"/>
      <c r="E124" s="49"/>
      <c r="F124" s="49"/>
      <c r="G124" s="49"/>
      <c r="H124" s="49"/>
      <c r="I124" s="49"/>
      <c r="J124" s="49"/>
      <c r="K124" s="49"/>
      <c r="L124" s="49"/>
      <c r="M124" s="49"/>
      <c r="N124" s="49"/>
      <c r="O124" s="49"/>
      <c r="P124" s="49"/>
      <c r="Q124" s="51"/>
      <c r="R124" s="51"/>
      <c r="S124" s="51"/>
      <c r="T124" s="49"/>
      <c r="U124" s="2"/>
      <c r="V124" s="2"/>
      <c r="W124" s="2"/>
      <c r="X124" s="2"/>
      <c r="Y124" s="2"/>
      <c r="Z124" s="2"/>
    </row>
    <row r="125" ht="13.5" customHeight="1">
      <c r="A125" s="49"/>
      <c r="B125" s="49"/>
      <c r="C125" s="49"/>
      <c r="D125" s="49"/>
      <c r="E125" s="49"/>
      <c r="F125" s="49"/>
      <c r="G125" s="49"/>
      <c r="H125" s="49"/>
      <c r="I125" s="49"/>
      <c r="J125" s="49"/>
      <c r="K125" s="49"/>
      <c r="L125" s="49"/>
      <c r="M125" s="49"/>
      <c r="N125" s="49"/>
      <c r="O125" s="49"/>
      <c r="P125" s="49"/>
      <c r="Q125" s="51"/>
      <c r="R125" s="51"/>
      <c r="S125" s="51"/>
      <c r="T125" s="49"/>
      <c r="U125" s="2"/>
      <c r="V125" s="2"/>
      <c r="W125" s="2"/>
      <c r="X125" s="2"/>
      <c r="Y125" s="2"/>
      <c r="Z125" s="2"/>
    </row>
    <row r="126" ht="13.5" customHeight="1">
      <c r="A126" s="49"/>
      <c r="B126" s="49"/>
      <c r="C126" s="49"/>
      <c r="D126" s="49"/>
      <c r="E126" s="49"/>
      <c r="F126" s="49"/>
      <c r="G126" s="49"/>
      <c r="H126" s="49"/>
      <c r="I126" s="49"/>
      <c r="J126" s="49"/>
      <c r="K126" s="49"/>
      <c r="L126" s="49"/>
      <c r="M126" s="49"/>
      <c r="N126" s="49"/>
      <c r="O126" s="49"/>
      <c r="P126" s="49"/>
      <c r="Q126" s="51"/>
      <c r="R126" s="51"/>
      <c r="S126" s="51"/>
      <c r="T126" s="49"/>
      <c r="U126" s="2"/>
      <c r="V126" s="2"/>
      <c r="W126" s="2"/>
      <c r="X126" s="2"/>
      <c r="Y126" s="2"/>
      <c r="Z126" s="2"/>
    </row>
    <row r="127" ht="13.5" customHeight="1">
      <c r="A127" s="49"/>
      <c r="B127" s="49"/>
      <c r="C127" s="49"/>
      <c r="D127" s="49"/>
      <c r="E127" s="49"/>
      <c r="F127" s="49"/>
      <c r="G127" s="49"/>
      <c r="H127" s="49"/>
      <c r="I127" s="49"/>
      <c r="J127" s="49"/>
      <c r="K127" s="49"/>
      <c r="L127" s="49"/>
      <c r="M127" s="49"/>
      <c r="N127" s="49"/>
      <c r="O127" s="49"/>
      <c r="P127" s="49"/>
      <c r="Q127" s="51"/>
      <c r="R127" s="51"/>
      <c r="S127" s="51"/>
      <c r="T127" s="49"/>
      <c r="U127" s="2"/>
      <c r="V127" s="2"/>
      <c r="W127" s="2"/>
      <c r="X127" s="2"/>
      <c r="Y127" s="2"/>
      <c r="Z127" s="2"/>
    </row>
    <row r="128" ht="13.5" customHeight="1">
      <c r="A128" s="49"/>
      <c r="B128" s="49"/>
      <c r="C128" s="49"/>
      <c r="D128" s="49"/>
      <c r="E128" s="49"/>
      <c r="F128" s="49"/>
      <c r="G128" s="49"/>
      <c r="H128" s="49"/>
      <c r="I128" s="49"/>
      <c r="J128" s="49"/>
      <c r="K128" s="49"/>
      <c r="L128" s="49"/>
      <c r="M128" s="49"/>
      <c r="N128" s="49"/>
      <c r="O128" s="49"/>
      <c r="P128" s="49"/>
      <c r="Q128" s="51"/>
      <c r="R128" s="51"/>
      <c r="S128" s="51"/>
      <c r="T128" s="49"/>
      <c r="U128" s="2"/>
      <c r="V128" s="2"/>
      <c r="W128" s="2"/>
      <c r="X128" s="2"/>
      <c r="Y128" s="2"/>
      <c r="Z128" s="2"/>
    </row>
    <row r="129" ht="13.5" customHeight="1">
      <c r="A129" s="49"/>
      <c r="B129" s="49"/>
      <c r="C129" s="49"/>
      <c r="D129" s="49"/>
      <c r="E129" s="49"/>
      <c r="F129" s="49"/>
      <c r="G129" s="49"/>
      <c r="H129" s="49"/>
      <c r="I129" s="49"/>
      <c r="J129" s="49"/>
      <c r="K129" s="49"/>
      <c r="L129" s="49"/>
      <c r="M129" s="49"/>
      <c r="N129" s="49"/>
      <c r="O129" s="49"/>
      <c r="P129" s="49"/>
      <c r="Q129" s="51"/>
      <c r="R129" s="51"/>
      <c r="S129" s="51"/>
      <c r="T129" s="49"/>
      <c r="U129" s="2"/>
      <c r="V129" s="2"/>
      <c r="W129" s="2"/>
      <c r="X129" s="2"/>
      <c r="Y129" s="2"/>
      <c r="Z129" s="2"/>
    </row>
    <row r="130" ht="13.5" customHeight="1">
      <c r="A130" s="49"/>
      <c r="B130" s="49"/>
      <c r="C130" s="49"/>
      <c r="D130" s="49"/>
      <c r="E130" s="49"/>
      <c r="F130" s="49"/>
      <c r="G130" s="49"/>
      <c r="H130" s="49"/>
      <c r="I130" s="49"/>
      <c r="J130" s="49"/>
      <c r="K130" s="49"/>
      <c r="L130" s="49"/>
      <c r="M130" s="49"/>
      <c r="N130" s="49"/>
      <c r="O130" s="49"/>
      <c r="P130" s="49"/>
      <c r="Q130" s="51"/>
      <c r="R130" s="51"/>
      <c r="S130" s="51"/>
      <c r="T130" s="49"/>
      <c r="U130" s="2"/>
      <c r="V130" s="2"/>
      <c r="W130" s="2"/>
      <c r="X130" s="2"/>
      <c r="Y130" s="2"/>
      <c r="Z130" s="2"/>
    </row>
    <row r="131" ht="13.5" customHeight="1">
      <c r="A131" s="49"/>
      <c r="B131" s="49"/>
      <c r="C131" s="49"/>
      <c r="D131" s="49"/>
      <c r="E131" s="49"/>
      <c r="F131" s="49"/>
      <c r="G131" s="49"/>
      <c r="H131" s="49"/>
      <c r="I131" s="49"/>
      <c r="J131" s="49"/>
      <c r="K131" s="49"/>
      <c r="L131" s="49"/>
      <c r="M131" s="49"/>
      <c r="N131" s="49"/>
      <c r="O131" s="49"/>
      <c r="P131" s="49"/>
      <c r="Q131" s="51"/>
      <c r="R131" s="51"/>
      <c r="S131" s="51"/>
      <c r="T131" s="49"/>
      <c r="U131" s="2"/>
      <c r="V131" s="2"/>
      <c r="W131" s="2"/>
      <c r="X131" s="2"/>
      <c r="Y131" s="2"/>
      <c r="Z131" s="2"/>
    </row>
    <row r="132" ht="13.5" customHeight="1">
      <c r="A132" s="49"/>
      <c r="B132" s="49"/>
      <c r="C132" s="49"/>
      <c r="D132" s="49"/>
      <c r="E132" s="49"/>
      <c r="F132" s="49"/>
      <c r="G132" s="49"/>
      <c r="H132" s="49"/>
      <c r="I132" s="49"/>
      <c r="J132" s="49"/>
      <c r="K132" s="49"/>
      <c r="L132" s="49"/>
      <c r="M132" s="49"/>
      <c r="N132" s="49"/>
      <c r="O132" s="49"/>
      <c r="P132" s="49"/>
      <c r="Q132" s="51"/>
      <c r="R132" s="51"/>
      <c r="S132" s="51"/>
      <c r="T132" s="49"/>
      <c r="U132" s="2"/>
      <c r="V132" s="2"/>
      <c r="W132" s="2"/>
      <c r="X132" s="2"/>
      <c r="Y132" s="2"/>
      <c r="Z132" s="2"/>
    </row>
    <row r="133" ht="13.5" customHeight="1">
      <c r="A133" s="49"/>
      <c r="B133" s="49"/>
      <c r="C133" s="49"/>
      <c r="D133" s="49"/>
      <c r="E133" s="49"/>
      <c r="F133" s="49"/>
      <c r="G133" s="49"/>
      <c r="H133" s="49"/>
      <c r="I133" s="49"/>
      <c r="J133" s="49"/>
      <c r="K133" s="49"/>
      <c r="L133" s="49"/>
      <c r="M133" s="49"/>
      <c r="N133" s="49"/>
      <c r="O133" s="49"/>
      <c r="P133" s="49"/>
      <c r="Q133" s="51"/>
      <c r="R133" s="51"/>
      <c r="S133" s="51"/>
      <c r="T133" s="49"/>
      <c r="U133" s="2"/>
      <c r="V133" s="2"/>
      <c r="W133" s="2"/>
      <c r="X133" s="2"/>
      <c r="Y133" s="2"/>
      <c r="Z133" s="2"/>
    </row>
    <row r="134" ht="13.5" customHeight="1">
      <c r="A134" s="49"/>
      <c r="B134" s="49"/>
      <c r="C134" s="49"/>
      <c r="D134" s="49"/>
      <c r="E134" s="49"/>
      <c r="F134" s="49"/>
      <c r="G134" s="49"/>
      <c r="H134" s="49"/>
      <c r="I134" s="49"/>
      <c r="J134" s="49"/>
      <c r="K134" s="49"/>
      <c r="L134" s="49"/>
      <c r="M134" s="49"/>
      <c r="N134" s="49"/>
      <c r="O134" s="49"/>
      <c r="P134" s="49"/>
      <c r="Q134" s="51"/>
      <c r="R134" s="51"/>
      <c r="S134" s="51"/>
      <c r="T134" s="49"/>
      <c r="U134" s="2"/>
      <c r="V134" s="2"/>
      <c r="W134" s="2"/>
      <c r="X134" s="2"/>
      <c r="Y134" s="2"/>
      <c r="Z134" s="2"/>
    </row>
    <row r="135" ht="13.5" customHeight="1">
      <c r="A135" s="49"/>
      <c r="B135" s="49"/>
      <c r="C135" s="49"/>
      <c r="D135" s="49"/>
      <c r="E135" s="49"/>
      <c r="F135" s="49"/>
      <c r="G135" s="49"/>
      <c r="H135" s="49"/>
      <c r="I135" s="49"/>
      <c r="J135" s="49"/>
      <c r="K135" s="49"/>
      <c r="L135" s="49"/>
      <c r="M135" s="49"/>
      <c r="N135" s="49"/>
      <c r="O135" s="49"/>
      <c r="P135" s="49"/>
      <c r="Q135" s="51"/>
      <c r="R135" s="51"/>
      <c r="S135" s="51"/>
      <c r="T135" s="49"/>
      <c r="U135" s="2"/>
      <c r="V135" s="2"/>
      <c r="W135" s="2"/>
      <c r="X135" s="2"/>
      <c r="Y135" s="2"/>
      <c r="Z135" s="2"/>
    </row>
    <row r="136" ht="13.5" customHeight="1">
      <c r="A136" s="49"/>
      <c r="B136" s="49"/>
      <c r="C136" s="49"/>
      <c r="D136" s="49"/>
      <c r="E136" s="49"/>
      <c r="F136" s="49"/>
      <c r="G136" s="49"/>
      <c r="H136" s="49"/>
      <c r="I136" s="49"/>
      <c r="J136" s="49"/>
      <c r="K136" s="49"/>
      <c r="L136" s="49"/>
      <c r="M136" s="49"/>
      <c r="N136" s="49"/>
      <c r="O136" s="49"/>
      <c r="P136" s="49"/>
      <c r="Q136" s="51"/>
      <c r="R136" s="51"/>
      <c r="S136" s="51"/>
      <c r="T136" s="49"/>
      <c r="U136" s="2"/>
      <c r="V136" s="2"/>
      <c r="W136" s="2"/>
      <c r="X136" s="2"/>
      <c r="Y136" s="2"/>
      <c r="Z136" s="2"/>
    </row>
    <row r="137" ht="13.5" customHeight="1">
      <c r="A137" s="49"/>
      <c r="B137" s="49"/>
      <c r="C137" s="49"/>
      <c r="D137" s="49"/>
      <c r="E137" s="49"/>
      <c r="F137" s="49"/>
      <c r="G137" s="49"/>
      <c r="H137" s="49"/>
      <c r="I137" s="49"/>
      <c r="J137" s="49"/>
      <c r="K137" s="49"/>
      <c r="L137" s="49"/>
      <c r="M137" s="49"/>
      <c r="N137" s="49"/>
      <c r="O137" s="49"/>
      <c r="P137" s="49"/>
      <c r="Q137" s="51"/>
      <c r="R137" s="51"/>
      <c r="S137" s="51"/>
      <c r="T137" s="49"/>
      <c r="U137" s="2"/>
      <c r="V137" s="2"/>
      <c r="W137" s="2"/>
      <c r="X137" s="2"/>
      <c r="Y137" s="2"/>
      <c r="Z137" s="2"/>
    </row>
    <row r="138" ht="13.5" customHeight="1">
      <c r="A138" s="49"/>
      <c r="B138" s="49"/>
      <c r="C138" s="49"/>
      <c r="D138" s="49"/>
      <c r="E138" s="49"/>
      <c r="F138" s="49"/>
      <c r="G138" s="49"/>
      <c r="H138" s="49"/>
      <c r="I138" s="49"/>
      <c r="J138" s="49"/>
      <c r="K138" s="49"/>
      <c r="L138" s="49"/>
      <c r="M138" s="49"/>
      <c r="N138" s="49"/>
      <c r="O138" s="49"/>
      <c r="P138" s="49"/>
      <c r="Q138" s="51"/>
      <c r="R138" s="51"/>
      <c r="S138" s="51"/>
      <c r="T138" s="49"/>
      <c r="U138" s="2"/>
      <c r="V138" s="2"/>
      <c r="W138" s="2"/>
      <c r="X138" s="2"/>
      <c r="Y138" s="2"/>
      <c r="Z138" s="2"/>
    </row>
    <row r="139" ht="13.5" customHeight="1">
      <c r="A139" s="49"/>
      <c r="B139" s="49"/>
      <c r="C139" s="49"/>
      <c r="D139" s="49"/>
      <c r="E139" s="49"/>
      <c r="F139" s="49"/>
      <c r="G139" s="49"/>
      <c r="H139" s="49"/>
      <c r="I139" s="49"/>
      <c r="J139" s="49"/>
      <c r="K139" s="49"/>
      <c r="L139" s="49"/>
      <c r="M139" s="49"/>
      <c r="N139" s="49"/>
      <c r="O139" s="49"/>
      <c r="P139" s="49"/>
      <c r="Q139" s="51"/>
      <c r="R139" s="51"/>
      <c r="S139" s="51"/>
      <c r="T139" s="49"/>
      <c r="U139" s="2"/>
      <c r="V139" s="2"/>
      <c r="W139" s="2"/>
      <c r="X139" s="2"/>
      <c r="Y139" s="2"/>
      <c r="Z139" s="2"/>
    </row>
    <row r="140" ht="13.5" customHeight="1">
      <c r="A140" s="49"/>
      <c r="B140" s="49"/>
      <c r="C140" s="49"/>
      <c r="D140" s="49"/>
      <c r="E140" s="49"/>
      <c r="F140" s="49"/>
      <c r="G140" s="49"/>
      <c r="H140" s="49"/>
      <c r="I140" s="49"/>
      <c r="J140" s="49"/>
      <c r="K140" s="49"/>
      <c r="L140" s="49"/>
      <c r="M140" s="49"/>
      <c r="N140" s="49"/>
      <c r="O140" s="49"/>
      <c r="P140" s="49"/>
      <c r="Q140" s="51"/>
      <c r="R140" s="51"/>
      <c r="S140" s="51"/>
      <c r="T140" s="49"/>
      <c r="U140" s="2"/>
      <c r="V140" s="2"/>
      <c r="W140" s="2"/>
      <c r="X140" s="2"/>
      <c r="Y140" s="2"/>
      <c r="Z140" s="2"/>
    </row>
    <row r="141" ht="13.5" customHeight="1">
      <c r="A141" s="49"/>
      <c r="B141" s="49"/>
      <c r="C141" s="49"/>
      <c r="D141" s="49"/>
      <c r="E141" s="49"/>
      <c r="F141" s="49"/>
      <c r="G141" s="49"/>
      <c r="H141" s="49"/>
      <c r="I141" s="49"/>
      <c r="J141" s="49"/>
      <c r="K141" s="49"/>
      <c r="L141" s="49"/>
      <c r="M141" s="49"/>
      <c r="N141" s="49"/>
      <c r="O141" s="49"/>
      <c r="P141" s="49"/>
      <c r="Q141" s="51"/>
      <c r="R141" s="51"/>
      <c r="S141" s="51"/>
      <c r="T141" s="49"/>
      <c r="U141" s="2"/>
      <c r="V141" s="2"/>
      <c r="W141" s="2"/>
      <c r="X141" s="2"/>
      <c r="Y141" s="2"/>
      <c r="Z141" s="2"/>
    </row>
    <row r="142" ht="13.5" customHeight="1">
      <c r="A142" s="49"/>
      <c r="B142" s="49"/>
      <c r="C142" s="49"/>
      <c r="D142" s="49"/>
      <c r="E142" s="49"/>
      <c r="F142" s="49"/>
      <c r="G142" s="49"/>
      <c r="H142" s="49"/>
      <c r="I142" s="49"/>
      <c r="J142" s="49"/>
      <c r="K142" s="49"/>
      <c r="L142" s="49"/>
      <c r="M142" s="49"/>
      <c r="N142" s="49"/>
      <c r="O142" s="49"/>
      <c r="P142" s="49"/>
      <c r="Q142" s="51"/>
      <c r="R142" s="51"/>
      <c r="S142" s="51"/>
      <c r="T142" s="49"/>
      <c r="U142" s="2"/>
      <c r="V142" s="2"/>
      <c r="W142" s="2"/>
      <c r="X142" s="2"/>
      <c r="Y142" s="2"/>
      <c r="Z142" s="2"/>
    </row>
    <row r="143" ht="13.5" customHeight="1">
      <c r="A143" s="49"/>
      <c r="B143" s="49"/>
      <c r="C143" s="49"/>
      <c r="D143" s="49"/>
      <c r="E143" s="49"/>
      <c r="F143" s="49"/>
      <c r="G143" s="49"/>
      <c r="H143" s="49"/>
      <c r="I143" s="49"/>
      <c r="J143" s="49"/>
      <c r="K143" s="49"/>
      <c r="L143" s="49"/>
      <c r="M143" s="49"/>
      <c r="N143" s="49"/>
      <c r="O143" s="49"/>
      <c r="P143" s="49"/>
      <c r="Q143" s="51"/>
      <c r="R143" s="51"/>
      <c r="S143" s="51"/>
      <c r="T143" s="49"/>
      <c r="U143" s="2"/>
      <c r="V143" s="2"/>
      <c r="W143" s="2"/>
      <c r="X143" s="2"/>
      <c r="Y143" s="2"/>
      <c r="Z143" s="2"/>
    </row>
    <row r="144" ht="13.5" customHeight="1">
      <c r="A144" s="49"/>
      <c r="B144" s="49"/>
      <c r="C144" s="49"/>
      <c r="D144" s="49"/>
      <c r="E144" s="49"/>
      <c r="F144" s="49"/>
      <c r="G144" s="49"/>
      <c r="H144" s="49"/>
      <c r="I144" s="49"/>
      <c r="J144" s="49"/>
      <c r="K144" s="49"/>
      <c r="L144" s="49"/>
      <c r="M144" s="49"/>
      <c r="N144" s="49"/>
      <c r="O144" s="49"/>
      <c r="P144" s="49"/>
      <c r="Q144" s="51"/>
      <c r="R144" s="51"/>
      <c r="S144" s="51"/>
      <c r="T144" s="49"/>
      <c r="U144" s="2"/>
      <c r="V144" s="2"/>
      <c r="W144" s="2"/>
      <c r="X144" s="2"/>
      <c r="Y144" s="2"/>
      <c r="Z144" s="2"/>
    </row>
    <row r="145" ht="13.5" customHeight="1">
      <c r="A145" s="49"/>
      <c r="B145" s="49"/>
      <c r="C145" s="49"/>
      <c r="D145" s="49"/>
      <c r="E145" s="49"/>
      <c r="F145" s="49"/>
      <c r="G145" s="49"/>
      <c r="H145" s="49"/>
      <c r="I145" s="49"/>
      <c r="J145" s="49"/>
      <c r="K145" s="49"/>
      <c r="L145" s="49"/>
      <c r="M145" s="49"/>
      <c r="N145" s="49"/>
      <c r="O145" s="49"/>
      <c r="P145" s="49"/>
      <c r="Q145" s="51"/>
      <c r="R145" s="51"/>
      <c r="S145" s="51"/>
      <c r="T145" s="49"/>
      <c r="U145" s="2"/>
      <c r="V145" s="2"/>
      <c r="W145" s="2"/>
      <c r="X145" s="2"/>
      <c r="Y145" s="2"/>
      <c r="Z145" s="2"/>
    </row>
    <row r="146" ht="13.5" customHeight="1">
      <c r="A146" s="49"/>
      <c r="B146" s="49"/>
      <c r="C146" s="49"/>
      <c r="D146" s="49"/>
      <c r="E146" s="49"/>
      <c r="F146" s="49"/>
      <c r="G146" s="49"/>
      <c r="H146" s="49"/>
      <c r="I146" s="49"/>
      <c r="J146" s="49"/>
      <c r="K146" s="49"/>
      <c r="L146" s="49"/>
      <c r="M146" s="49"/>
      <c r="N146" s="49"/>
      <c r="O146" s="49"/>
      <c r="P146" s="49"/>
      <c r="Q146" s="51"/>
      <c r="R146" s="51"/>
      <c r="S146" s="51"/>
      <c r="T146" s="49"/>
      <c r="U146" s="2"/>
      <c r="V146" s="2"/>
      <c r="W146" s="2"/>
      <c r="X146" s="2"/>
      <c r="Y146" s="2"/>
      <c r="Z146" s="2"/>
    </row>
    <row r="147" ht="13.5" customHeight="1">
      <c r="A147" s="49"/>
      <c r="B147" s="49"/>
      <c r="C147" s="49"/>
      <c r="D147" s="49"/>
      <c r="E147" s="49"/>
      <c r="F147" s="49"/>
      <c r="G147" s="49"/>
      <c r="H147" s="49"/>
      <c r="I147" s="49"/>
      <c r="J147" s="49"/>
      <c r="K147" s="49"/>
      <c r="L147" s="49"/>
      <c r="M147" s="49"/>
      <c r="N147" s="49"/>
      <c r="O147" s="49"/>
      <c r="P147" s="49"/>
      <c r="Q147" s="51"/>
      <c r="R147" s="51"/>
      <c r="S147" s="51"/>
      <c r="T147" s="49"/>
      <c r="U147" s="2"/>
      <c r="V147" s="2"/>
      <c r="W147" s="2"/>
      <c r="X147" s="2"/>
      <c r="Y147" s="2"/>
      <c r="Z147" s="2"/>
    </row>
    <row r="148" ht="13.5" customHeight="1">
      <c r="A148" s="49"/>
      <c r="B148" s="49"/>
      <c r="C148" s="49"/>
      <c r="D148" s="49"/>
      <c r="E148" s="49"/>
      <c r="F148" s="49"/>
      <c r="G148" s="49"/>
      <c r="H148" s="49"/>
      <c r="I148" s="49"/>
      <c r="J148" s="49"/>
      <c r="K148" s="49"/>
      <c r="L148" s="49"/>
      <c r="M148" s="49"/>
      <c r="N148" s="49"/>
      <c r="O148" s="49"/>
      <c r="P148" s="49"/>
      <c r="Q148" s="51"/>
      <c r="R148" s="51"/>
      <c r="S148" s="51"/>
      <c r="T148" s="49"/>
      <c r="U148" s="2"/>
      <c r="V148" s="2"/>
      <c r="W148" s="2"/>
      <c r="X148" s="2"/>
      <c r="Y148" s="2"/>
      <c r="Z148" s="2"/>
    </row>
    <row r="149" ht="13.5" customHeight="1">
      <c r="A149" s="49"/>
      <c r="B149" s="49"/>
      <c r="C149" s="49"/>
      <c r="D149" s="49"/>
      <c r="E149" s="49"/>
      <c r="F149" s="49"/>
      <c r="G149" s="49"/>
      <c r="H149" s="49"/>
      <c r="I149" s="49"/>
      <c r="J149" s="49"/>
      <c r="K149" s="49"/>
      <c r="L149" s="49"/>
      <c r="M149" s="49"/>
      <c r="N149" s="49"/>
      <c r="O149" s="49"/>
      <c r="P149" s="49"/>
      <c r="Q149" s="51"/>
      <c r="R149" s="51"/>
      <c r="S149" s="51"/>
      <c r="T149" s="49"/>
      <c r="U149" s="2"/>
      <c r="V149" s="2"/>
      <c r="W149" s="2"/>
      <c r="X149" s="2"/>
      <c r="Y149" s="2"/>
      <c r="Z149" s="2"/>
    </row>
    <row r="150" ht="13.5" customHeight="1">
      <c r="A150" s="49"/>
      <c r="B150" s="49"/>
      <c r="C150" s="49"/>
      <c r="D150" s="49"/>
      <c r="E150" s="49"/>
      <c r="F150" s="49"/>
      <c r="G150" s="49"/>
      <c r="H150" s="49"/>
      <c r="I150" s="49"/>
      <c r="J150" s="49"/>
      <c r="K150" s="49"/>
      <c r="L150" s="49"/>
      <c r="M150" s="49"/>
      <c r="N150" s="49"/>
      <c r="O150" s="49"/>
      <c r="P150" s="49"/>
      <c r="Q150" s="51"/>
      <c r="R150" s="51"/>
      <c r="S150" s="51"/>
      <c r="T150" s="49"/>
      <c r="U150" s="2"/>
      <c r="V150" s="2"/>
      <c r="W150" s="2"/>
      <c r="X150" s="2"/>
      <c r="Y150" s="2"/>
      <c r="Z150" s="2"/>
    </row>
    <row r="151" ht="13.5" customHeight="1">
      <c r="A151" s="49"/>
      <c r="B151" s="49"/>
      <c r="C151" s="49"/>
      <c r="D151" s="49"/>
      <c r="E151" s="49"/>
      <c r="F151" s="49"/>
      <c r="G151" s="49"/>
      <c r="H151" s="49"/>
      <c r="I151" s="49"/>
      <c r="J151" s="49"/>
      <c r="K151" s="49"/>
      <c r="L151" s="49"/>
      <c r="M151" s="49"/>
      <c r="N151" s="49"/>
      <c r="O151" s="49"/>
      <c r="P151" s="49"/>
      <c r="Q151" s="51"/>
      <c r="R151" s="51"/>
      <c r="S151" s="51"/>
      <c r="T151" s="49"/>
      <c r="U151" s="2"/>
      <c r="V151" s="2"/>
      <c r="W151" s="2"/>
      <c r="X151" s="2"/>
      <c r="Y151" s="2"/>
      <c r="Z151" s="2"/>
    </row>
    <row r="152" ht="13.5" customHeight="1">
      <c r="A152" s="49"/>
      <c r="B152" s="49"/>
      <c r="C152" s="49"/>
      <c r="D152" s="49"/>
      <c r="E152" s="49"/>
      <c r="F152" s="49"/>
      <c r="G152" s="49"/>
      <c r="H152" s="49"/>
      <c r="I152" s="49"/>
      <c r="J152" s="49"/>
      <c r="K152" s="49"/>
      <c r="L152" s="49"/>
      <c r="M152" s="49"/>
      <c r="N152" s="49"/>
      <c r="O152" s="49"/>
      <c r="P152" s="49"/>
      <c r="Q152" s="51"/>
      <c r="R152" s="51"/>
      <c r="S152" s="51"/>
      <c r="T152" s="49"/>
      <c r="U152" s="2"/>
      <c r="V152" s="2"/>
      <c r="W152" s="2"/>
      <c r="X152" s="2"/>
      <c r="Y152" s="2"/>
      <c r="Z152" s="2"/>
    </row>
    <row r="153" ht="13.5" customHeight="1">
      <c r="A153" s="49"/>
      <c r="B153" s="49"/>
      <c r="C153" s="49"/>
      <c r="D153" s="49"/>
      <c r="E153" s="49"/>
      <c r="F153" s="49"/>
      <c r="G153" s="49"/>
      <c r="H153" s="49"/>
      <c r="I153" s="49"/>
      <c r="J153" s="49"/>
      <c r="K153" s="49"/>
      <c r="L153" s="49"/>
      <c r="M153" s="49"/>
      <c r="N153" s="49"/>
      <c r="O153" s="49"/>
      <c r="P153" s="49"/>
      <c r="Q153" s="51"/>
      <c r="R153" s="51"/>
      <c r="S153" s="51"/>
      <c r="T153" s="49"/>
      <c r="U153" s="2"/>
      <c r="V153" s="2"/>
      <c r="W153" s="2"/>
      <c r="X153" s="2"/>
      <c r="Y153" s="2"/>
      <c r="Z153" s="2"/>
    </row>
    <row r="154" ht="13.5" customHeight="1">
      <c r="A154" s="49"/>
      <c r="B154" s="49"/>
      <c r="C154" s="49"/>
      <c r="D154" s="49"/>
      <c r="E154" s="49"/>
      <c r="F154" s="49"/>
      <c r="G154" s="49"/>
      <c r="H154" s="49"/>
      <c r="I154" s="49"/>
      <c r="J154" s="49"/>
      <c r="K154" s="49"/>
      <c r="L154" s="49"/>
      <c r="M154" s="49"/>
      <c r="N154" s="49"/>
      <c r="O154" s="49"/>
      <c r="P154" s="49"/>
      <c r="Q154" s="51"/>
      <c r="R154" s="51"/>
      <c r="S154" s="51"/>
      <c r="T154" s="49"/>
      <c r="U154" s="2"/>
      <c r="V154" s="2"/>
      <c r="W154" s="2"/>
      <c r="X154" s="2"/>
      <c r="Y154" s="2"/>
      <c r="Z154" s="2"/>
    </row>
    <row r="155" ht="13.5" customHeight="1">
      <c r="A155" s="49"/>
      <c r="B155" s="49"/>
      <c r="C155" s="49"/>
      <c r="D155" s="49"/>
      <c r="E155" s="49"/>
      <c r="F155" s="49"/>
      <c r="G155" s="49"/>
      <c r="H155" s="49"/>
      <c r="I155" s="49"/>
      <c r="J155" s="49"/>
      <c r="K155" s="49"/>
      <c r="L155" s="49"/>
      <c r="M155" s="49"/>
      <c r="N155" s="49"/>
      <c r="O155" s="49"/>
      <c r="P155" s="49"/>
      <c r="Q155" s="51"/>
      <c r="R155" s="51"/>
      <c r="S155" s="51"/>
      <c r="T155" s="49"/>
      <c r="U155" s="2"/>
      <c r="V155" s="2"/>
      <c r="W155" s="2"/>
      <c r="X155" s="2"/>
      <c r="Y155" s="2"/>
      <c r="Z155" s="2"/>
    </row>
    <row r="156" ht="13.5" customHeight="1">
      <c r="A156" s="49"/>
      <c r="B156" s="49"/>
      <c r="C156" s="49"/>
      <c r="D156" s="49"/>
      <c r="E156" s="49"/>
      <c r="F156" s="49"/>
      <c r="G156" s="49"/>
      <c r="H156" s="49"/>
      <c r="I156" s="49"/>
      <c r="J156" s="49"/>
      <c r="K156" s="49"/>
      <c r="L156" s="49"/>
      <c r="M156" s="49"/>
      <c r="N156" s="49"/>
      <c r="O156" s="49"/>
      <c r="P156" s="49"/>
      <c r="Q156" s="51"/>
      <c r="R156" s="51"/>
      <c r="S156" s="51"/>
      <c r="T156" s="49"/>
      <c r="U156" s="2"/>
      <c r="V156" s="2"/>
      <c r="W156" s="2"/>
      <c r="X156" s="2"/>
      <c r="Y156" s="2"/>
      <c r="Z156" s="2"/>
    </row>
    <row r="157" ht="13.5" customHeight="1">
      <c r="A157" s="49"/>
      <c r="B157" s="49"/>
      <c r="C157" s="49"/>
      <c r="D157" s="49"/>
      <c r="E157" s="49"/>
      <c r="F157" s="49"/>
      <c r="G157" s="49"/>
      <c r="H157" s="49"/>
      <c r="I157" s="49"/>
      <c r="J157" s="49"/>
      <c r="K157" s="49"/>
      <c r="L157" s="49"/>
      <c r="M157" s="49"/>
      <c r="N157" s="49"/>
      <c r="O157" s="49"/>
      <c r="P157" s="49"/>
      <c r="Q157" s="51"/>
      <c r="R157" s="51"/>
      <c r="S157" s="51"/>
      <c r="T157" s="49"/>
      <c r="U157" s="2"/>
      <c r="V157" s="2"/>
      <c r="W157" s="2"/>
      <c r="X157" s="2"/>
      <c r="Y157" s="2"/>
      <c r="Z157" s="2"/>
    </row>
    <row r="158" ht="13.5" customHeight="1">
      <c r="A158" s="49"/>
      <c r="B158" s="49"/>
      <c r="C158" s="49"/>
      <c r="D158" s="49"/>
      <c r="E158" s="49"/>
      <c r="F158" s="49"/>
      <c r="G158" s="49"/>
      <c r="H158" s="49"/>
      <c r="I158" s="49"/>
      <c r="J158" s="49"/>
      <c r="K158" s="49"/>
      <c r="L158" s="49"/>
      <c r="M158" s="49"/>
      <c r="N158" s="49"/>
      <c r="O158" s="49"/>
      <c r="P158" s="49"/>
      <c r="Q158" s="51"/>
      <c r="R158" s="51"/>
      <c r="S158" s="51"/>
      <c r="T158" s="49"/>
      <c r="U158" s="2"/>
      <c r="V158" s="2"/>
      <c r="W158" s="2"/>
      <c r="X158" s="2"/>
      <c r="Y158" s="2"/>
      <c r="Z158" s="2"/>
    </row>
    <row r="159" ht="13.5" customHeight="1">
      <c r="A159" s="2"/>
      <c r="B159" s="2"/>
      <c r="C159" s="2"/>
      <c r="D159" s="2"/>
      <c r="E159" s="2"/>
      <c r="F159" s="2"/>
      <c r="G159" s="2"/>
      <c r="H159" s="2"/>
      <c r="I159" s="2"/>
      <c r="J159" s="143"/>
      <c r="K159" s="181"/>
      <c r="L159" s="2"/>
      <c r="M159" s="2"/>
      <c r="N159" s="2"/>
      <c r="O159" s="2"/>
      <c r="P159" s="2"/>
      <c r="Q159" s="157"/>
      <c r="R159" s="157"/>
      <c r="S159" s="157"/>
      <c r="T159" s="2"/>
      <c r="U159" s="2"/>
      <c r="V159" s="2"/>
      <c r="W159" s="2"/>
      <c r="X159" s="2"/>
      <c r="Y159" s="2"/>
      <c r="Z159" s="2"/>
    </row>
    <row r="160" ht="13.5" customHeight="1">
      <c r="A160" s="2"/>
      <c r="B160" s="2"/>
      <c r="C160" s="2"/>
      <c r="D160" s="2"/>
      <c r="E160" s="2"/>
      <c r="F160" s="2"/>
      <c r="G160" s="2"/>
      <c r="H160" s="2"/>
      <c r="I160" s="2"/>
      <c r="J160" s="143"/>
      <c r="K160" s="181"/>
      <c r="L160" s="2"/>
      <c r="M160" s="2"/>
      <c r="N160" s="2"/>
      <c r="O160" s="2"/>
      <c r="P160" s="2"/>
      <c r="Q160" s="157"/>
      <c r="R160" s="157"/>
      <c r="S160" s="157"/>
      <c r="T160" s="2"/>
      <c r="U160" s="2"/>
      <c r="V160" s="2"/>
      <c r="W160" s="2"/>
      <c r="X160" s="2"/>
      <c r="Y160" s="2"/>
      <c r="Z160" s="2"/>
    </row>
    <row r="161" ht="13.5" customHeight="1">
      <c r="A161" s="2"/>
      <c r="B161" s="2"/>
      <c r="C161" s="2"/>
      <c r="D161" s="2"/>
      <c r="E161" s="2"/>
      <c r="F161" s="2"/>
      <c r="G161" s="2"/>
      <c r="H161" s="2"/>
      <c r="I161" s="2"/>
      <c r="J161" s="143"/>
      <c r="K161" s="181"/>
      <c r="L161" s="2"/>
      <c r="M161" s="2"/>
      <c r="N161" s="2"/>
      <c r="O161" s="2"/>
      <c r="P161" s="2"/>
      <c r="Q161" s="157"/>
      <c r="R161" s="157"/>
      <c r="S161" s="157"/>
      <c r="T161" s="2"/>
      <c r="U161" s="2"/>
      <c r="V161" s="2"/>
      <c r="W161" s="2"/>
      <c r="X161" s="2"/>
      <c r="Y161" s="2"/>
      <c r="Z161" s="2"/>
    </row>
    <row r="162" ht="13.5" customHeight="1">
      <c r="A162" s="2"/>
      <c r="B162" s="2"/>
      <c r="C162" s="2"/>
      <c r="D162" s="2"/>
      <c r="E162" s="2"/>
      <c r="F162" s="2"/>
      <c r="G162" s="2"/>
      <c r="H162" s="2"/>
      <c r="I162" s="2"/>
      <c r="J162" s="143"/>
      <c r="K162" s="181"/>
      <c r="L162" s="2"/>
      <c r="M162" s="2"/>
      <c r="N162" s="2"/>
      <c r="O162" s="2"/>
      <c r="P162" s="2"/>
      <c r="Q162" s="157"/>
      <c r="R162" s="157"/>
      <c r="S162" s="157"/>
      <c r="T162" s="2"/>
      <c r="U162" s="2"/>
      <c r="V162" s="2"/>
      <c r="W162" s="2"/>
      <c r="X162" s="2"/>
      <c r="Y162" s="2"/>
      <c r="Z162" s="2"/>
    </row>
    <row r="163" ht="13.5" customHeight="1">
      <c r="A163" s="2"/>
      <c r="B163" s="2"/>
      <c r="C163" s="2"/>
      <c r="D163" s="2"/>
      <c r="E163" s="2"/>
      <c r="F163" s="2"/>
      <c r="G163" s="2"/>
      <c r="H163" s="2"/>
      <c r="I163" s="2"/>
      <c r="J163" s="143"/>
      <c r="K163" s="181"/>
      <c r="L163" s="2"/>
      <c r="M163" s="2"/>
      <c r="N163" s="2"/>
      <c r="O163" s="2"/>
      <c r="P163" s="2"/>
      <c r="Q163" s="157"/>
      <c r="R163" s="157"/>
      <c r="S163" s="157"/>
      <c r="T163" s="2"/>
      <c r="U163" s="2"/>
      <c r="V163" s="2"/>
      <c r="W163" s="2"/>
      <c r="X163" s="2"/>
      <c r="Y163" s="2"/>
      <c r="Z163" s="2"/>
    </row>
    <row r="164" ht="13.5" customHeight="1">
      <c r="A164" s="2"/>
      <c r="B164" s="2"/>
      <c r="C164" s="2"/>
      <c r="D164" s="2"/>
      <c r="E164" s="2"/>
      <c r="F164" s="2"/>
      <c r="G164" s="2"/>
      <c r="H164" s="2"/>
      <c r="I164" s="2"/>
      <c r="J164" s="143"/>
      <c r="K164" s="181"/>
      <c r="L164" s="2"/>
      <c r="M164" s="2"/>
      <c r="N164" s="2"/>
      <c r="O164" s="2"/>
      <c r="P164" s="2"/>
      <c r="Q164" s="157"/>
      <c r="R164" s="157"/>
      <c r="S164" s="157"/>
      <c r="T164" s="2"/>
      <c r="U164" s="2"/>
      <c r="V164" s="2"/>
      <c r="W164" s="2"/>
      <c r="X164" s="2"/>
      <c r="Y164" s="2"/>
      <c r="Z164" s="2"/>
    </row>
    <row r="165" ht="13.5" customHeight="1">
      <c r="A165" s="2"/>
      <c r="B165" s="2"/>
      <c r="C165" s="2"/>
      <c r="D165" s="2"/>
      <c r="E165" s="2"/>
      <c r="F165" s="2"/>
      <c r="G165" s="2"/>
      <c r="H165" s="2"/>
      <c r="I165" s="2"/>
      <c r="J165" s="143"/>
      <c r="K165" s="181"/>
      <c r="L165" s="2"/>
      <c r="M165" s="2"/>
      <c r="N165" s="2"/>
      <c r="O165" s="2"/>
      <c r="P165" s="2"/>
      <c r="Q165" s="157"/>
      <c r="R165" s="157"/>
      <c r="S165" s="157"/>
      <c r="T165" s="2"/>
      <c r="U165" s="2"/>
      <c r="V165" s="2"/>
      <c r="W165" s="2"/>
      <c r="X165" s="2"/>
      <c r="Y165" s="2"/>
      <c r="Z165" s="2"/>
    </row>
    <row r="166" ht="13.5" customHeight="1">
      <c r="A166" s="2"/>
      <c r="B166" s="2"/>
      <c r="C166" s="2"/>
      <c r="D166" s="2"/>
      <c r="E166" s="2"/>
      <c r="F166" s="2"/>
      <c r="G166" s="2"/>
      <c r="H166" s="2"/>
      <c r="I166" s="2"/>
      <c r="J166" s="143"/>
      <c r="K166" s="181"/>
      <c r="L166" s="2"/>
      <c r="M166" s="2"/>
      <c r="N166" s="2"/>
      <c r="O166" s="2"/>
      <c r="P166" s="2"/>
      <c r="Q166" s="157"/>
      <c r="R166" s="157"/>
      <c r="S166" s="157"/>
      <c r="T166" s="2"/>
      <c r="U166" s="2"/>
      <c r="V166" s="2"/>
      <c r="W166" s="2"/>
      <c r="X166" s="2"/>
      <c r="Y166" s="2"/>
      <c r="Z166" s="2"/>
    </row>
    <row r="167" ht="13.5" customHeight="1">
      <c r="A167" s="2"/>
      <c r="B167" s="2"/>
      <c r="C167" s="2"/>
      <c r="D167" s="2"/>
      <c r="E167" s="2"/>
      <c r="F167" s="2"/>
      <c r="G167" s="2"/>
      <c r="H167" s="2"/>
      <c r="I167" s="2"/>
      <c r="J167" s="143"/>
      <c r="K167" s="181"/>
      <c r="L167" s="2"/>
      <c r="M167" s="2"/>
      <c r="N167" s="2"/>
      <c r="O167" s="2"/>
      <c r="P167" s="2"/>
      <c r="Q167" s="157"/>
      <c r="R167" s="157"/>
      <c r="S167" s="157"/>
      <c r="T167" s="2"/>
      <c r="U167" s="2"/>
      <c r="V167" s="2"/>
      <c r="W167" s="2"/>
      <c r="X167" s="2"/>
      <c r="Y167" s="2"/>
      <c r="Z167" s="2"/>
    </row>
    <row r="168" ht="13.5" customHeight="1">
      <c r="A168" s="2"/>
      <c r="B168" s="2"/>
      <c r="C168" s="2"/>
      <c r="D168" s="2"/>
      <c r="E168" s="2"/>
      <c r="F168" s="2"/>
      <c r="G168" s="2"/>
      <c r="H168" s="2"/>
      <c r="I168" s="2"/>
      <c r="J168" s="143"/>
      <c r="K168" s="181"/>
      <c r="L168" s="2"/>
      <c r="M168" s="2"/>
      <c r="N168" s="2"/>
      <c r="O168" s="2"/>
      <c r="P168" s="2"/>
      <c r="Q168" s="157"/>
      <c r="R168" s="157"/>
      <c r="S168" s="157"/>
      <c r="T168" s="2"/>
      <c r="U168" s="2"/>
      <c r="V168" s="2"/>
      <c r="W168" s="2"/>
      <c r="X168" s="2"/>
      <c r="Y168" s="2"/>
      <c r="Z168" s="2"/>
    </row>
    <row r="169" ht="13.5" customHeight="1">
      <c r="A169" s="2"/>
      <c r="B169" s="2"/>
      <c r="C169" s="2"/>
      <c r="D169" s="2"/>
      <c r="E169" s="2"/>
      <c r="F169" s="2"/>
      <c r="G169" s="2"/>
      <c r="H169" s="2"/>
      <c r="I169" s="2"/>
      <c r="J169" s="143"/>
      <c r="K169" s="181"/>
      <c r="L169" s="2"/>
      <c r="M169" s="2"/>
      <c r="N169" s="2"/>
      <c r="O169" s="2"/>
      <c r="P169" s="2"/>
      <c r="Q169" s="157"/>
      <c r="R169" s="157"/>
      <c r="S169" s="157"/>
      <c r="T169" s="2"/>
      <c r="U169" s="2"/>
      <c r="V169" s="2"/>
      <c r="W169" s="2"/>
      <c r="X169" s="2"/>
      <c r="Y169" s="2"/>
      <c r="Z169" s="2"/>
    </row>
    <row r="170" ht="13.5" customHeight="1">
      <c r="A170" s="2"/>
      <c r="B170" s="2"/>
      <c r="C170" s="2"/>
      <c r="D170" s="2"/>
      <c r="E170" s="2"/>
      <c r="F170" s="2"/>
      <c r="G170" s="2"/>
      <c r="H170" s="2"/>
      <c r="I170" s="2"/>
      <c r="J170" s="143"/>
      <c r="K170" s="181"/>
      <c r="L170" s="2"/>
      <c r="M170" s="2"/>
      <c r="N170" s="2"/>
      <c r="O170" s="2"/>
      <c r="P170" s="2"/>
      <c r="Q170" s="157"/>
      <c r="R170" s="157"/>
      <c r="S170" s="157"/>
      <c r="T170" s="2"/>
      <c r="U170" s="2"/>
      <c r="V170" s="2"/>
      <c r="W170" s="2"/>
      <c r="X170" s="2"/>
      <c r="Y170" s="2"/>
      <c r="Z170" s="2"/>
    </row>
    <row r="171" ht="13.5" customHeight="1">
      <c r="A171" s="2"/>
      <c r="B171" s="2"/>
      <c r="C171" s="2"/>
      <c r="D171" s="2"/>
      <c r="E171" s="2"/>
      <c r="F171" s="2"/>
      <c r="G171" s="2"/>
      <c r="H171" s="2"/>
      <c r="I171" s="2"/>
      <c r="J171" s="143"/>
      <c r="K171" s="181"/>
      <c r="L171" s="2"/>
      <c r="M171" s="2"/>
      <c r="N171" s="2"/>
      <c r="O171" s="2"/>
      <c r="P171" s="2"/>
      <c r="Q171" s="157"/>
      <c r="R171" s="157"/>
      <c r="S171" s="157"/>
      <c r="T171" s="2"/>
      <c r="U171" s="2"/>
      <c r="V171" s="2"/>
      <c r="W171" s="2"/>
      <c r="X171" s="2"/>
      <c r="Y171" s="2"/>
      <c r="Z171" s="2"/>
    </row>
    <row r="172" ht="13.5" customHeight="1">
      <c r="A172" s="2"/>
      <c r="B172" s="2"/>
      <c r="C172" s="2"/>
      <c r="D172" s="2"/>
      <c r="E172" s="2"/>
      <c r="F172" s="2"/>
      <c r="G172" s="2"/>
      <c r="H172" s="2"/>
      <c r="I172" s="2"/>
      <c r="J172" s="143"/>
      <c r="K172" s="181"/>
      <c r="L172" s="2"/>
      <c r="M172" s="2"/>
      <c r="N172" s="2"/>
      <c r="O172" s="2"/>
      <c r="P172" s="2"/>
      <c r="Q172" s="157"/>
      <c r="R172" s="157"/>
      <c r="S172" s="157"/>
      <c r="T172" s="2"/>
      <c r="U172" s="2"/>
      <c r="V172" s="2"/>
      <c r="W172" s="2"/>
      <c r="X172" s="2"/>
      <c r="Y172" s="2"/>
      <c r="Z172" s="2"/>
    </row>
    <row r="173" ht="13.5" customHeight="1">
      <c r="A173" s="2"/>
      <c r="B173" s="2"/>
      <c r="C173" s="2"/>
      <c r="D173" s="2"/>
      <c r="E173" s="2"/>
      <c r="F173" s="2"/>
      <c r="G173" s="2"/>
      <c r="H173" s="2"/>
      <c r="I173" s="2"/>
      <c r="J173" s="143"/>
      <c r="K173" s="181"/>
      <c r="L173" s="2"/>
      <c r="M173" s="2"/>
      <c r="N173" s="2"/>
      <c r="O173" s="2"/>
      <c r="P173" s="2"/>
      <c r="Q173" s="157"/>
      <c r="R173" s="157"/>
      <c r="S173" s="157"/>
      <c r="T173" s="2"/>
      <c r="U173" s="2"/>
      <c r="V173" s="2"/>
      <c r="W173" s="2"/>
      <c r="X173" s="2"/>
      <c r="Y173" s="2"/>
      <c r="Z173" s="2"/>
    </row>
    <row r="174" ht="13.5" customHeight="1">
      <c r="A174" s="2"/>
      <c r="B174" s="2"/>
      <c r="C174" s="2"/>
      <c r="D174" s="2"/>
      <c r="E174" s="2"/>
      <c r="F174" s="2"/>
      <c r="G174" s="2"/>
      <c r="H174" s="2"/>
      <c r="I174" s="2"/>
      <c r="J174" s="143"/>
      <c r="K174" s="181"/>
      <c r="L174" s="2"/>
      <c r="M174" s="2"/>
      <c r="N174" s="2"/>
      <c r="O174" s="2"/>
      <c r="P174" s="2"/>
      <c r="Q174" s="157"/>
      <c r="R174" s="157"/>
      <c r="S174" s="157"/>
      <c r="T174" s="2"/>
      <c r="U174" s="2"/>
      <c r="V174" s="2"/>
      <c r="W174" s="2"/>
      <c r="X174" s="2"/>
      <c r="Y174" s="2"/>
      <c r="Z174" s="2"/>
    </row>
    <row r="175" ht="13.5" customHeight="1">
      <c r="A175" s="2"/>
      <c r="B175" s="2"/>
      <c r="C175" s="2"/>
      <c r="D175" s="2"/>
      <c r="E175" s="2"/>
      <c r="F175" s="2"/>
      <c r="G175" s="2"/>
      <c r="H175" s="2"/>
      <c r="I175" s="2"/>
      <c r="J175" s="143"/>
      <c r="K175" s="181"/>
      <c r="L175" s="2"/>
      <c r="M175" s="2"/>
      <c r="N175" s="2"/>
      <c r="O175" s="2"/>
      <c r="P175" s="2"/>
      <c r="Q175" s="157"/>
      <c r="R175" s="157"/>
      <c r="S175" s="157"/>
      <c r="T175" s="2"/>
      <c r="U175" s="2"/>
      <c r="V175" s="2"/>
      <c r="W175" s="2"/>
      <c r="X175" s="2"/>
      <c r="Y175" s="2"/>
      <c r="Z175" s="2"/>
    </row>
    <row r="176" ht="13.5" customHeight="1">
      <c r="A176" s="2"/>
      <c r="B176" s="2"/>
      <c r="C176" s="2"/>
      <c r="D176" s="2"/>
      <c r="E176" s="2"/>
      <c r="F176" s="2"/>
      <c r="G176" s="2"/>
      <c r="H176" s="2"/>
      <c r="I176" s="2"/>
      <c r="J176" s="143"/>
      <c r="K176" s="181"/>
      <c r="L176" s="2"/>
      <c r="M176" s="2"/>
      <c r="N176" s="2"/>
      <c r="O176" s="2"/>
      <c r="P176" s="2"/>
      <c r="Q176" s="157"/>
      <c r="R176" s="157"/>
      <c r="S176" s="157"/>
      <c r="T176" s="2"/>
      <c r="U176" s="2"/>
      <c r="V176" s="2"/>
      <c r="W176" s="2"/>
      <c r="X176" s="2"/>
      <c r="Y176" s="2"/>
      <c r="Z176" s="2"/>
    </row>
    <row r="177" ht="13.5" customHeight="1">
      <c r="A177" s="2"/>
      <c r="B177" s="2"/>
      <c r="C177" s="2"/>
      <c r="D177" s="2"/>
      <c r="E177" s="2"/>
      <c r="F177" s="2"/>
      <c r="G177" s="2"/>
      <c r="H177" s="2"/>
      <c r="I177" s="2"/>
      <c r="J177" s="143"/>
      <c r="K177" s="181"/>
      <c r="L177" s="2"/>
      <c r="M177" s="2"/>
      <c r="N177" s="2"/>
      <c r="O177" s="2"/>
      <c r="P177" s="2"/>
      <c r="Q177" s="157"/>
      <c r="R177" s="157"/>
      <c r="S177" s="157"/>
      <c r="T177" s="2"/>
      <c r="U177" s="2"/>
      <c r="V177" s="2"/>
      <c r="W177" s="2"/>
      <c r="X177" s="2"/>
      <c r="Y177" s="2"/>
      <c r="Z177" s="2"/>
    </row>
    <row r="178" ht="13.5" customHeight="1">
      <c r="A178" s="2"/>
      <c r="B178" s="2"/>
      <c r="C178" s="2"/>
      <c r="D178" s="2"/>
      <c r="E178" s="2"/>
      <c r="F178" s="2"/>
      <c r="G178" s="2"/>
      <c r="H178" s="2"/>
      <c r="I178" s="2"/>
      <c r="J178" s="143"/>
      <c r="K178" s="181"/>
      <c r="L178" s="2"/>
      <c r="M178" s="2"/>
      <c r="N178" s="2"/>
      <c r="O178" s="2"/>
      <c r="P178" s="2"/>
      <c r="Q178" s="157"/>
      <c r="R178" s="157"/>
      <c r="S178" s="157"/>
      <c r="T178" s="2"/>
      <c r="U178" s="2"/>
      <c r="V178" s="2"/>
      <c r="W178" s="2"/>
      <c r="X178" s="2"/>
      <c r="Y178" s="2"/>
      <c r="Z178" s="2"/>
    </row>
    <row r="179" ht="13.5" customHeight="1">
      <c r="A179" s="2"/>
      <c r="B179" s="2"/>
      <c r="C179" s="2"/>
      <c r="D179" s="2"/>
      <c r="E179" s="2"/>
      <c r="F179" s="2"/>
      <c r="G179" s="2"/>
      <c r="H179" s="2"/>
      <c r="I179" s="2"/>
      <c r="J179" s="143"/>
      <c r="K179" s="181"/>
      <c r="L179" s="2"/>
      <c r="M179" s="2"/>
      <c r="N179" s="2"/>
      <c r="O179" s="2"/>
      <c r="P179" s="2"/>
      <c r="Q179" s="157"/>
      <c r="R179" s="157"/>
      <c r="S179" s="157"/>
      <c r="T179" s="2"/>
      <c r="U179" s="2"/>
      <c r="V179" s="2"/>
      <c r="W179" s="2"/>
      <c r="X179" s="2"/>
      <c r="Y179" s="2"/>
      <c r="Z179" s="2"/>
    </row>
    <row r="180" ht="13.5" customHeight="1">
      <c r="A180" s="2"/>
      <c r="B180" s="2"/>
      <c r="C180" s="2"/>
      <c r="D180" s="2"/>
      <c r="E180" s="2"/>
      <c r="F180" s="2"/>
      <c r="G180" s="2"/>
      <c r="H180" s="2"/>
      <c r="I180" s="2"/>
      <c r="J180" s="143"/>
      <c r="K180" s="181"/>
      <c r="L180" s="2"/>
      <c r="M180" s="2"/>
      <c r="N180" s="2"/>
      <c r="O180" s="2"/>
      <c r="P180" s="2"/>
      <c r="Q180" s="157"/>
      <c r="R180" s="157"/>
      <c r="S180" s="157"/>
      <c r="T180" s="2"/>
      <c r="U180" s="2"/>
      <c r="V180" s="2"/>
      <c r="W180" s="2"/>
      <c r="X180" s="2"/>
      <c r="Y180" s="2"/>
      <c r="Z180" s="2"/>
    </row>
    <row r="181" ht="13.5" customHeight="1">
      <c r="A181" s="2"/>
      <c r="B181" s="2"/>
      <c r="C181" s="2"/>
      <c r="D181" s="2"/>
      <c r="E181" s="2"/>
      <c r="F181" s="2"/>
      <c r="G181" s="2"/>
      <c r="H181" s="2"/>
      <c r="I181" s="2"/>
      <c r="J181" s="143"/>
      <c r="K181" s="181"/>
      <c r="L181" s="2"/>
      <c r="M181" s="2"/>
      <c r="N181" s="2"/>
      <c r="O181" s="2"/>
      <c r="P181" s="2"/>
      <c r="Q181" s="157"/>
      <c r="R181" s="157"/>
      <c r="S181" s="157"/>
      <c r="T181" s="2"/>
      <c r="U181" s="2"/>
      <c r="V181" s="2"/>
      <c r="W181" s="2"/>
      <c r="X181" s="2"/>
      <c r="Y181" s="2"/>
      <c r="Z181" s="2"/>
    </row>
    <row r="182" ht="13.5" customHeight="1">
      <c r="A182" s="2"/>
      <c r="B182" s="2"/>
      <c r="C182" s="2"/>
      <c r="D182" s="2"/>
      <c r="E182" s="2"/>
      <c r="F182" s="2"/>
      <c r="G182" s="2"/>
      <c r="H182" s="2"/>
      <c r="I182" s="2"/>
      <c r="J182" s="143"/>
      <c r="K182" s="181"/>
      <c r="L182" s="2"/>
      <c r="M182" s="2"/>
      <c r="N182" s="2"/>
      <c r="O182" s="2"/>
      <c r="P182" s="2"/>
      <c r="Q182" s="157"/>
      <c r="R182" s="157"/>
      <c r="S182" s="157"/>
      <c r="T182" s="2"/>
      <c r="U182" s="2"/>
      <c r="V182" s="2"/>
      <c r="W182" s="2"/>
      <c r="X182" s="2"/>
      <c r="Y182" s="2"/>
      <c r="Z182" s="2"/>
    </row>
    <row r="183" ht="13.5" customHeight="1">
      <c r="A183" s="2"/>
      <c r="B183" s="2"/>
      <c r="C183" s="2"/>
      <c r="D183" s="2"/>
      <c r="E183" s="2"/>
      <c r="F183" s="2"/>
      <c r="G183" s="2"/>
      <c r="H183" s="2"/>
      <c r="I183" s="2"/>
      <c r="J183" s="143"/>
      <c r="K183" s="181"/>
      <c r="L183" s="2"/>
      <c r="M183" s="2"/>
      <c r="N183" s="2"/>
      <c r="O183" s="2"/>
      <c r="P183" s="2"/>
      <c r="Q183" s="157"/>
      <c r="R183" s="157"/>
      <c r="S183" s="157"/>
      <c r="T183" s="2"/>
      <c r="U183" s="2"/>
      <c r="V183" s="2"/>
      <c r="W183" s="2"/>
      <c r="X183" s="2"/>
      <c r="Y183" s="2"/>
      <c r="Z183" s="2"/>
    </row>
    <row r="184" ht="13.5" customHeight="1">
      <c r="A184" s="2"/>
      <c r="B184" s="2"/>
      <c r="C184" s="2"/>
      <c r="D184" s="2"/>
      <c r="E184" s="2"/>
      <c r="F184" s="2"/>
      <c r="G184" s="2"/>
      <c r="H184" s="2"/>
      <c r="I184" s="2"/>
      <c r="J184" s="143"/>
      <c r="K184" s="181"/>
      <c r="L184" s="2"/>
      <c r="M184" s="2"/>
      <c r="N184" s="2"/>
      <c r="O184" s="2"/>
      <c r="P184" s="2"/>
      <c r="Q184" s="157"/>
      <c r="R184" s="157"/>
      <c r="S184" s="157"/>
      <c r="T184" s="2"/>
      <c r="U184" s="2"/>
      <c r="V184" s="2"/>
      <c r="W184" s="2"/>
      <c r="X184" s="2"/>
      <c r="Y184" s="2"/>
      <c r="Z184" s="2"/>
    </row>
    <row r="185" ht="13.5" customHeight="1">
      <c r="A185" s="2"/>
      <c r="B185" s="2"/>
      <c r="C185" s="2"/>
      <c r="D185" s="2"/>
      <c r="E185" s="2"/>
      <c r="F185" s="2"/>
      <c r="G185" s="2"/>
      <c r="H185" s="2"/>
      <c r="I185" s="2"/>
      <c r="J185" s="143"/>
      <c r="K185" s="181"/>
      <c r="L185" s="2"/>
      <c r="M185" s="2"/>
      <c r="N185" s="2"/>
      <c r="O185" s="2"/>
      <c r="P185" s="2"/>
      <c r="Q185" s="157"/>
      <c r="R185" s="157"/>
      <c r="S185" s="157"/>
      <c r="T185" s="2"/>
      <c r="U185" s="2"/>
      <c r="V185" s="2"/>
      <c r="W185" s="2"/>
      <c r="X185" s="2"/>
      <c r="Y185" s="2"/>
      <c r="Z185" s="2"/>
    </row>
    <row r="186" ht="13.5" customHeight="1">
      <c r="A186" s="2"/>
      <c r="B186" s="2"/>
      <c r="C186" s="2"/>
      <c r="D186" s="2"/>
      <c r="E186" s="2"/>
      <c r="F186" s="2"/>
      <c r="G186" s="2"/>
      <c r="H186" s="2"/>
      <c r="I186" s="2"/>
      <c r="J186" s="143"/>
      <c r="K186" s="181"/>
      <c r="L186" s="2"/>
      <c r="M186" s="2"/>
      <c r="N186" s="2"/>
      <c r="O186" s="2"/>
      <c r="P186" s="2"/>
      <c r="Q186" s="157"/>
      <c r="R186" s="157"/>
      <c r="S186" s="157"/>
      <c r="T186" s="2"/>
      <c r="U186" s="2"/>
      <c r="V186" s="2"/>
      <c r="W186" s="2"/>
      <c r="X186" s="2"/>
      <c r="Y186" s="2"/>
      <c r="Z186" s="2"/>
    </row>
    <row r="187" ht="13.5" customHeight="1">
      <c r="A187" s="2"/>
      <c r="B187" s="2"/>
      <c r="C187" s="2"/>
      <c r="D187" s="2"/>
      <c r="E187" s="2"/>
      <c r="F187" s="2"/>
      <c r="G187" s="2"/>
      <c r="H187" s="2"/>
      <c r="I187" s="2"/>
      <c r="J187" s="143"/>
      <c r="K187" s="181"/>
      <c r="L187" s="2"/>
      <c r="M187" s="2"/>
      <c r="N187" s="2"/>
      <c r="O187" s="2"/>
      <c r="P187" s="2"/>
      <c r="Q187" s="157"/>
      <c r="R187" s="157"/>
      <c r="S187" s="157"/>
      <c r="T187" s="2"/>
      <c r="U187" s="2"/>
      <c r="V187" s="2"/>
      <c r="W187" s="2"/>
      <c r="X187" s="2"/>
      <c r="Y187" s="2"/>
      <c r="Z187" s="2"/>
    </row>
    <row r="188" ht="13.5" customHeight="1">
      <c r="A188" s="2"/>
      <c r="B188" s="2"/>
      <c r="C188" s="2"/>
      <c r="D188" s="2"/>
      <c r="E188" s="2"/>
      <c r="F188" s="2"/>
      <c r="G188" s="2"/>
      <c r="H188" s="2"/>
      <c r="I188" s="2"/>
      <c r="J188" s="143"/>
      <c r="K188" s="181"/>
      <c r="L188" s="2"/>
      <c r="M188" s="2"/>
      <c r="N188" s="2"/>
      <c r="O188" s="2"/>
      <c r="P188" s="2"/>
      <c r="Q188" s="157"/>
      <c r="R188" s="157"/>
      <c r="S188" s="157"/>
      <c r="T188" s="2"/>
      <c r="U188" s="2"/>
      <c r="V188" s="2"/>
      <c r="W188" s="2"/>
      <c r="X188" s="2"/>
      <c r="Y188" s="2"/>
      <c r="Z188" s="2"/>
    </row>
    <row r="189" ht="13.5" customHeight="1">
      <c r="A189" s="2"/>
      <c r="B189" s="2"/>
      <c r="C189" s="2"/>
      <c r="D189" s="2"/>
      <c r="E189" s="2"/>
      <c r="F189" s="2"/>
      <c r="G189" s="2"/>
      <c r="H189" s="2"/>
      <c r="I189" s="2"/>
      <c r="J189" s="143"/>
      <c r="K189" s="181"/>
      <c r="L189" s="2"/>
      <c r="M189" s="2"/>
      <c r="N189" s="2"/>
      <c r="O189" s="2"/>
      <c r="P189" s="2"/>
      <c r="Q189" s="157"/>
      <c r="R189" s="157"/>
      <c r="S189" s="157"/>
      <c r="T189" s="2"/>
      <c r="U189" s="2"/>
      <c r="V189" s="2"/>
      <c r="W189" s="2"/>
      <c r="X189" s="2"/>
      <c r="Y189" s="2"/>
      <c r="Z189" s="2"/>
    </row>
    <row r="190" ht="13.5" customHeight="1">
      <c r="A190" s="2"/>
      <c r="B190" s="2"/>
      <c r="C190" s="2"/>
      <c r="D190" s="2"/>
      <c r="E190" s="2"/>
      <c r="F190" s="2"/>
      <c r="G190" s="2"/>
      <c r="H190" s="2"/>
      <c r="I190" s="2"/>
      <c r="J190" s="143"/>
      <c r="K190" s="181"/>
      <c r="L190" s="2"/>
      <c r="M190" s="2"/>
      <c r="N190" s="2"/>
      <c r="O190" s="2"/>
      <c r="P190" s="2"/>
      <c r="Q190" s="157"/>
      <c r="R190" s="157"/>
      <c r="S190" s="157"/>
      <c r="T190" s="2"/>
      <c r="U190" s="2"/>
      <c r="V190" s="2"/>
      <c r="W190" s="2"/>
      <c r="X190" s="2"/>
      <c r="Y190" s="2"/>
      <c r="Z190" s="2"/>
    </row>
    <row r="191" ht="13.5" customHeight="1">
      <c r="A191" s="2"/>
      <c r="B191" s="2"/>
      <c r="C191" s="2"/>
      <c r="D191" s="2"/>
      <c r="E191" s="2"/>
      <c r="F191" s="2"/>
      <c r="G191" s="2"/>
      <c r="H191" s="2"/>
      <c r="I191" s="2"/>
      <c r="J191" s="143"/>
      <c r="K191" s="181"/>
      <c r="L191" s="2"/>
      <c r="M191" s="2"/>
      <c r="N191" s="2"/>
      <c r="O191" s="2"/>
      <c r="P191" s="2"/>
      <c r="Q191" s="157"/>
      <c r="R191" s="157"/>
      <c r="S191" s="157"/>
      <c r="T191" s="2"/>
      <c r="U191" s="2"/>
      <c r="V191" s="2"/>
      <c r="W191" s="2"/>
      <c r="X191" s="2"/>
      <c r="Y191" s="2"/>
      <c r="Z191" s="2"/>
    </row>
    <row r="192" ht="13.5" customHeight="1">
      <c r="A192" s="2"/>
      <c r="B192" s="2"/>
      <c r="C192" s="2"/>
      <c r="D192" s="2"/>
      <c r="E192" s="2"/>
      <c r="F192" s="2"/>
      <c r="G192" s="2"/>
      <c r="H192" s="2"/>
      <c r="I192" s="2"/>
      <c r="J192" s="143"/>
      <c r="K192" s="181"/>
      <c r="L192" s="2"/>
      <c r="M192" s="2"/>
      <c r="N192" s="2"/>
      <c r="O192" s="2"/>
      <c r="P192" s="2"/>
      <c r="Q192" s="157"/>
      <c r="R192" s="157"/>
      <c r="S192" s="157"/>
      <c r="T192" s="2"/>
      <c r="U192" s="2"/>
      <c r="V192" s="2"/>
      <c r="W192" s="2"/>
      <c r="X192" s="2"/>
      <c r="Y192" s="2"/>
      <c r="Z192" s="2"/>
    </row>
    <row r="193" ht="13.5" customHeight="1">
      <c r="A193" s="2"/>
      <c r="B193" s="2"/>
      <c r="C193" s="2"/>
      <c r="D193" s="2"/>
      <c r="E193" s="2"/>
      <c r="F193" s="2"/>
      <c r="G193" s="2"/>
      <c r="H193" s="2"/>
      <c r="I193" s="2"/>
      <c r="J193" s="143"/>
      <c r="K193" s="181"/>
      <c r="L193" s="2"/>
      <c r="M193" s="2"/>
      <c r="N193" s="2"/>
      <c r="O193" s="2"/>
      <c r="P193" s="2"/>
      <c r="Q193" s="157"/>
      <c r="R193" s="157"/>
      <c r="S193" s="157"/>
      <c r="T193" s="2"/>
      <c r="U193" s="2"/>
      <c r="V193" s="2"/>
      <c r="W193" s="2"/>
      <c r="X193" s="2"/>
      <c r="Y193" s="2"/>
      <c r="Z193" s="2"/>
    </row>
    <row r="194" ht="13.5" customHeight="1">
      <c r="A194" s="2"/>
      <c r="B194" s="2"/>
      <c r="C194" s="2"/>
      <c r="D194" s="2"/>
      <c r="E194" s="2"/>
      <c r="F194" s="2"/>
      <c r="G194" s="2"/>
      <c r="H194" s="2"/>
      <c r="I194" s="2"/>
      <c r="J194" s="143"/>
      <c r="K194" s="181"/>
      <c r="L194" s="2"/>
      <c r="M194" s="2"/>
      <c r="N194" s="2"/>
      <c r="O194" s="2"/>
      <c r="P194" s="2"/>
      <c r="Q194" s="157"/>
      <c r="R194" s="157"/>
      <c r="S194" s="157"/>
      <c r="T194" s="2"/>
      <c r="U194" s="2"/>
      <c r="V194" s="2"/>
      <c r="W194" s="2"/>
      <c r="X194" s="2"/>
      <c r="Y194" s="2"/>
      <c r="Z194" s="2"/>
    </row>
    <row r="195" ht="13.5" customHeight="1">
      <c r="A195" s="2"/>
      <c r="B195" s="2"/>
      <c r="C195" s="2"/>
      <c r="D195" s="2"/>
      <c r="E195" s="2"/>
      <c r="F195" s="2"/>
      <c r="G195" s="2"/>
      <c r="H195" s="2"/>
      <c r="I195" s="2"/>
      <c r="J195" s="143"/>
      <c r="K195" s="181"/>
      <c r="L195" s="2"/>
      <c r="M195" s="2"/>
      <c r="N195" s="2"/>
      <c r="O195" s="2"/>
      <c r="P195" s="2"/>
      <c r="Q195" s="157"/>
      <c r="R195" s="157"/>
      <c r="S195" s="157"/>
      <c r="T195" s="2"/>
      <c r="U195" s="2"/>
      <c r="V195" s="2"/>
      <c r="W195" s="2"/>
      <c r="X195" s="2"/>
      <c r="Y195" s="2"/>
      <c r="Z195" s="2"/>
    </row>
    <row r="196" ht="13.5" customHeight="1">
      <c r="A196" s="2"/>
      <c r="B196" s="2"/>
      <c r="C196" s="2"/>
      <c r="D196" s="2"/>
      <c r="E196" s="2"/>
      <c r="F196" s="2"/>
      <c r="G196" s="2"/>
      <c r="H196" s="2"/>
      <c r="I196" s="2"/>
      <c r="J196" s="143"/>
      <c r="K196" s="181"/>
      <c r="L196" s="2"/>
      <c r="M196" s="2"/>
      <c r="N196" s="2"/>
      <c r="O196" s="2"/>
      <c r="P196" s="2"/>
      <c r="Q196" s="157"/>
      <c r="R196" s="157"/>
      <c r="S196" s="157"/>
      <c r="T196" s="2"/>
      <c r="U196" s="2"/>
      <c r="V196" s="2"/>
      <c r="W196" s="2"/>
      <c r="X196" s="2"/>
      <c r="Y196" s="2"/>
      <c r="Z196" s="2"/>
    </row>
    <row r="197" ht="13.5" customHeight="1">
      <c r="A197" s="2"/>
      <c r="B197" s="2"/>
      <c r="C197" s="2"/>
      <c r="D197" s="2"/>
      <c r="E197" s="2"/>
      <c r="F197" s="2"/>
      <c r="G197" s="2"/>
      <c r="H197" s="2"/>
      <c r="I197" s="2"/>
      <c r="J197" s="143"/>
      <c r="K197" s="181"/>
      <c r="L197" s="2"/>
      <c r="M197" s="2"/>
      <c r="N197" s="2"/>
      <c r="O197" s="2"/>
      <c r="P197" s="2"/>
      <c r="Q197" s="157"/>
      <c r="R197" s="157"/>
      <c r="S197" s="157"/>
      <c r="T197" s="2"/>
      <c r="U197" s="2"/>
      <c r="V197" s="2"/>
      <c r="W197" s="2"/>
      <c r="X197" s="2"/>
      <c r="Y197" s="2"/>
      <c r="Z197" s="2"/>
    </row>
    <row r="198" ht="13.5" customHeight="1">
      <c r="A198" s="2"/>
      <c r="B198" s="2"/>
      <c r="C198" s="2"/>
      <c r="D198" s="2"/>
      <c r="E198" s="2"/>
      <c r="F198" s="2"/>
      <c r="G198" s="2"/>
      <c r="H198" s="2"/>
      <c r="I198" s="2"/>
      <c r="J198" s="143"/>
      <c r="K198" s="181"/>
      <c r="L198" s="2"/>
      <c r="M198" s="2"/>
      <c r="N198" s="2"/>
      <c r="O198" s="2"/>
      <c r="P198" s="2"/>
      <c r="Q198" s="157"/>
      <c r="R198" s="157"/>
      <c r="S198" s="157"/>
      <c r="T198" s="2"/>
      <c r="U198" s="2"/>
      <c r="V198" s="2"/>
      <c r="W198" s="2"/>
      <c r="X198" s="2"/>
      <c r="Y198" s="2"/>
      <c r="Z198" s="2"/>
    </row>
    <row r="199" ht="13.5" customHeight="1">
      <c r="A199" s="2"/>
      <c r="B199" s="2"/>
      <c r="C199" s="2"/>
      <c r="D199" s="2"/>
      <c r="E199" s="2"/>
      <c r="F199" s="2"/>
      <c r="G199" s="2"/>
      <c r="H199" s="2"/>
      <c r="I199" s="2"/>
      <c r="J199" s="143"/>
      <c r="K199" s="181"/>
      <c r="L199" s="2"/>
      <c r="M199" s="2"/>
      <c r="N199" s="2"/>
      <c r="O199" s="2"/>
      <c r="P199" s="2"/>
      <c r="Q199" s="157"/>
      <c r="R199" s="157"/>
      <c r="S199" s="157"/>
      <c r="T199" s="2"/>
      <c r="U199" s="2"/>
      <c r="V199" s="2"/>
      <c r="W199" s="2"/>
      <c r="X199" s="2"/>
      <c r="Y199" s="2"/>
      <c r="Z199" s="2"/>
    </row>
    <row r="200" ht="13.5" customHeight="1">
      <c r="A200" s="2"/>
      <c r="B200" s="2"/>
      <c r="C200" s="2"/>
      <c r="D200" s="2"/>
      <c r="E200" s="2"/>
      <c r="F200" s="2"/>
      <c r="G200" s="2"/>
      <c r="H200" s="2"/>
      <c r="I200" s="2"/>
      <c r="J200" s="143"/>
      <c r="K200" s="181"/>
      <c r="L200" s="2"/>
      <c r="M200" s="2"/>
      <c r="N200" s="2"/>
      <c r="O200" s="2"/>
      <c r="P200" s="2"/>
      <c r="Q200" s="157"/>
      <c r="R200" s="157"/>
      <c r="S200" s="157"/>
      <c r="T200" s="2"/>
      <c r="U200" s="2"/>
      <c r="V200" s="2"/>
      <c r="W200" s="2"/>
      <c r="X200" s="2"/>
      <c r="Y200" s="2"/>
      <c r="Z200" s="2"/>
    </row>
    <row r="201" ht="13.5" customHeight="1">
      <c r="A201" s="2"/>
      <c r="B201" s="2"/>
      <c r="C201" s="2"/>
      <c r="D201" s="2"/>
      <c r="E201" s="2"/>
      <c r="F201" s="2"/>
      <c r="G201" s="2"/>
      <c r="H201" s="2"/>
      <c r="I201" s="2"/>
      <c r="J201" s="143"/>
      <c r="K201" s="181"/>
      <c r="L201" s="2"/>
      <c r="M201" s="2"/>
      <c r="N201" s="2"/>
      <c r="O201" s="2"/>
      <c r="P201" s="2"/>
      <c r="Q201" s="157"/>
      <c r="R201" s="157"/>
      <c r="S201" s="157"/>
      <c r="T201" s="2"/>
      <c r="U201" s="2"/>
      <c r="V201" s="2"/>
      <c r="W201" s="2"/>
      <c r="X201" s="2"/>
      <c r="Y201" s="2"/>
      <c r="Z201" s="2"/>
    </row>
    <row r="202" ht="13.5" customHeight="1">
      <c r="A202" s="2"/>
      <c r="B202" s="2"/>
      <c r="C202" s="2"/>
      <c r="D202" s="2"/>
      <c r="E202" s="2"/>
      <c r="F202" s="2"/>
      <c r="G202" s="2"/>
      <c r="H202" s="2"/>
      <c r="I202" s="2"/>
      <c r="J202" s="143"/>
      <c r="K202" s="181"/>
      <c r="L202" s="2"/>
      <c r="M202" s="2"/>
      <c r="N202" s="2"/>
      <c r="O202" s="2"/>
      <c r="P202" s="2"/>
      <c r="Q202" s="157"/>
      <c r="R202" s="157"/>
      <c r="S202" s="157"/>
      <c r="T202" s="2"/>
      <c r="U202" s="2"/>
      <c r="V202" s="2"/>
      <c r="W202" s="2"/>
      <c r="X202" s="2"/>
      <c r="Y202" s="2"/>
      <c r="Z202" s="2"/>
    </row>
    <row r="203" ht="13.5" customHeight="1">
      <c r="A203" s="2"/>
      <c r="B203" s="2"/>
      <c r="C203" s="2"/>
      <c r="D203" s="2"/>
      <c r="E203" s="2"/>
      <c r="F203" s="2"/>
      <c r="G203" s="2"/>
      <c r="H203" s="2"/>
      <c r="I203" s="2"/>
      <c r="J203" s="143"/>
      <c r="K203" s="181"/>
      <c r="L203" s="2"/>
      <c r="M203" s="2"/>
      <c r="N203" s="2"/>
      <c r="O203" s="2"/>
      <c r="P203" s="2"/>
      <c r="Q203" s="157"/>
      <c r="R203" s="157"/>
      <c r="S203" s="157"/>
      <c r="T203" s="2"/>
      <c r="U203" s="2"/>
      <c r="V203" s="2"/>
      <c r="W203" s="2"/>
      <c r="X203" s="2"/>
      <c r="Y203" s="2"/>
      <c r="Z203" s="2"/>
    </row>
    <row r="204" ht="13.5" customHeight="1">
      <c r="A204" s="2"/>
      <c r="B204" s="2"/>
      <c r="C204" s="2"/>
      <c r="D204" s="2"/>
      <c r="E204" s="2"/>
      <c r="F204" s="2"/>
      <c r="G204" s="2"/>
      <c r="H204" s="2"/>
      <c r="I204" s="2"/>
      <c r="J204" s="143"/>
      <c r="K204" s="181"/>
      <c r="L204" s="2"/>
      <c r="M204" s="2"/>
      <c r="N204" s="2"/>
      <c r="O204" s="2"/>
      <c r="P204" s="2"/>
      <c r="Q204" s="157"/>
      <c r="R204" s="157"/>
      <c r="S204" s="157"/>
      <c r="T204" s="2"/>
      <c r="U204" s="2"/>
      <c r="V204" s="2"/>
      <c r="W204" s="2"/>
      <c r="X204" s="2"/>
      <c r="Y204" s="2"/>
      <c r="Z204" s="2"/>
    </row>
    <row r="205" ht="13.5" customHeight="1">
      <c r="A205" s="2"/>
      <c r="B205" s="2"/>
      <c r="C205" s="2"/>
      <c r="D205" s="2"/>
      <c r="E205" s="2"/>
      <c r="F205" s="2"/>
      <c r="G205" s="2"/>
      <c r="H205" s="2"/>
      <c r="I205" s="2"/>
      <c r="J205" s="143"/>
      <c r="K205" s="181"/>
      <c r="L205" s="2"/>
      <c r="M205" s="2"/>
      <c r="N205" s="2"/>
      <c r="O205" s="2"/>
      <c r="P205" s="2"/>
      <c r="Q205" s="157"/>
      <c r="R205" s="157"/>
      <c r="S205" s="157"/>
      <c r="T205" s="2"/>
      <c r="U205" s="2"/>
      <c r="V205" s="2"/>
      <c r="W205" s="2"/>
      <c r="X205" s="2"/>
      <c r="Y205" s="2"/>
      <c r="Z205" s="2"/>
    </row>
    <row r="206" ht="13.5" customHeight="1">
      <c r="A206" s="2"/>
      <c r="B206" s="2"/>
      <c r="C206" s="2"/>
      <c r="D206" s="2"/>
      <c r="E206" s="2"/>
      <c r="F206" s="2"/>
      <c r="G206" s="2"/>
      <c r="H206" s="2"/>
      <c r="I206" s="2"/>
      <c r="J206" s="143"/>
      <c r="K206" s="181"/>
      <c r="L206" s="2"/>
      <c r="M206" s="2"/>
      <c r="N206" s="2"/>
      <c r="O206" s="2"/>
      <c r="P206" s="2"/>
      <c r="Q206" s="157"/>
      <c r="R206" s="157"/>
      <c r="S206" s="157"/>
      <c r="T206" s="2"/>
      <c r="U206" s="2"/>
      <c r="V206" s="2"/>
      <c r="W206" s="2"/>
      <c r="X206" s="2"/>
      <c r="Y206" s="2"/>
      <c r="Z206" s="2"/>
    </row>
    <row r="207" ht="13.5" customHeight="1">
      <c r="A207" s="2"/>
      <c r="B207" s="2"/>
      <c r="C207" s="2"/>
      <c r="D207" s="2"/>
      <c r="E207" s="2"/>
      <c r="F207" s="2"/>
      <c r="G207" s="2"/>
      <c r="H207" s="2"/>
      <c r="I207" s="2"/>
      <c r="J207" s="143"/>
      <c r="K207" s="181"/>
      <c r="L207" s="2"/>
      <c r="M207" s="2"/>
      <c r="N207" s="2"/>
      <c r="O207" s="2"/>
      <c r="P207" s="2"/>
      <c r="Q207" s="157"/>
      <c r="R207" s="157"/>
      <c r="S207" s="157"/>
      <c r="T207" s="2"/>
      <c r="U207" s="2"/>
      <c r="V207" s="2"/>
      <c r="W207" s="2"/>
      <c r="X207" s="2"/>
      <c r="Y207" s="2"/>
      <c r="Z207" s="2"/>
    </row>
    <row r="208" ht="13.5" customHeight="1">
      <c r="A208" s="2"/>
      <c r="B208" s="2"/>
      <c r="C208" s="2"/>
      <c r="D208" s="2"/>
      <c r="E208" s="2"/>
      <c r="F208" s="2"/>
      <c r="G208" s="2"/>
      <c r="H208" s="2"/>
      <c r="I208" s="2"/>
      <c r="J208" s="143"/>
      <c r="K208" s="181"/>
      <c r="L208" s="2"/>
      <c r="M208" s="2"/>
      <c r="N208" s="2"/>
      <c r="O208" s="2"/>
      <c r="P208" s="2"/>
      <c r="Q208" s="157"/>
      <c r="R208" s="157"/>
      <c r="S208" s="157"/>
      <c r="T208" s="2"/>
      <c r="U208" s="2"/>
      <c r="V208" s="2"/>
      <c r="W208" s="2"/>
      <c r="X208" s="2"/>
      <c r="Y208" s="2"/>
      <c r="Z208" s="2"/>
    </row>
    <row r="209" ht="13.5" customHeight="1">
      <c r="A209" s="2"/>
      <c r="B209" s="2"/>
      <c r="C209" s="2"/>
      <c r="D209" s="2"/>
      <c r="E209" s="2"/>
      <c r="F209" s="2"/>
      <c r="G209" s="2"/>
      <c r="H209" s="2"/>
      <c r="I209" s="2"/>
      <c r="J209" s="143"/>
      <c r="K209" s="181"/>
      <c r="L209" s="2"/>
      <c r="M209" s="2"/>
      <c r="N209" s="2"/>
      <c r="O209" s="2"/>
      <c r="P209" s="2"/>
      <c r="Q209" s="157"/>
      <c r="R209" s="157"/>
      <c r="S209" s="157"/>
      <c r="T209" s="2"/>
      <c r="U209" s="2"/>
      <c r="V209" s="2"/>
      <c r="W209" s="2"/>
      <c r="X209" s="2"/>
      <c r="Y209" s="2"/>
      <c r="Z209" s="2"/>
    </row>
    <row r="210" ht="13.5" customHeight="1">
      <c r="A210" s="2"/>
      <c r="B210" s="2"/>
      <c r="C210" s="2"/>
      <c r="D210" s="2"/>
      <c r="E210" s="2"/>
      <c r="F210" s="2"/>
      <c r="G210" s="2"/>
      <c r="H210" s="2"/>
      <c r="I210" s="2"/>
      <c r="J210" s="143"/>
      <c r="K210" s="181"/>
      <c r="L210" s="2"/>
      <c r="M210" s="2"/>
      <c r="N210" s="2"/>
      <c r="O210" s="2"/>
      <c r="P210" s="2"/>
      <c r="Q210" s="157"/>
      <c r="R210" s="157"/>
      <c r="S210" s="157"/>
      <c r="T210" s="2"/>
      <c r="U210" s="2"/>
      <c r="V210" s="2"/>
      <c r="W210" s="2"/>
      <c r="X210" s="2"/>
      <c r="Y210" s="2"/>
      <c r="Z210" s="2"/>
    </row>
    <row r="211" ht="13.5" customHeight="1">
      <c r="A211" s="2"/>
      <c r="B211" s="2"/>
      <c r="C211" s="2"/>
      <c r="D211" s="2"/>
      <c r="E211" s="2"/>
      <c r="F211" s="2"/>
      <c r="G211" s="2"/>
      <c r="H211" s="2"/>
      <c r="I211" s="2"/>
      <c r="J211" s="143"/>
      <c r="K211" s="181"/>
      <c r="L211" s="2"/>
      <c r="M211" s="2"/>
      <c r="N211" s="2"/>
      <c r="O211" s="2"/>
      <c r="P211" s="2"/>
      <c r="Q211" s="157"/>
      <c r="R211" s="157"/>
      <c r="S211" s="157"/>
      <c r="T211" s="2"/>
      <c r="U211" s="2"/>
      <c r="V211" s="2"/>
      <c r="W211" s="2"/>
      <c r="X211" s="2"/>
      <c r="Y211" s="2"/>
      <c r="Z211" s="2"/>
    </row>
    <row r="212" ht="13.5" customHeight="1">
      <c r="A212" s="2"/>
      <c r="B212" s="2"/>
      <c r="C212" s="2"/>
      <c r="D212" s="2"/>
      <c r="E212" s="2"/>
      <c r="F212" s="2"/>
      <c r="G212" s="2"/>
      <c r="H212" s="2"/>
      <c r="I212" s="2"/>
      <c r="J212" s="143"/>
      <c r="K212" s="181"/>
      <c r="L212" s="2"/>
      <c r="M212" s="2"/>
      <c r="N212" s="2"/>
      <c r="O212" s="2"/>
      <c r="P212" s="2"/>
      <c r="Q212" s="157"/>
      <c r="R212" s="157"/>
      <c r="S212" s="157"/>
      <c r="T212" s="2"/>
      <c r="U212" s="2"/>
      <c r="V212" s="2"/>
      <c r="W212" s="2"/>
      <c r="X212" s="2"/>
      <c r="Y212" s="2"/>
      <c r="Z212" s="2"/>
    </row>
    <row r="213" ht="13.5" customHeight="1">
      <c r="A213" s="2"/>
      <c r="B213" s="2"/>
      <c r="C213" s="2"/>
      <c r="D213" s="2"/>
      <c r="E213" s="2"/>
      <c r="F213" s="2"/>
      <c r="G213" s="2"/>
      <c r="H213" s="2"/>
      <c r="I213" s="2"/>
      <c r="J213" s="143"/>
      <c r="K213" s="181"/>
      <c r="L213" s="2"/>
      <c r="M213" s="2"/>
      <c r="N213" s="2"/>
      <c r="O213" s="2"/>
      <c r="P213" s="2"/>
      <c r="Q213" s="157"/>
      <c r="R213" s="157"/>
      <c r="S213" s="157"/>
      <c r="T213" s="2"/>
      <c r="U213" s="2"/>
      <c r="V213" s="2"/>
      <c r="W213" s="2"/>
      <c r="X213" s="2"/>
      <c r="Y213" s="2"/>
      <c r="Z213" s="2"/>
    </row>
    <row r="214" ht="13.5" customHeight="1">
      <c r="A214" s="2"/>
      <c r="B214" s="2"/>
      <c r="C214" s="2"/>
      <c r="D214" s="2"/>
      <c r="E214" s="2"/>
      <c r="F214" s="2"/>
      <c r="G214" s="2"/>
      <c r="H214" s="2"/>
      <c r="I214" s="2"/>
      <c r="J214" s="143"/>
      <c r="K214" s="181"/>
      <c r="L214" s="2"/>
      <c r="M214" s="2"/>
      <c r="N214" s="2"/>
      <c r="O214" s="2"/>
      <c r="P214" s="2"/>
      <c r="Q214" s="157"/>
      <c r="R214" s="157"/>
      <c r="S214" s="157"/>
      <c r="T214" s="2"/>
      <c r="U214" s="2"/>
      <c r="V214" s="2"/>
      <c r="W214" s="2"/>
      <c r="X214" s="2"/>
      <c r="Y214" s="2"/>
      <c r="Z214" s="2"/>
    </row>
    <row r="215" ht="13.5" customHeight="1">
      <c r="A215" s="2"/>
      <c r="B215" s="2"/>
      <c r="C215" s="2"/>
      <c r="D215" s="2"/>
      <c r="E215" s="2"/>
      <c r="F215" s="2"/>
      <c r="G215" s="2"/>
      <c r="H215" s="2"/>
      <c r="I215" s="2"/>
      <c r="J215" s="143"/>
      <c r="K215" s="181"/>
      <c r="L215" s="2"/>
      <c r="M215" s="2"/>
      <c r="N215" s="2"/>
      <c r="O215" s="2"/>
      <c r="P215" s="2"/>
      <c r="Q215" s="157"/>
      <c r="R215" s="157"/>
      <c r="S215" s="157"/>
      <c r="T215" s="2"/>
      <c r="U215" s="2"/>
      <c r="V215" s="2"/>
      <c r="W215" s="2"/>
      <c r="X215" s="2"/>
      <c r="Y215" s="2"/>
      <c r="Z215" s="2"/>
    </row>
    <row r="216" ht="13.5" customHeight="1">
      <c r="A216" s="2"/>
      <c r="B216" s="2"/>
      <c r="C216" s="2"/>
      <c r="D216" s="2"/>
      <c r="E216" s="2"/>
      <c r="F216" s="2"/>
      <c r="G216" s="2"/>
      <c r="H216" s="2"/>
      <c r="I216" s="2"/>
      <c r="J216" s="143"/>
      <c r="K216" s="181"/>
      <c r="L216" s="2"/>
      <c r="M216" s="2"/>
      <c r="N216" s="2"/>
      <c r="O216" s="2"/>
      <c r="P216" s="2"/>
      <c r="Q216" s="157"/>
      <c r="R216" s="157"/>
      <c r="S216" s="157"/>
      <c r="T216" s="2"/>
      <c r="U216" s="2"/>
      <c r="V216" s="2"/>
      <c r="W216" s="2"/>
      <c r="X216" s="2"/>
      <c r="Y216" s="2"/>
      <c r="Z216" s="2"/>
    </row>
    <row r="217" ht="13.5" customHeight="1">
      <c r="A217" s="2"/>
      <c r="B217" s="2"/>
      <c r="C217" s="2"/>
      <c r="D217" s="2"/>
      <c r="E217" s="2"/>
      <c r="F217" s="2"/>
      <c r="G217" s="2"/>
      <c r="H217" s="2"/>
      <c r="I217" s="2"/>
      <c r="J217" s="143"/>
      <c r="K217" s="181"/>
      <c r="L217" s="2"/>
      <c r="M217" s="2"/>
      <c r="N217" s="2"/>
      <c r="O217" s="2"/>
      <c r="P217" s="2"/>
      <c r="Q217" s="157"/>
      <c r="R217" s="157"/>
      <c r="S217" s="157"/>
      <c r="T217" s="2"/>
      <c r="U217" s="2"/>
      <c r="V217" s="2"/>
      <c r="W217" s="2"/>
      <c r="X217" s="2"/>
      <c r="Y217" s="2"/>
      <c r="Z217" s="2"/>
    </row>
    <row r="218" ht="13.5" customHeight="1">
      <c r="A218" s="2"/>
      <c r="B218" s="2"/>
      <c r="C218" s="2"/>
      <c r="D218" s="2"/>
      <c r="E218" s="2"/>
      <c r="F218" s="2"/>
      <c r="G218" s="2"/>
      <c r="H218" s="2"/>
      <c r="I218" s="2"/>
      <c r="J218" s="143"/>
      <c r="K218" s="181"/>
      <c r="L218" s="2"/>
      <c r="M218" s="2"/>
      <c r="N218" s="2"/>
      <c r="O218" s="2"/>
      <c r="P218" s="2"/>
      <c r="Q218" s="157"/>
      <c r="R218" s="157"/>
      <c r="S218" s="157"/>
      <c r="T218" s="2"/>
      <c r="U218" s="2"/>
      <c r="V218" s="2"/>
      <c r="W218" s="2"/>
      <c r="X218" s="2"/>
      <c r="Y218" s="2"/>
      <c r="Z218" s="2"/>
    </row>
    <row r="219" ht="13.5" customHeight="1">
      <c r="A219" s="2"/>
      <c r="B219" s="2"/>
      <c r="C219" s="2"/>
      <c r="D219" s="2"/>
      <c r="E219" s="2"/>
      <c r="F219" s="2"/>
      <c r="G219" s="2"/>
      <c r="H219" s="2"/>
      <c r="I219" s="2"/>
      <c r="J219" s="143"/>
      <c r="K219" s="181"/>
      <c r="L219" s="2"/>
      <c r="M219" s="2"/>
      <c r="N219" s="2"/>
      <c r="O219" s="2"/>
      <c r="P219" s="2"/>
      <c r="Q219" s="157"/>
      <c r="R219" s="157"/>
      <c r="S219" s="157"/>
      <c r="T219" s="2"/>
      <c r="U219" s="2"/>
      <c r="V219" s="2"/>
      <c r="W219" s="2"/>
      <c r="X219" s="2"/>
      <c r="Y219" s="2"/>
      <c r="Z219" s="2"/>
    </row>
    <row r="220" ht="13.5" customHeight="1">
      <c r="A220" s="2"/>
      <c r="B220" s="2"/>
      <c r="C220" s="2"/>
      <c r="D220" s="2"/>
      <c r="E220" s="2"/>
      <c r="F220" s="2"/>
      <c r="G220" s="2"/>
      <c r="H220" s="2"/>
      <c r="I220" s="2"/>
      <c r="J220" s="143"/>
      <c r="K220" s="181"/>
      <c r="L220" s="2"/>
      <c r="M220" s="2"/>
      <c r="N220" s="2"/>
      <c r="O220" s="2"/>
      <c r="P220" s="2"/>
      <c r="Q220" s="157"/>
      <c r="R220" s="157"/>
      <c r="S220" s="157"/>
      <c r="T220" s="2"/>
      <c r="U220" s="2"/>
      <c r="V220" s="2"/>
      <c r="W220" s="2"/>
      <c r="X220" s="2"/>
      <c r="Y220" s="2"/>
      <c r="Z220" s="2"/>
    </row>
    <row r="221" ht="13.5" customHeight="1">
      <c r="A221" s="2"/>
      <c r="B221" s="2"/>
      <c r="C221" s="2"/>
      <c r="D221" s="2"/>
      <c r="E221" s="2"/>
      <c r="F221" s="2"/>
      <c r="G221" s="2"/>
      <c r="H221" s="2"/>
      <c r="I221" s="2"/>
      <c r="J221" s="143"/>
      <c r="K221" s="181"/>
      <c r="L221" s="2"/>
      <c r="M221" s="2"/>
      <c r="N221" s="2"/>
      <c r="O221" s="2"/>
      <c r="P221" s="2"/>
      <c r="Q221" s="157"/>
      <c r="R221" s="157"/>
      <c r="S221" s="157"/>
      <c r="T221" s="2"/>
      <c r="U221" s="2"/>
      <c r="V221" s="2"/>
      <c r="W221" s="2"/>
      <c r="X221" s="2"/>
      <c r="Y221" s="2"/>
      <c r="Z221" s="2"/>
    </row>
    <row r="222" ht="13.5" customHeight="1">
      <c r="A222" s="2"/>
      <c r="B222" s="2"/>
      <c r="C222" s="2"/>
      <c r="D222" s="2"/>
      <c r="E222" s="2"/>
      <c r="F222" s="2"/>
      <c r="G222" s="2"/>
      <c r="H222" s="2"/>
      <c r="I222" s="2"/>
      <c r="J222" s="143"/>
      <c r="K222" s="181"/>
      <c r="L222" s="2"/>
      <c r="M222" s="2"/>
      <c r="N222" s="2"/>
      <c r="O222" s="2"/>
      <c r="P222" s="2"/>
      <c r="Q222" s="157"/>
      <c r="R222" s="157"/>
      <c r="S222" s="157"/>
      <c r="T222" s="2"/>
      <c r="U222" s="2"/>
      <c r="V222" s="2"/>
      <c r="W222" s="2"/>
      <c r="X222" s="2"/>
      <c r="Y222" s="2"/>
      <c r="Z222" s="2"/>
    </row>
    <row r="223" ht="13.5" customHeight="1">
      <c r="A223" s="2"/>
      <c r="B223" s="2"/>
      <c r="C223" s="2"/>
      <c r="D223" s="2"/>
      <c r="E223" s="2"/>
      <c r="F223" s="2"/>
      <c r="G223" s="2"/>
      <c r="H223" s="2"/>
      <c r="I223" s="2"/>
      <c r="J223" s="143"/>
      <c r="K223" s="181"/>
      <c r="L223" s="2"/>
      <c r="M223" s="2"/>
      <c r="N223" s="2"/>
      <c r="O223" s="2"/>
      <c r="P223" s="2"/>
      <c r="Q223" s="157"/>
      <c r="R223" s="157"/>
      <c r="S223" s="157"/>
      <c r="T223" s="2"/>
      <c r="U223" s="2"/>
      <c r="V223" s="2"/>
      <c r="W223" s="2"/>
      <c r="X223" s="2"/>
      <c r="Y223" s="2"/>
      <c r="Z223" s="2"/>
    </row>
    <row r="224" ht="13.5" customHeight="1">
      <c r="A224" s="2"/>
      <c r="B224" s="2"/>
      <c r="C224" s="2"/>
      <c r="D224" s="2"/>
      <c r="E224" s="2"/>
      <c r="F224" s="2"/>
      <c r="G224" s="2"/>
      <c r="H224" s="2"/>
      <c r="I224" s="2"/>
      <c r="J224" s="143"/>
      <c r="K224" s="181"/>
      <c r="L224" s="2"/>
      <c r="M224" s="2"/>
      <c r="N224" s="2"/>
      <c r="O224" s="2"/>
      <c r="P224" s="2"/>
      <c r="Q224" s="157"/>
      <c r="R224" s="157"/>
      <c r="S224" s="157"/>
      <c r="T224" s="2"/>
      <c r="U224" s="2"/>
      <c r="V224" s="2"/>
      <c r="W224" s="2"/>
      <c r="X224" s="2"/>
      <c r="Y224" s="2"/>
      <c r="Z224" s="2"/>
    </row>
    <row r="225" ht="13.5" customHeight="1">
      <c r="A225" s="2"/>
      <c r="B225" s="2"/>
      <c r="C225" s="2"/>
      <c r="D225" s="2"/>
      <c r="E225" s="2"/>
      <c r="F225" s="2"/>
      <c r="G225" s="2"/>
      <c r="H225" s="2"/>
      <c r="I225" s="2"/>
      <c r="J225" s="143"/>
      <c r="K225" s="181"/>
      <c r="L225" s="2"/>
      <c r="M225" s="2"/>
      <c r="N225" s="2"/>
      <c r="O225" s="2"/>
      <c r="P225" s="2"/>
      <c r="Q225" s="157"/>
      <c r="R225" s="157"/>
      <c r="S225" s="157"/>
      <c r="T225" s="2"/>
      <c r="U225" s="2"/>
      <c r="V225" s="2"/>
      <c r="W225" s="2"/>
      <c r="X225" s="2"/>
      <c r="Y225" s="2"/>
      <c r="Z225" s="2"/>
    </row>
    <row r="226" ht="13.5" customHeight="1">
      <c r="A226" s="2"/>
      <c r="B226" s="2"/>
      <c r="C226" s="2"/>
      <c r="D226" s="2"/>
      <c r="E226" s="2"/>
      <c r="F226" s="2"/>
      <c r="G226" s="2"/>
      <c r="H226" s="2"/>
      <c r="I226" s="2"/>
      <c r="J226" s="143"/>
      <c r="K226" s="181"/>
      <c r="L226" s="2"/>
      <c r="M226" s="2"/>
      <c r="N226" s="2"/>
      <c r="O226" s="2"/>
      <c r="P226" s="2"/>
      <c r="Q226" s="157"/>
      <c r="R226" s="157"/>
      <c r="S226" s="157"/>
      <c r="T226" s="2"/>
      <c r="U226" s="2"/>
      <c r="V226" s="2"/>
      <c r="W226" s="2"/>
      <c r="X226" s="2"/>
      <c r="Y226" s="2"/>
      <c r="Z226" s="2"/>
    </row>
    <row r="227" ht="13.5" customHeight="1">
      <c r="A227" s="2"/>
      <c r="B227" s="2"/>
      <c r="C227" s="2"/>
      <c r="D227" s="2"/>
      <c r="E227" s="2"/>
      <c r="F227" s="2"/>
      <c r="G227" s="2"/>
      <c r="H227" s="2"/>
      <c r="I227" s="2"/>
      <c r="J227" s="143"/>
      <c r="K227" s="181"/>
      <c r="L227" s="2"/>
      <c r="M227" s="2"/>
      <c r="N227" s="2"/>
      <c r="O227" s="2"/>
      <c r="P227" s="2"/>
      <c r="Q227" s="157"/>
      <c r="R227" s="157"/>
      <c r="S227" s="157"/>
      <c r="T227" s="2"/>
      <c r="U227" s="2"/>
      <c r="V227" s="2"/>
      <c r="W227" s="2"/>
      <c r="X227" s="2"/>
      <c r="Y227" s="2"/>
      <c r="Z227" s="2"/>
    </row>
    <row r="228" ht="13.5" customHeight="1">
      <c r="A228" s="2"/>
      <c r="B228" s="2"/>
      <c r="C228" s="2"/>
      <c r="D228" s="2"/>
      <c r="E228" s="2"/>
      <c r="F228" s="2"/>
      <c r="G228" s="2"/>
      <c r="H228" s="2"/>
      <c r="I228" s="2"/>
      <c r="J228" s="143"/>
      <c r="K228" s="181"/>
      <c r="L228" s="2"/>
      <c r="M228" s="2"/>
      <c r="N228" s="2"/>
      <c r="O228" s="2"/>
      <c r="P228" s="2"/>
      <c r="Q228" s="157"/>
      <c r="R228" s="157"/>
      <c r="S228" s="157"/>
      <c r="T228" s="2"/>
      <c r="U228" s="2"/>
      <c r="V228" s="2"/>
      <c r="W228" s="2"/>
      <c r="X228" s="2"/>
      <c r="Y228" s="2"/>
      <c r="Z228" s="2"/>
    </row>
    <row r="229" ht="13.5" customHeight="1">
      <c r="A229" s="2"/>
      <c r="B229" s="2"/>
      <c r="C229" s="2"/>
      <c r="D229" s="2"/>
      <c r="E229" s="2"/>
      <c r="F229" s="2"/>
      <c r="G229" s="2"/>
      <c r="H229" s="2"/>
      <c r="I229" s="2"/>
      <c r="J229" s="143"/>
      <c r="K229" s="181"/>
      <c r="L229" s="2"/>
      <c r="M229" s="2"/>
      <c r="N229" s="2"/>
      <c r="O229" s="2"/>
      <c r="P229" s="2"/>
      <c r="Q229" s="157"/>
      <c r="R229" s="157"/>
      <c r="S229" s="157"/>
      <c r="T229" s="2"/>
      <c r="U229" s="2"/>
      <c r="V229" s="2"/>
      <c r="W229" s="2"/>
      <c r="X229" s="2"/>
      <c r="Y229" s="2"/>
      <c r="Z229" s="2"/>
    </row>
    <row r="230" ht="13.5" customHeight="1">
      <c r="A230" s="2"/>
      <c r="B230" s="2"/>
      <c r="C230" s="2"/>
      <c r="D230" s="2"/>
      <c r="E230" s="2"/>
      <c r="F230" s="2"/>
      <c r="G230" s="2"/>
      <c r="H230" s="2"/>
      <c r="I230" s="2"/>
      <c r="J230" s="143"/>
      <c r="K230" s="181"/>
      <c r="L230" s="2"/>
      <c r="M230" s="2"/>
      <c r="N230" s="2"/>
      <c r="O230" s="2"/>
      <c r="P230" s="2"/>
      <c r="Q230" s="157"/>
      <c r="R230" s="157"/>
      <c r="S230" s="157"/>
      <c r="T230" s="2"/>
      <c r="U230" s="2"/>
      <c r="V230" s="2"/>
      <c r="W230" s="2"/>
      <c r="X230" s="2"/>
      <c r="Y230" s="2"/>
      <c r="Z230" s="2"/>
    </row>
    <row r="231" ht="13.5" customHeight="1">
      <c r="A231" s="2"/>
      <c r="B231" s="2"/>
      <c r="C231" s="2"/>
      <c r="D231" s="2"/>
      <c r="E231" s="2"/>
      <c r="F231" s="2"/>
      <c r="G231" s="2"/>
      <c r="H231" s="2"/>
      <c r="I231" s="2"/>
      <c r="J231" s="143"/>
      <c r="K231" s="181"/>
      <c r="L231" s="2"/>
      <c r="M231" s="2"/>
      <c r="N231" s="2"/>
      <c r="O231" s="2"/>
      <c r="P231" s="2"/>
      <c r="Q231" s="157"/>
      <c r="R231" s="157"/>
      <c r="S231" s="157"/>
      <c r="T231" s="2"/>
      <c r="U231" s="2"/>
      <c r="V231" s="2"/>
      <c r="W231" s="2"/>
      <c r="X231" s="2"/>
      <c r="Y231" s="2"/>
      <c r="Z231" s="2"/>
    </row>
    <row r="232" ht="13.5" customHeight="1">
      <c r="A232" s="2"/>
      <c r="B232" s="2"/>
      <c r="C232" s="2"/>
      <c r="D232" s="2"/>
      <c r="E232" s="2"/>
      <c r="F232" s="2"/>
      <c r="G232" s="2"/>
      <c r="H232" s="2"/>
      <c r="I232" s="2"/>
      <c r="J232" s="143"/>
      <c r="K232" s="181"/>
      <c r="L232" s="2"/>
      <c r="M232" s="2"/>
      <c r="N232" s="2"/>
      <c r="O232" s="2"/>
      <c r="P232" s="2"/>
      <c r="Q232" s="157"/>
      <c r="R232" s="157"/>
      <c r="S232" s="157"/>
      <c r="T232" s="2"/>
      <c r="U232" s="2"/>
      <c r="V232" s="2"/>
      <c r="W232" s="2"/>
      <c r="X232" s="2"/>
      <c r="Y232" s="2"/>
      <c r="Z232" s="2"/>
    </row>
    <row r="233" ht="13.5" customHeight="1">
      <c r="A233" s="2"/>
      <c r="B233" s="2"/>
      <c r="C233" s="2"/>
      <c r="D233" s="2"/>
      <c r="E233" s="2"/>
      <c r="F233" s="2"/>
      <c r="G233" s="2"/>
      <c r="H233" s="2"/>
      <c r="I233" s="2"/>
      <c r="J233" s="143"/>
      <c r="K233" s="181"/>
      <c r="L233" s="2"/>
      <c r="M233" s="2"/>
      <c r="N233" s="2"/>
      <c r="O233" s="2"/>
      <c r="P233" s="2"/>
      <c r="Q233" s="157"/>
      <c r="R233" s="157"/>
      <c r="S233" s="157"/>
      <c r="T233" s="2"/>
      <c r="U233" s="2"/>
      <c r="V233" s="2"/>
      <c r="W233" s="2"/>
      <c r="X233" s="2"/>
      <c r="Y233" s="2"/>
      <c r="Z233" s="2"/>
    </row>
    <row r="234" ht="13.5" customHeight="1">
      <c r="A234" s="2"/>
      <c r="B234" s="2"/>
      <c r="C234" s="2"/>
      <c r="D234" s="2"/>
      <c r="E234" s="2"/>
      <c r="F234" s="2"/>
      <c r="G234" s="2"/>
      <c r="H234" s="2"/>
      <c r="I234" s="2"/>
      <c r="J234" s="143"/>
      <c r="K234" s="181"/>
      <c r="L234" s="2"/>
      <c r="M234" s="2"/>
      <c r="N234" s="2"/>
      <c r="O234" s="2"/>
      <c r="P234" s="2"/>
      <c r="Q234" s="157"/>
      <c r="R234" s="157"/>
      <c r="S234" s="157"/>
      <c r="T234" s="2"/>
      <c r="U234" s="2"/>
      <c r="V234" s="2"/>
      <c r="W234" s="2"/>
      <c r="X234" s="2"/>
      <c r="Y234" s="2"/>
      <c r="Z234" s="2"/>
    </row>
    <row r="235" ht="13.5" customHeight="1">
      <c r="A235" s="2"/>
      <c r="B235" s="2"/>
      <c r="C235" s="2"/>
      <c r="D235" s="2"/>
      <c r="E235" s="2"/>
      <c r="F235" s="2"/>
      <c r="G235" s="2"/>
      <c r="H235" s="2"/>
      <c r="I235" s="2"/>
      <c r="J235" s="143"/>
      <c r="K235" s="181"/>
      <c r="L235" s="2"/>
      <c r="M235" s="2"/>
      <c r="N235" s="2"/>
      <c r="O235" s="2"/>
      <c r="P235" s="2"/>
      <c r="Q235" s="157"/>
      <c r="R235" s="157"/>
      <c r="S235" s="157"/>
      <c r="T235" s="2"/>
      <c r="U235" s="2"/>
      <c r="V235" s="2"/>
      <c r="W235" s="2"/>
      <c r="X235" s="2"/>
      <c r="Y235" s="2"/>
      <c r="Z235" s="2"/>
    </row>
    <row r="236" ht="13.5" customHeight="1">
      <c r="A236" s="2"/>
      <c r="B236" s="2"/>
      <c r="C236" s="2"/>
      <c r="D236" s="2"/>
      <c r="E236" s="2"/>
      <c r="F236" s="2"/>
      <c r="G236" s="2"/>
      <c r="H236" s="2"/>
      <c r="I236" s="2"/>
      <c r="J236" s="143"/>
      <c r="K236" s="181"/>
      <c r="L236" s="2"/>
      <c r="M236" s="2"/>
      <c r="N236" s="2"/>
      <c r="O236" s="2"/>
      <c r="P236" s="2"/>
      <c r="Q236" s="157"/>
      <c r="R236" s="157"/>
      <c r="S236" s="157"/>
      <c r="T236" s="2"/>
      <c r="U236" s="2"/>
      <c r="V236" s="2"/>
      <c r="W236" s="2"/>
      <c r="X236" s="2"/>
      <c r="Y236" s="2"/>
      <c r="Z236" s="2"/>
    </row>
    <row r="237" ht="13.5" customHeight="1">
      <c r="A237" s="2"/>
      <c r="B237" s="2"/>
      <c r="C237" s="2"/>
      <c r="D237" s="2"/>
      <c r="E237" s="2"/>
      <c r="F237" s="2"/>
      <c r="G237" s="2"/>
      <c r="H237" s="2"/>
      <c r="I237" s="2"/>
      <c r="J237" s="143"/>
      <c r="K237" s="181"/>
      <c r="L237" s="2"/>
      <c r="M237" s="2"/>
      <c r="N237" s="2"/>
      <c r="O237" s="2"/>
      <c r="P237" s="2"/>
      <c r="Q237" s="157"/>
      <c r="R237" s="157"/>
      <c r="S237" s="157"/>
      <c r="T237" s="2"/>
      <c r="U237" s="2"/>
      <c r="V237" s="2"/>
      <c r="W237" s="2"/>
      <c r="X237" s="2"/>
      <c r="Y237" s="2"/>
      <c r="Z237" s="2"/>
    </row>
    <row r="238" ht="13.5" customHeight="1">
      <c r="A238" s="2"/>
      <c r="B238" s="2"/>
      <c r="C238" s="2"/>
      <c r="D238" s="2"/>
      <c r="E238" s="2"/>
      <c r="F238" s="2"/>
      <c r="G238" s="2"/>
      <c r="H238" s="2"/>
      <c r="I238" s="2"/>
      <c r="J238" s="143"/>
      <c r="K238" s="181"/>
      <c r="L238" s="2"/>
      <c r="M238" s="2"/>
      <c r="N238" s="2"/>
      <c r="O238" s="2"/>
      <c r="P238" s="2"/>
      <c r="Q238" s="157"/>
      <c r="R238" s="157"/>
      <c r="S238" s="157"/>
      <c r="T238" s="2"/>
      <c r="U238" s="2"/>
      <c r="V238" s="2"/>
      <c r="W238" s="2"/>
      <c r="X238" s="2"/>
      <c r="Y238" s="2"/>
      <c r="Z238" s="2"/>
    </row>
    <row r="239" ht="13.5" customHeight="1">
      <c r="A239" s="2"/>
      <c r="B239" s="2"/>
      <c r="C239" s="2"/>
      <c r="D239" s="2"/>
      <c r="E239" s="2"/>
      <c r="F239" s="2"/>
      <c r="G239" s="2"/>
      <c r="H239" s="2"/>
      <c r="I239" s="2"/>
      <c r="J239" s="143"/>
      <c r="K239" s="181"/>
      <c r="L239" s="2"/>
      <c r="M239" s="2"/>
      <c r="N239" s="2"/>
      <c r="O239" s="2"/>
      <c r="P239" s="2"/>
      <c r="Q239" s="157"/>
      <c r="R239" s="157"/>
      <c r="S239" s="157"/>
      <c r="T239" s="2"/>
      <c r="U239" s="2"/>
      <c r="V239" s="2"/>
      <c r="W239" s="2"/>
      <c r="X239" s="2"/>
      <c r="Y239" s="2"/>
      <c r="Z239" s="2"/>
    </row>
    <row r="240" ht="13.5" customHeight="1">
      <c r="A240" s="2"/>
      <c r="B240" s="2"/>
      <c r="C240" s="2"/>
      <c r="D240" s="2"/>
      <c r="E240" s="2"/>
      <c r="F240" s="2"/>
      <c r="G240" s="2"/>
      <c r="H240" s="2"/>
      <c r="I240" s="2"/>
      <c r="J240" s="143"/>
      <c r="K240" s="181"/>
      <c r="L240" s="2"/>
      <c r="M240" s="2"/>
      <c r="N240" s="2"/>
      <c r="O240" s="2"/>
      <c r="P240" s="2"/>
      <c r="Q240" s="157"/>
      <c r="R240" s="157"/>
      <c r="S240" s="157"/>
      <c r="T240" s="2"/>
      <c r="U240" s="2"/>
      <c r="V240" s="2"/>
      <c r="W240" s="2"/>
      <c r="X240" s="2"/>
      <c r="Y240" s="2"/>
      <c r="Z240" s="2"/>
    </row>
    <row r="241" ht="13.5" customHeight="1">
      <c r="A241" s="2"/>
      <c r="B241" s="2"/>
      <c r="C241" s="2"/>
      <c r="D241" s="2"/>
      <c r="E241" s="2"/>
      <c r="F241" s="2"/>
      <c r="G241" s="2"/>
      <c r="H241" s="2"/>
      <c r="I241" s="2"/>
      <c r="J241" s="143"/>
      <c r="K241" s="181"/>
      <c r="L241" s="2"/>
      <c r="M241" s="2"/>
      <c r="N241" s="2"/>
      <c r="O241" s="2"/>
      <c r="P241" s="2"/>
      <c r="Q241" s="157"/>
      <c r="R241" s="157"/>
      <c r="S241" s="157"/>
      <c r="T241" s="2"/>
      <c r="U241" s="2"/>
      <c r="V241" s="2"/>
      <c r="W241" s="2"/>
      <c r="X241" s="2"/>
      <c r="Y241" s="2"/>
      <c r="Z241" s="2"/>
    </row>
    <row r="242" ht="13.5" customHeight="1">
      <c r="A242" s="2"/>
      <c r="B242" s="2"/>
      <c r="C242" s="2"/>
      <c r="D242" s="2"/>
      <c r="E242" s="2"/>
      <c r="F242" s="2"/>
      <c r="G242" s="2"/>
      <c r="H242" s="2"/>
      <c r="I242" s="2"/>
      <c r="J242" s="143"/>
      <c r="K242" s="181"/>
      <c r="L242" s="2"/>
      <c r="M242" s="2"/>
      <c r="N242" s="2"/>
      <c r="O242" s="2"/>
      <c r="P242" s="2"/>
      <c r="Q242" s="157"/>
      <c r="R242" s="157"/>
      <c r="S242" s="157"/>
      <c r="T242" s="2"/>
      <c r="U242" s="2"/>
      <c r="V242" s="2"/>
      <c r="W242" s="2"/>
      <c r="X242" s="2"/>
      <c r="Y242" s="2"/>
      <c r="Z242" s="2"/>
    </row>
    <row r="243" ht="13.5" customHeight="1">
      <c r="A243" s="2"/>
      <c r="B243" s="2"/>
      <c r="C243" s="2"/>
      <c r="D243" s="2"/>
      <c r="E243" s="2"/>
      <c r="F243" s="2"/>
      <c r="G243" s="2"/>
      <c r="H243" s="2"/>
      <c r="I243" s="2"/>
      <c r="J243" s="143"/>
      <c r="K243" s="181"/>
      <c r="L243" s="2"/>
      <c r="M243" s="2"/>
      <c r="N243" s="2"/>
      <c r="O243" s="2"/>
      <c r="P243" s="2"/>
      <c r="Q243" s="157"/>
      <c r="R243" s="157"/>
      <c r="S243" s="157"/>
      <c r="T243" s="2"/>
      <c r="U243" s="2"/>
      <c r="V243" s="2"/>
      <c r="W243" s="2"/>
      <c r="X243" s="2"/>
      <c r="Y243" s="2"/>
      <c r="Z243" s="2"/>
    </row>
    <row r="244" ht="13.5" customHeight="1">
      <c r="A244" s="2"/>
      <c r="B244" s="2"/>
      <c r="C244" s="2"/>
      <c r="D244" s="2"/>
      <c r="E244" s="2"/>
      <c r="F244" s="2"/>
      <c r="G244" s="2"/>
      <c r="H244" s="2"/>
      <c r="I244" s="2"/>
      <c r="J244" s="143"/>
      <c r="K244" s="181"/>
      <c r="L244" s="2"/>
      <c r="M244" s="2"/>
      <c r="N244" s="2"/>
      <c r="O244" s="2"/>
      <c r="P244" s="2"/>
      <c r="Q244" s="157"/>
      <c r="R244" s="157"/>
      <c r="S244" s="157"/>
      <c r="T244" s="2"/>
      <c r="U244" s="2"/>
      <c r="V244" s="2"/>
      <c r="W244" s="2"/>
      <c r="X244" s="2"/>
      <c r="Y244" s="2"/>
      <c r="Z244" s="2"/>
    </row>
    <row r="245" ht="13.5" customHeight="1">
      <c r="A245" s="2"/>
      <c r="B245" s="2"/>
      <c r="C245" s="2"/>
      <c r="D245" s="2"/>
      <c r="E245" s="2"/>
      <c r="F245" s="2"/>
      <c r="G245" s="2"/>
      <c r="H245" s="2"/>
      <c r="I245" s="2"/>
      <c r="J245" s="143"/>
      <c r="K245" s="181"/>
      <c r="L245" s="2"/>
      <c r="M245" s="2"/>
      <c r="N245" s="2"/>
      <c r="O245" s="2"/>
      <c r="P245" s="2"/>
      <c r="Q245" s="157"/>
      <c r="R245" s="157"/>
      <c r="S245" s="157"/>
      <c r="T245" s="2"/>
      <c r="U245" s="2"/>
      <c r="V245" s="2"/>
      <c r="W245" s="2"/>
      <c r="X245" s="2"/>
      <c r="Y245" s="2"/>
      <c r="Z245" s="2"/>
    </row>
    <row r="246" ht="13.5" customHeight="1">
      <c r="A246" s="2"/>
      <c r="B246" s="2"/>
      <c r="C246" s="2"/>
      <c r="D246" s="2"/>
      <c r="E246" s="2"/>
      <c r="F246" s="2"/>
      <c r="G246" s="2"/>
      <c r="H246" s="2"/>
      <c r="I246" s="2"/>
      <c r="J246" s="143"/>
      <c r="K246" s="181"/>
      <c r="L246" s="2"/>
      <c r="M246" s="2"/>
      <c r="N246" s="2"/>
      <c r="O246" s="2"/>
      <c r="P246" s="2"/>
      <c r="Q246" s="157"/>
      <c r="R246" s="157"/>
      <c r="S246" s="157"/>
      <c r="T246" s="2"/>
      <c r="U246" s="2"/>
      <c r="V246" s="2"/>
      <c r="W246" s="2"/>
      <c r="X246" s="2"/>
      <c r="Y246" s="2"/>
      <c r="Z246" s="2"/>
    </row>
    <row r="247" ht="13.5" customHeight="1">
      <c r="A247" s="2"/>
      <c r="B247" s="2"/>
      <c r="C247" s="2"/>
      <c r="D247" s="2"/>
      <c r="E247" s="2"/>
      <c r="F247" s="2"/>
      <c r="G247" s="2"/>
      <c r="H247" s="2"/>
      <c r="I247" s="2"/>
      <c r="J247" s="143"/>
      <c r="K247" s="181"/>
      <c r="L247" s="2"/>
      <c r="M247" s="2"/>
      <c r="N247" s="2"/>
      <c r="O247" s="2"/>
      <c r="P247" s="2"/>
      <c r="Q247" s="157"/>
      <c r="R247" s="157"/>
      <c r="S247" s="157"/>
      <c r="T247" s="2"/>
      <c r="U247" s="2"/>
      <c r="V247" s="2"/>
      <c r="W247" s="2"/>
      <c r="X247" s="2"/>
      <c r="Y247" s="2"/>
      <c r="Z247" s="2"/>
    </row>
    <row r="248" ht="13.5" customHeight="1">
      <c r="A248" s="2"/>
      <c r="B248" s="2"/>
      <c r="C248" s="2"/>
      <c r="D248" s="2"/>
      <c r="E248" s="2"/>
      <c r="F248" s="2"/>
      <c r="G248" s="2"/>
      <c r="H248" s="2"/>
      <c r="I248" s="2"/>
      <c r="J248" s="143"/>
      <c r="K248" s="181"/>
      <c r="L248" s="2"/>
      <c r="M248" s="2"/>
      <c r="N248" s="2"/>
      <c r="O248" s="2"/>
      <c r="P248" s="2"/>
      <c r="Q248" s="157"/>
      <c r="R248" s="157"/>
      <c r="S248" s="157"/>
      <c r="T248" s="2"/>
      <c r="U248" s="2"/>
      <c r="V248" s="2"/>
      <c r="W248" s="2"/>
      <c r="X248" s="2"/>
      <c r="Y248" s="2"/>
      <c r="Z248" s="2"/>
    </row>
    <row r="249" ht="13.5" customHeight="1">
      <c r="A249" s="2"/>
      <c r="B249" s="2"/>
      <c r="C249" s="2"/>
      <c r="D249" s="2"/>
      <c r="E249" s="2"/>
      <c r="F249" s="2"/>
      <c r="G249" s="2"/>
      <c r="H249" s="2"/>
      <c r="I249" s="2"/>
      <c r="J249" s="143"/>
      <c r="K249" s="181"/>
      <c r="L249" s="2"/>
      <c r="M249" s="2"/>
      <c r="N249" s="2"/>
      <c r="O249" s="2"/>
      <c r="P249" s="2"/>
      <c r="Q249" s="157"/>
      <c r="R249" s="157"/>
      <c r="S249" s="157"/>
      <c r="T249" s="2"/>
      <c r="U249" s="2"/>
      <c r="V249" s="2"/>
      <c r="W249" s="2"/>
      <c r="X249" s="2"/>
      <c r="Y249" s="2"/>
      <c r="Z249" s="2"/>
    </row>
    <row r="250" ht="13.5" customHeight="1">
      <c r="A250" s="2"/>
      <c r="B250" s="2"/>
      <c r="C250" s="2"/>
      <c r="D250" s="2"/>
      <c r="E250" s="2"/>
      <c r="F250" s="2"/>
      <c r="G250" s="2"/>
      <c r="H250" s="2"/>
      <c r="I250" s="2"/>
      <c r="J250" s="143"/>
      <c r="K250" s="181"/>
      <c r="L250" s="2"/>
      <c r="M250" s="2"/>
      <c r="N250" s="2"/>
      <c r="O250" s="2"/>
      <c r="P250" s="2"/>
      <c r="Q250" s="157"/>
      <c r="R250" s="157"/>
      <c r="S250" s="157"/>
      <c r="T250" s="2"/>
      <c r="U250" s="2"/>
      <c r="V250" s="2"/>
      <c r="W250" s="2"/>
      <c r="X250" s="2"/>
      <c r="Y250" s="2"/>
      <c r="Z250" s="2"/>
    </row>
    <row r="251" ht="13.5" customHeight="1">
      <c r="A251" s="2"/>
      <c r="B251" s="2"/>
      <c r="C251" s="2"/>
      <c r="D251" s="2"/>
      <c r="E251" s="2"/>
      <c r="F251" s="2"/>
      <c r="G251" s="2"/>
      <c r="H251" s="2"/>
      <c r="I251" s="2"/>
      <c r="J251" s="143"/>
      <c r="K251" s="181"/>
      <c r="L251" s="2"/>
      <c r="M251" s="2"/>
      <c r="N251" s="2"/>
      <c r="O251" s="2"/>
      <c r="P251" s="2"/>
      <c r="Q251" s="157"/>
      <c r="R251" s="157"/>
      <c r="S251" s="157"/>
      <c r="T251" s="2"/>
      <c r="U251" s="2"/>
      <c r="V251" s="2"/>
      <c r="W251" s="2"/>
      <c r="X251" s="2"/>
      <c r="Y251" s="2"/>
      <c r="Z251" s="2"/>
    </row>
    <row r="252" ht="13.5" customHeight="1">
      <c r="A252" s="2"/>
      <c r="B252" s="2"/>
      <c r="C252" s="2"/>
      <c r="D252" s="2"/>
      <c r="E252" s="2"/>
      <c r="F252" s="2"/>
      <c r="G252" s="2"/>
      <c r="H252" s="2"/>
      <c r="I252" s="2"/>
      <c r="J252" s="143"/>
      <c r="K252" s="181"/>
      <c r="L252" s="2"/>
      <c r="M252" s="2"/>
      <c r="N252" s="2"/>
      <c r="O252" s="2"/>
      <c r="P252" s="2"/>
      <c r="Q252" s="157"/>
      <c r="R252" s="157"/>
      <c r="S252" s="157"/>
      <c r="T252" s="2"/>
      <c r="U252" s="2"/>
      <c r="V252" s="2"/>
      <c r="W252" s="2"/>
      <c r="X252" s="2"/>
      <c r="Y252" s="2"/>
      <c r="Z252" s="2"/>
    </row>
    <row r="253" ht="13.5" customHeight="1">
      <c r="A253" s="2"/>
      <c r="B253" s="2"/>
      <c r="C253" s="2"/>
      <c r="D253" s="2"/>
      <c r="E253" s="2"/>
      <c r="F253" s="2"/>
      <c r="G253" s="2"/>
      <c r="H253" s="2"/>
      <c r="I253" s="2"/>
      <c r="J253" s="143"/>
      <c r="K253" s="181"/>
      <c r="L253" s="2"/>
      <c r="M253" s="2"/>
      <c r="N253" s="2"/>
      <c r="O253" s="2"/>
      <c r="P253" s="2"/>
      <c r="Q253" s="157"/>
      <c r="R253" s="157"/>
      <c r="S253" s="157"/>
      <c r="T253" s="2"/>
      <c r="U253" s="2"/>
      <c r="V253" s="2"/>
      <c r="W253" s="2"/>
      <c r="X253" s="2"/>
      <c r="Y253" s="2"/>
      <c r="Z253" s="2"/>
    </row>
    <row r="254" ht="13.5" customHeight="1">
      <c r="A254" s="2"/>
      <c r="B254" s="2"/>
      <c r="C254" s="2"/>
      <c r="D254" s="2"/>
      <c r="E254" s="2"/>
      <c r="F254" s="2"/>
      <c r="G254" s="2"/>
      <c r="H254" s="2"/>
      <c r="I254" s="2"/>
      <c r="J254" s="143"/>
      <c r="K254" s="181"/>
      <c r="L254" s="2"/>
      <c r="M254" s="2"/>
      <c r="N254" s="2"/>
      <c r="O254" s="2"/>
      <c r="P254" s="2"/>
      <c r="Q254" s="157"/>
      <c r="R254" s="157"/>
      <c r="S254" s="157"/>
      <c r="T254" s="2"/>
      <c r="U254" s="2"/>
      <c r="V254" s="2"/>
      <c r="W254" s="2"/>
      <c r="X254" s="2"/>
      <c r="Y254" s="2"/>
      <c r="Z254" s="2"/>
    </row>
    <row r="255" ht="13.5" customHeight="1">
      <c r="A255" s="2"/>
      <c r="B255" s="2"/>
      <c r="C255" s="2"/>
      <c r="D255" s="2"/>
      <c r="E255" s="2"/>
      <c r="F255" s="2"/>
      <c r="G255" s="2"/>
      <c r="H255" s="2"/>
      <c r="I255" s="2"/>
      <c r="J255" s="143"/>
      <c r="K255" s="181"/>
      <c r="L255" s="2"/>
      <c r="M255" s="2"/>
      <c r="N255" s="2"/>
      <c r="O255" s="2"/>
      <c r="P255" s="2"/>
      <c r="Q255" s="157"/>
      <c r="R255" s="157"/>
      <c r="S255" s="157"/>
      <c r="T255" s="2"/>
      <c r="U255" s="2"/>
      <c r="V255" s="2"/>
      <c r="W255" s="2"/>
      <c r="X255" s="2"/>
      <c r="Y255" s="2"/>
      <c r="Z255" s="2"/>
    </row>
    <row r="256" ht="13.5" customHeight="1">
      <c r="A256" s="2"/>
      <c r="B256" s="2"/>
      <c r="C256" s="2"/>
      <c r="D256" s="2"/>
      <c r="E256" s="2"/>
      <c r="F256" s="2"/>
      <c r="G256" s="2"/>
      <c r="H256" s="2"/>
      <c r="I256" s="2"/>
      <c r="J256" s="143"/>
      <c r="K256" s="181"/>
      <c r="L256" s="2"/>
      <c r="M256" s="2"/>
      <c r="N256" s="2"/>
      <c r="O256" s="2"/>
      <c r="P256" s="2"/>
      <c r="Q256" s="157"/>
      <c r="R256" s="157"/>
      <c r="S256" s="157"/>
      <c r="T256" s="2"/>
      <c r="U256" s="2"/>
      <c r="V256" s="2"/>
      <c r="W256" s="2"/>
      <c r="X256" s="2"/>
      <c r="Y256" s="2"/>
      <c r="Z256" s="2"/>
    </row>
    <row r="257" ht="13.5" customHeight="1">
      <c r="A257" s="2"/>
      <c r="B257" s="2"/>
      <c r="C257" s="2"/>
      <c r="D257" s="2"/>
      <c r="E257" s="2"/>
      <c r="F257" s="2"/>
      <c r="G257" s="2"/>
      <c r="H257" s="2"/>
      <c r="I257" s="2"/>
      <c r="J257" s="143"/>
      <c r="K257" s="181"/>
      <c r="L257" s="2"/>
      <c r="M257" s="2"/>
      <c r="N257" s="2"/>
      <c r="O257" s="2"/>
      <c r="P257" s="2"/>
      <c r="Q257" s="157"/>
      <c r="R257" s="157"/>
      <c r="S257" s="157"/>
      <c r="T257" s="2"/>
      <c r="U257" s="2"/>
      <c r="V257" s="2"/>
      <c r="W257" s="2"/>
      <c r="X257" s="2"/>
      <c r="Y257" s="2"/>
      <c r="Z257" s="2"/>
    </row>
    <row r="258" ht="13.5" customHeight="1">
      <c r="A258" s="2"/>
      <c r="B258" s="2"/>
      <c r="C258" s="2"/>
      <c r="D258" s="2"/>
      <c r="E258" s="2"/>
      <c r="F258" s="2"/>
      <c r="G258" s="2"/>
      <c r="H258" s="2"/>
      <c r="I258" s="2"/>
      <c r="J258" s="143"/>
      <c r="K258" s="181"/>
      <c r="L258" s="2"/>
      <c r="M258" s="2"/>
      <c r="N258" s="2"/>
      <c r="O258" s="2"/>
      <c r="P258" s="2"/>
      <c r="Q258" s="157"/>
      <c r="R258" s="157"/>
      <c r="S258" s="157"/>
      <c r="T258" s="2"/>
      <c r="U258" s="2"/>
      <c r="V258" s="2"/>
      <c r="W258" s="2"/>
      <c r="X258" s="2"/>
      <c r="Y258" s="2"/>
      <c r="Z258" s="2"/>
    </row>
    <row r="259" ht="13.5" customHeight="1">
      <c r="A259" s="2"/>
      <c r="B259" s="2"/>
      <c r="C259" s="2"/>
      <c r="D259" s="2"/>
      <c r="E259" s="2"/>
      <c r="F259" s="2"/>
      <c r="G259" s="2"/>
      <c r="H259" s="2"/>
      <c r="I259" s="2"/>
      <c r="J259" s="143"/>
      <c r="K259" s="181"/>
      <c r="L259" s="2"/>
      <c r="M259" s="2"/>
      <c r="N259" s="2"/>
      <c r="O259" s="2"/>
      <c r="P259" s="2"/>
      <c r="Q259" s="157"/>
      <c r="R259" s="157"/>
      <c r="S259" s="157"/>
      <c r="T259" s="2"/>
      <c r="U259" s="2"/>
      <c r="V259" s="2"/>
      <c r="W259" s="2"/>
      <c r="X259" s="2"/>
      <c r="Y259" s="2"/>
      <c r="Z259" s="2"/>
    </row>
    <row r="260" ht="13.5" customHeight="1">
      <c r="A260" s="2"/>
      <c r="B260" s="2"/>
      <c r="C260" s="2"/>
      <c r="D260" s="2"/>
      <c r="E260" s="2"/>
      <c r="F260" s="2"/>
      <c r="G260" s="2"/>
      <c r="H260" s="2"/>
      <c r="I260" s="2"/>
      <c r="J260" s="143"/>
      <c r="K260" s="181"/>
      <c r="L260" s="2"/>
      <c r="M260" s="2"/>
      <c r="N260" s="2"/>
      <c r="O260" s="2"/>
      <c r="P260" s="2"/>
      <c r="Q260" s="157"/>
      <c r="R260" s="157"/>
      <c r="S260" s="157"/>
      <c r="T260" s="2"/>
      <c r="U260" s="2"/>
      <c r="V260" s="2"/>
      <c r="W260" s="2"/>
      <c r="X260" s="2"/>
      <c r="Y260" s="2"/>
      <c r="Z260" s="2"/>
    </row>
    <row r="261" ht="13.5" customHeight="1">
      <c r="A261" s="2"/>
      <c r="B261" s="2"/>
      <c r="C261" s="2"/>
      <c r="D261" s="2"/>
      <c r="E261" s="2"/>
      <c r="F261" s="2"/>
      <c r="G261" s="2"/>
      <c r="H261" s="2"/>
      <c r="I261" s="2"/>
      <c r="J261" s="28"/>
      <c r="K261" s="181"/>
      <c r="L261" s="2"/>
      <c r="M261" s="2"/>
      <c r="N261" s="2"/>
      <c r="O261" s="2"/>
      <c r="P261" s="2"/>
      <c r="Q261" s="157"/>
      <c r="R261" s="157"/>
      <c r="S261" s="157"/>
      <c r="T261" s="2"/>
      <c r="U261" s="2"/>
      <c r="V261" s="2"/>
      <c r="W261" s="2"/>
      <c r="X261" s="2"/>
      <c r="Y261" s="2"/>
      <c r="Z261" s="2"/>
    </row>
    <row r="262" ht="13.5" customHeight="1">
      <c r="A262" s="2"/>
      <c r="B262" s="2"/>
      <c r="C262" s="2"/>
      <c r="D262" s="2"/>
      <c r="E262" s="2"/>
      <c r="F262" s="2"/>
      <c r="G262" s="2"/>
      <c r="H262" s="2"/>
      <c r="I262" s="2"/>
      <c r="J262" s="28"/>
      <c r="K262" s="181"/>
      <c r="L262" s="2"/>
      <c r="M262" s="2"/>
      <c r="N262" s="2"/>
      <c r="O262" s="2"/>
      <c r="P262" s="2"/>
      <c r="Q262" s="157"/>
      <c r="R262" s="157"/>
      <c r="S262" s="157"/>
      <c r="T262" s="2"/>
      <c r="U262" s="2"/>
      <c r="V262" s="2"/>
      <c r="W262" s="2"/>
      <c r="X262" s="2"/>
      <c r="Y262" s="2"/>
      <c r="Z262" s="2"/>
    </row>
    <row r="263" ht="13.5" customHeight="1">
      <c r="A263" s="2"/>
      <c r="B263" s="2"/>
      <c r="C263" s="2"/>
      <c r="D263" s="2"/>
      <c r="E263" s="2"/>
      <c r="F263" s="2"/>
      <c r="G263" s="2"/>
      <c r="H263" s="2"/>
      <c r="I263" s="2"/>
      <c r="J263" s="28"/>
      <c r="K263" s="181"/>
      <c r="L263" s="2"/>
      <c r="M263" s="2"/>
      <c r="N263" s="2"/>
      <c r="O263" s="2"/>
      <c r="P263" s="2"/>
      <c r="Q263" s="157"/>
      <c r="R263" s="157"/>
      <c r="S263" s="157"/>
      <c r="T263" s="2"/>
      <c r="U263" s="2"/>
      <c r="V263" s="2"/>
      <c r="W263" s="2"/>
      <c r="X263" s="2"/>
      <c r="Y263" s="2"/>
      <c r="Z263" s="2"/>
    </row>
    <row r="264" ht="13.5" customHeight="1">
      <c r="A264" s="2"/>
      <c r="B264" s="2"/>
      <c r="C264" s="2"/>
      <c r="D264" s="2"/>
      <c r="E264" s="2"/>
      <c r="F264" s="2"/>
      <c r="G264" s="2"/>
      <c r="H264" s="2"/>
      <c r="I264" s="2"/>
      <c r="J264" s="28"/>
      <c r="K264" s="181"/>
      <c r="L264" s="2"/>
      <c r="M264" s="2"/>
      <c r="N264" s="2"/>
      <c r="O264" s="2"/>
      <c r="P264" s="2"/>
      <c r="Q264" s="157"/>
      <c r="R264" s="157"/>
      <c r="S264" s="157"/>
      <c r="T264" s="2"/>
      <c r="U264" s="2"/>
      <c r="V264" s="2"/>
      <c r="W264" s="2"/>
      <c r="X264" s="2"/>
      <c r="Y264" s="2"/>
      <c r="Z264" s="2"/>
    </row>
    <row r="265" ht="13.5" customHeight="1">
      <c r="A265" s="2"/>
      <c r="B265" s="2"/>
      <c r="C265" s="2"/>
      <c r="D265" s="2"/>
      <c r="E265" s="2"/>
      <c r="F265" s="2"/>
      <c r="G265" s="2"/>
      <c r="H265" s="2"/>
      <c r="I265" s="2"/>
      <c r="J265" s="28"/>
      <c r="K265" s="181"/>
      <c r="L265" s="2"/>
      <c r="M265" s="2"/>
      <c r="N265" s="2"/>
      <c r="O265" s="2"/>
      <c r="P265" s="2"/>
      <c r="Q265" s="157"/>
      <c r="R265" s="157"/>
      <c r="S265" s="157"/>
      <c r="T265" s="2"/>
      <c r="U265" s="2"/>
      <c r="V265" s="2"/>
      <c r="W265" s="2"/>
      <c r="X265" s="2"/>
      <c r="Y265" s="2"/>
      <c r="Z265" s="2"/>
    </row>
    <row r="266" ht="13.5" customHeight="1">
      <c r="A266" s="2"/>
      <c r="B266" s="2"/>
      <c r="C266" s="2"/>
      <c r="D266" s="2"/>
      <c r="E266" s="2"/>
      <c r="F266" s="2"/>
      <c r="G266" s="2"/>
      <c r="H266" s="2"/>
      <c r="I266" s="2"/>
      <c r="J266" s="28"/>
      <c r="K266" s="181"/>
      <c r="L266" s="2"/>
      <c r="M266" s="2"/>
      <c r="N266" s="2"/>
      <c r="O266" s="2"/>
      <c r="P266" s="2"/>
      <c r="Q266" s="157"/>
      <c r="R266" s="157"/>
      <c r="S266" s="157"/>
      <c r="T266" s="2"/>
      <c r="U266" s="2"/>
      <c r="V266" s="2"/>
      <c r="W266" s="2"/>
      <c r="X266" s="2"/>
      <c r="Y266" s="2"/>
      <c r="Z266" s="2"/>
    </row>
    <row r="267" ht="13.5" customHeight="1">
      <c r="A267" s="2"/>
      <c r="B267" s="2"/>
      <c r="C267" s="2"/>
      <c r="D267" s="2"/>
      <c r="E267" s="2"/>
      <c r="F267" s="2"/>
      <c r="G267" s="2"/>
      <c r="H267" s="2"/>
      <c r="I267" s="2"/>
      <c r="J267" s="28"/>
      <c r="K267" s="181"/>
      <c r="L267" s="2"/>
      <c r="M267" s="2"/>
      <c r="N267" s="2"/>
      <c r="O267" s="2"/>
      <c r="P267" s="2"/>
      <c r="Q267" s="157"/>
      <c r="R267" s="157"/>
      <c r="S267" s="157"/>
      <c r="T267" s="2"/>
      <c r="U267" s="2"/>
      <c r="V267" s="2"/>
      <c r="W267" s="2"/>
      <c r="X267" s="2"/>
      <c r="Y267" s="2"/>
      <c r="Z267" s="2"/>
    </row>
    <row r="268" ht="13.5" customHeight="1">
      <c r="A268" s="2"/>
      <c r="B268" s="2"/>
      <c r="C268" s="2"/>
      <c r="D268" s="2"/>
      <c r="E268" s="2"/>
      <c r="F268" s="2"/>
      <c r="G268" s="2"/>
      <c r="H268" s="2"/>
      <c r="I268" s="2"/>
      <c r="J268" s="28"/>
      <c r="K268" s="181"/>
      <c r="L268" s="2"/>
      <c r="M268" s="2"/>
      <c r="N268" s="2"/>
      <c r="O268" s="2"/>
      <c r="P268" s="2"/>
      <c r="Q268" s="157"/>
      <c r="R268" s="157"/>
      <c r="S268" s="157"/>
      <c r="T268" s="2"/>
      <c r="U268" s="2"/>
      <c r="V268" s="2"/>
      <c r="W268" s="2"/>
      <c r="X268" s="2"/>
      <c r="Y268" s="2"/>
      <c r="Z268" s="2"/>
    </row>
    <row r="269" ht="13.5" customHeight="1">
      <c r="A269" s="2"/>
      <c r="B269" s="2"/>
      <c r="C269" s="2"/>
      <c r="D269" s="2"/>
      <c r="E269" s="2"/>
      <c r="F269" s="2"/>
      <c r="G269" s="2"/>
      <c r="H269" s="2"/>
      <c r="I269" s="2"/>
      <c r="J269" s="28"/>
      <c r="K269" s="181"/>
      <c r="L269" s="2"/>
      <c r="M269" s="2"/>
      <c r="N269" s="2"/>
      <c r="O269" s="2"/>
      <c r="P269" s="2"/>
      <c r="Q269" s="157"/>
      <c r="R269" s="157"/>
      <c r="S269" s="157"/>
      <c r="T269" s="2"/>
      <c r="U269" s="2"/>
      <c r="V269" s="2"/>
      <c r="W269" s="2"/>
      <c r="X269" s="2"/>
      <c r="Y269" s="2"/>
      <c r="Z269" s="2"/>
    </row>
    <row r="270" ht="13.5" customHeight="1">
      <c r="A270" s="2"/>
      <c r="B270" s="2"/>
      <c r="C270" s="2"/>
      <c r="D270" s="2"/>
      <c r="E270" s="2"/>
      <c r="F270" s="2"/>
      <c r="G270" s="2"/>
      <c r="H270" s="2"/>
      <c r="I270" s="2"/>
      <c r="J270" s="28"/>
      <c r="K270" s="181"/>
      <c r="L270" s="2"/>
      <c r="M270" s="2"/>
      <c r="N270" s="2"/>
      <c r="O270" s="2"/>
      <c r="P270" s="2"/>
      <c r="Q270" s="157"/>
      <c r="R270" s="157"/>
      <c r="S270" s="157"/>
      <c r="T270" s="2"/>
      <c r="U270" s="2"/>
      <c r="V270" s="2"/>
      <c r="W270" s="2"/>
      <c r="X270" s="2"/>
      <c r="Y270" s="2"/>
      <c r="Z270" s="2"/>
    </row>
    <row r="271" ht="13.5" customHeight="1">
      <c r="A271" s="2"/>
      <c r="B271" s="2"/>
      <c r="C271" s="2"/>
      <c r="D271" s="2"/>
      <c r="E271" s="2"/>
      <c r="F271" s="2"/>
      <c r="G271" s="2"/>
      <c r="H271" s="2"/>
      <c r="I271" s="2"/>
      <c r="J271" s="28"/>
      <c r="K271" s="181"/>
      <c r="L271" s="2"/>
      <c r="M271" s="2"/>
      <c r="N271" s="2"/>
      <c r="O271" s="2"/>
      <c r="P271" s="2"/>
      <c r="Q271" s="157"/>
      <c r="R271" s="157"/>
      <c r="S271" s="157"/>
      <c r="T271" s="2"/>
      <c r="U271" s="2"/>
      <c r="V271" s="2"/>
      <c r="W271" s="2"/>
      <c r="X271" s="2"/>
      <c r="Y271" s="2"/>
      <c r="Z271" s="2"/>
    </row>
    <row r="272" ht="13.5" customHeight="1">
      <c r="A272" s="2"/>
      <c r="B272" s="2"/>
      <c r="C272" s="2"/>
      <c r="D272" s="2"/>
      <c r="E272" s="2"/>
      <c r="F272" s="2"/>
      <c r="G272" s="2"/>
      <c r="H272" s="2"/>
      <c r="I272" s="2"/>
      <c r="J272" s="28"/>
      <c r="K272" s="181"/>
      <c r="L272" s="2"/>
      <c r="M272" s="2"/>
      <c r="N272" s="2"/>
      <c r="O272" s="2"/>
      <c r="P272" s="2"/>
      <c r="Q272" s="157"/>
      <c r="R272" s="157"/>
      <c r="S272" s="157"/>
      <c r="T272" s="2"/>
      <c r="U272" s="2"/>
      <c r="V272" s="2"/>
      <c r="W272" s="2"/>
      <c r="X272" s="2"/>
      <c r="Y272" s="2"/>
      <c r="Z272" s="2"/>
    </row>
    <row r="273" ht="13.5" customHeight="1">
      <c r="A273" s="2"/>
      <c r="B273" s="2"/>
      <c r="C273" s="2"/>
      <c r="D273" s="2"/>
      <c r="E273" s="2"/>
      <c r="F273" s="2"/>
      <c r="G273" s="2"/>
      <c r="H273" s="2"/>
      <c r="I273" s="2"/>
      <c r="J273" s="28"/>
      <c r="K273" s="181"/>
      <c r="L273" s="2"/>
      <c r="M273" s="2"/>
      <c r="N273" s="2"/>
      <c r="O273" s="2"/>
      <c r="P273" s="2"/>
      <c r="Q273" s="157"/>
      <c r="R273" s="157"/>
      <c r="S273" s="157"/>
      <c r="T273" s="2"/>
      <c r="U273" s="2"/>
      <c r="V273" s="2"/>
      <c r="W273" s="2"/>
      <c r="X273" s="2"/>
      <c r="Y273" s="2"/>
      <c r="Z273" s="2"/>
    </row>
    <row r="274" ht="13.5" customHeight="1">
      <c r="A274" s="2"/>
      <c r="B274" s="2"/>
      <c r="C274" s="2"/>
      <c r="D274" s="2"/>
      <c r="E274" s="2"/>
      <c r="F274" s="2"/>
      <c r="G274" s="2"/>
      <c r="H274" s="2"/>
      <c r="I274" s="2"/>
      <c r="J274" s="28"/>
      <c r="K274" s="181"/>
      <c r="L274" s="2"/>
      <c r="M274" s="2"/>
      <c r="N274" s="2"/>
      <c r="O274" s="2"/>
      <c r="P274" s="2"/>
      <c r="Q274" s="157"/>
      <c r="R274" s="157"/>
      <c r="S274" s="157"/>
      <c r="T274" s="2"/>
      <c r="U274" s="2"/>
      <c r="V274" s="2"/>
      <c r="W274" s="2"/>
      <c r="X274" s="2"/>
      <c r="Y274" s="2"/>
      <c r="Z274" s="2"/>
    </row>
    <row r="275" ht="13.5" customHeight="1">
      <c r="A275" s="2"/>
      <c r="B275" s="2"/>
      <c r="C275" s="2"/>
      <c r="D275" s="2"/>
      <c r="E275" s="2"/>
      <c r="F275" s="2"/>
      <c r="G275" s="2"/>
      <c r="H275" s="2"/>
      <c r="I275" s="2"/>
      <c r="J275" s="28"/>
      <c r="K275" s="181"/>
      <c r="L275" s="2"/>
      <c r="M275" s="2"/>
      <c r="N275" s="2"/>
      <c r="O275" s="2"/>
      <c r="P275" s="2"/>
      <c r="Q275" s="157"/>
      <c r="R275" s="157"/>
      <c r="S275" s="157"/>
      <c r="T275" s="2"/>
      <c r="U275" s="2"/>
      <c r="V275" s="2"/>
      <c r="W275" s="2"/>
      <c r="X275" s="2"/>
      <c r="Y275" s="2"/>
      <c r="Z275" s="2"/>
    </row>
    <row r="276" ht="13.5" customHeight="1">
      <c r="A276" s="2"/>
      <c r="B276" s="2"/>
      <c r="C276" s="2"/>
      <c r="D276" s="2"/>
      <c r="E276" s="2"/>
      <c r="F276" s="2"/>
      <c r="G276" s="2"/>
      <c r="H276" s="2"/>
      <c r="I276" s="2"/>
      <c r="J276" s="28"/>
      <c r="K276" s="181"/>
      <c r="L276" s="2"/>
      <c r="M276" s="2"/>
      <c r="N276" s="2"/>
      <c r="O276" s="2"/>
      <c r="P276" s="2"/>
      <c r="Q276" s="157"/>
      <c r="R276" s="157"/>
      <c r="S276" s="157"/>
      <c r="T276" s="2"/>
      <c r="U276" s="2"/>
      <c r="V276" s="2"/>
      <c r="W276" s="2"/>
      <c r="X276" s="2"/>
      <c r="Y276" s="2"/>
      <c r="Z276" s="2"/>
    </row>
    <row r="277" ht="13.5" customHeight="1">
      <c r="A277" s="2"/>
      <c r="B277" s="2"/>
      <c r="C277" s="2"/>
      <c r="D277" s="2"/>
      <c r="E277" s="2"/>
      <c r="F277" s="2"/>
      <c r="G277" s="2"/>
      <c r="H277" s="2"/>
      <c r="I277" s="2"/>
      <c r="J277" s="28"/>
      <c r="K277" s="181"/>
      <c r="L277" s="2"/>
      <c r="M277" s="2"/>
      <c r="N277" s="2"/>
      <c r="O277" s="2"/>
      <c r="P277" s="2"/>
      <c r="Q277" s="157"/>
      <c r="R277" s="157"/>
      <c r="S277" s="157"/>
      <c r="T277" s="2"/>
      <c r="U277" s="2"/>
      <c r="V277" s="2"/>
      <c r="W277" s="2"/>
      <c r="X277" s="2"/>
      <c r="Y277" s="2"/>
      <c r="Z277" s="2"/>
    </row>
    <row r="278" ht="13.5" customHeight="1">
      <c r="A278" s="2"/>
      <c r="B278" s="2"/>
      <c r="C278" s="2"/>
      <c r="D278" s="2"/>
      <c r="E278" s="2"/>
      <c r="F278" s="2"/>
      <c r="G278" s="2"/>
      <c r="H278" s="2"/>
      <c r="I278" s="2"/>
      <c r="J278" s="28"/>
      <c r="K278" s="181"/>
      <c r="L278" s="2"/>
      <c r="M278" s="2"/>
      <c r="N278" s="2"/>
      <c r="O278" s="2"/>
      <c r="P278" s="2"/>
      <c r="Q278" s="157"/>
      <c r="R278" s="157"/>
      <c r="S278" s="157"/>
      <c r="T278" s="2"/>
      <c r="U278" s="2"/>
      <c r="V278" s="2"/>
      <c r="W278" s="2"/>
      <c r="X278" s="2"/>
      <c r="Y278" s="2"/>
      <c r="Z278" s="2"/>
    </row>
    <row r="279" ht="13.5" customHeight="1">
      <c r="A279" s="2"/>
      <c r="B279" s="2"/>
      <c r="C279" s="2"/>
      <c r="D279" s="2"/>
      <c r="E279" s="2"/>
      <c r="F279" s="2"/>
      <c r="G279" s="2"/>
      <c r="H279" s="2"/>
      <c r="I279" s="2"/>
      <c r="J279" s="28"/>
      <c r="K279" s="181"/>
      <c r="L279" s="2"/>
      <c r="M279" s="2"/>
      <c r="N279" s="2"/>
      <c r="O279" s="2"/>
      <c r="P279" s="2"/>
      <c r="Q279" s="157"/>
      <c r="R279" s="157"/>
      <c r="S279" s="157"/>
      <c r="T279" s="2"/>
      <c r="U279" s="2"/>
      <c r="V279" s="2"/>
      <c r="W279" s="2"/>
      <c r="X279" s="2"/>
      <c r="Y279" s="2"/>
      <c r="Z279" s="2"/>
    </row>
    <row r="280" ht="13.5" customHeight="1">
      <c r="A280" s="2"/>
      <c r="B280" s="2"/>
      <c r="C280" s="2"/>
      <c r="D280" s="2"/>
      <c r="E280" s="2"/>
      <c r="F280" s="2"/>
      <c r="G280" s="2"/>
      <c r="H280" s="2"/>
      <c r="I280" s="2"/>
      <c r="J280" s="28"/>
      <c r="K280" s="181"/>
      <c r="L280" s="2"/>
      <c r="M280" s="2"/>
      <c r="N280" s="2"/>
      <c r="O280" s="2"/>
      <c r="P280" s="2"/>
      <c r="Q280" s="157"/>
      <c r="R280" s="157"/>
      <c r="S280" s="157"/>
      <c r="T280" s="2"/>
      <c r="U280" s="2"/>
      <c r="V280" s="2"/>
      <c r="W280" s="2"/>
      <c r="X280" s="2"/>
      <c r="Y280" s="2"/>
      <c r="Z280" s="2"/>
    </row>
    <row r="281" ht="13.5" customHeight="1">
      <c r="A281" s="2"/>
      <c r="B281" s="2"/>
      <c r="C281" s="2"/>
      <c r="D281" s="2"/>
      <c r="E281" s="2"/>
      <c r="F281" s="2"/>
      <c r="G281" s="2"/>
      <c r="H281" s="2"/>
      <c r="I281" s="2"/>
      <c r="J281" s="28"/>
      <c r="K281" s="181"/>
      <c r="L281" s="2"/>
      <c r="M281" s="2"/>
      <c r="N281" s="2"/>
      <c r="O281" s="2"/>
      <c r="P281" s="2"/>
      <c r="Q281" s="157"/>
      <c r="R281" s="157"/>
      <c r="S281" s="157"/>
      <c r="T281" s="2"/>
      <c r="U281" s="2"/>
      <c r="V281" s="2"/>
      <c r="W281" s="2"/>
      <c r="X281" s="2"/>
      <c r="Y281" s="2"/>
      <c r="Z281" s="2"/>
    </row>
    <row r="282" ht="13.5" customHeight="1">
      <c r="A282" s="2"/>
      <c r="B282" s="2"/>
      <c r="C282" s="2"/>
      <c r="D282" s="2"/>
      <c r="E282" s="2"/>
      <c r="F282" s="2"/>
      <c r="G282" s="2"/>
      <c r="H282" s="2"/>
      <c r="I282" s="2"/>
      <c r="J282" s="28"/>
      <c r="K282" s="181"/>
      <c r="L282" s="2"/>
      <c r="M282" s="2"/>
      <c r="N282" s="2"/>
      <c r="O282" s="2"/>
      <c r="P282" s="2"/>
      <c r="Q282" s="157"/>
      <c r="R282" s="157"/>
      <c r="S282" s="157"/>
      <c r="T282" s="2"/>
      <c r="U282" s="2"/>
      <c r="V282" s="2"/>
      <c r="W282" s="2"/>
      <c r="X282" s="2"/>
      <c r="Y282" s="2"/>
      <c r="Z282" s="2"/>
    </row>
    <row r="283" ht="13.5" customHeight="1">
      <c r="A283" s="2"/>
      <c r="B283" s="2"/>
      <c r="C283" s="2"/>
      <c r="D283" s="2"/>
      <c r="E283" s="2"/>
      <c r="F283" s="2"/>
      <c r="G283" s="2"/>
      <c r="H283" s="2"/>
      <c r="I283" s="2"/>
      <c r="J283" s="28"/>
      <c r="K283" s="181"/>
      <c r="L283" s="2"/>
      <c r="M283" s="2"/>
      <c r="N283" s="2"/>
      <c r="O283" s="2"/>
      <c r="P283" s="2"/>
      <c r="Q283" s="157"/>
      <c r="R283" s="157"/>
      <c r="S283" s="157"/>
      <c r="T283" s="2"/>
      <c r="U283" s="2"/>
      <c r="V283" s="2"/>
      <c r="W283" s="2"/>
      <c r="X283" s="2"/>
      <c r="Y283" s="2"/>
      <c r="Z283" s="2"/>
    </row>
    <row r="284" ht="13.5" customHeight="1">
      <c r="A284" s="2"/>
      <c r="B284" s="2"/>
      <c r="C284" s="2"/>
      <c r="D284" s="2"/>
      <c r="E284" s="2"/>
      <c r="F284" s="2"/>
      <c r="G284" s="2"/>
      <c r="H284" s="2"/>
      <c r="I284" s="2"/>
      <c r="J284" s="28"/>
      <c r="K284" s="181"/>
      <c r="L284" s="2"/>
      <c r="M284" s="2"/>
      <c r="N284" s="2"/>
      <c r="O284" s="2"/>
      <c r="P284" s="2"/>
      <c r="Q284" s="157"/>
      <c r="R284" s="157"/>
      <c r="S284" s="157"/>
      <c r="T284" s="2"/>
      <c r="U284" s="2"/>
      <c r="V284" s="2"/>
      <c r="W284" s="2"/>
      <c r="X284" s="2"/>
      <c r="Y284" s="2"/>
      <c r="Z284" s="2"/>
    </row>
    <row r="285" ht="13.5" customHeight="1">
      <c r="A285" s="2"/>
      <c r="B285" s="2"/>
      <c r="C285" s="2"/>
      <c r="D285" s="2"/>
      <c r="E285" s="2"/>
      <c r="F285" s="2"/>
      <c r="G285" s="2"/>
      <c r="H285" s="2"/>
      <c r="I285" s="2"/>
      <c r="J285" s="28"/>
      <c r="K285" s="181"/>
      <c r="L285" s="2"/>
      <c r="M285" s="2"/>
      <c r="N285" s="2"/>
      <c r="O285" s="2"/>
      <c r="P285" s="2"/>
      <c r="Q285" s="157"/>
      <c r="R285" s="157"/>
      <c r="S285" s="157"/>
      <c r="T285" s="2"/>
      <c r="U285" s="2"/>
      <c r="V285" s="2"/>
      <c r="W285" s="2"/>
      <c r="X285" s="2"/>
      <c r="Y285" s="2"/>
      <c r="Z285" s="2"/>
    </row>
    <row r="286" ht="13.5" customHeight="1">
      <c r="A286" s="2"/>
      <c r="B286" s="2"/>
      <c r="C286" s="2"/>
      <c r="D286" s="2"/>
      <c r="E286" s="2"/>
      <c r="F286" s="2"/>
      <c r="G286" s="2"/>
      <c r="H286" s="2"/>
      <c r="I286" s="2"/>
      <c r="J286" s="28"/>
      <c r="K286" s="181"/>
      <c r="L286" s="2"/>
      <c r="M286" s="2"/>
      <c r="N286" s="2"/>
      <c r="O286" s="2"/>
      <c r="P286" s="2"/>
      <c r="Q286" s="157"/>
      <c r="R286" s="157"/>
      <c r="S286" s="157"/>
      <c r="T286" s="2"/>
      <c r="U286" s="2"/>
      <c r="V286" s="2"/>
      <c r="W286" s="2"/>
      <c r="X286" s="2"/>
      <c r="Y286" s="2"/>
      <c r="Z286" s="2"/>
    </row>
    <row r="287" ht="13.5" customHeight="1">
      <c r="A287" s="2"/>
      <c r="B287" s="2"/>
      <c r="C287" s="2"/>
      <c r="D287" s="2"/>
      <c r="E287" s="2"/>
      <c r="F287" s="2"/>
      <c r="G287" s="2"/>
      <c r="H287" s="2"/>
      <c r="I287" s="2"/>
      <c r="J287" s="28"/>
      <c r="K287" s="181"/>
      <c r="L287" s="2"/>
      <c r="M287" s="2"/>
      <c r="N287" s="2"/>
      <c r="O287" s="2"/>
      <c r="P287" s="2"/>
      <c r="Q287" s="157"/>
      <c r="R287" s="157"/>
      <c r="S287" s="157"/>
      <c r="T287" s="2"/>
      <c r="U287" s="2"/>
      <c r="V287" s="2"/>
      <c r="W287" s="2"/>
      <c r="X287" s="2"/>
      <c r="Y287" s="2"/>
      <c r="Z287" s="2"/>
    </row>
    <row r="288" ht="13.5" customHeight="1">
      <c r="A288" s="2"/>
      <c r="B288" s="2"/>
      <c r="C288" s="2"/>
      <c r="D288" s="2"/>
      <c r="E288" s="2"/>
      <c r="F288" s="2"/>
      <c r="G288" s="2"/>
      <c r="H288" s="2"/>
      <c r="I288" s="2"/>
      <c r="J288" s="28"/>
      <c r="K288" s="181"/>
      <c r="L288" s="2"/>
      <c r="M288" s="2"/>
      <c r="N288" s="2"/>
      <c r="O288" s="2"/>
      <c r="P288" s="2"/>
      <c r="Q288" s="157"/>
      <c r="R288" s="157"/>
      <c r="S288" s="157"/>
      <c r="T288" s="2"/>
      <c r="U288" s="2"/>
      <c r="V288" s="2"/>
      <c r="W288" s="2"/>
      <c r="X288" s="2"/>
      <c r="Y288" s="2"/>
      <c r="Z288" s="2"/>
    </row>
    <row r="289" ht="13.5" customHeight="1">
      <c r="A289" s="2"/>
      <c r="B289" s="2"/>
      <c r="C289" s="2"/>
      <c r="D289" s="2"/>
      <c r="E289" s="2"/>
      <c r="F289" s="2"/>
      <c r="G289" s="2"/>
      <c r="H289" s="2"/>
      <c r="I289" s="2"/>
      <c r="J289" s="28"/>
      <c r="K289" s="181"/>
      <c r="L289" s="2"/>
      <c r="M289" s="2"/>
      <c r="N289" s="2"/>
      <c r="O289" s="2"/>
      <c r="P289" s="2"/>
      <c r="Q289" s="157"/>
      <c r="R289" s="157"/>
      <c r="S289" s="157"/>
      <c r="T289" s="2"/>
      <c r="U289" s="2"/>
      <c r="V289" s="2"/>
      <c r="W289" s="2"/>
      <c r="X289" s="2"/>
      <c r="Y289" s="2"/>
      <c r="Z289" s="2"/>
    </row>
    <row r="290" ht="13.5" customHeight="1">
      <c r="A290" s="2"/>
      <c r="B290" s="2"/>
      <c r="C290" s="2"/>
      <c r="D290" s="2"/>
      <c r="E290" s="2"/>
      <c r="F290" s="2"/>
      <c r="G290" s="2"/>
      <c r="H290" s="2"/>
      <c r="I290" s="2"/>
      <c r="J290" s="28"/>
      <c r="K290" s="181"/>
      <c r="L290" s="2"/>
      <c r="M290" s="2"/>
      <c r="N290" s="2"/>
      <c r="O290" s="2"/>
      <c r="P290" s="2"/>
      <c r="Q290" s="157"/>
      <c r="R290" s="157"/>
      <c r="S290" s="157"/>
      <c r="T290" s="2"/>
      <c r="U290" s="2"/>
      <c r="V290" s="2"/>
      <c r="W290" s="2"/>
      <c r="X290" s="2"/>
      <c r="Y290" s="2"/>
      <c r="Z290" s="2"/>
    </row>
    <row r="291" ht="13.5" customHeight="1">
      <c r="A291" s="2"/>
      <c r="B291" s="2"/>
      <c r="C291" s="2"/>
      <c r="D291" s="2"/>
      <c r="E291" s="2"/>
      <c r="F291" s="2"/>
      <c r="G291" s="2"/>
      <c r="H291" s="2"/>
      <c r="I291" s="2"/>
      <c r="J291" s="28"/>
      <c r="K291" s="181"/>
      <c r="L291" s="2"/>
      <c r="M291" s="2"/>
      <c r="N291" s="2"/>
      <c r="O291" s="2"/>
      <c r="P291" s="2"/>
      <c r="Q291" s="157"/>
      <c r="R291" s="157"/>
      <c r="S291" s="157"/>
      <c r="T291" s="2"/>
      <c r="U291" s="2"/>
      <c r="V291" s="2"/>
      <c r="W291" s="2"/>
      <c r="X291" s="2"/>
      <c r="Y291" s="2"/>
      <c r="Z291" s="2"/>
    </row>
    <row r="292" ht="13.5" customHeight="1">
      <c r="A292" s="2"/>
      <c r="B292" s="2"/>
      <c r="C292" s="2"/>
      <c r="D292" s="2"/>
      <c r="E292" s="2"/>
      <c r="F292" s="2"/>
      <c r="G292" s="2"/>
      <c r="H292" s="2"/>
      <c r="I292" s="2"/>
      <c r="J292" s="28"/>
      <c r="K292" s="181"/>
      <c r="L292" s="2"/>
      <c r="M292" s="2"/>
      <c r="N292" s="2"/>
      <c r="O292" s="2"/>
      <c r="P292" s="2"/>
      <c r="Q292" s="157"/>
      <c r="R292" s="157"/>
      <c r="S292" s="157"/>
      <c r="T292" s="2"/>
      <c r="U292" s="2"/>
      <c r="V292" s="2"/>
      <c r="W292" s="2"/>
      <c r="X292" s="2"/>
      <c r="Y292" s="2"/>
      <c r="Z292" s="2"/>
    </row>
    <row r="293" ht="13.5" customHeight="1">
      <c r="A293" s="2"/>
      <c r="B293" s="2"/>
      <c r="C293" s="2"/>
      <c r="D293" s="2"/>
      <c r="E293" s="2"/>
      <c r="F293" s="2"/>
      <c r="G293" s="2"/>
      <c r="H293" s="2"/>
      <c r="I293" s="2"/>
      <c r="J293" s="28"/>
      <c r="K293" s="181"/>
      <c r="L293" s="2"/>
      <c r="M293" s="2"/>
      <c r="N293" s="2"/>
      <c r="O293" s="2"/>
      <c r="P293" s="2"/>
      <c r="Q293" s="157"/>
      <c r="R293" s="157"/>
      <c r="S293" s="157"/>
      <c r="T293" s="2"/>
      <c r="U293" s="2"/>
      <c r="V293" s="2"/>
      <c r="W293" s="2"/>
      <c r="X293" s="2"/>
      <c r="Y293" s="2"/>
      <c r="Z293" s="2"/>
    </row>
    <row r="294" ht="13.5" customHeight="1">
      <c r="A294" s="2"/>
      <c r="B294" s="2"/>
      <c r="C294" s="2"/>
      <c r="D294" s="2"/>
      <c r="E294" s="2"/>
      <c r="F294" s="2"/>
      <c r="G294" s="2"/>
      <c r="H294" s="2"/>
      <c r="I294" s="2"/>
      <c r="J294" s="28"/>
      <c r="K294" s="181"/>
      <c r="L294" s="2"/>
      <c r="M294" s="2"/>
      <c r="N294" s="2"/>
      <c r="O294" s="2"/>
      <c r="P294" s="2"/>
      <c r="Q294" s="157"/>
      <c r="R294" s="157"/>
      <c r="S294" s="157"/>
      <c r="T294" s="2"/>
      <c r="U294" s="2"/>
      <c r="V294" s="2"/>
      <c r="W294" s="2"/>
      <c r="X294" s="2"/>
      <c r="Y294" s="2"/>
      <c r="Z294" s="2"/>
    </row>
    <row r="295" ht="13.5" customHeight="1">
      <c r="A295" s="2"/>
      <c r="B295" s="2"/>
      <c r="C295" s="2"/>
      <c r="D295" s="2"/>
      <c r="E295" s="2"/>
      <c r="F295" s="2"/>
      <c r="G295" s="2"/>
      <c r="H295" s="2"/>
      <c r="I295" s="2"/>
      <c r="J295" s="28"/>
      <c r="K295" s="181"/>
      <c r="L295" s="2"/>
      <c r="M295" s="2"/>
      <c r="N295" s="2"/>
      <c r="O295" s="2"/>
      <c r="P295" s="2"/>
      <c r="Q295" s="157"/>
      <c r="R295" s="157"/>
      <c r="S295" s="157"/>
      <c r="T295" s="2"/>
      <c r="U295" s="2"/>
      <c r="V295" s="2"/>
      <c r="W295" s="2"/>
      <c r="X295" s="2"/>
      <c r="Y295" s="2"/>
      <c r="Z295" s="2"/>
    </row>
    <row r="296" ht="13.5" customHeight="1">
      <c r="A296" s="2"/>
      <c r="B296" s="2"/>
      <c r="C296" s="2"/>
      <c r="D296" s="2"/>
      <c r="E296" s="2"/>
      <c r="F296" s="2"/>
      <c r="G296" s="2"/>
      <c r="H296" s="2"/>
      <c r="I296" s="2"/>
      <c r="J296" s="28"/>
      <c r="K296" s="181"/>
      <c r="L296" s="2"/>
      <c r="M296" s="2"/>
      <c r="N296" s="2"/>
      <c r="O296" s="2"/>
      <c r="P296" s="2"/>
      <c r="Q296" s="157"/>
      <c r="R296" s="157"/>
      <c r="S296" s="157"/>
      <c r="T296" s="2"/>
      <c r="U296" s="2"/>
      <c r="V296" s="2"/>
      <c r="W296" s="2"/>
      <c r="X296" s="2"/>
      <c r="Y296" s="2"/>
      <c r="Z296" s="2"/>
    </row>
    <row r="297" ht="13.5" customHeight="1">
      <c r="A297" s="2"/>
      <c r="B297" s="2"/>
      <c r="C297" s="2"/>
      <c r="D297" s="2"/>
      <c r="E297" s="2"/>
      <c r="F297" s="2"/>
      <c r="G297" s="2"/>
      <c r="H297" s="2"/>
      <c r="I297" s="2"/>
      <c r="J297" s="28"/>
      <c r="K297" s="181"/>
      <c r="L297" s="2"/>
      <c r="M297" s="2"/>
      <c r="N297" s="2"/>
      <c r="O297" s="2"/>
      <c r="P297" s="2"/>
      <c r="Q297" s="157"/>
      <c r="R297" s="157"/>
      <c r="S297" s="157"/>
      <c r="T297" s="2"/>
      <c r="U297" s="2"/>
      <c r="V297" s="2"/>
      <c r="W297" s="2"/>
      <c r="X297" s="2"/>
      <c r="Y297" s="2"/>
      <c r="Z297" s="2"/>
    </row>
    <row r="298" ht="13.5" customHeight="1">
      <c r="A298" s="2"/>
      <c r="B298" s="2"/>
      <c r="C298" s="2"/>
      <c r="D298" s="2"/>
      <c r="E298" s="2"/>
      <c r="F298" s="2"/>
      <c r="G298" s="2"/>
      <c r="H298" s="2"/>
      <c r="I298" s="2"/>
      <c r="J298" s="28"/>
      <c r="K298" s="181"/>
      <c r="L298" s="2"/>
      <c r="M298" s="2"/>
      <c r="N298" s="2"/>
      <c r="O298" s="2"/>
      <c r="P298" s="2"/>
      <c r="Q298" s="157"/>
      <c r="R298" s="157"/>
      <c r="S298" s="157"/>
      <c r="T298" s="2"/>
      <c r="U298" s="2"/>
      <c r="V298" s="2"/>
      <c r="W298" s="2"/>
      <c r="X298" s="2"/>
      <c r="Y298" s="2"/>
      <c r="Z298" s="2"/>
    </row>
    <row r="299" ht="13.5" customHeight="1">
      <c r="A299" s="2"/>
      <c r="B299" s="2"/>
      <c r="C299" s="2"/>
      <c r="D299" s="2"/>
      <c r="E299" s="2"/>
      <c r="F299" s="2"/>
      <c r="G299" s="2"/>
      <c r="H299" s="2"/>
      <c r="I299" s="2"/>
      <c r="J299" s="28"/>
      <c r="K299" s="181"/>
      <c r="L299" s="2"/>
      <c r="M299" s="2"/>
      <c r="N299" s="2"/>
      <c r="O299" s="2"/>
      <c r="P299" s="2"/>
      <c r="Q299" s="157"/>
      <c r="R299" s="157"/>
      <c r="S299" s="157"/>
      <c r="T299" s="2"/>
      <c r="U299" s="2"/>
      <c r="V299" s="2"/>
      <c r="W299" s="2"/>
      <c r="X299" s="2"/>
      <c r="Y299" s="2"/>
      <c r="Z299" s="2"/>
    </row>
    <row r="300" ht="13.5" customHeight="1">
      <c r="A300" s="2"/>
      <c r="B300" s="2"/>
      <c r="C300" s="2"/>
      <c r="D300" s="2"/>
      <c r="E300" s="2"/>
      <c r="F300" s="2"/>
      <c r="G300" s="2"/>
      <c r="H300" s="2"/>
      <c r="I300" s="2"/>
      <c r="J300" s="28"/>
      <c r="K300" s="181"/>
      <c r="L300" s="2"/>
      <c r="M300" s="2"/>
      <c r="N300" s="2"/>
      <c r="O300" s="2"/>
      <c r="P300" s="2"/>
      <c r="Q300" s="157"/>
      <c r="R300" s="157"/>
      <c r="S300" s="157"/>
      <c r="T300" s="2"/>
      <c r="U300" s="2"/>
      <c r="V300" s="2"/>
      <c r="W300" s="2"/>
      <c r="X300" s="2"/>
      <c r="Y300" s="2"/>
      <c r="Z300" s="2"/>
    </row>
    <row r="301" ht="13.5" customHeight="1">
      <c r="A301" s="2"/>
      <c r="B301" s="2"/>
      <c r="C301" s="2"/>
      <c r="D301" s="2"/>
      <c r="E301" s="2"/>
      <c r="F301" s="2"/>
      <c r="G301" s="2"/>
      <c r="H301" s="2"/>
      <c r="I301" s="2"/>
      <c r="J301" s="28"/>
      <c r="K301" s="181"/>
      <c r="L301" s="2"/>
      <c r="M301" s="2"/>
      <c r="N301" s="2"/>
      <c r="O301" s="2"/>
      <c r="P301" s="2"/>
      <c r="Q301" s="157"/>
      <c r="R301" s="157"/>
      <c r="S301" s="157"/>
      <c r="T301" s="2"/>
      <c r="U301" s="2"/>
      <c r="V301" s="2"/>
      <c r="W301" s="2"/>
      <c r="X301" s="2"/>
      <c r="Y301" s="2"/>
      <c r="Z301" s="2"/>
    </row>
    <row r="302" ht="13.5" customHeight="1">
      <c r="A302" s="2"/>
      <c r="B302" s="2"/>
      <c r="C302" s="2"/>
      <c r="D302" s="2"/>
      <c r="E302" s="2"/>
      <c r="F302" s="2"/>
      <c r="G302" s="2"/>
      <c r="H302" s="2"/>
      <c r="I302" s="2"/>
      <c r="J302" s="28"/>
      <c r="K302" s="181"/>
      <c r="L302" s="2"/>
      <c r="M302" s="2"/>
      <c r="N302" s="2"/>
      <c r="O302" s="2"/>
      <c r="P302" s="2"/>
      <c r="Q302" s="157"/>
      <c r="R302" s="157"/>
      <c r="S302" s="157"/>
      <c r="T302" s="2"/>
      <c r="U302" s="2"/>
      <c r="V302" s="2"/>
      <c r="W302" s="2"/>
      <c r="X302" s="2"/>
      <c r="Y302" s="2"/>
      <c r="Z302" s="2"/>
    </row>
    <row r="303" ht="13.5" customHeight="1">
      <c r="A303" s="2"/>
      <c r="B303" s="2"/>
      <c r="C303" s="2"/>
      <c r="D303" s="2"/>
      <c r="E303" s="2"/>
      <c r="F303" s="2"/>
      <c r="G303" s="2"/>
      <c r="H303" s="2"/>
      <c r="I303" s="2"/>
      <c r="J303" s="28"/>
      <c r="K303" s="181"/>
      <c r="L303" s="2"/>
      <c r="M303" s="2"/>
      <c r="N303" s="2"/>
      <c r="O303" s="2"/>
      <c r="P303" s="2"/>
      <c r="Q303" s="157"/>
      <c r="R303" s="157"/>
      <c r="S303" s="157"/>
      <c r="T303" s="2"/>
      <c r="U303" s="2"/>
      <c r="V303" s="2"/>
      <c r="W303" s="2"/>
      <c r="X303" s="2"/>
      <c r="Y303" s="2"/>
      <c r="Z303" s="2"/>
    </row>
    <row r="304" ht="13.5" customHeight="1">
      <c r="A304" s="2"/>
      <c r="B304" s="2"/>
      <c r="C304" s="2"/>
      <c r="D304" s="2"/>
      <c r="E304" s="2"/>
      <c r="F304" s="2"/>
      <c r="G304" s="2"/>
      <c r="H304" s="2"/>
      <c r="I304" s="2"/>
      <c r="J304" s="28"/>
      <c r="K304" s="181"/>
      <c r="L304" s="2"/>
      <c r="M304" s="2"/>
      <c r="N304" s="2"/>
      <c r="O304" s="2"/>
      <c r="P304" s="2"/>
      <c r="Q304" s="157"/>
      <c r="R304" s="157"/>
      <c r="S304" s="157"/>
      <c r="T304" s="2"/>
      <c r="U304" s="2"/>
      <c r="V304" s="2"/>
      <c r="W304" s="2"/>
      <c r="X304" s="2"/>
      <c r="Y304" s="2"/>
      <c r="Z304" s="2"/>
    </row>
    <row r="305" ht="13.5" customHeight="1">
      <c r="A305" s="2"/>
      <c r="B305" s="2"/>
      <c r="C305" s="2"/>
      <c r="D305" s="2"/>
      <c r="E305" s="2"/>
      <c r="F305" s="2"/>
      <c r="G305" s="2"/>
      <c r="H305" s="2"/>
      <c r="I305" s="2"/>
      <c r="J305" s="28"/>
      <c r="K305" s="181"/>
      <c r="L305" s="2"/>
      <c r="M305" s="2"/>
      <c r="N305" s="2"/>
      <c r="O305" s="2"/>
      <c r="P305" s="2"/>
      <c r="Q305" s="157"/>
      <c r="R305" s="157"/>
      <c r="S305" s="157"/>
      <c r="T305" s="2"/>
      <c r="U305" s="2"/>
      <c r="V305" s="2"/>
      <c r="W305" s="2"/>
      <c r="X305" s="2"/>
      <c r="Y305" s="2"/>
      <c r="Z305" s="2"/>
    </row>
    <row r="306" ht="13.5" customHeight="1">
      <c r="A306" s="2"/>
      <c r="B306" s="2"/>
      <c r="C306" s="2"/>
      <c r="D306" s="2"/>
      <c r="E306" s="2"/>
      <c r="F306" s="2"/>
      <c r="G306" s="2"/>
      <c r="H306" s="2"/>
      <c r="I306" s="2"/>
      <c r="J306" s="28"/>
      <c r="K306" s="181"/>
      <c r="L306" s="2"/>
      <c r="M306" s="2"/>
      <c r="N306" s="2"/>
      <c r="O306" s="2"/>
      <c r="P306" s="2"/>
      <c r="Q306" s="157"/>
      <c r="R306" s="157"/>
      <c r="S306" s="157"/>
      <c r="T306" s="2"/>
      <c r="U306" s="2"/>
      <c r="V306" s="2"/>
      <c r="W306" s="2"/>
      <c r="X306" s="2"/>
      <c r="Y306" s="2"/>
      <c r="Z306" s="2"/>
    </row>
    <row r="307" ht="13.5" customHeight="1">
      <c r="A307" s="2"/>
      <c r="B307" s="2"/>
      <c r="C307" s="2"/>
      <c r="D307" s="2"/>
      <c r="E307" s="2"/>
      <c r="F307" s="2"/>
      <c r="G307" s="2"/>
      <c r="H307" s="2"/>
      <c r="I307" s="2"/>
      <c r="J307" s="28"/>
      <c r="K307" s="181"/>
      <c r="L307" s="2"/>
      <c r="M307" s="2"/>
      <c r="N307" s="2"/>
      <c r="O307" s="2"/>
      <c r="P307" s="2"/>
      <c r="Q307" s="157"/>
      <c r="R307" s="157"/>
      <c r="S307" s="157"/>
      <c r="T307" s="2"/>
      <c r="U307" s="2"/>
      <c r="V307" s="2"/>
      <c r="W307" s="2"/>
      <c r="X307" s="2"/>
      <c r="Y307" s="2"/>
      <c r="Z307" s="2"/>
    </row>
    <row r="308" ht="13.5" customHeight="1">
      <c r="A308" s="2"/>
      <c r="B308" s="2"/>
      <c r="C308" s="2"/>
      <c r="D308" s="2"/>
      <c r="E308" s="2"/>
      <c r="F308" s="2"/>
      <c r="G308" s="2"/>
      <c r="H308" s="2"/>
      <c r="I308" s="2"/>
      <c r="J308" s="28"/>
      <c r="K308" s="181"/>
      <c r="L308" s="2"/>
      <c r="M308" s="2"/>
      <c r="N308" s="2"/>
      <c r="O308" s="2"/>
      <c r="P308" s="2"/>
      <c r="Q308" s="157"/>
      <c r="R308" s="157"/>
      <c r="S308" s="157"/>
      <c r="T308" s="2"/>
      <c r="U308" s="2"/>
      <c r="V308" s="2"/>
      <c r="W308" s="2"/>
      <c r="X308" s="2"/>
      <c r="Y308" s="2"/>
      <c r="Z308" s="2"/>
    </row>
    <row r="309" ht="13.5" customHeight="1">
      <c r="A309" s="2"/>
      <c r="B309" s="2"/>
      <c r="C309" s="2"/>
      <c r="D309" s="2"/>
      <c r="E309" s="2"/>
      <c r="F309" s="2"/>
      <c r="G309" s="2"/>
      <c r="H309" s="2"/>
      <c r="I309" s="2"/>
      <c r="J309" s="28"/>
      <c r="K309" s="181"/>
      <c r="L309" s="2"/>
      <c r="M309" s="2"/>
      <c r="N309" s="2"/>
      <c r="O309" s="2"/>
      <c r="P309" s="2"/>
      <c r="Q309" s="157"/>
      <c r="R309" s="157"/>
      <c r="S309" s="157"/>
      <c r="T309" s="2"/>
      <c r="U309" s="2"/>
      <c r="V309" s="2"/>
      <c r="W309" s="2"/>
      <c r="X309" s="2"/>
      <c r="Y309" s="2"/>
      <c r="Z309" s="2"/>
    </row>
    <row r="310" ht="13.5" customHeight="1">
      <c r="A310" s="2"/>
      <c r="B310" s="2"/>
      <c r="C310" s="2"/>
      <c r="D310" s="2"/>
      <c r="E310" s="2"/>
      <c r="F310" s="2"/>
      <c r="G310" s="2"/>
      <c r="H310" s="2"/>
      <c r="I310" s="2"/>
      <c r="J310" s="28"/>
      <c r="K310" s="181"/>
      <c r="L310" s="2"/>
      <c r="M310" s="2"/>
      <c r="N310" s="2"/>
      <c r="O310" s="2"/>
      <c r="P310" s="2"/>
      <c r="Q310" s="157"/>
      <c r="R310" s="157"/>
      <c r="S310" s="157"/>
      <c r="T310" s="2"/>
      <c r="U310" s="2"/>
      <c r="V310" s="2"/>
      <c r="W310" s="2"/>
      <c r="X310" s="2"/>
      <c r="Y310" s="2"/>
      <c r="Z310" s="2"/>
    </row>
    <row r="311" ht="13.5" customHeight="1">
      <c r="A311" s="2"/>
      <c r="B311" s="2"/>
      <c r="C311" s="2"/>
      <c r="D311" s="2"/>
      <c r="E311" s="2"/>
      <c r="F311" s="2"/>
      <c r="G311" s="2"/>
      <c r="H311" s="2"/>
      <c r="I311" s="2"/>
      <c r="J311" s="28"/>
      <c r="K311" s="181"/>
      <c r="L311" s="2"/>
      <c r="M311" s="2"/>
      <c r="N311" s="2"/>
      <c r="O311" s="2"/>
      <c r="P311" s="2"/>
      <c r="Q311" s="157"/>
      <c r="R311" s="157"/>
      <c r="S311" s="157"/>
      <c r="T311" s="2"/>
      <c r="U311" s="2"/>
      <c r="V311" s="2"/>
      <c r="W311" s="2"/>
      <c r="X311" s="2"/>
      <c r="Y311" s="2"/>
      <c r="Z311" s="2"/>
    </row>
    <row r="312" ht="13.5" customHeight="1">
      <c r="A312" s="2"/>
      <c r="B312" s="2"/>
      <c r="C312" s="2"/>
      <c r="D312" s="2"/>
      <c r="E312" s="2"/>
      <c r="F312" s="2"/>
      <c r="G312" s="2"/>
      <c r="H312" s="2"/>
      <c r="I312" s="2"/>
      <c r="J312" s="28"/>
      <c r="K312" s="181"/>
      <c r="L312" s="2"/>
      <c r="M312" s="2"/>
      <c r="N312" s="2"/>
      <c r="O312" s="2"/>
      <c r="P312" s="2"/>
      <c r="Q312" s="157"/>
      <c r="R312" s="157"/>
      <c r="S312" s="157"/>
      <c r="T312" s="2"/>
      <c r="U312" s="2"/>
      <c r="V312" s="2"/>
      <c r="W312" s="2"/>
      <c r="X312" s="2"/>
      <c r="Y312" s="2"/>
      <c r="Z312" s="2"/>
    </row>
    <row r="313" ht="13.5" customHeight="1">
      <c r="A313" s="2"/>
      <c r="B313" s="2"/>
      <c r="C313" s="2"/>
      <c r="D313" s="2"/>
      <c r="E313" s="2"/>
      <c r="F313" s="2"/>
      <c r="G313" s="2"/>
      <c r="H313" s="2"/>
      <c r="I313" s="2"/>
      <c r="J313" s="28"/>
      <c r="K313" s="181"/>
      <c r="L313" s="2"/>
      <c r="M313" s="2"/>
      <c r="N313" s="2"/>
      <c r="O313" s="2"/>
      <c r="P313" s="2"/>
      <c r="Q313" s="157"/>
      <c r="R313" s="157"/>
      <c r="S313" s="157"/>
      <c r="T313" s="2"/>
      <c r="U313" s="2"/>
      <c r="V313" s="2"/>
      <c r="W313" s="2"/>
      <c r="X313" s="2"/>
      <c r="Y313" s="2"/>
      <c r="Z313" s="2"/>
    </row>
    <row r="314" ht="13.5" customHeight="1">
      <c r="A314" s="2"/>
      <c r="B314" s="2"/>
      <c r="C314" s="2"/>
      <c r="D314" s="2"/>
      <c r="E314" s="2"/>
      <c r="F314" s="2"/>
      <c r="G314" s="2"/>
      <c r="H314" s="2"/>
      <c r="I314" s="2"/>
      <c r="J314" s="28"/>
      <c r="K314" s="181"/>
      <c r="L314" s="2"/>
      <c r="M314" s="2"/>
      <c r="N314" s="2"/>
      <c r="O314" s="2"/>
      <c r="P314" s="2"/>
      <c r="Q314" s="157"/>
      <c r="R314" s="157"/>
      <c r="S314" s="157"/>
      <c r="T314" s="2"/>
      <c r="U314" s="2"/>
      <c r="V314" s="2"/>
      <c r="W314" s="2"/>
      <c r="X314" s="2"/>
      <c r="Y314" s="2"/>
      <c r="Z314" s="2"/>
    </row>
    <row r="315" ht="13.5" customHeight="1">
      <c r="A315" s="2"/>
      <c r="B315" s="2"/>
      <c r="C315" s="2"/>
      <c r="D315" s="2"/>
      <c r="E315" s="2"/>
      <c r="F315" s="2"/>
      <c r="G315" s="2"/>
      <c r="H315" s="2"/>
      <c r="I315" s="2"/>
      <c r="J315" s="28"/>
      <c r="K315" s="181"/>
      <c r="L315" s="2"/>
      <c r="M315" s="2"/>
      <c r="N315" s="2"/>
      <c r="O315" s="2"/>
      <c r="P315" s="2"/>
      <c r="Q315" s="157"/>
      <c r="R315" s="157"/>
      <c r="S315" s="157"/>
      <c r="T315" s="2"/>
      <c r="U315" s="2"/>
      <c r="V315" s="2"/>
      <c r="W315" s="2"/>
      <c r="X315" s="2"/>
      <c r="Y315" s="2"/>
      <c r="Z315" s="2"/>
    </row>
    <row r="316" ht="13.5" customHeight="1">
      <c r="A316" s="2"/>
      <c r="B316" s="2"/>
      <c r="C316" s="2"/>
      <c r="D316" s="2"/>
      <c r="E316" s="2"/>
      <c r="F316" s="2"/>
      <c r="G316" s="2"/>
      <c r="H316" s="2"/>
      <c r="I316" s="2"/>
      <c r="J316" s="28"/>
      <c r="K316" s="181"/>
      <c r="L316" s="2"/>
      <c r="M316" s="2"/>
      <c r="N316" s="2"/>
      <c r="O316" s="2"/>
      <c r="P316" s="2"/>
      <c r="Q316" s="157"/>
      <c r="R316" s="157"/>
      <c r="S316" s="157"/>
      <c r="T316" s="2"/>
      <c r="U316" s="2"/>
      <c r="V316" s="2"/>
      <c r="W316" s="2"/>
      <c r="X316" s="2"/>
      <c r="Y316" s="2"/>
      <c r="Z316" s="2"/>
    </row>
    <row r="317" ht="13.5" customHeight="1">
      <c r="A317" s="2"/>
      <c r="B317" s="2"/>
      <c r="C317" s="2"/>
      <c r="D317" s="2"/>
      <c r="E317" s="2"/>
      <c r="F317" s="2"/>
      <c r="G317" s="2"/>
      <c r="H317" s="2"/>
      <c r="I317" s="2"/>
      <c r="J317" s="28"/>
      <c r="K317" s="181"/>
      <c r="L317" s="2"/>
      <c r="M317" s="2"/>
      <c r="N317" s="2"/>
      <c r="O317" s="2"/>
      <c r="P317" s="2"/>
      <c r="Q317" s="157"/>
      <c r="R317" s="157"/>
      <c r="S317" s="157"/>
      <c r="T317" s="2"/>
      <c r="U317" s="2"/>
      <c r="V317" s="2"/>
      <c r="W317" s="2"/>
      <c r="X317" s="2"/>
      <c r="Y317" s="2"/>
      <c r="Z317" s="2"/>
    </row>
    <row r="318" ht="13.5" customHeight="1">
      <c r="A318" s="2"/>
      <c r="B318" s="2"/>
      <c r="C318" s="2"/>
      <c r="D318" s="2"/>
      <c r="E318" s="2"/>
      <c r="F318" s="2"/>
      <c r="G318" s="2"/>
      <c r="H318" s="2"/>
      <c r="I318" s="2"/>
      <c r="J318" s="28"/>
      <c r="K318" s="181"/>
      <c r="L318" s="2"/>
      <c r="M318" s="2"/>
      <c r="N318" s="2"/>
      <c r="O318" s="2"/>
      <c r="P318" s="2"/>
      <c r="Q318" s="157"/>
      <c r="R318" s="157"/>
      <c r="S318" s="157"/>
      <c r="T318" s="2"/>
      <c r="U318" s="2"/>
      <c r="V318" s="2"/>
      <c r="W318" s="2"/>
      <c r="X318" s="2"/>
      <c r="Y318" s="2"/>
      <c r="Z318" s="2"/>
    </row>
    <row r="319" ht="13.5" customHeight="1">
      <c r="A319" s="2"/>
      <c r="B319" s="2"/>
      <c r="C319" s="2"/>
      <c r="D319" s="2"/>
      <c r="E319" s="2"/>
      <c r="F319" s="2"/>
      <c r="G319" s="2"/>
      <c r="H319" s="2"/>
      <c r="I319" s="2"/>
      <c r="J319" s="28"/>
      <c r="K319" s="181"/>
      <c r="L319" s="2"/>
      <c r="M319" s="2"/>
      <c r="N319" s="2"/>
      <c r="O319" s="2"/>
      <c r="P319" s="2"/>
      <c r="Q319" s="157"/>
      <c r="R319" s="157"/>
      <c r="S319" s="157"/>
      <c r="T319" s="2"/>
      <c r="U319" s="2"/>
      <c r="V319" s="2"/>
      <c r="W319" s="2"/>
      <c r="X319" s="2"/>
      <c r="Y319" s="2"/>
      <c r="Z319" s="2"/>
    </row>
    <row r="320" ht="13.5" customHeight="1">
      <c r="A320" s="2"/>
      <c r="B320" s="2"/>
      <c r="C320" s="2"/>
      <c r="D320" s="2"/>
      <c r="E320" s="2"/>
      <c r="F320" s="2"/>
      <c r="G320" s="2"/>
      <c r="H320" s="2"/>
      <c r="I320" s="2"/>
      <c r="J320" s="28"/>
      <c r="K320" s="181"/>
      <c r="L320" s="2"/>
      <c r="M320" s="2"/>
      <c r="N320" s="2"/>
      <c r="O320" s="2"/>
      <c r="P320" s="2"/>
      <c r="Q320" s="157"/>
      <c r="R320" s="157"/>
      <c r="S320" s="157"/>
      <c r="T320" s="2"/>
      <c r="U320" s="2"/>
      <c r="V320" s="2"/>
      <c r="W320" s="2"/>
      <c r="X320" s="2"/>
      <c r="Y320" s="2"/>
      <c r="Z320" s="2"/>
    </row>
    <row r="321" ht="13.5" customHeight="1">
      <c r="A321" s="2"/>
      <c r="B321" s="2"/>
      <c r="C321" s="2"/>
      <c r="D321" s="2"/>
      <c r="E321" s="2"/>
      <c r="F321" s="2"/>
      <c r="G321" s="2"/>
      <c r="H321" s="2"/>
      <c r="I321" s="2"/>
      <c r="J321" s="28"/>
      <c r="K321" s="181"/>
      <c r="L321" s="2"/>
      <c r="M321" s="2"/>
      <c r="N321" s="2"/>
      <c r="O321" s="2"/>
      <c r="P321" s="2"/>
      <c r="Q321" s="157"/>
      <c r="R321" s="157"/>
      <c r="S321" s="157"/>
      <c r="T321" s="2"/>
      <c r="U321" s="2"/>
      <c r="V321" s="2"/>
      <c r="W321" s="2"/>
      <c r="X321" s="2"/>
      <c r="Y321" s="2"/>
      <c r="Z321" s="2"/>
    </row>
    <row r="322" ht="13.5" customHeight="1">
      <c r="A322" s="2"/>
      <c r="B322" s="2"/>
      <c r="C322" s="2"/>
      <c r="D322" s="2"/>
      <c r="E322" s="2"/>
      <c r="F322" s="2"/>
      <c r="G322" s="2"/>
      <c r="H322" s="2"/>
      <c r="I322" s="2"/>
      <c r="J322" s="28"/>
      <c r="K322" s="181"/>
      <c r="L322" s="2"/>
      <c r="M322" s="2"/>
      <c r="N322" s="2"/>
      <c r="O322" s="2"/>
      <c r="P322" s="2"/>
      <c r="Q322" s="157"/>
      <c r="R322" s="157"/>
      <c r="S322" s="157"/>
      <c r="T322" s="2"/>
      <c r="U322" s="2"/>
      <c r="V322" s="2"/>
      <c r="W322" s="2"/>
      <c r="X322" s="2"/>
      <c r="Y322" s="2"/>
      <c r="Z322" s="2"/>
    </row>
    <row r="323" ht="13.5" customHeight="1">
      <c r="A323" s="2"/>
      <c r="B323" s="2"/>
      <c r="C323" s="2"/>
      <c r="D323" s="2"/>
      <c r="E323" s="2"/>
      <c r="F323" s="2"/>
      <c r="G323" s="2"/>
      <c r="H323" s="2"/>
      <c r="I323" s="2"/>
      <c r="J323" s="28"/>
      <c r="K323" s="181"/>
      <c r="L323" s="2"/>
      <c r="M323" s="2"/>
      <c r="N323" s="2"/>
      <c r="O323" s="2"/>
      <c r="P323" s="2"/>
      <c r="Q323" s="157"/>
      <c r="R323" s="157"/>
      <c r="S323" s="157"/>
      <c r="T323" s="2"/>
      <c r="U323" s="2"/>
      <c r="V323" s="2"/>
      <c r="W323" s="2"/>
      <c r="X323" s="2"/>
      <c r="Y323" s="2"/>
      <c r="Z323" s="2"/>
    </row>
    <row r="324" ht="13.5" customHeight="1">
      <c r="A324" s="2"/>
      <c r="B324" s="2"/>
      <c r="C324" s="2"/>
      <c r="D324" s="2"/>
      <c r="E324" s="2"/>
      <c r="F324" s="2"/>
      <c r="G324" s="2"/>
      <c r="H324" s="2"/>
      <c r="I324" s="2"/>
      <c r="J324" s="28"/>
      <c r="K324" s="181"/>
      <c r="L324" s="2"/>
      <c r="M324" s="2"/>
      <c r="N324" s="2"/>
      <c r="O324" s="2"/>
      <c r="P324" s="2"/>
      <c r="Q324" s="157"/>
      <c r="R324" s="157"/>
      <c r="S324" s="157"/>
      <c r="T324" s="2"/>
      <c r="U324" s="2"/>
      <c r="V324" s="2"/>
      <c r="W324" s="2"/>
      <c r="X324" s="2"/>
      <c r="Y324" s="2"/>
      <c r="Z324" s="2"/>
    </row>
    <row r="325" ht="13.5" customHeight="1">
      <c r="A325" s="2"/>
      <c r="B325" s="2"/>
      <c r="C325" s="2"/>
      <c r="D325" s="2"/>
      <c r="E325" s="2"/>
      <c r="F325" s="2"/>
      <c r="G325" s="2"/>
      <c r="H325" s="2"/>
      <c r="I325" s="2"/>
      <c r="J325" s="28"/>
      <c r="K325" s="181"/>
      <c r="L325" s="2"/>
      <c r="M325" s="2"/>
      <c r="N325" s="2"/>
      <c r="O325" s="2"/>
      <c r="P325" s="2"/>
      <c r="Q325" s="157"/>
      <c r="R325" s="157"/>
      <c r="S325" s="157"/>
      <c r="T325" s="2"/>
      <c r="U325" s="2"/>
      <c r="V325" s="2"/>
      <c r="W325" s="2"/>
      <c r="X325" s="2"/>
      <c r="Y325" s="2"/>
      <c r="Z325" s="2"/>
    </row>
    <row r="326" ht="13.5" customHeight="1">
      <c r="A326" s="2"/>
      <c r="B326" s="2"/>
      <c r="C326" s="2"/>
      <c r="D326" s="2"/>
      <c r="E326" s="2"/>
      <c r="F326" s="2"/>
      <c r="G326" s="2"/>
      <c r="H326" s="2"/>
      <c r="I326" s="2"/>
      <c r="J326" s="28"/>
      <c r="K326" s="181"/>
      <c r="L326" s="2"/>
      <c r="M326" s="2"/>
      <c r="N326" s="2"/>
      <c r="O326" s="2"/>
      <c r="P326" s="2"/>
      <c r="Q326" s="157"/>
      <c r="R326" s="157"/>
      <c r="S326" s="157"/>
      <c r="T326" s="2"/>
      <c r="U326" s="2"/>
      <c r="V326" s="2"/>
      <c r="W326" s="2"/>
      <c r="X326" s="2"/>
      <c r="Y326" s="2"/>
      <c r="Z326" s="2"/>
    </row>
    <row r="327" ht="13.5" customHeight="1">
      <c r="A327" s="2"/>
      <c r="B327" s="2"/>
      <c r="C327" s="2"/>
      <c r="D327" s="2"/>
      <c r="E327" s="2"/>
      <c r="F327" s="2"/>
      <c r="G327" s="2"/>
      <c r="H327" s="2"/>
      <c r="I327" s="2"/>
      <c r="J327" s="28"/>
      <c r="K327" s="181"/>
      <c r="L327" s="2"/>
      <c r="M327" s="2"/>
      <c r="N327" s="2"/>
      <c r="O327" s="2"/>
      <c r="P327" s="2"/>
      <c r="Q327" s="157"/>
      <c r="R327" s="157"/>
      <c r="S327" s="157"/>
      <c r="T327" s="2"/>
      <c r="U327" s="2"/>
      <c r="V327" s="2"/>
      <c r="W327" s="2"/>
      <c r="X327" s="2"/>
      <c r="Y327" s="2"/>
      <c r="Z327" s="2"/>
    </row>
    <row r="328" ht="13.5" customHeight="1">
      <c r="A328" s="2"/>
      <c r="B328" s="2"/>
      <c r="C328" s="2"/>
      <c r="D328" s="2"/>
      <c r="E328" s="2"/>
      <c r="F328" s="2"/>
      <c r="G328" s="2"/>
      <c r="H328" s="2"/>
      <c r="I328" s="2"/>
      <c r="J328" s="28"/>
      <c r="K328" s="181"/>
      <c r="L328" s="2"/>
      <c r="M328" s="2"/>
      <c r="N328" s="2"/>
      <c r="O328" s="2"/>
      <c r="P328" s="2"/>
      <c r="Q328" s="157"/>
      <c r="R328" s="157"/>
      <c r="S328" s="157"/>
      <c r="T328" s="2"/>
      <c r="U328" s="2"/>
      <c r="V328" s="2"/>
      <c r="W328" s="2"/>
      <c r="X328" s="2"/>
      <c r="Y328" s="2"/>
      <c r="Z328" s="2"/>
    </row>
    <row r="329" ht="13.5" customHeight="1">
      <c r="A329" s="2"/>
      <c r="B329" s="2"/>
      <c r="C329" s="2"/>
      <c r="D329" s="2"/>
      <c r="E329" s="2"/>
      <c r="F329" s="2"/>
      <c r="G329" s="2"/>
      <c r="H329" s="2"/>
      <c r="I329" s="2"/>
      <c r="J329" s="28"/>
      <c r="K329" s="181"/>
      <c r="L329" s="2"/>
      <c r="M329" s="2"/>
      <c r="N329" s="2"/>
      <c r="O329" s="2"/>
      <c r="P329" s="2"/>
      <c r="Q329" s="157"/>
      <c r="R329" s="157"/>
      <c r="S329" s="157"/>
      <c r="T329" s="2"/>
      <c r="U329" s="2"/>
      <c r="V329" s="2"/>
      <c r="W329" s="2"/>
      <c r="X329" s="2"/>
      <c r="Y329" s="2"/>
      <c r="Z329" s="2"/>
    </row>
    <row r="330" ht="13.5" customHeight="1">
      <c r="A330" s="2"/>
      <c r="B330" s="2"/>
      <c r="C330" s="2"/>
      <c r="D330" s="2"/>
      <c r="E330" s="2"/>
      <c r="F330" s="2"/>
      <c r="G330" s="2"/>
      <c r="H330" s="2"/>
      <c r="I330" s="2"/>
      <c r="J330" s="28"/>
      <c r="K330" s="181"/>
      <c r="L330" s="2"/>
      <c r="M330" s="2"/>
      <c r="N330" s="2"/>
      <c r="O330" s="2"/>
      <c r="P330" s="2"/>
      <c r="Q330" s="157"/>
      <c r="R330" s="157"/>
      <c r="S330" s="157"/>
      <c r="T330" s="2"/>
      <c r="U330" s="2"/>
      <c r="V330" s="2"/>
      <c r="W330" s="2"/>
      <c r="X330" s="2"/>
      <c r="Y330" s="2"/>
      <c r="Z330" s="2"/>
    </row>
    <row r="331" ht="13.5" customHeight="1">
      <c r="A331" s="2"/>
      <c r="B331" s="2"/>
      <c r="C331" s="2"/>
      <c r="D331" s="2"/>
      <c r="E331" s="2"/>
      <c r="F331" s="2"/>
      <c r="G331" s="2"/>
      <c r="H331" s="2"/>
      <c r="I331" s="2"/>
      <c r="J331" s="28"/>
      <c r="K331" s="181"/>
      <c r="L331" s="2"/>
      <c r="M331" s="2"/>
      <c r="N331" s="2"/>
      <c r="O331" s="2"/>
      <c r="P331" s="2"/>
      <c r="Q331" s="157"/>
      <c r="R331" s="157"/>
      <c r="S331" s="157"/>
      <c r="T331" s="2"/>
      <c r="U331" s="2"/>
      <c r="V331" s="2"/>
      <c r="W331" s="2"/>
      <c r="X331" s="2"/>
      <c r="Y331" s="2"/>
      <c r="Z331" s="2"/>
    </row>
    <row r="332" ht="13.5" customHeight="1">
      <c r="A332" s="2"/>
      <c r="B332" s="2"/>
      <c r="C332" s="2"/>
      <c r="D332" s="2"/>
      <c r="E332" s="2"/>
      <c r="F332" s="2"/>
      <c r="G332" s="2"/>
      <c r="H332" s="2"/>
      <c r="I332" s="2"/>
      <c r="J332" s="28"/>
      <c r="K332" s="181"/>
      <c r="L332" s="2"/>
      <c r="M332" s="2"/>
      <c r="N332" s="2"/>
      <c r="O332" s="2"/>
      <c r="P332" s="2"/>
      <c r="Q332" s="157"/>
      <c r="R332" s="157"/>
      <c r="S332" s="157"/>
      <c r="T332" s="2"/>
      <c r="U332" s="2"/>
      <c r="V332" s="2"/>
      <c r="W332" s="2"/>
      <c r="X332" s="2"/>
      <c r="Y332" s="2"/>
      <c r="Z332" s="2"/>
    </row>
    <row r="333" ht="13.5" customHeight="1">
      <c r="A333" s="2"/>
      <c r="B333" s="2"/>
      <c r="C333" s="2"/>
      <c r="D333" s="2"/>
      <c r="E333" s="2"/>
      <c r="F333" s="2"/>
      <c r="G333" s="2"/>
      <c r="H333" s="2"/>
      <c r="I333" s="2"/>
      <c r="J333" s="28"/>
      <c r="K333" s="181"/>
      <c r="L333" s="2"/>
      <c r="M333" s="2"/>
      <c r="N333" s="2"/>
      <c r="O333" s="2"/>
      <c r="P333" s="2"/>
      <c r="Q333" s="157"/>
      <c r="R333" s="157"/>
      <c r="S333" s="157"/>
      <c r="T333" s="2"/>
      <c r="U333" s="2"/>
      <c r="V333" s="2"/>
      <c r="W333" s="2"/>
      <c r="X333" s="2"/>
      <c r="Y333" s="2"/>
      <c r="Z333" s="2"/>
    </row>
    <row r="334" ht="13.5" customHeight="1">
      <c r="A334" s="2"/>
      <c r="B334" s="2"/>
      <c r="C334" s="2"/>
      <c r="D334" s="2"/>
      <c r="E334" s="2"/>
      <c r="F334" s="2"/>
      <c r="G334" s="2"/>
      <c r="H334" s="2"/>
      <c r="I334" s="2"/>
      <c r="J334" s="28"/>
      <c r="K334" s="181"/>
      <c r="L334" s="2"/>
      <c r="M334" s="2"/>
      <c r="N334" s="2"/>
      <c r="O334" s="2"/>
      <c r="P334" s="2"/>
      <c r="Q334" s="157"/>
      <c r="R334" s="157"/>
      <c r="S334" s="157"/>
      <c r="T334" s="2"/>
      <c r="U334" s="2"/>
      <c r="V334" s="2"/>
      <c r="W334" s="2"/>
      <c r="X334" s="2"/>
      <c r="Y334" s="2"/>
      <c r="Z334" s="2"/>
    </row>
    <row r="335" ht="13.5" customHeight="1">
      <c r="A335" s="2"/>
      <c r="B335" s="2"/>
      <c r="C335" s="2"/>
      <c r="D335" s="2"/>
      <c r="E335" s="2"/>
      <c r="F335" s="2"/>
      <c r="G335" s="2"/>
      <c r="H335" s="2"/>
      <c r="I335" s="2"/>
      <c r="J335" s="28"/>
      <c r="K335" s="181"/>
      <c r="L335" s="2"/>
      <c r="M335" s="2"/>
      <c r="N335" s="2"/>
      <c r="O335" s="2"/>
      <c r="P335" s="2"/>
      <c r="Q335" s="157"/>
      <c r="R335" s="157"/>
      <c r="S335" s="157"/>
      <c r="T335" s="2"/>
      <c r="U335" s="2"/>
      <c r="V335" s="2"/>
      <c r="W335" s="2"/>
      <c r="X335" s="2"/>
      <c r="Y335" s="2"/>
      <c r="Z335" s="2"/>
    </row>
    <row r="336" ht="13.5" customHeight="1">
      <c r="A336" s="2"/>
      <c r="B336" s="2"/>
      <c r="C336" s="2"/>
      <c r="D336" s="2"/>
      <c r="E336" s="2"/>
      <c r="F336" s="2"/>
      <c r="G336" s="2"/>
      <c r="H336" s="2"/>
      <c r="I336" s="2"/>
      <c r="J336" s="28"/>
      <c r="K336" s="181"/>
      <c r="L336" s="2"/>
      <c r="M336" s="2"/>
      <c r="N336" s="2"/>
      <c r="O336" s="2"/>
      <c r="P336" s="2"/>
      <c r="Q336" s="157"/>
      <c r="R336" s="157"/>
      <c r="S336" s="157"/>
      <c r="T336" s="2"/>
      <c r="U336" s="2"/>
      <c r="V336" s="2"/>
      <c r="W336" s="2"/>
      <c r="X336" s="2"/>
      <c r="Y336" s="2"/>
      <c r="Z336" s="2"/>
    </row>
    <row r="337" ht="13.5" customHeight="1">
      <c r="A337" s="2"/>
      <c r="B337" s="2"/>
      <c r="C337" s="2"/>
      <c r="D337" s="2"/>
      <c r="E337" s="2"/>
      <c r="F337" s="2"/>
      <c r="G337" s="2"/>
      <c r="H337" s="2"/>
      <c r="I337" s="2"/>
      <c r="J337" s="28"/>
      <c r="K337" s="181"/>
      <c r="L337" s="2"/>
      <c r="M337" s="2"/>
      <c r="N337" s="2"/>
      <c r="O337" s="2"/>
      <c r="P337" s="2"/>
      <c r="Q337" s="157"/>
      <c r="R337" s="157"/>
      <c r="S337" s="157"/>
      <c r="T337" s="2"/>
      <c r="U337" s="2"/>
      <c r="V337" s="2"/>
      <c r="W337" s="2"/>
      <c r="X337" s="2"/>
      <c r="Y337" s="2"/>
      <c r="Z337" s="2"/>
    </row>
    <row r="338" ht="13.5" customHeight="1">
      <c r="A338" s="2"/>
      <c r="B338" s="2"/>
      <c r="C338" s="2"/>
      <c r="D338" s="2"/>
      <c r="E338" s="2"/>
      <c r="F338" s="2"/>
      <c r="G338" s="2"/>
      <c r="H338" s="2"/>
      <c r="I338" s="2"/>
      <c r="J338" s="28"/>
      <c r="K338" s="181"/>
      <c r="L338" s="2"/>
      <c r="M338" s="2"/>
      <c r="N338" s="2"/>
      <c r="O338" s="2"/>
      <c r="P338" s="2"/>
      <c r="Q338" s="157"/>
      <c r="R338" s="157"/>
      <c r="S338" s="157"/>
      <c r="T338" s="2"/>
      <c r="U338" s="2"/>
      <c r="V338" s="2"/>
      <c r="W338" s="2"/>
      <c r="X338" s="2"/>
      <c r="Y338" s="2"/>
      <c r="Z338" s="2"/>
    </row>
    <row r="339" ht="13.5" customHeight="1">
      <c r="A339" s="2"/>
      <c r="B339" s="2"/>
      <c r="C339" s="2"/>
      <c r="D339" s="2"/>
      <c r="E339" s="2"/>
      <c r="F339" s="2"/>
      <c r="G339" s="2"/>
      <c r="H339" s="2"/>
      <c r="I339" s="2"/>
      <c r="J339" s="28"/>
      <c r="K339" s="181"/>
      <c r="L339" s="2"/>
      <c r="M339" s="2"/>
      <c r="N339" s="2"/>
      <c r="O339" s="2"/>
      <c r="P339" s="2"/>
      <c r="Q339" s="157"/>
      <c r="R339" s="157"/>
      <c r="S339" s="157"/>
      <c r="T339" s="2"/>
      <c r="U339" s="2"/>
      <c r="V339" s="2"/>
      <c r="W339" s="2"/>
      <c r="X339" s="2"/>
      <c r="Y339" s="2"/>
      <c r="Z339" s="2"/>
    </row>
    <row r="340" ht="13.5" customHeight="1">
      <c r="A340" s="2"/>
      <c r="B340" s="2"/>
      <c r="C340" s="2"/>
      <c r="D340" s="2"/>
      <c r="E340" s="2"/>
      <c r="F340" s="2"/>
      <c r="G340" s="2"/>
      <c r="H340" s="2"/>
      <c r="I340" s="2"/>
      <c r="J340" s="28"/>
      <c r="K340" s="181"/>
      <c r="L340" s="2"/>
      <c r="M340" s="2"/>
      <c r="N340" s="2"/>
      <c r="O340" s="2"/>
      <c r="P340" s="2"/>
      <c r="Q340" s="157"/>
      <c r="R340" s="157"/>
      <c r="S340" s="157"/>
      <c r="T340" s="2"/>
      <c r="U340" s="2"/>
      <c r="V340" s="2"/>
      <c r="W340" s="2"/>
      <c r="X340" s="2"/>
      <c r="Y340" s="2"/>
      <c r="Z340" s="2"/>
    </row>
    <row r="341" ht="13.5" customHeight="1">
      <c r="A341" s="2"/>
      <c r="B341" s="2"/>
      <c r="C341" s="2"/>
      <c r="D341" s="2"/>
      <c r="E341" s="2"/>
      <c r="F341" s="2"/>
      <c r="G341" s="2"/>
      <c r="H341" s="2"/>
      <c r="I341" s="2"/>
      <c r="J341" s="28"/>
      <c r="K341" s="181"/>
      <c r="L341" s="2"/>
      <c r="M341" s="2"/>
      <c r="N341" s="2"/>
      <c r="O341" s="2"/>
      <c r="P341" s="2"/>
      <c r="Q341" s="157"/>
      <c r="R341" s="157"/>
      <c r="S341" s="157"/>
      <c r="T341" s="2"/>
      <c r="U341" s="2"/>
      <c r="V341" s="2"/>
      <c r="W341" s="2"/>
      <c r="X341" s="2"/>
      <c r="Y341" s="2"/>
      <c r="Z341" s="2"/>
    </row>
    <row r="342" ht="13.5" customHeight="1">
      <c r="A342" s="2"/>
      <c r="B342" s="2"/>
      <c r="C342" s="2"/>
      <c r="D342" s="2"/>
      <c r="E342" s="2"/>
      <c r="F342" s="2"/>
      <c r="G342" s="2"/>
      <c r="H342" s="2"/>
      <c r="I342" s="2"/>
      <c r="J342" s="28"/>
      <c r="K342" s="181"/>
      <c r="L342" s="2"/>
      <c r="M342" s="2"/>
      <c r="N342" s="2"/>
      <c r="O342" s="2"/>
      <c r="P342" s="2"/>
      <c r="Q342" s="157"/>
      <c r="R342" s="157"/>
      <c r="S342" s="157"/>
      <c r="T342" s="2"/>
      <c r="U342" s="2"/>
      <c r="V342" s="2"/>
      <c r="W342" s="2"/>
      <c r="X342" s="2"/>
      <c r="Y342" s="2"/>
      <c r="Z342" s="2"/>
    </row>
    <row r="343" ht="13.5" customHeight="1">
      <c r="A343" s="2"/>
      <c r="B343" s="2"/>
      <c r="C343" s="2"/>
      <c r="D343" s="2"/>
      <c r="E343" s="2"/>
      <c r="F343" s="2"/>
      <c r="G343" s="2"/>
      <c r="H343" s="2"/>
      <c r="I343" s="2"/>
      <c r="J343" s="28"/>
      <c r="K343" s="181"/>
      <c r="L343" s="2"/>
      <c r="M343" s="2"/>
      <c r="N343" s="2"/>
      <c r="O343" s="2"/>
      <c r="P343" s="2"/>
      <c r="Q343" s="157"/>
      <c r="R343" s="157"/>
      <c r="S343" s="157"/>
      <c r="T343" s="2"/>
      <c r="U343" s="2"/>
      <c r="V343" s="2"/>
      <c r="W343" s="2"/>
      <c r="X343" s="2"/>
      <c r="Y343" s="2"/>
      <c r="Z343" s="2"/>
    </row>
    <row r="344" ht="13.5" customHeight="1">
      <c r="A344" s="2"/>
      <c r="B344" s="2"/>
      <c r="C344" s="2"/>
      <c r="D344" s="2"/>
      <c r="E344" s="2"/>
      <c r="F344" s="2"/>
      <c r="G344" s="2"/>
      <c r="H344" s="2"/>
      <c r="I344" s="2"/>
      <c r="J344" s="28"/>
      <c r="K344" s="181"/>
      <c r="L344" s="2"/>
      <c r="M344" s="2"/>
      <c r="N344" s="2"/>
      <c r="O344" s="2"/>
      <c r="P344" s="2"/>
      <c r="Q344" s="157"/>
      <c r="R344" s="157"/>
      <c r="S344" s="157"/>
      <c r="T344" s="2"/>
      <c r="U344" s="2"/>
      <c r="V344" s="2"/>
      <c r="W344" s="2"/>
      <c r="X344" s="2"/>
      <c r="Y344" s="2"/>
      <c r="Z344" s="2"/>
    </row>
    <row r="345" ht="13.5" customHeight="1">
      <c r="A345" s="2"/>
      <c r="B345" s="2"/>
      <c r="C345" s="2"/>
      <c r="D345" s="2"/>
      <c r="E345" s="2"/>
      <c r="F345" s="2"/>
      <c r="G345" s="2"/>
      <c r="H345" s="2"/>
      <c r="I345" s="2"/>
      <c r="J345" s="28"/>
      <c r="K345" s="181"/>
      <c r="L345" s="2"/>
      <c r="M345" s="2"/>
      <c r="N345" s="2"/>
      <c r="O345" s="2"/>
      <c r="P345" s="2"/>
      <c r="Q345" s="157"/>
      <c r="R345" s="157"/>
      <c r="S345" s="157"/>
      <c r="T345" s="2"/>
      <c r="U345" s="2"/>
      <c r="V345" s="2"/>
      <c r="W345" s="2"/>
      <c r="X345" s="2"/>
      <c r="Y345" s="2"/>
      <c r="Z345" s="2"/>
    </row>
    <row r="346" ht="13.5" customHeight="1">
      <c r="A346" s="2"/>
      <c r="B346" s="2"/>
      <c r="C346" s="2"/>
      <c r="D346" s="2"/>
      <c r="E346" s="2"/>
      <c r="F346" s="2"/>
      <c r="G346" s="2"/>
      <c r="H346" s="2"/>
      <c r="I346" s="2"/>
      <c r="J346" s="28"/>
      <c r="K346" s="181"/>
      <c r="L346" s="2"/>
      <c r="M346" s="2"/>
      <c r="N346" s="2"/>
      <c r="O346" s="2"/>
      <c r="P346" s="2"/>
      <c r="Q346" s="157"/>
      <c r="R346" s="157"/>
      <c r="S346" s="157"/>
      <c r="T346" s="2"/>
      <c r="U346" s="2"/>
      <c r="V346" s="2"/>
      <c r="W346" s="2"/>
      <c r="X346" s="2"/>
      <c r="Y346" s="2"/>
      <c r="Z346" s="2"/>
    </row>
    <row r="347" ht="13.5" customHeight="1">
      <c r="A347" s="2"/>
      <c r="B347" s="2"/>
      <c r="C347" s="2"/>
      <c r="D347" s="2"/>
      <c r="E347" s="2"/>
      <c r="F347" s="2"/>
      <c r="G347" s="2"/>
      <c r="H347" s="2"/>
      <c r="I347" s="2"/>
      <c r="J347" s="28"/>
      <c r="K347" s="181"/>
      <c r="L347" s="2"/>
      <c r="M347" s="2"/>
      <c r="N347" s="2"/>
      <c r="O347" s="2"/>
      <c r="P347" s="2"/>
      <c r="Q347" s="157"/>
      <c r="R347" s="157"/>
      <c r="S347" s="157"/>
      <c r="T347" s="2"/>
      <c r="U347" s="2"/>
      <c r="V347" s="2"/>
      <c r="W347" s="2"/>
      <c r="X347" s="2"/>
      <c r="Y347" s="2"/>
      <c r="Z347" s="2"/>
    </row>
    <row r="348" ht="13.5" customHeight="1">
      <c r="A348" s="2"/>
      <c r="B348" s="2"/>
      <c r="C348" s="2"/>
      <c r="D348" s="2"/>
      <c r="E348" s="2"/>
      <c r="F348" s="2"/>
      <c r="G348" s="2"/>
      <c r="H348" s="2"/>
      <c r="I348" s="2"/>
      <c r="J348" s="28"/>
      <c r="K348" s="181"/>
      <c r="L348" s="2"/>
      <c r="M348" s="2"/>
      <c r="N348" s="2"/>
      <c r="O348" s="2"/>
      <c r="P348" s="2"/>
      <c r="Q348" s="157"/>
      <c r="R348" s="157"/>
      <c r="S348" s="157"/>
      <c r="T348" s="2"/>
      <c r="U348" s="2"/>
      <c r="V348" s="2"/>
      <c r="W348" s="2"/>
      <c r="X348" s="2"/>
      <c r="Y348" s="2"/>
      <c r="Z348" s="2"/>
    </row>
    <row r="349" ht="13.5" customHeight="1">
      <c r="A349" s="2"/>
      <c r="B349" s="2"/>
      <c r="C349" s="2"/>
      <c r="D349" s="2"/>
      <c r="E349" s="2"/>
      <c r="F349" s="2"/>
      <c r="G349" s="2"/>
      <c r="H349" s="2"/>
      <c r="I349" s="2"/>
      <c r="J349" s="28"/>
      <c r="K349" s="181"/>
      <c r="L349" s="2"/>
      <c r="M349" s="2"/>
      <c r="N349" s="2"/>
      <c r="O349" s="2"/>
      <c r="P349" s="2"/>
      <c r="Q349" s="157"/>
      <c r="R349" s="157"/>
      <c r="S349" s="157"/>
      <c r="T349" s="2"/>
      <c r="U349" s="2"/>
      <c r="V349" s="2"/>
      <c r="W349" s="2"/>
      <c r="X349" s="2"/>
      <c r="Y349" s="2"/>
      <c r="Z349" s="2"/>
    </row>
    <row r="350" ht="13.5" customHeight="1">
      <c r="A350" s="2"/>
      <c r="B350" s="2"/>
      <c r="C350" s="2"/>
      <c r="D350" s="2"/>
      <c r="E350" s="2"/>
      <c r="F350" s="2"/>
      <c r="G350" s="2"/>
      <c r="H350" s="2"/>
      <c r="I350" s="2"/>
      <c r="J350" s="28"/>
      <c r="K350" s="181"/>
      <c r="L350" s="2"/>
      <c r="M350" s="2"/>
      <c r="N350" s="2"/>
      <c r="O350" s="2"/>
      <c r="P350" s="2"/>
      <c r="Q350" s="157"/>
      <c r="R350" s="157"/>
      <c r="S350" s="157"/>
      <c r="T350" s="2"/>
      <c r="U350" s="2"/>
      <c r="V350" s="2"/>
      <c r="W350" s="2"/>
      <c r="X350" s="2"/>
      <c r="Y350" s="2"/>
      <c r="Z350" s="2"/>
    </row>
    <row r="351" ht="13.5" customHeight="1">
      <c r="A351" s="2"/>
      <c r="B351" s="2"/>
      <c r="C351" s="2"/>
      <c r="D351" s="2"/>
      <c r="E351" s="2"/>
      <c r="F351" s="2"/>
      <c r="G351" s="2"/>
      <c r="H351" s="2"/>
      <c r="I351" s="2"/>
      <c r="J351" s="28"/>
      <c r="K351" s="181"/>
      <c r="L351" s="2"/>
      <c r="M351" s="2"/>
      <c r="N351" s="2"/>
      <c r="O351" s="2"/>
      <c r="P351" s="2"/>
      <c r="Q351" s="157"/>
      <c r="R351" s="157"/>
      <c r="S351" s="157"/>
      <c r="T351" s="2"/>
      <c r="U351" s="2"/>
      <c r="V351" s="2"/>
      <c r="W351" s="2"/>
      <c r="X351" s="2"/>
      <c r="Y351" s="2"/>
      <c r="Z351" s="2"/>
    </row>
    <row r="352" ht="13.5" customHeight="1">
      <c r="A352" s="2"/>
      <c r="B352" s="2"/>
      <c r="C352" s="2"/>
      <c r="D352" s="2"/>
      <c r="E352" s="2"/>
      <c r="F352" s="2"/>
      <c r="G352" s="2"/>
      <c r="H352" s="2"/>
      <c r="I352" s="2"/>
      <c r="J352" s="28"/>
      <c r="K352" s="181"/>
      <c r="L352" s="2"/>
      <c r="M352" s="2"/>
      <c r="N352" s="2"/>
      <c r="O352" s="2"/>
      <c r="P352" s="2"/>
      <c r="Q352" s="157"/>
      <c r="R352" s="157"/>
      <c r="S352" s="157"/>
      <c r="T352" s="2"/>
      <c r="U352" s="2"/>
      <c r="V352" s="2"/>
      <c r="W352" s="2"/>
      <c r="X352" s="2"/>
      <c r="Y352" s="2"/>
      <c r="Z352" s="2"/>
    </row>
    <row r="353" ht="13.5" customHeight="1">
      <c r="A353" s="2"/>
      <c r="B353" s="2"/>
      <c r="C353" s="2"/>
      <c r="D353" s="2"/>
      <c r="E353" s="2"/>
      <c r="F353" s="2"/>
      <c r="G353" s="2"/>
      <c r="H353" s="2"/>
      <c r="I353" s="2"/>
      <c r="J353" s="28"/>
      <c r="K353" s="181"/>
      <c r="L353" s="2"/>
      <c r="M353" s="2"/>
      <c r="N353" s="2"/>
      <c r="O353" s="2"/>
      <c r="P353" s="2"/>
      <c r="Q353" s="157"/>
      <c r="R353" s="157"/>
      <c r="S353" s="157"/>
      <c r="T353" s="2"/>
      <c r="U353" s="2"/>
      <c r="V353" s="2"/>
      <c r="W353" s="2"/>
      <c r="X353" s="2"/>
      <c r="Y353" s="2"/>
      <c r="Z353" s="2"/>
    </row>
    <row r="354" ht="13.5" customHeight="1">
      <c r="A354" s="2"/>
      <c r="B354" s="2"/>
      <c r="C354" s="2"/>
      <c r="D354" s="2"/>
      <c r="E354" s="2"/>
      <c r="F354" s="2"/>
      <c r="G354" s="2"/>
      <c r="H354" s="2"/>
      <c r="I354" s="2"/>
      <c r="J354" s="28"/>
      <c r="K354" s="181"/>
      <c r="L354" s="2"/>
      <c r="M354" s="2"/>
      <c r="N354" s="2"/>
      <c r="O354" s="2"/>
      <c r="P354" s="2"/>
      <c r="Q354" s="157"/>
      <c r="R354" s="157"/>
      <c r="S354" s="157"/>
      <c r="T354" s="2"/>
      <c r="U354" s="2"/>
      <c r="V354" s="2"/>
      <c r="W354" s="2"/>
      <c r="X354" s="2"/>
      <c r="Y354" s="2"/>
      <c r="Z354" s="2"/>
    </row>
    <row r="355" ht="13.5" customHeight="1">
      <c r="A355" s="2"/>
      <c r="B355" s="2"/>
      <c r="C355" s="2"/>
      <c r="D355" s="2"/>
      <c r="E355" s="2"/>
      <c r="F355" s="2"/>
      <c r="G355" s="2"/>
      <c r="H355" s="2"/>
      <c r="I355" s="2"/>
      <c r="J355" s="28"/>
      <c r="K355" s="181"/>
      <c r="L355" s="2"/>
      <c r="M355" s="2"/>
      <c r="N355" s="2"/>
      <c r="O355" s="2"/>
      <c r="P355" s="2"/>
      <c r="Q355" s="157"/>
      <c r="R355" s="157"/>
      <c r="S355" s="157"/>
      <c r="T355" s="2"/>
      <c r="U355" s="2"/>
      <c r="V355" s="2"/>
      <c r="W355" s="2"/>
      <c r="X355" s="2"/>
      <c r="Y355" s="2"/>
      <c r="Z355" s="2"/>
    </row>
    <row r="356" ht="13.5" customHeight="1">
      <c r="A356" s="2"/>
      <c r="B356" s="2"/>
      <c r="C356" s="2"/>
      <c r="D356" s="2"/>
      <c r="E356" s="2"/>
      <c r="F356" s="2"/>
      <c r="G356" s="2"/>
      <c r="H356" s="2"/>
      <c r="I356" s="2"/>
      <c r="J356" s="28"/>
      <c r="K356" s="181"/>
      <c r="L356" s="2"/>
      <c r="M356" s="2"/>
      <c r="N356" s="2"/>
      <c r="O356" s="2"/>
      <c r="P356" s="2"/>
      <c r="Q356" s="157"/>
      <c r="R356" s="157"/>
      <c r="S356" s="157"/>
      <c r="T356" s="2"/>
      <c r="U356" s="2"/>
      <c r="V356" s="2"/>
      <c r="W356" s="2"/>
      <c r="X356" s="2"/>
      <c r="Y356" s="2"/>
      <c r="Z356" s="2"/>
    </row>
    <row r="357" ht="13.5" customHeight="1">
      <c r="A357" s="2"/>
      <c r="B357" s="2"/>
      <c r="C357" s="2"/>
      <c r="D357" s="2"/>
      <c r="E357" s="2"/>
      <c r="F357" s="2"/>
      <c r="G357" s="2"/>
      <c r="H357" s="2"/>
      <c r="I357" s="2"/>
      <c r="J357" s="28"/>
      <c r="K357" s="181"/>
      <c r="L357" s="2"/>
      <c r="M357" s="2"/>
      <c r="N357" s="2"/>
      <c r="O357" s="2"/>
      <c r="P357" s="2"/>
      <c r="Q357" s="157"/>
      <c r="R357" s="157"/>
      <c r="S357" s="157"/>
      <c r="T357" s="2"/>
      <c r="U357" s="2"/>
      <c r="V357" s="2"/>
      <c r="W357" s="2"/>
      <c r="X357" s="2"/>
      <c r="Y357" s="2"/>
      <c r="Z357" s="2"/>
    </row>
    <row r="358" ht="13.5" customHeight="1">
      <c r="A358" s="2"/>
      <c r="B358" s="2"/>
      <c r="C358" s="2"/>
      <c r="D358" s="2"/>
      <c r="E358" s="2"/>
      <c r="F358" s="2"/>
      <c r="G358" s="2"/>
      <c r="H358" s="2"/>
      <c r="I358" s="2"/>
      <c r="J358" s="28"/>
      <c r="K358" s="181"/>
      <c r="L358" s="2"/>
      <c r="M358" s="2"/>
      <c r="N358" s="2"/>
      <c r="O358" s="2"/>
      <c r="P358" s="2"/>
      <c r="Q358" s="157"/>
      <c r="R358" s="157"/>
      <c r="S358" s="157"/>
      <c r="T358" s="2"/>
      <c r="U358" s="2"/>
      <c r="V358" s="2"/>
      <c r="W358" s="2"/>
      <c r="X358" s="2"/>
      <c r="Y358" s="2"/>
      <c r="Z358" s="2"/>
    </row>
    <row r="359" ht="13.5" customHeight="1">
      <c r="A359" s="2"/>
      <c r="B359" s="2"/>
      <c r="C359" s="2"/>
      <c r="D359" s="2"/>
      <c r="E359" s="2"/>
      <c r="F359" s="2"/>
      <c r="G359" s="2"/>
      <c r="H359" s="2"/>
      <c r="I359" s="2"/>
      <c r="J359" s="28"/>
      <c r="K359" s="181"/>
      <c r="L359" s="2"/>
      <c r="M359" s="2"/>
      <c r="N359" s="2"/>
      <c r="O359" s="2"/>
      <c r="P359" s="2"/>
      <c r="Q359" s="157"/>
      <c r="R359" s="157"/>
      <c r="S359" s="157"/>
      <c r="T359" s="2"/>
      <c r="U359" s="2"/>
      <c r="V359" s="2"/>
      <c r="W359" s="2"/>
      <c r="X359" s="2"/>
      <c r="Y359" s="2"/>
      <c r="Z359" s="2"/>
    </row>
    <row r="360" ht="13.5" customHeight="1">
      <c r="A360" s="2"/>
      <c r="B360" s="2"/>
      <c r="C360" s="2"/>
      <c r="D360" s="2"/>
      <c r="E360" s="2"/>
      <c r="F360" s="2"/>
      <c r="G360" s="2"/>
      <c r="H360" s="2"/>
      <c r="I360" s="2"/>
      <c r="J360" s="28"/>
      <c r="K360" s="181"/>
      <c r="L360" s="2"/>
      <c r="M360" s="2"/>
      <c r="N360" s="2"/>
      <c r="O360" s="2"/>
      <c r="P360" s="2"/>
      <c r="Q360" s="157"/>
      <c r="R360" s="157"/>
      <c r="S360" s="157"/>
      <c r="T360" s="2"/>
      <c r="U360" s="2"/>
      <c r="V360" s="2"/>
      <c r="W360" s="2"/>
      <c r="X360" s="2"/>
      <c r="Y360" s="2"/>
      <c r="Z360" s="2"/>
    </row>
    <row r="361" ht="13.5" customHeight="1">
      <c r="A361" s="2"/>
      <c r="B361" s="2"/>
      <c r="C361" s="2"/>
      <c r="D361" s="2"/>
      <c r="E361" s="2"/>
      <c r="F361" s="2"/>
      <c r="G361" s="2"/>
      <c r="H361" s="2"/>
      <c r="I361" s="2"/>
      <c r="J361" s="28"/>
      <c r="K361" s="181"/>
      <c r="L361" s="2"/>
      <c r="M361" s="2"/>
      <c r="N361" s="2"/>
      <c r="O361" s="2"/>
      <c r="P361" s="2"/>
      <c r="Q361" s="157"/>
      <c r="R361" s="157"/>
      <c r="S361" s="157"/>
      <c r="T361" s="2"/>
      <c r="U361" s="2"/>
      <c r="V361" s="2"/>
      <c r="W361" s="2"/>
      <c r="X361" s="2"/>
      <c r="Y361" s="2"/>
      <c r="Z361" s="2"/>
    </row>
    <row r="362" ht="13.5" customHeight="1">
      <c r="A362" s="2"/>
      <c r="B362" s="2"/>
      <c r="C362" s="2"/>
      <c r="D362" s="2"/>
      <c r="E362" s="2"/>
      <c r="F362" s="2"/>
      <c r="G362" s="2"/>
      <c r="H362" s="2"/>
      <c r="I362" s="2"/>
      <c r="J362" s="28"/>
      <c r="K362" s="181"/>
      <c r="L362" s="2"/>
      <c r="M362" s="2"/>
      <c r="N362" s="2"/>
      <c r="O362" s="2"/>
      <c r="P362" s="2"/>
      <c r="Q362" s="157"/>
      <c r="R362" s="157"/>
      <c r="S362" s="157"/>
      <c r="T362" s="2"/>
      <c r="U362" s="2"/>
      <c r="V362" s="2"/>
      <c r="W362" s="2"/>
      <c r="X362" s="2"/>
      <c r="Y362" s="2"/>
      <c r="Z362" s="2"/>
    </row>
    <row r="363" ht="13.5" customHeight="1">
      <c r="A363" s="2"/>
      <c r="B363" s="2"/>
      <c r="C363" s="2"/>
      <c r="D363" s="2"/>
      <c r="E363" s="2"/>
      <c r="F363" s="2"/>
      <c r="G363" s="2"/>
      <c r="H363" s="2"/>
      <c r="I363" s="2"/>
      <c r="J363" s="28"/>
      <c r="K363" s="181"/>
      <c r="L363" s="2"/>
      <c r="M363" s="2"/>
      <c r="N363" s="2"/>
      <c r="O363" s="2"/>
      <c r="P363" s="2"/>
      <c r="Q363" s="157"/>
      <c r="R363" s="157"/>
      <c r="S363" s="157"/>
      <c r="T363" s="2"/>
      <c r="U363" s="2"/>
      <c r="V363" s="2"/>
      <c r="W363" s="2"/>
      <c r="X363" s="2"/>
      <c r="Y363" s="2"/>
      <c r="Z363" s="2"/>
    </row>
    <row r="364" ht="13.5" customHeight="1">
      <c r="A364" s="2"/>
      <c r="B364" s="2"/>
      <c r="C364" s="2"/>
      <c r="D364" s="2"/>
      <c r="E364" s="2"/>
      <c r="F364" s="2"/>
      <c r="G364" s="2"/>
      <c r="H364" s="2"/>
      <c r="I364" s="2"/>
      <c r="J364" s="28"/>
      <c r="K364" s="181"/>
      <c r="L364" s="2"/>
      <c r="M364" s="2"/>
      <c r="N364" s="2"/>
      <c r="O364" s="2"/>
      <c r="P364" s="2"/>
      <c r="Q364" s="157"/>
      <c r="R364" s="157"/>
      <c r="S364" s="157"/>
      <c r="T364" s="2"/>
      <c r="U364" s="2"/>
      <c r="V364" s="2"/>
      <c r="W364" s="2"/>
      <c r="X364" s="2"/>
      <c r="Y364" s="2"/>
      <c r="Z364" s="2"/>
    </row>
    <row r="365" ht="13.5" customHeight="1">
      <c r="A365" s="2"/>
      <c r="B365" s="2"/>
      <c r="C365" s="2"/>
      <c r="D365" s="2"/>
      <c r="E365" s="2"/>
      <c r="F365" s="2"/>
      <c r="G365" s="2"/>
      <c r="H365" s="2"/>
      <c r="I365" s="2"/>
      <c r="J365" s="28"/>
      <c r="K365" s="181"/>
      <c r="L365" s="2"/>
      <c r="M365" s="2"/>
      <c r="N365" s="2"/>
      <c r="O365" s="2"/>
      <c r="P365" s="2"/>
      <c r="Q365" s="157"/>
      <c r="R365" s="157"/>
      <c r="S365" s="157"/>
      <c r="T365" s="2"/>
      <c r="U365" s="2"/>
      <c r="V365" s="2"/>
      <c r="W365" s="2"/>
      <c r="X365" s="2"/>
      <c r="Y365" s="2"/>
      <c r="Z365" s="2"/>
    </row>
    <row r="366" ht="13.5" customHeight="1">
      <c r="A366" s="2"/>
      <c r="B366" s="2"/>
      <c r="C366" s="2"/>
      <c r="D366" s="2"/>
      <c r="E366" s="2"/>
      <c r="F366" s="2"/>
      <c r="G366" s="2"/>
      <c r="H366" s="2"/>
      <c r="I366" s="2"/>
      <c r="J366" s="28"/>
      <c r="K366" s="181"/>
      <c r="L366" s="2"/>
      <c r="M366" s="2"/>
      <c r="N366" s="2"/>
      <c r="O366" s="2"/>
      <c r="P366" s="2"/>
      <c r="Q366" s="157"/>
      <c r="R366" s="157"/>
      <c r="S366" s="157"/>
      <c r="T366" s="2"/>
      <c r="U366" s="2"/>
      <c r="V366" s="2"/>
      <c r="W366" s="2"/>
      <c r="X366" s="2"/>
      <c r="Y366" s="2"/>
      <c r="Z366" s="2"/>
    </row>
    <row r="367" ht="13.5" customHeight="1">
      <c r="A367" s="2"/>
      <c r="B367" s="2"/>
      <c r="C367" s="2"/>
      <c r="D367" s="2"/>
      <c r="E367" s="2"/>
      <c r="F367" s="2"/>
      <c r="G367" s="2"/>
      <c r="H367" s="2"/>
      <c r="I367" s="2"/>
      <c r="J367" s="28"/>
      <c r="K367" s="181"/>
      <c r="L367" s="2"/>
      <c r="M367" s="2"/>
      <c r="N367" s="2"/>
      <c r="O367" s="2"/>
      <c r="P367" s="2"/>
      <c r="Q367" s="157"/>
      <c r="R367" s="157"/>
      <c r="S367" s="157"/>
      <c r="T367" s="2"/>
      <c r="U367" s="2"/>
      <c r="V367" s="2"/>
      <c r="W367" s="2"/>
      <c r="X367" s="2"/>
      <c r="Y367" s="2"/>
      <c r="Z367" s="2"/>
    </row>
    <row r="368" ht="13.5" customHeight="1">
      <c r="A368" s="2"/>
      <c r="B368" s="2"/>
      <c r="C368" s="2"/>
      <c r="D368" s="2"/>
      <c r="E368" s="2"/>
      <c r="F368" s="2"/>
      <c r="G368" s="2"/>
      <c r="H368" s="2"/>
      <c r="I368" s="2"/>
      <c r="J368" s="28"/>
      <c r="K368" s="181"/>
      <c r="L368" s="2"/>
      <c r="M368" s="2"/>
      <c r="N368" s="2"/>
      <c r="O368" s="2"/>
      <c r="P368" s="2"/>
      <c r="Q368" s="157"/>
      <c r="R368" s="157"/>
      <c r="S368" s="157"/>
      <c r="T368" s="2"/>
      <c r="U368" s="2"/>
      <c r="V368" s="2"/>
      <c r="W368" s="2"/>
      <c r="X368" s="2"/>
      <c r="Y368" s="2"/>
      <c r="Z368" s="2"/>
    </row>
    <row r="369" ht="13.5" customHeight="1">
      <c r="A369" s="2"/>
      <c r="B369" s="2"/>
      <c r="C369" s="2"/>
      <c r="D369" s="2"/>
      <c r="E369" s="2"/>
      <c r="F369" s="2"/>
      <c r="G369" s="2"/>
      <c r="H369" s="2"/>
      <c r="I369" s="2"/>
      <c r="J369" s="28"/>
      <c r="K369" s="181"/>
      <c r="L369" s="2"/>
      <c r="M369" s="2"/>
      <c r="N369" s="2"/>
      <c r="O369" s="2"/>
      <c r="P369" s="2"/>
      <c r="Q369" s="157"/>
      <c r="R369" s="157"/>
      <c r="S369" s="157"/>
      <c r="T369" s="2"/>
      <c r="U369" s="2"/>
      <c r="V369" s="2"/>
      <c r="W369" s="2"/>
      <c r="X369" s="2"/>
      <c r="Y369" s="2"/>
      <c r="Z369" s="2"/>
    </row>
    <row r="370" ht="13.5" customHeight="1">
      <c r="A370" s="2"/>
      <c r="B370" s="2"/>
      <c r="C370" s="2"/>
      <c r="D370" s="2"/>
      <c r="E370" s="2"/>
      <c r="F370" s="2"/>
      <c r="G370" s="2"/>
      <c r="H370" s="2"/>
      <c r="I370" s="2"/>
      <c r="J370" s="28"/>
      <c r="K370" s="181"/>
      <c r="L370" s="2"/>
      <c r="M370" s="2"/>
      <c r="N370" s="2"/>
      <c r="O370" s="2"/>
      <c r="P370" s="2"/>
      <c r="Q370" s="157"/>
      <c r="R370" s="157"/>
      <c r="S370" s="157"/>
      <c r="T370" s="2"/>
      <c r="U370" s="2"/>
      <c r="V370" s="2"/>
      <c r="W370" s="2"/>
      <c r="X370" s="2"/>
      <c r="Y370" s="2"/>
      <c r="Z370" s="2"/>
    </row>
    <row r="371" ht="13.5" customHeight="1">
      <c r="A371" s="2"/>
      <c r="B371" s="2"/>
      <c r="C371" s="2"/>
      <c r="D371" s="2"/>
      <c r="E371" s="2"/>
      <c r="F371" s="2"/>
      <c r="G371" s="2"/>
      <c r="H371" s="2"/>
      <c r="I371" s="2"/>
      <c r="J371" s="28"/>
      <c r="K371" s="181"/>
      <c r="L371" s="2"/>
      <c r="M371" s="2"/>
      <c r="N371" s="2"/>
      <c r="O371" s="2"/>
      <c r="P371" s="2"/>
      <c r="Q371" s="157"/>
      <c r="R371" s="157"/>
      <c r="S371" s="157"/>
      <c r="T371" s="2"/>
      <c r="U371" s="2"/>
      <c r="V371" s="2"/>
      <c r="W371" s="2"/>
      <c r="X371" s="2"/>
      <c r="Y371" s="2"/>
      <c r="Z371" s="2"/>
    </row>
    <row r="372" ht="13.5" customHeight="1">
      <c r="A372" s="2"/>
      <c r="B372" s="2"/>
      <c r="C372" s="2"/>
      <c r="D372" s="2"/>
      <c r="E372" s="2"/>
      <c r="F372" s="2"/>
      <c r="G372" s="2"/>
      <c r="H372" s="2"/>
      <c r="I372" s="2"/>
      <c r="J372" s="28"/>
      <c r="K372" s="181"/>
      <c r="L372" s="2"/>
      <c r="M372" s="2"/>
      <c r="N372" s="2"/>
      <c r="O372" s="2"/>
      <c r="P372" s="2"/>
      <c r="Q372" s="157"/>
      <c r="R372" s="157"/>
      <c r="S372" s="157"/>
      <c r="T372" s="2"/>
      <c r="U372" s="2"/>
      <c r="V372" s="2"/>
      <c r="W372" s="2"/>
      <c r="X372" s="2"/>
      <c r="Y372" s="2"/>
      <c r="Z372" s="2"/>
    </row>
    <row r="373" ht="13.5" customHeight="1">
      <c r="A373" s="2"/>
      <c r="B373" s="2"/>
      <c r="C373" s="2"/>
      <c r="D373" s="2"/>
      <c r="E373" s="2"/>
      <c r="F373" s="2"/>
      <c r="G373" s="2"/>
      <c r="H373" s="2"/>
      <c r="I373" s="2"/>
      <c r="J373" s="28"/>
      <c r="K373" s="181"/>
      <c r="L373" s="2"/>
      <c r="M373" s="2"/>
      <c r="N373" s="2"/>
      <c r="O373" s="2"/>
      <c r="P373" s="2"/>
      <c r="Q373" s="157"/>
      <c r="R373" s="157"/>
      <c r="S373" s="157"/>
      <c r="T373" s="2"/>
      <c r="U373" s="2"/>
      <c r="V373" s="2"/>
      <c r="W373" s="2"/>
      <c r="X373" s="2"/>
      <c r="Y373" s="2"/>
      <c r="Z373" s="2"/>
    </row>
    <row r="374" ht="13.5" customHeight="1">
      <c r="A374" s="2"/>
      <c r="B374" s="2"/>
      <c r="C374" s="2"/>
      <c r="D374" s="2"/>
      <c r="E374" s="2"/>
      <c r="F374" s="2"/>
      <c r="G374" s="2"/>
      <c r="H374" s="2"/>
      <c r="I374" s="2"/>
      <c r="J374" s="28"/>
      <c r="K374" s="181"/>
      <c r="L374" s="2"/>
      <c r="M374" s="2"/>
      <c r="N374" s="2"/>
      <c r="O374" s="2"/>
      <c r="P374" s="2"/>
      <c r="Q374" s="157"/>
      <c r="R374" s="157"/>
      <c r="S374" s="157"/>
      <c r="T374" s="2"/>
      <c r="U374" s="2"/>
      <c r="V374" s="2"/>
      <c r="W374" s="2"/>
      <c r="X374" s="2"/>
      <c r="Y374" s="2"/>
      <c r="Z374" s="2"/>
    </row>
    <row r="375" ht="13.5" customHeight="1">
      <c r="A375" s="2"/>
      <c r="B375" s="2"/>
      <c r="C375" s="2"/>
      <c r="D375" s="2"/>
      <c r="E375" s="2"/>
      <c r="F375" s="2"/>
      <c r="G375" s="2"/>
      <c r="H375" s="2"/>
      <c r="I375" s="2"/>
      <c r="J375" s="28"/>
      <c r="K375" s="181"/>
      <c r="L375" s="2"/>
      <c r="M375" s="2"/>
      <c r="N375" s="2"/>
      <c r="O375" s="2"/>
      <c r="P375" s="2"/>
      <c r="Q375" s="157"/>
      <c r="R375" s="157"/>
      <c r="S375" s="157"/>
      <c r="T375" s="2"/>
      <c r="U375" s="2"/>
      <c r="V375" s="2"/>
      <c r="W375" s="2"/>
      <c r="X375" s="2"/>
      <c r="Y375" s="2"/>
      <c r="Z375" s="2"/>
    </row>
    <row r="376" ht="13.5" customHeight="1">
      <c r="A376" s="2"/>
      <c r="B376" s="2"/>
      <c r="C376" s="2"/>
      <c r="D376" s="2"/>
      <c r="E376" s="2"/>
      <c r="F376" s="2"/>
      <c r="G376" s="2"/>
      <c r="H376" s="2"/>
      <c r="I376" s="2"/>
      <c r="J376" s="28"/>
      <c r="K376" s="181"/>
      <c r="L376" s="2"/>
      <c r="M376" s="2"/>
      <c r="N376" s="2"/>
      <c r="O376" s="2"/>
      <c r="P376" s="2"/>
      <c r="Q376" s="157"/>
      <c r="R376" s="157"/>
      <c r="S376" s="157"/>
      <c r="T376" s="2"/>
      <c r="U376" s="2"/>
      <c r="V376" s="2"/>
      <c r="W376" s="2"/>
      <c r="X376" s="2"/>
      <c r="Y376" s="2"/>
      <c r="Z376" s="2"/>
    </row>
    <row r="377" ht="13.5" customHeight="1">
      <c r="A377" s="2"/>
      <c r="B377" s="2"/>
      <c r="C377" s="2"/>
      <c r="D377" s="2"/>
      <c r="E377" s="2"/>
      <c r="F377" s="2"/>
      <c r="G377" s="2"/>
      <c r="H377" s="2"/>
      <c r="I377" s="2"/>
      <c r="J377" s="28"/>
      <c r="K377" s="181"/>
      <c r="L377" s="2"/>
      <c r="M377" s="2"/>
      <c r="N377" s="2"/>
      <c r="O377" s="2"/>
      <c r="P377" s="2"/>
      <c r="Q377" s="157"/>
      <c r="R377" s="157"/>
      <c r="S377" s="157"/>
      <c r="T377" s="2"/>
      <c r="U377" s="2"/>
      <c r="V377" s="2"/>
      <c r="W377" s="2"/>
      <c r="X377" s="2"/>
      <c r="Y377" s="2"/>
      <c r="Z377" s="2"/>
    </row>
    <row r="378" ht="13.5" customHeight="1">
      <c r="A378" s="2"/>
      <c r="B378" s="2"/>
      <c r="C378" s="2"/>
      <c r="D378" s="2"/>
      <c r="E378" s="2"/>
      <c r="F378" s="2"/>
      <c r="G378" s="2"/>
      <c r="H378" s="2"/>
      <c r="I378" s="2"/>
      <c r="J378" s="28"/>
      <c r="K378" s="181"/>
      <c r="L378" s="2"/>
      <c r="M378" s="2"/>
      <c r="N378" s="2"/>
      <c r="O378" s="2"/>
      <c r="P378" s="2"/>
      <c r="Q378" s="157"/>
      <c r="R378" s="157"/>
      <c r="S378" s="157"/>
      <c r="T378" s="2"/>
      <c r="U378" s="2"/>
      <c r="V378" s="2"/>
      <c r="W378" s="2"/>
      <c r="X378" s="2"/>
      <c r="Y378" s="2"/>
      <c r="Z378" s="2"/>
    </row>
    <row r="379" ht="13.5" customHeight="1">
      <c r="A379" s="2"/>
      <c r="B379" s="2"/>
      <c r="C379" s="2"/>
      <c r="D379" s="2"/>
      <c r="E379" s="2"/>
      <c r="F379" s="2"/>
      <c r="G379" s="2"/>
      <c r="H379" s="2"/>
      <c r="I379" s="2"/>
      <c r="J379" s="28"/>
      <c r="K379" s="181"/>
      <c r="L379" s="2"/>
      <c r="M379" s="2"/>
      <c r="N379" s="2"/>
      <c r="O379" s="2"/>
      <c r="P379" s="2"/>
      <c r="Q379" s="157"/>
      <c r="R379" s="157"/>
      <c r="S379" s="157"/>
      <c r="T379" s="2"/>
      <c r="U379" s="2"/>
      <c r="V379" s="2"/>
      <c r="W379" s="2"/>
      <c r="X379" s="2"/>
      <c r="Y379" s="2"/>
      <c r="Z379" s="2"/>
    </row>
    <row r="380" ht="13.5" customHeight="1">
      <c r="A380" s="2"/>
      <c r="B380" s="2"/>
      <c r="C380" s="2"/>
      <c r="D380" s="2"/>
      <c r="E380" s="2"/>
      <c r="F380" s="2"/>
      <c r="G380" s="2"/>
      <c r="H380" s="2"/>
      <c r="I380" s="2"/>
      <c r="J380" s="28"/>
      <c r="K380" s="181"/>
      <c r="L380" s="2"/>
      <c r="M380" s="2"/>
      <c r="N380" s="2"/>
      <c r="O380" s="2"/>
      <c r="P380" s="2"/>
      <c r="Q380" s="157"/>
      <c r="R380" s="157"/>
      <c r="S380" s="157"/>
      <c r="T380" s="2"/>
      <c r="U380" s="2"/>
      <c r="V380" s="2"/>
      <c r="W380" s="2"/>
      <c r="X380" s="2"/>
      <c r="Y380" s="2"/>
      <c r="Z380" s="2"/>
    </row>
    <row r="381" ht="13.5" customHeight="1">
      <c r="A381" s="2"/>
      <c r="B381" s="2"/>
      <c r="C381" s="2"/>
      <c r="D381" s="2"/>
      <c r="E381" s="2"/>
      <c r="F381" s="2"/>
      <c r="G381" s="2"/>
      <c r="H381" s="2"/>
      <c r="I381" s="2"/>
      <c r="J381" s="28"/>
      <c r="K381" s="181"/>
      <c r="L381" s="2"/>
      <c r="M381" s="2"/>
      <c r="N381" s="2"/>
      <c r="O381" s="2"/>
      <c r="P381" s="2"/>
      <c r="Q381" s="157"/>
      <c r="R381" s="157"/>
      <c r="S381" s="157"/>
      <c r="T381" s="2"/>
      <c r="U381" s="2"/>
      <c r="V381" s="2"/>
      <c r="W381" s="2"/>
      <c r="X381" s="2"/>
      <c r="Y381" s="2"/>
      <c r="Z381" s="2"/>
    </row>
    <row r="382" ht="13.5" customHeight="1">
      <c r="A382" s="2"/>
      <c r="B382" s="2"/>
      <c r="C382" s="2"/>
      <c r="D382" s="2"/>
      <c r="E382" s="2"/>
      <c r="F382" s="2"/>
      <c r="G382" s="2"/>
      <c r="H382" s="2"/>
      <c r="I382" s="2"/>
      <c r="J382" s="28"/>
      <c r="K382" s="181"/>
      <c r="L382" s="2"/>
      <c r="M382" s="2"/>
      <c r="N382" s="2"/>
      <c r="O382" s="2"/>
      <c r="P382" s="2"/>
      <c r="Q382" s="157"/>
      <c r="R382" s="157"/>
      <c r="S382" s="157"/>
      <c r="T382" s="2"/>
      <c r="U382" s="2"/>
      <c r="V382" s="2"/>
      <c r="W382" s="2"/>
      <c r="X382" s="2"/>
      <c r="Y382" s="2"/>
      <c r="Z382" s="2"/>
    </row>
    <row r="383" ht="13.5" customHeight="1">
      <c r="A383" s="2"/>
      <c r="B383" s="2"/>
      <c r="C383" s="2"/>
      <c r="D383" s="2"/>
      <c r="E383" s="2"/>
      <c r="F383" s="2"/>
      <c r="G383" s="2"/>
      <c r="H383" s="2"/>
      <c r="I383" s="2"/>
      <c r="J383" s="28"/>
      <c r="K383" s="181"/>
      <c r="L383" s="2"/>
      <c r="M383" s="2"/>
      <c r="N383" s="2"/>
      <c r="O383" s="2"/>
      <c r="P383" s="2"/>
      <c r="Q383" s="157"/>
      <c r="R383" s="157"/>
      <c r="S383" s="157"/>
      <c r="T383" s="2"/>
      <c r="U383" s="2"/>
      <c r="V383" s="2"/>
      <c r="W383" s="2"/>
      <c r="X383" s="2"/>
      <c r="Y383" s="2"/>
      <c r="Z383" s="2"/>
    </row>
    <row r="384" ht="13.5" customHeight="1">
      <c r="A384" s="2"/>
      <c r="B384" s="2"/>
      <c r="C384" s="2"/>
      <c r="D384" s="2"/>
      <c r="E384" s="2"/>
      <c r="F384" s="2"/>
      <c r="G384" s="2"/>
      <c r="H384" s="2"/>
      <c r="I384" s="2"/>
      <c r="J384" s="28"/>
      <c r="K384" s="181"/>
      <c r="L384" s="2"/>
      <c r="M384" s="2"/>
      <c r="N384" s="2"/>
      <c r="O384" s="2"/>
      <c r="P384" s="2"/>
      <c r="Q384" s="157"/>
      <c r="R384" s="157"/>
      <c r="S384" s="157"/>
      <c r="T384" s="2"/>
      <c r="U384" s="2"/>
      <c r="V384" s="2"/>
      <c r="W384" s="2"/>
      <c r="X384" s="2"/>
      <c r="Y384" s="2"/>
      <c r="Z384" s="2"/>
    </row>
    <row r="385" ht="13.5" customHeight="1">
      <c r="A385" s="2"/>
      <c r="B385" s="2"/>
      <c r="C385" s="2"/>
      <c r="D385" s="2"/>
      <c r="E385" s="2"/>
      <c r="F385" s="2"/>
      <c r="G385" s="2"/>
      <c r="H385" s="2"/>
      <c r="I385" s="2"/>
      <c r="J385" s="28"/>
      <c r="K385" s="181"/>
      <c r="L385" s="2"/>
      <c r="M385" s="2"/>
      <c r="N385" s="2"/>
      <c r="O385" s="2"/>
      <c r="P385" s="2"/>
      <c r="Q385" s="157"/>
      <c r="R385" s="157"/>
      <c r="S385" s="157"/>
      <c r="T385" s="2"/>
      <c r="U385" s="2"/>
      <c r="V385" s="2"/>
      <c r="W385" s="2"/>
      <c r="X385" s="2"/>
      <c r="Y385" s="2"/>
      <c r="Z385" s="2"/>
    </row>
    <row r="386" ht="13.5" customHeight="1">
      <c r="A386" s="2"/>
      <c r="B386" s="2"/>
      <c r="C386" s="2"/>
      <c r="D386" s="2"/>
      <c r="E386" s="2"/>
      <c r="F386" s="2"/>
      <c r="G386" s="2"/>
      <c r="H386" s="2"/>
      <c r="I386" s="2"/>
      <c r="J386" s="28"/>
      <c r="K386" s="181"/>
      <c r="L386" s="2"/>
      <c r="M386" s="2"/>
      <c r="N386" s="2"/>
      <c r="O386" s="2"/>
      <c r="P386" s="2"/>
      <c r="Q386" s="157"/>
      <c r="R386" s="157"/>
      <c r="S386" s="157"/>
      <c r="T386" s="2"/>
      <c r="U386" s="2"/>
      <c r="V386" s="2"/>
      <c r="W386" s="2"/>
      <c r="X386" s="2"/>
      <c r="Y386" s="2"/>
      <c r="Z386" s="2"/>
    </row>
    <row r="387" ht="13.5" customHeight="1">
      <c r="A387" s="2"/>
      <c r="B387" s="2"/>
      <c r="C387" s="2"/>
      <c r="D387" s="2"/>
      <c r="E387" s="2"/>
      <c r="F387" s="2"/>
      <c r="G387" s="2"/>
      <c r="H387" s="2"/>
      <c r="I387" s="2"/>
      <c r="J387" s="28"/>
      <c r="K387" s="181"/>
      <c r="L387" s="2"/>
      <c r="M387" s="2"/>
      <c r="N387" s="2"/>
      <c r="O387" s="2"/>
      <c r="P387" s="2"/>
      <c r="Q387" s="157"/>
      <c r="R387" s="157"/>
      <c r="S387" s="157"/>
      <c r="T387" s="2"/>
      <c r="U387" s="2"/>
      <c r="V387" s="2"/>
      <c r="W387" s="2"/>
      <c r="X387" s="2"/>
      <c r="Y387" s="2"/>
      <c r="Z387" s="2"/>
    </row>
    <row r="388" ht="13.5" customHeight="1">
      <c r="A388" s="2"/>
      <c r="B388" s="2"/>
      <c r="C388" s="2"/>
      <c r="D388" s="2"/>
      <c r="E388" s="2"/>
      <c r="F388" s="2"/>
      <c r="G388" s="2"/>
      <c r="H388" s="2"/>
      <c r="I388" s="2"/>
      <c r="J388" s="28"/>
      <c r="K388" s="181"/>
      <c r="L388" s="2"/>
      <c r="M388" s="2"/>
      <c r="N388" s="2"/>
      <c r="O388" s="2"/>
      <c r="P388" s="2"/>
      <c r="Q388" s="157"/>
      <c r="R388" s="157"/>
      <c r="S388" s="157"/>
      <c r="T388" s="2"/>
      <c r="U388" s="2"/>
      <c r="V388" s="2"/>
      <c r="W388" s="2"/>
      <c r="X388" s="2"/>
      <c r="Y388" s="2"/>
      <c r="Z388" s="2"/>
    </row>
    <row r="389" ht="13.5" customHeight="1">
      <c r="A389" s="2"/>
      <c r="B389" s="2"/>
      <c r="C389" s="2"/>
      <c r="D389" s="2"/>
      <c r="E389" s="2"/>
      <c r="F389" s="2"/>
      <c r="G389" s="2"/>
      <c r="H389" s="2"/>
      <c r="I389" s="2"/>
      <c r="J389" s="28"/>
      <c r="K389" s="181"/>
      <c r="L389" s="2"/>
      <c r="M389" s="2"/>
      <c r="N389" s="2"/>
      <c r="O389" s="2"/>
      <c r="P389" s="2"/>
      <c r="Q389" s="157"/>
      <c r="R389" s="157"/>
      <c r="S389" s="157"/>
      <c r="T389" s="2"/>
      <c r="U389" s="2"/>
      <c r="V389" s="2"/>
      <c r="W389" s="2"/>
      <c r="X389" s="2"/>
      <c r="Y389" s="2"/>
      <c r="Z389" s="2"/>
    </row>
    <row r="390" ht="13.5" customHeight="1">
      <c r="A390" s="2"/>
      <c r="B390" s="2"/>
      <c r="C390" s="2"/>
      <c r="D390" s="2"/>
      <c r="E390" s="2"/>
      <c r="F390" s="2"/>
      <c r="G390" s="2"/>
      <c r="H390" s="2"/>
      <c r="I390" s="2"/>
      <c r="J390" s="28"/>
      <c r="K390" s="181"/>
      <c r="L390" s="2"/>
      <c r="M390" s="2"/>
      <c r="N390" s="2"/>
      <c r="O390" s="2"/>
      <c r="P390" s="2"/>
      <c r="Q390" s="157"/>
      <c r="R390" s="157"/>
      <c r="S390" s="157"/>
      <c r="T390" s="2"/>
      <c r="U390" s="2"/>
      <c r="V390" s="2"/>
      <c r="W390" s="2"/>
      <c r="X390" s="2"/>
      <c r="Y390" s="2"/>
      <c r="Z390" s="2"/>
    </row>
    <row r="391" ht="13.5" customHeight="1">
      <c r="A391" s="2"/>
      <c r="B391" s="2"/>
      <c r="C391" s="2"/>
      <c r="D391" s="2"/>
      <c r="E391" s="2"/>
      <c r="F391" s="2"/>
      <c r="G391" s="2"/>
      <c r="H391" s="2"/>
      <c r="I391" s="2"/>
      <c r="J391" s="28"/>
      <c r="K391" s="181"/>
      <c r="L391" s="2"/>
      <c r="M391" s="2"/>
      <c r="N391" s="2"/>
      <c r="O391" s="2"/>
      <c r="P391" s="2"/>
      <c r="Q391" s="157"/>
      <c r="R391" s="157"/>
      <c r="S391" s="157"/>
      <c r="T391" s="2"/>
      <c r="U391" s="2"/>
      <c r="V391" s="2"/>
      <c r="W391" s="2"/>
      <c r="X391" s="2"/>
      <c r="Y391" s="2"/>
      <c r="Z391" s="2"/>
    </row>
    <row r="392" ht="13.5" customHeight="1">
      <c r="A392" s="2"/>
      <c r="B392" s="2"/>
      <c r="C392" s="2"/>
      <c r="D392" s="2"/>
      <c r="E392" s="2"/>
      <c r="F392" s="2"/>
      <c r="G392" s="2"/>
      <c r="H392" s="2"/>
      <c r="I392" s="2"/>
      <c r="J392" s="28"/>
      <c r="K392" s="181"/>
      <c r="L392" s="2"/>
      <c r="M392" s="2"/>
      <c r="N392" s="2"/>
      <c r="O392" s="2"/>
      <c r="P392" s="2"/>
      <c r="Q392" s="157"/>
      <c r="R392" s="157"/>
      <c r="S392" s="157"/>
      <c r="T392" s="2"/>
      <c r="U392" s="2"/>
      <c r="V392" s="2"/>
      <c r="W392" s="2"/>
      <c r="X392" s="2"/>
      <c r="Y392" s="2"/>
      <c r="Z392" s="2"/>
    </row>
    <row r="393" ht="13.5" customHeight="1">
      <c r="A393" s="2"/>
      <c r="B393" s="2"/>
      <c r="C393" s="2"/>
      <c r="D393" s="2"/>
      <c r="E393" s="2"/>
      <c r="F393" s="2"/>
      <c r="G393" s="2"/>
      <c r="H393" s="2"/>
      <c r="I393" s="2"/>
      <c r="J393" s="28"/>
      <c r="K393" s="181"/>
      <c r="L393" s="2"/>
      <c r="M393" s="2"/>
      <c r="N393" s="2"/>
      <c r="O393" s="2"/>
      <c r="P393" s="2"/>
      <c r="Q393" s="157"/>
      <c r="R393" s="157"/>
      <c r="S393" s="157"/>
      <c r="T393" s="2"/>
      <c r="U393" s="2"/>
      <c r="V393" s="2"/>
      <c r="W393" s="2"/>
      <c r="X393" s="2"/>
      <c r="Y393" s="2"/>
      <c r="Z393" s="2"/>
    </row>
    <row r="394" ht="13.5" customHeight="1">
      <c r="A394" s="2"/>
      <c r="B394" s="2"/>
      <c r="C394" s="2"/>
      <c r="D394" s="2"/>
      <c r="E394" s="2"/>
      <c r="F394" s="2"/>
      <c r="G394" s="2"/>
      <c r="H394" s="2"/>
      <c r="I394" s="2"/>
      <c r="J394" s="28"/>
      <c r="K394" s="181"/>
      <c r="L394" s="2"/>
      <c r="M394" s="2"/>
      <c r="N394" s="2"/>
      <c r="O394" s="2"/>
      <c r="P394" s="2"/>
      <c r="Q394" s="157"/>
      <c r="R394" s="157"/>
      <c r="S394" s="157"/>
      <c r="T394" s="2"/>
      <c r="U394" s="2"/>
      <c r="V394" s="2"/>
      <c r="W394" s="2"/>
      <c r="X394" s="2"/>
      <c r="Y394" s="2"/>
      <c r="Z394" s="2"/>
    </row>
    <row r="395" ht="13.5" customHeight="1">
      <c r="A395" s="2"/>
      <c r="B395" s="2"/>
      <c r="C395" s="2"/>
      <c r="D395" s="2"/>
      <c r="E395" s="2"/>
      <c r="F395" s="2"/>
      <c r="G395" s="2"/>
      <c r="H395" s="2"/>
      <c r="I395" s="2"/>
      <c r="J395" s="28"/>
      <c r="K395" s="181"/>
      <c r="L395" s="2"/>
      <c r="M395" s="2"/>
      <c r="N395" s="2"/>
      <c r="O395" s="2"/>
      <c r="P395" s="2"/>
      <c r="Q395" s="157"/>
      <c r="R395" s="157"/>
      <c r="S395" s="157"/>
      <c r="T395" s="2"/>
      <c r="U395" s="2"/>
      <c r="V395" s="2"/>
      <c r="W395" s="2"/>
      <c r="X395" s="2"/>
      <c r="Y395" s="2"/>
      <c r="Z395" s="2"/>
    </row>
    <row r="396" ht="13.5" customHeight="1">
      <c r="A396" s="2"/>
      <c r="B396" s="2"/>
      <c r="C396" s="2"/>
      <c r="D396" s="2"/>
      <c r="E396" s="2"/>
      <c r="F396" s="2"/>
      <c r="G396" s="2"/>
      <c r="H396" s="2"/>
      <c r="I396" s="2"/>
      <c r="J396" s="28"/>
      <c r="K396" s="181"/>
      <c r="L396" s="2"/>
      <c r="M396" s="2"/>
      <c r="N396" s="2"/>
      <c r="O396" s="2"/>
      <c r="P396" s="2"/>
      <c r="Q396" s="157"/>
      <c r="R396" s="157"/>
      <c r="S396" s="157"/>
      <c r="T396" s="2"/>
      <c r="U396" s="2"/>
      <c r="V396" s="2"/>
      <c r="W396" s="2"/>
      <c r="X396" s="2"/>
      <c r="Y396" s="2"/>
      <c r="Z396" s="2"/>
    </row>
    <row r="397" ht="13.5" customHeight="1">
      <c r="A397" s="2"/>
      <c r="B397" s="2"/>
      <c r="C397" s="2"/>
      <c r="D397" s="2"/>
      <c r="E397" s="2"/>
      <c r="F397" s="2"/>
      <c r="G397" s="2"/>
      <c r="H397" s="2"/>
      <c r="I397" s="2"/>
      <c r="J397" s="28"/>
      <c r="K397" s="181"/>
      <c r="L397" s="2"/>
      <c r="M397" s="2"/>
      <c r="N397" s="2"/>
      <c r="O397" s="2"/>
      <c r="P397" s="2"/>
      <c r="Q397" s="157"/>
      <c r="R397" s="157"/>
      <c r="S397" s="157"/>
      <c r="T397" s="2"/>
      <c r="U397" s="2"/>
      <c r="V397" s="2"/>
      <c r="W397" s="2"/>
      <c r="X397" s="2"/>
      <c r="Y397" s="2"/>
      <c r="Z397" s="2"/>
    </row>
    <row r="398" ht="13.5" customHeight="1">
      <c r="A398" s="2"/>
      <c r="B398" s="2"/>
      <c r="C398" s="2"/>
      <c r="D398" s="2"/>
      <c r="E398" s="2"/>
      <c r="F398" s="2"/>
      <c r="G398" s="2"/>
      <c r="H398" s="2"/>
      <c r="I398" s="2"/>
      <c r="J398" s="28"/>
      <c r="K398" s="181"/>
      <c r="L398" s="2"/>
      <c r="M398" s="2"/>
      <c r="N398" s="2"/>
      <c r="O398" s="2"/>
      <c r="P398" s="2"/>
      <c r="Q398" s="157"/>
      <c r="R398" s="157"/>
      <c r="S398" s="157"/>
      <c r="T398" s="2"/>
      <c r="U398" s="2"/>
      <c r="V398" s="2"/>
      <c r="W398" s="2"/>
      <c r="X398" s="2"/>
      <c r="Y398" s="2"/>
      <c r="Z398" s="2"/>
    </row>
    <row r="399" ht="13.5" customHeight="1">
      <c r="A399" s="2"/>
      <c r="B399" s="2"/>
      <c r="C399" s="2"/>
      <c r="D399" s="2"/>
      <c r="E399" s="2"/>
      <c r="F399" s="2"/>
      <c r="G399" s="2"/>
      <c r="H399" s="2"/>
      <c r="I399" s="2"/>
      <c r="J399" s="28"/>
      <c r="K399" s="181"/>
      <c r="L399" s="2"/>
      <c r="M399" s="2"/>
      <c r="N399" s="2"/>
      <c r="O399" s="2"/>
      <c r="P399" s="2"/>
      <c r="Q399" s="157"/>
      <c r="R399" s="157"/>
      <c r="S399" s="157"/>
      <c r="T399" s="2"/>
      <c r="U399" s="2"/>
      <c r="V399" s="2"/>
      <c r="W399" s="2"/>
      <c r="X399" s="2"/>
      <c r="Y399" s="2"/>
      <c r="Z399" s="2"/>
    </row>
    <row r="400" ht="13.5" customHeight="1">
      <c r="A400" s="2"/>
      <c r="B400" s="2"/>
      <c r="C400" s="2"/>
      <c r="D400" s="2"/>
      <c r="E400" s="2"/>
      <c r="F400" s="2"/>
      <c r="G400" s="2"/>
      <c r="H400" s="2"/>
      <c r="I400" s="2"/>
      <c r="J400" s="28"/>
      <c r="K400" s="181"/>
      <c r="L400" s="2"/>
      <c r="M400" s="2"/>
      <c r="N400" s="2"/>
      <c r="O400" s="2"/>
      <c r="P400" s="2"/>
      <c r="Q400" s="157"/>
      <c r="R400" s="157"/>
      <c r="S400" s="157"/>
      <c r="T400" s="2"/>
      <c r="U400" s="2"/>
      <c r="V400" s="2"/>
      <c r="W400" s="2"/>
      <c r="X400" s="2"/>
      <c r="Y400" s="2"/>
      <c r="Z400" s="2"/>
    </row>
    <row r="401" ht="13.5" customHeight="1">
      <c r="A401" s="2"/>
      <c r="B401" s="2"/>
      <c r="C401" s="2"/>
      <c r="D401" s="2"/>
      <c r="E401" s="2"/>
      <c r="F401" s="2"/>
      <c r="G401" s="2"/>
      <c r="H401" s="2"/>
      <c r="I401" s="2"/>
      <c r="J401" s="28"/>
      <c r="K401" s="181"/>
      <c r="L401" s="2"/>
      <c r="M401" s="2"/>
      <c r="N401" s="2"/>
      <c r="O401" s="2"/>
      <c r="P401" s="2"/>
      <c r="Q401" s="157"/>
      <c r="R401" s="157"/>
      <c r="S401" s="157"/>
      <c r="T401" s="2"/>
      <c r="U401" s="2"/>
      <c r="V401" s="2"/>
      <c r="W401" s="2"/>
      <c r="X401" s="2"/>
      <c r="Y401" s="2"/>
      <c r="Z401" s="2"/>
    </row>
    <row r="402" ht="13.5" customHeight="1">
      <c r="A402" s="2"/>
      <c r="B402" s="2"/>
      <c r="C402" s="2"/>
      <c r="D402" s="2"/>
      <c r="E402" s="2"/>
      <c r="F402" s="2"/>
      <c r="G402" s="2"/>
      <c r="H402" s="2"/>
      <c r="I402" s="2"/>
      <c r="J402" s="28"/>
      <c r="K402" s="181"/>
      <c r="L402" s="2"/>
      <c r="M402" s="2"/>
      <c r="N402" s="2"/>
      <c r="O402" s="2"/>
      <c r="P402" s="2"/>
      <c r="Q402" s="157"/>
      <c r="R402" s="157"/>
      <c r="S402" s="157"/>
      <c r="T402" s="2"/>
      <c r="U402" s="2"/>
      <c r="V402" s="2"/>
      <c r="W402" s="2"/>
      <c r="X402" s="2"/>
      <c r="Y402" s="2"/>
      <c r="Z402" s="2"/>
    </row>
    <row r="403" ht="13.5" customHeight="1">
      <c r="A403" s="2"/>
      <c r="B403" s="2"/>
      <c r="C403" s="2"/>
      <c r="D403" s="2"/>
      <c r="E403" s="2"/>
      <c r="F403" s="2"/>
      <c r="G403" s="2"/>
      <c r="H403" s="2"/>
      <c r="I403" s="2"/>
      <c r="J403" s="28"/>
      <c r="K403" s="181"/>
      <c r="L403" s="2"/>
      <c r="M403" s="2"/>
      <c r="N403" s="2"/>
      <c r="O403" s="2"/>
      <c r="P403" s="2"/>
      <c r="Q403" s="157"/>
      <c r="R403" s="157"/>
      <c r="S403" s="157"/>
      <c r="T403" s="2"/>
      <c r="U403" s="2"/>
      <c r="V403" s="2"/>
      <c r="W403" s="2"/>
      <c r="X403" s="2"/>
      <c r="Y403" s="2"/>
      <c r="Z403" s="2"/>
    </row>
    <row r="404" ht="13.5" customHeight="1">
      <c r="A404" s="2"/>
      <c r="B404" s="2"/>
      <c r="C404" s="2"/>
      <c r="D404" s="2"/>
      <c r="E404" s="2"/>
      <c r="F404" s="2"/>
      <c r="G404" s="2"/>
      <c r="H404" s="2"/>
      <c r="I404" s="2"/>
      <c r="J404" s="28"/>
      <c r="K404" s="181"/>
      <c r="L404" s="2"/>
      <c r="M404" s="2"/>
      <c r="N404" s="2"/>
      <c r="O404" s="2"/>
      <c r="P404" s="2"/>
      <c r="Q404" s="157"/>
      <c r="R404" s="157"/>
      <c r="S404" s="157"/>
      <c r="T404" s="2"/>
      <c r="U404" s="2"/>
      <c r="V404" s="2"/>
      <c r="W404" s="2"/>
      <c r="X404" s="2"/>
      <c r="Y404" s="2"/>
      <c r="Z404" s="2"/>
    </row>
    <row r="405" ht="13.5" customHeight="1">
      <c r="A405" s="2"/>
      <c r="B405" s="2"/>
      <c r="C405" s="2"/>
      <c r="D405" s="2"/>
      <c r="E405" s="2"/>
      <c r="F405" s="2"/>
      <c r="G405" s="2"/>
      <c r="H405" s="2"/>
      <c r="I405" s="2"/>
      <c r="J405" s="28"/>
      <c r="K405" s="181"/>
      <c r="L405" s="2"/>
      <c r="M405" s="2"/>
      <c r="N405" s="2"/>
      <c r="O405" s="2"/>
      <c r="P405" s="2"/>
      <c r="Q405" s="157"/>
      <c r="R405" s="157"/>
      <c r="S405" s="157"/>
      <c r="T405" s="2"/>
      <c r="U405" s="2"/>
      <c r="V405" s="2"/>
      <c r="W405" s="2"/>
      <c r="X405" s="2"/>
      <c r="Y405" s="2"/>
      <c r="Z405" s="2"/>
    </row>
    <row r="406" ht="13.5" customHeight="1">
      <c r="A406" s="2"/>
      <c r="B406" s="2"/>
      <c r="C406" s="2"/>
      <c r="D406" s="2"/>
      <c r="E406" s="2"/>
      <c r="F406" s="2"/>
      <c r="G406" s="2"/>
      <c r="H406" s="2"/>
      <c r="I406" s="2"/>
      <c r="J406" s="28"/>
      <c r="K406" s="181"/>
      <c r="L406" s="2"/>
      <c r="M406" s="2"/>
      <c r="N406" s="2"/>
      <c r="O406" s="2"/>
      <c r="P406" s="2"/>
      <c r="Q406" s="157"/>
      <c r="R406" s="157"/>
      <c r="S406" s="157"/>
      <c r="T406" s="2"/>
      <c r="U406" s="2"/>
      <c r="V406" s="2"/>
      <c r="W406" s="2"/>
      <c r="X406" s="2"/>
      <c r="Y406" s="2"/>
      <c r="Z406" s="2"/>
    </row>
    <row r="407" ht="13.5" customHeight="1">
      <c r="A407" s="2"/>
      <c r="B407" s="2"/>
      <c r="C407" s="2"/>
      <c r="D407" s="2"/>
      <c r="E407" s="2"/>
      <c r="F407" s="2"/>
      <c r="G407" s="2"/>
      <c r="H407" s="2"/>
      <c r="I407" s="2"/>
      <c r="J407" s="28"/>
      <c r="K407" s="181"/>
      <c r="L407" s="2"/>
      <c r="M407" s="2"/>
      <c r="N407" s="2"/>
      <c r="O407" s="2"/>
      <c r="P407" s="2"/>
      <c r="Q407" s="157"/>
      <c r="R407" s="157"/>
      <c r="S407" s="157"/>
      <c r="T407" s="2"/>
      <c r="U407" s="2"/>
      <c r="V407" s="2"/>
      <c r="W407" s="2"/>
      <c r="X407" s="2"/>
      <c r="Y407" s="2"/>
      <c r="Z407" s="2"/>
    </row>
    <row r="408" ht="13.5" customHeight="1">
      <c r="A408" s="2"/>
      <c r="B408" s="2"/>
      <c r="C408" s="2"/>
      <c r="D408" s="2"/>
      <c r="E408" s="2"/>
      <c r="F408" s="2"/>
      <c r="G408" s="2"/>
      <c r="H408" s="2"/>
      <c r="I408" s="2"/>
      <c r="J408" s="28"/>
      <c r="K408" s="181"/>
      <c r="L408" s="2"/>
      <c r="M408" s="2"/>
      <c r="N408" s="2"/>
      <c r="O408" s="2"/>
      <c r="P408" s="2"/>
      <c r="Q408" s="157"/>
      <c r="R408" s="157"/>
      <c r="S408" s="157"/>
      <c r="T408" s="2"/>
      <c r="U408" s="2"/>
      <c r="V408" s="2"/>
      <c r="W408" s="2"/>
      <c r="X408" s="2"/>
      <c r="Y408" s="2"/>
      <c r="Z408" s="2"/>
    </row>
    <row r="409" ht="13.5" customHeight="1">
      <c r="A409" s="2"/>
      <c r="B409" s="2"/>
      <c r="C409" s="2"/>
      <c r="D409" s="2"/>
      <c r="E409" s="2"/>
      <c r="F409" s="2"/>
      <c r="G409" s="2"/>
      <c r="H409" s="2"/>
      <c r="I409" s="2"/>
      <c r="J409" s="28"/>
      <c r="K409" s="181"/>
      <c r="L409" s="2"/>
      <c r="M409" s="2"/>
      <c r="N409" s="2"/>
      <c r="O409" s="2"/>
      <c r="P409" s="2"/>
      <c r="Q409" s="157"/>
      <c r="R409" s="157"/>
      <c r="S409" s="157"/>
      <c r="T409" s="2"/>
      <c r="U409" s="2"/>
      <c r="V409" s="2"/>
      <c r="W409" s="2"/>
      <c r="X409" s="2"/>
      <c r="Y409" s="2"/>
      <c r="Z409" s="2"/>
    </row>
    <row r="410" ht="13.5" customHeight="1">
      <c r="A410" s="2"/>
      <c r="B410" s="2"/>
      <c r="C410" s="2"/>
      <c r="D410" s="2"/>
      <c r="E410" s="2"/>
      <c r="F410" s="2"/>
      <c r="G410" s="2"/>
      <c r="H410" s="2"/>
      <c r="I410" s="2"/>
      <c r="J410" s="28"/>
      <c r="K410" s="181"/>
      <c r="L410" s="2"/>
      <c r="M410" s="2"/>
      <c r="N410" s="2"/>
      <c r="O410" s="2"/>
      <c r="P410" s="2"/>
      <c r="Q410" s="157"/>
      <c r="R410" s="157"/>
      <c r="S410" s="157"/>
      <c r="T410" s="2"/>
      <c r="U410" s="2"/>
      <c r="V410" s="2"/>
      <c r="W410" s="2"/>
      <c r="X410" s="2"/>
      <c r="Y410" s="2"/>
      <c r="Z410" s="2"/>
    </row>
    <row r="411" ht="13.5" customHeight="1">
      <c r="A411" s="2"/>
      <c r="B411" s="2"/>
      <c r="C411" s="2"/>
      <c r="D411" s="2"/>
      <c r="E411" s="2"/>
      <c r="F411" s="2"/>
      <c r="G411" s="2"/>
      <c r="H411" s="2"/>
      <c r="I411" s="2"/>
      <c r="J411" s="28"/>
      <c r="K411" s="181"/>
      <c r="L411" s="2"/>
      <c r="M411" s="2"/>
      <c r="N411" s="2"/>
      <c r="O411" s="2"/>
      <c r="P411" s="2"/>
      <c r="Q411" s="157"/>
      <c r="R411" s="157"/>
      <c r="S411" s="157"/>
      <c r="T411" s="2"/>
      <c r="U411" s="2"/>
      <c r="V411" s="2"/>
      <c r="W411" s="2"/>
      <c r="X411" s="2"/>
      <c r="Y411" s="2"/>
      <c r="Z411" s="2"/>
    </row>
    <row r="412" ht="13.5" customHeight="1">
      <c r="A412" s="2"/>
      <c r="B412" s="2"/>
      <c r="C412" s="2"/>
      <c r="D412" s="2"/>
      <c r="E412" s="2"/>
      <c r="F412" s="2"/>
      <c r="G412" s="2"/>
      <c r="H412" s="2"/>
      <c r="I412" s="2"/>
      <c r="J412" s="28"/>
      <c r="K412" s="181"/>
      <c r="L412" s="2"/>
      <c r="M412" s="2"/>
      <c r="N412" s="2"/>
      <c r="O412" s="2"/>
      <c r="P412" s="2"/>
      <c r="Q412" s="157"/>
      <c r="R412" s="157"/>
      <c r="S412" s="157"/>
      <c r="T412" s="2"/>
      <c r="U412" s="2"/>
      <c r="V412" s="2"/>
      <c r="W412" s="2"/>
      <c r="X412" s="2"/>
      <c r="Y412" s="2"/>
      <c r="Z412" s="2"/>
    </row>
    <row r="413" ht="13.5" customHeight="1">
      <c r="A413" s="2"/>
      <c r="B413" s="2"/>
      <c r="C413" s="2"/>
      <c r="D413" s="2"/>
      <c r="E413" s="2"/>
      <c r="F413" s="2"/>
      <c r="G413" s="2"/>
      <c r="H413" s="2"/>
      <c r="I413" s="2"/>
      <c r="J413" s="28"/>
      <c r="K413" s="181"/>
      <c r="L413" s="2"/>
      <c r="M413" s="2"/>
      <c r="N413" s="2"/>
      <c r="O413" s="2"/>
      <c r="P413" s="2"/>
      <c r="Q413" s="157"/>
      <c r="R413" s="157"/>
      <c r="S413" s="157"/>
      <c r="T413" s="2"/>
      <c r="U413" s="2"/>
      <c r="V413" s="2"/>
      <c r="W413" s="2"/>
      <c r="X413" s="2"/>
      <c r="Y413" s="2"/>
      <c r="Z413" s="2"/>
    </row>
    <row r="414" ht="13.5" customHeight="1">
      <c r="A414" s="2"/>
      <c r="B414" s="2"/>
      <c r="C414" s="2"/>
      <c r="D414" s="2"/>
      <c r="E414" s="2"/>
      <c r="F414" s="2"/>
      <c r="G414" s="2"/>
      <c r="H414" s="2"/>
      <c r="I414" s="2"/>
      <c r="J414" s="28"/>
      <c r="K414" s="181"/>
      <c r="L414" s="2"/>
      <c r="M414" s="2"/>
      <c r="N414" s="2"/>
      <c r="O414" s="2"/>
      <c r="P414" s="2"/>
      <c r="Q414" s="157"/>
      <c r="R414" s="157"/>
      <c r="S414" s="157"/>
      <c r="T414" s="2"/>
      <c r="U414" s="2"/>
      <c r="V414" s="2"/>
      <c r="W414" s="2"/>
      <c r="X414" s="2"/>
      <c r="Y414" s="2"/>
      <c r="Z414" s="2"/>
    </row>
    <row r="415" ht="13.5" customHeight="1">
      <c r="A415" s="2"/>
      <c r="B415" s="2"/>
      <c r="C415" s="2"/>
      <c r="D415" s="2"/>
      <c r="E415" s="2"/>
      <c r="F415" s="2"/>
      <c r="G415" s="2"/>
      <c r="H415" s="2"/>
      <c r="I415" s="2"/>
      <c r="J415" s="28"/>
      <c r="K415" s="181"/>
      <c r="L415" s="2"/>
      <c r="M415" s="2"/>
      <c r="N415" s="2"/>
      <c r="O415" s="2"/>
      <c r="P415" s="2"/>
      <c r="Q415" s="157"/>
      <c r="R415" s="157"/>
      <c r="S415" s="157"/>
      <c r="T415" s="2"/>
      <c r="U415" s="2"/>
      <c r="V415" s="2"/>
      <c r="W415" s="2"/>
      <c r="X415" s="2"/>
      <c r="Y415" s="2"/>
      <c r="Z415" s="2"/>
    </row>
    <row r="416" ht="13.5" customHeight="1">
      <c r="A416" s="2"/>
      <c r="B416" s="2"/>
      <c r="C416" s="2"/>
      <c r="D416" s="2"/>
      <c r="E416" s="2"/>
      <c r="F416" s="2"/>
      <c r="G416" s="2"/>
      <c r="H416" s="2"/>
      <c r="I416" s="2"/>
      <c r="J416" s="28"/>
      <c r="K416" s="181"/>
      <c r="L416" s="2"/>
      <c r="M416" s="2"/>
      <c r="N416" s="2"/>
      <c r="O416" s="2"/>
      <c r="P416" s="2"/>
      <c r="Q416" s="157"/>
      <c r="R416" s="157"/>
      <c r="S416" s="157"/>
      <c r="T416" s="2"/>
      <c r="U416" s="2"/>
      <c r="V416" s="2"/>
      <c r="W416" s="2"/>
      <c r="X416" s="2"/>
      <c r="Y416" s="2"/>
      <c r="Z416" s="2"/>
    </row>
    <row r="417" ht="13.5" customHeight="1">
      <c r="A417" s="2"/>
      <c r="B417" s="2"/>
      <c r="C417" s="2"/>
      <c r="D417" s="2"/>
      <c r="E417" s="2"/>
      <c r="F417" s="2"/>
      <c r="G417" s="2"/>
      <c r="H417" s="2"/>
      <c r="I417" s="2"/>
      <c r="J417" s="28"/>
      <c r="K417" s="181"/>
      <c r="L417" s="2"/>
      <c r="M417" s="2"/>
      <c r="N417" s="2"/>
      <c r="O417" s="2"/>
      <c r="P417" s="2"/>
      <c r="Q417" s="157"/>
      <c r="R417" s="157"/>
      <c r="S417" s="157"/>
      <c r="T417" s="2"/>
      <c r="U417" s="2"/>
      <c r="V417" s="2"/>
      <c r="W417" s="2"/>
      <c r="X417" s="2"/>
      <c r="Y417" s="2"/>
      <c r="Z417" s="2"/>
    </row>
    <row r="418" ht="13.5" customHeight="1">
      <c r="A418" s="2"/>
      <c r="B418" s="2"/>
      <c r="C418" s="2"/>
      <c r="D418" s="2"/>
      <c r="E418" s="2"/>
      <c r="F418" s="2"/>
      <c r="G418" s="2"/>
      <c r="H418" s="2"/>
      <c r="I418" s="2"/>
      <c r="J418" s="28"/>
      <c r="K418" s="181"/>
      <c r="L418" s="2"/>
      <c r="M418" s="2"/>
      <c r="N418" s="2"/>
      <c r="O418" s="2"/>
      <c r="P418" s="2"/>
      <c r="Q418" s="157"/>
      <c r="R418" s="157"/>
      <c r="S418" s="157"/>
      <c r="T418" s="2"/>
      <c r="U418" s="2"/>
      <c r="V418" s="2"/>
      <c r="W418" s="2"/>
      <c r="X418" s="2"/>
      <c r="Y418" s="2"/>
      <c r="Z418" s="2"/>
    </row>
    <row r="419" ht="13.5" customHeight="1">
      <c r="A419" s="2"/>
      <c r="B419" s="2"/>
      <c r="C419" s="2"/>
      <c r="D419" s="2"/>
      <c r="E419" s="2"/>
      <c r="F419" s="2"/>
      <c r="G419" s="2"/>
      <c r="H419" s="2"/>
      <c r="I419" s="2"/>
      <c r="J419" s="28"/>
      <c r="K419" s="181"/>
      <c r="L419" s="2"/>
      <c r="M419" s="2"/>
      <c r="N419" s="2"/>
      <c r="O419" s="2"/>
      <c r="P419" s="2"/>
      <c r="Q419" s="157"/>
      <c r="R419" s="157"/>
      <c r="S419" s="157"/>
      <c r="T419" s="2"/>
      <c r="U419" s="2"/>
      <c r="V419" s="2"/>
      <c r="W419" s="2"/>
      <c r="X419" s="2"/>
      <c r="Y419" s="2"/>
      <c r="Z419" s="2"/>
    </row>
    <row r="420" ht="13.5" customHeight="1">
      <c r="A420" s="2"/>
      <c r="B420" s="2"/>
      <c r="C420" s="2"/>
      <c r="D420" s="2"/>
      <c r="E420" s="2"/>
      <c r="F420" s="2"/>
      <c r="G420" s="2"/>
      <c r="H420" s="2"/>
      <c r="I420" s="2"/>
      <c r="J420" s="28"/>
      <c r="K420" s="181"/>
      <c r="L420" s="2"/>
      <c r="M420" s="2"/>
      <c r="N420" s="2"/>
      <c r="O420" s="2"/>
      <c r="P420" s="2"/>
      <c r="Q420" s="157"/>
      <c r="R420" s="157"/>
      <c r="S420" s="157"/>
      <c r="T420" s="2"/>
      <c r="U420" s="2"/>
      <c r="V420" s="2"/>
      <c r="W420" s="2"/>
      <c r="X420" s="2"/>
      <c r="Y420" s="2"/>
      <c r="Z420" s="2"/>
    </row>
    <row r="421" ht="13.5" customHeight="1">
      <c r="A421" s="2"/>
      <c r="B421" s="2"/>
      <c r="C421" s="2"/>
      <c r="D421" s="2"/>
      <c r="E421" s="2"/>
      <c r="F421" s="2"/>
      <c r="G421" s="2"/>
      <c r="H421" s="2"/>
      <c r="I421" s="2"/>
      <c r="J421" s="28"/>
      <c r="K421" s="181"/>
      <c r="L421" s="2"/>
      <c r="M421" s="2"/>
      <c r="N421" s="2"/>
      <c r="O421" s="2"/>
      <c r="P421" s="2"/>
      <c r="Q421" s="157"/>
      <c r="R421" s="157"/>
      <c r="S421" s="157"/>
      <c r="T421" s="2"/>
      <c r="U421" s="2"/>
      <c r="V421" s="2"/>
      <c r="W421" s="2"/>
      <c r="X421" s="2"/>
      <c r="Y421" s="2"/>
      <c r="Z421" s="2"/>
    </row>
    <row r="422" ht="13.5" customHeight="1">
      <c r="A422" s="2"/>
      <c r="B422" s="2"/>
      <c r="C422" s="2"/>
      <c r="D422" s="2"/>
      <c r="E422" s="2"/>
      <c r="F422" s="2"/>
      <c r="G422" s="2"/>
      <c r="H422" s="2"/>
      <c r="I422" s="2"/>
      <c r="J422" s="28"/>
      <c r="K422" s="181"/>
      <c r="L422" s="2"/>
      <c r="M422" s="2"/>
      <c r="N422" s="2"/>
      <c r="O422" s="2"/>
      <c r="P422" s="2"/>
      <c r="Q422" s="157"/>
      <c r="R422" s="157"/>
      <c r="S422" s="157"/>
      <c r="T422" s="2"/>
      <c r="U422" s="2"/>
      <c r="V422" s="2"/>
      <c r="W422" s="2"/>
      <c r="X422" s="2"/>
      <c r="Y422" s="2"/>
      <c r="Z422" s="2"/>
    </row>
    <row r="423" ht="13.5" customHeight="1">
      <c r="A423" s="2"/>
      <c r="B423" s="2"/>
      <c r="C423" s="2"/>
      <c r="D423" s="2"/>
      <c r="E423" s="2"/>
      <c r="F423" s="2"/>
      <c r="G423" s="2"/>
      <c r="H423" s="2"/>
      <c r="I423" s="2"/>
      <c r="J423" s="28"/>
      <c r="K423" s="181"/>
      <c r="L423" s="2"/>
      <c r="M423" s="2"/>
      <c r="N423" s="2"/>
      <c r="O423" s="2"/>
      <c r="P423" s="2"/>
      <c r="Q423" s="157"/>
      <c r="R423" s="157"/>
      <c r="S423" s="157"/>
      <c r="T423" s="2"/>
      <c r="U423" s="2"/>
      <c r="V423" s="2"/>
      <c r="W423" s="2"/>
      <c r="X423" s="2"/>
      <c r="Y423" s="2"/>
      <c r="Z423" s="2"/>
    </row>
    <row r="424" ht="13.5" customHeight="1">
      <c r="A424" s="2"/>
      <c r="B424" s="2"/>
      <c r="C424" s="2"/>
      <c r="D424" s="2"/>
      <c r="E424" s="2"/>
      <c r="F424" s="2"/>
      <c r="G424" s="2"/>
      <c r="H424" s="2"/>
      <c r="I424" s="2"/>
      <c r="J424" s="28"/>
      <c r="K424" s="181"/>
      <c r="L424" s="2"/>
      <c r="M424" s="2"/>
      <c r="N424" s="2"/>
      <c r="O424" s="2"/>
      <c r="P424" s="2"/>
      <c r="Q424" s="157"/>
      <c r="R424" s="157"/>
      <c r="S424" s="157"/>
      <c r="T424" s="2"/>
      <c r="U424" s="2"/>
      <c r="V424" s="2"/>
      <c r="W424" s="2"/>
      <c r="X424" s="2"/>
      <c r="Y424" s="2"/>
      <c r="Z424" s="2"/>
    </row>
    <row r="425" ht="13.5" customHeight="1">
      <c r="A425" s="2"/>
      <c r="B425" s="2"/>
      <c r="C425" s="2"/>
      <c r="D425" s="2"/>
      <c r="E425" s="2"/>
      <c r="F425" s="2"/>
      <c r="G425" s="2"/>
      <c r="H425" s="2"/>
      <c r="I425" s="2"/>
      <c r="J425" s="28"/>
      <c r="K425" s="181"/>
      <c r="L425" s="2"/>
      <c r="M425" s="2"/>
      <c r="N425" s="2"/>
      <c r="O425" s="2"/>
      <c r="P425" s="2"/>
      <c r="Q425" s="157"/>
      <c r="R425" s="157"/>
      <c r="S425" s="157"/>
      <c r="T425" s="2"/>
      <c r="U425" s="2"/>
      <c r="V425" s="2"/>
      <c r="W425" s="2"/>
      <c r="X425" s="2"/>
      <c r="Y425" s="2"/>
      <c r="Z425" s="2"/>
    </row>
    <row r="426" ht="13.5" customHeight="1">
      <c r="A426" s="2"/>
      <c r="B426" s="2"/>
      <c r="C426" s="2"/>
      <c r="D426" s="2"/>
      <c r="E426" s="2"/>
      <c r="F426" s="2"/>
      <c r="G426" s="2"/>
      <c r="H426" s="2"/>
      <c r="I426" s="2"/>
      <c r="J426" s="28"/>
      <c r="K426" s="181"/>
      <c r="L426" s="2"/>
      <c r="M426" s="2"/>
      <c r="N426" s="2"/>
      <c r="O426" s="2"/>
      <c r="P426" s="2"/>
      <c r="Q426" s="157"/>
      <c r="R426" s="157"/>
      <c r="S426" s="157"/>
      <c r="T426" s="2"/>
      <c r="U426" s="2"/>
      <c r="V426" s="2"/>
      <c r="W426" s="2"/>
      <c r="X426" s="2"/>
      <c r="Y426" s="2"/>
      <c r="Z426" s="2"/>
    </row>
    <row r="427" ht="13.5" customHeight="1">
      <c r="A427" s="2"/>
      <c r="B427" s="2"/>
      <c r="C427" s="2"/>
      <c r="D427" s="2"/>
      <c r="E427" s="2"/>
      <c r="F427" s="2"/>
      <c r="G427" s="2"/>
      <c r="H427" s="2"/>
      <c r="I427" s="2"/>
      <c r="J427" s="28"/>
      <c r="K427" s="181"/>
      <c r="L427" s="2"/>
      <c r="M427" s="2"/>
      <c r="N427" s="2"/>
      <c r="O427" s="2"/>
      <c r="P427" s="2"/>
      <c r="Q427" s="157"/>
      <c r="R427" s="157"/>
      <c r="S427" s="157"/>
      <c r="T427" s="2"/>
      <c r="U427" s="2"/>
      <c r="V427" s="2"/>
      <c r="W427" s="2"/>
      <c r="X427" s="2"/>
      <c r="Y427" s="2"/>
      <c r="Z427" s="2"/>
    </row>
    <row r="428" ht="13.5" customHeight="1">
      <c r="A428" s="2"/>
      <c r="B428" s="2"/>
      <c r="C428" s="2"/>
      <c r="D428" s="2"/>
      <c r="E428" s="2"/>
      <c r="F428" s="2"/>
      <c r="G428" s="2"/>
      <c r="H428" s="2"/>
      <c r="I428" s="2"/>
      <c r="J428" s="28"/>
      <c r="K428" s="181"/>
      <c r="L428" s="2"/>
      <c r="M428" s="2"/>
      <c r="N428" s="2"/>
      <c r="O428" s="2"/>
      <c r="P428" s="2"/>
      <c r="Q428" s="157"/>
      <c r="R428" s="157"/>
      <c r="S428" s="157"/>
      <c r="T428" s="2"/>
      <c r="U428" s="2"/>
      <c r="V428" s="2"/>
      <c r="W428" s="2"/>
      <c r="X428" s="2"/>
      <c r="Y428" s="2"/>
      <c r="Z428" s="2"/>
    </row>
    <row r="429" ht="13.5" customHeight="1">
      <c r="A429" s="2"/>
      <c r="B429" s="2"/>
      <c r="C429" s="2"/>
      <c r="D429" s="2"/>
      <c r="E429" s="2"/>
      <c r="F429" s="2"/>
      <c r="G429" s="2"/>
      <c r="H429" s="2"/>
      <c r="I429" s="2"/>
      <c r="J429" s="28"/>
      <c r="K429" s="181"/>
      <c r="L429" s="2"/>
      <c r="M429" s="2"/>
      <c r="N429" s="2"/>
      <c r="O429" s="2"/>
      <c r="P429" s="2"/>
      <c r="Q429" s="157"/>
      <c r="R429" s="157"/>
      <c r="S429" s="157"/>
      <c r="T429" s="2"/>
      <c r="U429" s="2"/>
      <c r="V429" s="2"/>
      <c r="W429" s="2"/>
      <c r="X429" s="2"/>
      <c r="Y429" s="2"/>
      <c r="Z429" s="2"/>
    </row>
    <row r="430" ht="13.5" customHeight="1">
      <c r="A430" s="2"/>
      <c r="B430" s="2"/>
      <c r="C430" s="2"/>
      <c r="D430" s="2"/>
      <c r="E430" s="2"/>
      <c r="F430" s="2"/>
      <c r="G430" s="2"/>
      <c r="H430" s="2"/>
      <c r="I430" s="2"/>
      <c r="J430" s="28"/>
      <c r="K430" s="181"/>
      <c r="L430" s="2"/>
      <c r="M430" s="2"/>
      <c r="N430" s="2"/>
      <c r="O430" s="2"/>
      <c r="P430" s="2"/>
      <c r="Q430" s="157"/>
      <c r="R430" s="157"/>
      <c r="S430" s="157"/>
      <c r="T430" s="2"/>
      <c r="U430" s="2"/>
      <c r="V430" s="2"/>
      <c r="W430" s="2"/>
      <c r="X430" s="2"/>
      <c r="Y430" s="2"/>
      <c r="Z430" s="2"/>
    </row>
    <row r="431" ht="13.5" customHeight="1">
      <c r="A431" s="2"/>
      <c r="B431" s="2"/>
      <c r="C431" s="2"/>
      <c r="D431" s="2"/>
      <c r="E431" s="2"/>
      <c r="F431" s="2"/>
      <c r="G431" s="2"/>
      <c r="H431" s="2"/>
      <c r="I431" s="2"/>
      <c r="J431" s="28"/>
      <c r="K431" s="181"/>
      <c r="L431" s="2"/>
      <c r="M431" s="2"/>
      <c r="N431" s="2"/>
      <c r="O431" s="2"/>
      <c r="P431" s="2"/>
      <c r="Q431" s="157"/>
      <c r="R431" s="157"/>
      <c r="S431" s="157"/>
      <c r="T431" s="2"/>
      <c r="U431" s="2"/>
      <c r="V431" s="2"/>
      <c r="W431" s="2"/>
      <c r="X431" s="2"/>
      <c r="Y431" s="2"/>
      <c r="Z431" s="2"/>
    </row>
    <row r="432" ht="13.5" customHeight="1">
      <c r="A432" s="2"/>
      <c r="B432" s="2"/>
      <c r="C432" s="2"/>
      <c r="D432" s="2"/>
      <c r="E432" s="2"/>
      <c r="F432" s="2"/>
      <c r="G432" s="2"/>
      <c r="H432" s="2"/>
      <c r="I432" s="2"/>
      <c r="J432" s="28"/>
      <c r="K432" s="181"/>
      <c r="L432" s="2"/>
      <c r="M432" s="2"/>
      <c r="N432" s="2"/>
      <c r="O432" s="2"/>
      <c r="P432" s="2"/>
      <c r="Q432" s="157"/>
      <c r="R432" s="157"/>
      <c r="S432" s="157"/>
      <c r="T432" s="2"/>
      <c r="U432" s="2"/>
      <c r="V432" s="2"/>
      <c r="W432" s="2"/>
      <c r="X432" s="2"/>
      <c r="Y432" s="2"/>
      <c r="Z432" s="2"/>
    </row>
    <row r="433" ht="13.5" customHeight="1">
      <c r="A433" s="2"/>
      <c r="B433" s="2"/>
      <c r="C433" s="2"/>
      <c r="D433" s="2"/>
      <c r="E433" s="2"/>
      <c r="F433" s="2"/>
      <c r="G433" s="2"/>
      <c r="H433" s="2"/>
      <c r="I433" s="2"/>
      <c r="J433" s="28"/>
      <c r="K433" s="181"/>
      <c r="L433" s="2"/>
      <c r="M433" s="2"/>
      <c r="N433" s="2"/>
      <c r="O433" s="2"/>
      <c r="P433" s="2"/>
      <c r="Q433" s="157"/>
      <c r="R433" s="157"/>
      <c r="S433" s="157"/>
      <c r="T433" s="2"/>
      <c r="U433" s="2"/>
      <c r="V433" s="2"/>
      <c r="W433" s="2"/>
      <c r="X433" s="2"/>
      <c r="Y433" s="2"/>
      <c r="Z433" s="2"/>
    </row>
    <row r="434" ht="13.5" customHeight="1">
      <c r="A434" s="2"/>
      <c r="B434" s="2"/>
      <c r="C434" s="2"/>
      <c r="D434" s="2"/>
      <c r="E434" s="2"/>
      <c r="F434" s="2"/>
      <c r="G434" s="2"/>
      <c r="H434" s="2"/>
      <c r="I434" s="2"/>
      <c r="J434" s="28"/>
      <c r="K434" s="181"/>
      <c r="L434" s="2"/>
      <c r="M434" s="2"/>
      <c r="N434" s="2"/>
      <c r="O434" s="2"/>
      <c r="P434" s="2"/>
      <c r="Q434" s="157"/>
      <c r="R434" s="157"/>
      <c r="S434" s="157"/>
      <c r="T434" s="2"/>
      <c r="U434" s="2"/>
      <c r="V434" s="2"/>
      <c r="W434" s="2"/>
      <c r="X434" s="2"/>
      <c r="Y434" s="2"/>
      <c r="Z434" s="2"/>
    </row>
    <row r="435" ht="13.5" customHeight="1">
      <c r="A435" s="2"/>
      <c r="B435" s="2"/>
      <c r="C435" s="2"/>
      <c r="D435" s="2"/>
      <c r="E435" s="2"/>
      <c r="F435" s="2"/>
      <c r="G435" s="2"/>
      <c r="H435" s="2"/>
      <c r="I435" s="2"/>
      <c r="J435" s="28"/>
      <c r="K435" s="181"/>
      <c r="L435" s="2"/>
      <c r="M435" s="2"/>
      <c r="N435" s="2"/>
      <c r="O435" s="2"/>
      <c r="P435" s="2"/>
      <c r="Q435" s="157"/>
      <c r="R435" s="157"/>
      <c r="S435" s="157"/>
      <c r="T435" s="2"/>
      <c r="U435" s="2"/>
      <c r="V435" s="2"/>
      <c r="W435" s="2"/>
      <c r="X435" s="2"/>
      <c r="Y435" s="2"/>
      <c r="Z435" s="2"/>
    </row>
    <row r="436" ht="13.5" customHeight="1">
      <c r="A436" s="2"/>
      <c r="B436" s="2"/>
      <c r="C436" s="2"/>
      <c r="D436" s="2"/>
      <c r="E436" s="2"/>
      <c r="F436" s="2"/>
      <c r="G436" s="2"/>
      <c r="H436" s="2"/>
      <c r="I436" s="2"/>
      <c r="J436" s="28"/>
      <c r="K436" s="181"/>
      <c r="L436" s="2"/>
      <c r="M436" s="2"/>
      <c r="N436" s="2"/>
      <c r="O436" s="2"/>
      <c r="P436" s="2"/>
      <c r="Q436" s="157"/>
      <c r="R436" s="157"/>
      <c r="S436" s="157"/>
      <c r="T436" s="2"/>
      <c r="U436" s="2"/>
      <c r="V436" s="2"/>
      <c r="W436" s="2"/>
      <c r="X436" s="2"/>
      <c r="Y436" s="2"/>
      <c r="Z436" s="2"/>
    </row>
    <row r="437" ht="13.5" customHeight="1">
      <c r="A437" s="2"/>
      <c r="B437" s="2"/>
      <c r="C437" s="2"/>
      <c r="D437" s="2"/>
      <c r="E437" s="2"/>
      <c r="F437" s="2"/>
      <c r="G437" s="2"/>
      <c r="H437" s="2"/>
      <c r="I437" s="2"/>
      <c r="J437" s="28"/>
      <c r="K437" s="181"/>
      <c r="L437" s="2"/>
      <c r="M437" s="2"/>
      <c r="N437" s="2"/>
      <c r="O437" s="2"/>
      <c r="P437" s="2"/>
      <c r="Q437" s="157"/>
      <c r="R437" s="157"/>
      <c r="S437" s="157"/>
      <c r="T437" s="2"/>
      <c r="U437" s="2"/>
      <c r="V437" s="2"/>
      <c r="W437" s="2"/>
      <c r="X437" s="2"/>
      <c r="Y437" s="2"/>
      <c r="Z437" s="2"/>
    </row>
    <row r="438" ht="13.5" customHeight="1">
      <c r="A438" s="2"/>
      <c r="B438" s="2"/>
      <c r="C438" s="2"/>
      <c r="D438" s="2"/>
      <c r="E438" s="2"/>
      <c r="F438" s="2"/>
      <c r="G438" s="2"/>
      <c r="H438" s="2"/>
      <c r="I438" s="2"/>
      <c r="J438" s="28"/>
      <c r="K438" s="181"/>
      <c r="L438" s="2"/>
      <c r="M438" s="2"/>
      <c r="N438" s="2"/>
      <c r="O438" s="2"/>
      <c r="P438" s="2"/>
      <c r="Q438" s="157"/>
      <c r="R438" s="157"/>
      <c r="S438" s="157"/>
      <c r="T438" s="2"/>
      <c r="U438" s="2"/>
      <c r="V438" s="2"/>
      <c r="W438" s="2"/>
      <c r="X438" s="2"/>
      <c r="Y438" s="2"/>
      <c r="Z438" s="2"/>
    </row>
    <row r="439" ht="13.5" customHeight="1">
      <c r="A439" s="2"/>
      <c r="B439" s="2"/>
      <c r="C439" s="2"/>
      <c r="D439" s="2"/>
      <c r="E439" s="2"/>
      <c r="F439" s="2"/>
      <c r="G439" s="2"/>
      <c r="H439" s="2"/>
      <c r="I439" s="2"/>
      <c r="J439" s="28"/>
      <c r="K439" s="181"/>
      <c r="L439" s="2"/>
      <c r="M439" s="2"/>
      <c r="N439" s="2"/>
      <c r="O439" s="2"/>
      <c r="P439" s="2"/>
      <c r="Q439" s="157"/>
      <c r="R439" s="157"/>
      <c r="S439" s="157"/>
      <c r="T439" s="2"/>
      <c r="U439" s="2"/>
      <c r="V439" s="2"/>
      <c r="W439" s="2"/>
      <c r="X439" s="2"/>
      <c r="Y439" s="2"/>
      <c r="Z439" s="2"/>
    </row>
    <row r="440" ht="13.5" customHeight="1">
      <c r="A440" s="2"/>
      <c r="B440" s="2"/>
      <c r="C440" s="2"/>
      <c r="D440" s="2"/>
      <c r="E440" s="2"/>
      <c r="F440" s="2"/>
      <c r="G440" s="2"/>
      <c r="H440" s="2"/>
      <c r="I440" s="2"/>
      <c r="J440" s="28"/>
      <c r="K440" s="181"/>
      <c r="L440" s="2"/>
      <c r="M440" s="2"/>
      <c r="N440" s="2"/>
      <c r="O440" s="2"/>
      <c r="P440" s="2"/>
      <c r="Q440" s="157"/>
      <c r="R440" s="157"/>
      <c r="S440" s="157"/>
      <c r="T440" s="2"/>
      <c r="U440" s="2"/>
      <c r="V440" s="2"/>
      <c r="W440" s="2"/>
      <c r="X440" s="2"/>
      <c r="Y440" s="2"/>
      <c r="Z440" s="2"/>
    </row>
    <row r="441" ht="13.5" customHeight="1">
      <c r="A441" s="2"/>
      <c r="B441" s="2"/>
      <c r="C441" s="2"/>
      <c r="D441" s="2"/>
      <c r="E441" s="2"/>
      <c r="F441" s="2"/>
      <c r="G441" s="2"/>
      <c r="H441" s="2"/>
      <c r="I441" s="2"/>
      <c r="J441" s="28"/>
      <c r="K441" s="181"/>
      <c r="L441" s="2"/>
      <c r="M441" s="2"/>
      <c r="N441" s="2"/>
      <c r="O441" s="2"/>
      <c r="P441" s="2"/>
      <c r="Q441" s="157"/>
      <c r="R441" s="157"/>
      <c r="S441" s="157"/>
      <c r="T441" s="2"/>
      <c r="U441" s="2"/>
      <c r="V441" s="2"/>
      <c r="W441" s="2"/>
      <c r="X441" s="2"/>
      <c r="Y441" s="2"/>
      <c r="Z441" s="2"/>
    </row>
    <row r="442" ht="13.5" customHeight="1">
      <c r="A442" s="2"/>
      <c r="B442" s="2"/>
      <c r="C442" s="2"/>
      <c r="D442" s="2"/>
      <c r="E442" s="2"/>
      <c r="F442" s="2"/>
      <c r="G442" s="2"/>
      <c r="H442" s="2"/>
      <c r="I442" s="2"/>
      <c r="J442" s="28"/>
      <c r="K442" s="181"/>
      <c r="L442" s="2"/>
      <c r="M442" s="2"/>
      <c r="N442" s="2"/>
      <c r="O442" s="2"/>
      <c r="P442" s="2"/>
      <c r="Q442" s="157"/>
      <c r="R442" s="157"/>
      <c r="S442" s="157"/>
      <c r="T442" s="2"/>
      <c r="U442" s="2"/>
      <c r="V442" s="2"/>
      <c r="W442" s="2"/>
      <c r="X442" s="2"/>
      <c r="Y442" s="2"/>
      <c r="Z442" s="2"/>
    </row>
    <row r="443" ht="13.5" customHeight="1">
      <c r="A443" s="2"/>
      <c r="B443" s="2"/>
      <c r="C443" s="2"/>
      <c r="D443" s="2"/>
      <c r="E443" s="2"/>
      <c r="F443" s="2"/>
      <c r="G443" s="2"/>
      <c r="H443" s="2"/>
      <c r="I443" s="2"/>
      <c r="J443" s="28"/>
      <c r="K443" s="181"/>
      <c r="L443" s="2"/>
      <c r="M443" s="2"/>
      <c r="N443" s="2"/>
      <c r="O443" s="2"/>
      <c r="P443" s="2"/>
      <c r="Q443" s="157"/>
      <c r="R443" s="157"/>
      <c r="S443" s="157"/>
      <c r="T443" s="2"/>
      <c r="U443" s="2"/>
      <c r="V443" s="2"/>
      <c r="W443" s="2"/>
      <c r="X443" s="2"/>
      <c r="Y443" s="2"/>
      <c r="Z443" s="2"/>
    </row>
    <row r="444" ht="13.5" customHeight="1">
      <c r="A444" s="2"/>
      <c r="B444" s="2"/>
      <c r="C444" s="2"/>
      <c r="D444" s="2"/>
      <c r="E444" s="2"/>
      <c r="F444" s="2"/>
      <c r="G444" s="2"/>
      <c r="H444" s="2"/>
      <c r="I444" s="2"/>
      <c r="J444" s="28"/>
      <c r="K444" s="181"/>
      <c r="L444" s="2"/>
      <c r="M444" s="2"/>
      <c r="N444" s="2"/>
      <c r="O444" s="2"/>
      <c r="P444" s="2"/>
      <c r="Q444" s="157"/>
      <c r="R444" s="157"/>
      <c r="S444" s="157"/>
      <c r="T444" s="2"/>
      <c r="U444" s="2"/>
      <c r="V444" s="2"/>
      <c r="W444" s="2"/>
      <c r="X444" s="2"/>
      <c r="Y444" s="2"/>
      <c r="Z444" s="2"/>
    </row>
    <row r="445" ht="13.5" customHeight="1">
      <c r="A445" s="2"/>
      <c r="B445" s="2"/>
      <c r="C445" s="2"/>
      <c r="D445" s="2"/>
      <c r="E445" s="2"/>
      <c r="F445" s="2"/>
      <c r="G445" s="2"/>
      <c r="H445" s="2"/>
      <c r="I445" s="2"/>
      <c r="J445" s="28"/>
      <c r="K445" s="181"/>
      <c r="L445" s="2"/>
      <c r="M445" s="2"/>
      <c r="N445" s="2"/>
      <c r="O445" s="2"/>
      <c r="P445" s="2"/>
      <c r="Q445" s="157"/>
      <c r="R445" s="157"/>
      <c r="S445" s="157"/>
      <c r="T445" s="2"/>
      <c r="U445" s="2"/>
      <c r="V445" s="2"/>
      <c r="W445" s="2"/>
      <c r="X445" s="2"/>
      <c r="Y445" s="2"/>
      <c r="Z445" s="2"/>
    </row>
    <row r="446" ht="13.5" customHeight="1">
      <c r="A446" s="2"/>
      <c r="B446" s="2"/>
      <c r="C446" s="2"/>
      <c r="D446" s="2"/>
      <c r="E446" s="2"/>
      <c r="F446" s="2"/>
      <c r="G446" s="2"/>
      <c r="H446" s="2"/>
      <c r="I446" s="2"/>
      <c r="J446" s="28"/>
      <c r="K446" s="181"/>
      <c r="L446" s="2"/>
      <c r="M446" s="2"/>
      <c r="N446" s="2"/>
      <c r="O446" s="2"/>
      <c r="P446" s="2"/>
      <c r="Q446" s="157"/>
      <c r="R446" s="157"/>
      <c r="S446" s="157"/>
      <c r="T446" s="2"/>
      <c r="U446" s="2"/>
      <c r="V446" s="2"/>
      <c r="W446" s="2"/>
      <c r="X446" s="2"/>
      <c r="Y446" s="2"/>
      <c r="Z446" s="2"/>
    </row>
    <row r="447" ht="13.5" customHeight="1">
      <c r="A447" s="2"/>
      <c r="B447" s="2"/>
      <c r="C447" s="2"/>
      <c r="D447" s="2"/>
      <c r="E447" s="2"/>
      <c r="F447" s="2"/>
      <c r="G447" s="2"/>
      <c r="H447" s="2"/>
      <c r="I447" s="2"/>
      <c r="J447" s="28"/>
      <c r="K447" s="181"/>
      <c r="L447" s="2"/>
      <c r="M447" s="2"/>
      <c r="N447" s="2"/>
      <c r="O447" s="2"/>
      <c r="P447" s="2"/>
      <c r="Q447" s="157"/>
      <c r="R447" s="157"/>
      <c r="S447" s="157"/>
      <c r="T447" s="2"/>
      <c r="U447" s="2"/>
      <c r="V447" s="2"/>
      <c r="W447" s="2"/>
      <c r="X447" s="2"/>
      <c r="Y447" s="2"/>
      <c r="Z447" s="2"/>
    </row>
    <row r="448" ht="13.5" customHeight="1">
      <c r="A448" s="2"/>
      <c r="B448" s="2"/>
      <c r="C448" s="2"/>
      <c r="D448" s="2"/>
      <c r="E448" s="2"/>
      <c r="F448" s="2"/>
      <c r="G448" s="2"/>
      <c r="H448" s="2"/>
      <c r="I448" s="2"/>
      <c r="J448" s="28"/>
      <c r="K448" s="181"/>
      <c r="L448" s="2"/>
      <c r="M448" s="2"/>
      <c r="N448" s="2"/>
      <c r="O448" s="2"/>
      <c r="P448" s="2"/>
      <c r="Q448" s="157"/>
      <c r="R448" s="157"/>
      <c r="S448" s="157"/>
      <c r="T448" s="2"/>
      <c r="U448" s="2"/>
      <c r="V448" s="2"/>
      <c r="W448" s="2"/>
      <c r="X448" s="2"/>
      <c r="Y448" s="2"/>
      <c r="Z448" s="2"/>
    </row>
    <row r="449" ht="13.5" customHeight="1">
      <c r="A449" s="2"/>
      <c r="B449" s="2"/>
      <c r="C449" s="2"/>
      <c r="D449" s="2"/>
      <c r="E449" s="2"/>
      <c r="F449" s="2"/>
      <c r="G449" s="2"/>
      <c r="H449" s="2"/>
      <c r="I449" s="2"/>
      <c r="J449" s="28"/>
      <c r="K449" s="181"/>
      <c r="L449" s="2"/>
      <c r="M449" s="2"/>
      <c r="N449" s="2"/>
      <c r="O449" s="2"/>
      <c r="P449" s="2"/>
      <c r="Q449" s="157"/>
      <c r="R449" s="157"/>
      <c r="S449" s="157"/>
      <c r="T449" s="2"/>
      <c r="U449" s="2"/>
      <c r="V449" s="2"/>
      <c r="W449" s="2"/>
      <c r="X449" s="2"/>
      <c r="Y449" s="2"/>
      <c r="Z449" s="2"/>
    </row>
    <row r="450" ht="13.5" customHeight="1">
      <c r="A450" s="2"/>
      <c r="B450" s="2"/>
      <c r="C450" s="2"/>
      <c r="D450" s="2"/>
      <c r="E450" s="2"/>
      <c r="F450" s="2"/>
      <c r="G450" s="2"/>
      <c r="H450" s="2"/>
      <c r="I450" s="2"/>
      <c r="J450" s="28"/>
      <c r="K450" s="181"/>
      <c r="L450" s="2"/>
      <c r="M450" s="2"/>
      <c r="N450" s="2"/>
      <c r="O450" s="2"/>
      <c r="P450" s="2"/>
      <c r="Q450" s="157"/>
      <c r="R450" s="157"/>
      <c r="S450" s="157"/>
      <c r="T450" s="2"/>
      <c r="U450" s="2"/>
      <c r="V450" s="2"/>
      <c r="W450" s="2"/>
      <c r="X450" s="2"/>
      <c r="Y450" s="2"/>
      <c r="Z450" s="2"/>
    </row>
    <row r="451" ht="13.5" customHeight="1">
      <c r="A451" s="2"/>
      <c r="B451" s="2"/>
      <c r="C451" s="2"/>
      <c r="D451" s="2"/>
      <c r="E451" s="2"/>
      <c r="F451" s="2"/>
      <c r="G451" s="2"/>
      <c r="H451" s="2"/>
      <c r="I451" s="2"/>
      <c r="J451" s="28"/>
      <c r="K451" s="181"/>
      <c r="L451" s="2"/>
      <c r="M451" s="2"/>
      <c r="N451" s="2"/>
      <c r="O451" s="2"/>
      <c r="P451" s="2"/>
      <c r="Q451" s="157"/>
      <c r="R451" s="157"/>
      <c r="S451" s="157"/>
      <c r="T451" s="2"/>
      <c r="U451" s="2"/>
      <c r="V451" s="2"/>
      <c r="W451" s="2"/>
      <c r="X451" s="2"/>
      <c r="Y451" s="2"/>
      <c r="Z451" s="2"/>
    </row>
    <row r="452" ht="13.5" customHeight="1">
      <c r="A452" s="2"/>
      <c r="B452" s="2"/>
      <c r="C452" s="2"/>
      <c r="D452" s="2"/>
      <c r="E452" s="2"/>
      <c r="F452" s="2"/>
      <c r="G452" s="2"/>
      <c r="H452" s="2"/>
      <c r="I452" s="2"/>
      <c r="J452" s="28"/>
      <c r="K452" s="181"/>
      <c r="L452" s="2"/>
      <c r="M452" s="2"/>
      <c r="N452" s="2"/>
      <c r="O452" s="2"/>
      <c r="P452" s="2"/>
      <c r="Q452" s="157"/>
      <c r="R452" s="157"/>
      <c r="S452" s="157"/>
      <c r="T452" s="2"/>
      <c r="U452" s="2"/>
      <c r="V452" s="2"/>
      <c r="W452" s="2"/>
      <c r="X452" s="2"/>
      <c r="Y452" s="2"/>
      <c r="Z452" s="2"/>
    </row>
    <row r="453" ht="13.5" customHeight="1">
      <c r="A453" s="2"/>
      <c r="B453" s="2"/>
      <c r="C453" s="2"/>
      <c r="D453" s="2"/>
      <c r="E453" s="2"/>
      <c r="F453" s="2"/>
      <c r="G453" s="2"/>
      <c r="H453" s="2"/>
      <c r="I453" s="2"/>
      <c r="J453" s="28"/>
      <c r="K453" s="181"/>
      <c r="L453" s="2"/>
      <c r="M453" s="2"/>
      <c r="N453" s="2"/>
      <c r="O453" s="2"/>
      <c r="P453" s="2"/>
      <c r="Q453" s="157"/>
      <c r="R453" s="157"/>
      <c r="S453" s="157"/>
      <c r="T453" s="2"/>
      <c r="U453" s="2"/>
      <c r="V453" s="2"/>
      <c r="W453" s="2"/>
      <c r="X453" s="2"/>
      <c r="Y453" s="2"/>
      <c r="Z453" s="2"/>
    </row>
    <row r="454" ht="13.5" customHeight="1">
      <c r="A454" s="2"/>
      <c r="B454" s="2"/>
      <c r="C454" s="2"/>
      <c r="D454" s="2"/>
      <c r="E454" s="2"/>
      <c r="F454" s="2"/>
      <c r="G454" s="2"/>
      <c r="H454" s="2"/>
      <c r="I454" s="2"/>
      <c r="J454" s="28"/>
      <c r="K454" s="181"/>
      <c r="L454" s="2"/>
      <c r="M454" s="2"/>
      <c r="N454" s="2"/>
      <c r="O454" s="2"/>
      <c r="P454" s="2"/>
      <c r="Q454" s="157"/>
      <c r="R454" s="157"/>
      <c r="S454" s="157"/>
      <c r="T454" s="2"/>
      <c r="U454" s="2"/>
      <c r="V454" s="2"/>
      <c r="W454" s="2"/>
      <c r="X454" s="2"/>
      <c r="Y454" s="2"/>
      <c r="Z454" s="2"/>
    </row>
    <row r="455" ht="13.5" customHeight="1">
      <c r="A455" s="2"/>
      <c r="B455" s="2"/>
      <c r="C455" s="2"/>
      <c r="D455" s="2"/>
      <c r="E455" s="2"/>
      <c r="F455" s="2"/>
      <c r="G455" s="2"/>
      <c r="H455" s="2"/>
      <c r="I455" s="2"/>
      <c r="J455" s="28"/>
      <c r="K455" s="181"/>
      <c r="L455" s="2"/>
      <c r="M455" s="2"/>
      <c r="N455" s="2"/>
      <c r="O455" s="2"/>
      <c r="P455" s="2"/>
      <c r="Q455" s="157"/>
      <c r="R455" s="157"/>
      <c r="S455" s="157"/>
      <c r="T455" s="2"/>
      <c r="U455" s="2"/>
      <c r="V455" s="2"/>
      <c r="W455" s="2"/>
      <c r="X455" s="2"/>
      <c r="Y455" s="2"/>
      <c r="Z455" s="2"/>
    </row>
    <row r="456" ht="13.5" customHeight="1">
      <c r="A456" s="2"/>
      <c r="B456" s="2"/>
      <c r="C456" s="2"/>
      <c r="D456" s="2"/>
      <c r="E456" s="2"/>
      <c r="F456" s="2"/>
      <c r="G456" s="2"/>
      <c r="H456" s="2"/>
      <c r="I456" s="2"/>
      <c r="J456" s="28"/>
      <c r="K456" s="181"/>
      <c r="L456" s="2"/>
      <c r="M456" s="2"/>
      <c r="N456" s="2"/>
      <c r="O456" s="2"/>
      <c r="P456" s="2"/>
      <c r="Q456" s="157"/>
      <c r="R456" s="157"/>
      <c r="S456" s="157"/>
      <c r="T456" s="2"/>
      <c r="U456" s="2"/>
      <c r="V456" s="2"/>
      <c r="W456" s="2"/>
      <c r="X456" s="2"/>
      <c r="Y456" s="2"/>
      <c r="Z456" s="2"/>
    </row>
    <row r="457" ht="13.5" customHeight="1">
      <c r="A457" s="2"/>
      <c r="B457" s="2"/>
      <c r="C457" s="2"/>
      <c r="D457" s="2"/>
      <c r="E457" s="2"/>
      <c r="F457" s="2"/>
      <c r="G457" s="2"/>
      <c r="H457" s="2"/>
      <c r="I457" s="2"/>
      <c r="J457" s="28"/>
      <c r="K457" s="181"/>
      <c r="L457" s="2"/>
      <c r="M457" s="2"/>
      <c r="N457" s="2"/>
      <c r="O457" s="2"/>
      <c r="P457" s="2"/>
      <c r="Q457" s="157"/>
      <c r="R457" s="157"/>
      <c r="S457" s="157"/>
      <c r="T457" s="2"/>
      <c r="U457" s="2"/>
      <c r="V457" s="2"/>
      <c r="W457" s="2"/>
      <c r="X457" s="2"/>
      <c r="Y457" s="2"/>
      <c r="Z457" s="2"/>
    </row>
    <row r="458" ht="13.5" customHeight="1">
      <c r="A458" s="2"/>
      <c r="B458" s="2"/>
      <c r="C458" s="2"/>
      <c r="D458" s="2"/>
      <c r="E458" s="2"/>
      <c r="F458" s="2"/>
      <c r="G458" s="2"/>
      <c r="H458" s="2"/>
      <c r="I458" s="2"/>
      <c r="J458" s="28"/>
      <c r="K458" s="181"/>
      <c r="L458" s="2"/>
      <c r="M458" s="2"/>
      <c r="N458" s="2"/>
      <c r="O458" s="2"/>
      <c r="P458" s="2"/>
      <c r="Q458" s="157"/>
      <c r="R458" s="157"/>
      <c r="S458" s="157"/>
      <c r="T458" s="2"/>
      <c r="U458" s="2"/>
      <c r="V458" s="2"/>
      <c r="W458" s="2"/>
      <c r="X458" s="2"/>
      <c r="Y458" s="2"/>
      <c r="Z458" s="2"/>
    </row>
    <row r="459" ht="13.5" customHeight="1">
      <c r="A459" s="2"/>
      <c r="B459" s="2"/>
      <c r="C459" s="2"/>
      <c r="D459" s="2"/>
      <c r="E459" s="2"/>
      <c r="F459" s="2"/>
      <c r="G459" s="2"/>
      <c r="H459" s="2"/>
      <c r="I459" s="2"/>
      <c r="J459" s="28"/>
      <c r="K459" s="181"/>
      <c r="L459" s="2"/>
      <c r="M459" s="2"/>
      <c r="N459" s="2"/>
      <c r="O459" s="2"/>
      <c r="P459" s="2"/>
      <c r="Q459" s="157"/>
      <c r="R459" s="157"/>
      <c r="S459" s="157"/>
      <c r="T459" s="2"/>
      <c r="U459" s="2"/>
      <c r="V459" s="2"/>
      <c r="W459" s="2"/>
      <c r="X459" s="2"/>
      <c r="Y459" s="2"/>
      <c r="Z459" s="2"/>
    </row>
    <row r="460" ht="13.5" customHeight="1">
      <c r="A460" s="2"/>
      <c r="B460" s="2"/>
      <c r="C460" s="2"/>
      <c r="D460" s="2"/>
      <c r="E460" s="2"/>
      <c r="F460" s="2"/>
      <c r="G460" s="2"/>
      <c r="H460" s="2"/>
      <c r="I460" s="2"/>
      <c r="J460" s="28"/>
      <c r="K460" s="181"/>
      <c r="L460" s="2"/>
      <c r="M460" s="2"/>
      <c r="N460" s="2"/>
      <c r="O460" s="2"/>
      <c r="P460" s="2"/>
      <c r="Q460" s="157"/>
      <c r="R460" s="157"/>
      <c r="S460" s="157"/>
      <c r="T460" s="2"/>
      <c r="U460" s="2"/>
      <c r="V460" s="2"/>
      <c r="W460" s="2"/>
      <c r="X460" s="2"/>
      <c r="Y460" s="2"/>
      <c r="Z460" s="2"/>
    </row>
    <row r="461" ht="13.5" customHeight="1">
      <c r="A461" s="2"/>
      <c r="B461" s="2"/>
      <c r="C461" s="2"/>
      <c r="D461" s="2"/>
      <c r="E461" s="2"/>
      <c r="F461" s="2"/>
      <c r="G461" s="2"/>
      <c r="H461" s="2"/>
      <c r="I461" s="2"/>
      <c r="J461" s="28"/>
      <c r="K461" s="181"/>
      <c r="L461" s="2"/>
      <c r="M461" s="2"/>
      <c r="N461" s="2"/>
      <c r="O461" s="2"/>
      <c r="P461" s="2"/>
      <c r="Q461" s="157"/>
      <c r="R461" s="157"/>
      <c r="S461" s="157"/>
      <c r="T461" s="2"/>
      <c r="U461" s="2"/>
      <c r="V461" s="2"/>
      <c r="W461" s="2"/>
      <c r="X461" s="2"/>
      <c r="Y461" s="2"/>
      <c r="Z461" s="2"/>
    </row>
    <row r="462" ht="13.5" customHeight="1">
      <c r="A462" s="2"/>
      <c r="B462" s="2"/>
      <c r="C462" s="2"/>
      <c r="D462" s="2"/>
      <c r="E462" s="2"/>
      <c r="F462" s="2"/>
      <c r="G462" s="2"/>
      <c r="H462" s="2"/>
      <c r="I462" s="2"/>
      <c r="J462" s="28"/>
      <c r="K462" s="181"/>
      <c r="L462" s="2"/>
      <c r="M462" s="2"/>
      <c r="N462" s="2"/>
      <c r="O462" s="2"/>
      <c r="P462" s="2"/>
      <c r="Q462" s="157"/>
      <c r="R462" s="157"/>
      <c r="S462" s="157"/>
      <c r="T462" s="2"/>
      <c r="U462" s="2"/>
      <c r="V462" s="2"/>
      <c r="W462" s="2"/>
      <c r="X462" s="2"/>
      <c r="Y462" s="2"/>
      <c r="Z462" s="2"/>
    </row>
    <row r="463" ht="13.5" customHeight="1">
      <c r="A463" s="2"/>
      <c r="B463" s="2"/>
      <c r="C463" s="2"/>
      <c r="D463" s="2"/>
      <c r="E463" s="2"/>
      <c r="F463" s="2"/>
      <c r="G463" s="2"/>
      <c r="H463" s="2"/>
      <c r="I463" s="2"/>
      <c r="J463" s="28"/>
      <c r="K463" s="181"/>
      <c r="L463" s="2"/>
      <c r="M463" s="2"/>
      <c r="N463" s="2"/>
      <c r="O463" s="2"/>
      <c r="P463" s="2"/>
      <c r="Q463" s="157"/>
      <c r="R463" s="157"/>
      <c r="S463" s="157"/>
      <c r="T463" s="2"/>
      <c r="U463" s="2"/>
      <c r="V463" s="2"/>
      <c r="W463" s="2"/>
      <c r="X463" s="2"/>
      <c r="Y463" s="2"/>
      <c r="Z463" s="2"/>
    </row>
    <row r="464" ht="13.5" customHeight="1">
      <c r="A464" s="2"/>
      <c r="B464" s="2"/>
      <c r="C464" s="2"/>
      <c r="D464" s="2"/>
      <c r="E464" s="2"/>
      <c r="F464" s="2"/>
      <c r="G464" s="2"/>
      <c r="H464" s="2"/>
      <c r="I464" s="2"/>
      <c r="J464" s="28"/>
      <c r="K464" s="181"/>
      <c r="L464" s="2"/>
      <c r="M464" s="2"/>
      <c r="N464" s="2"/>
      <c r="O464" s="2"/>
      <c r="P464" s="2"/>
      <c r="Q464" s="157"/>
      <c r="R464" s="157"/>
      <c r="S464" s="157"/>
      <c r="T464" s="2"/>
      <c r="U464" s="2"/>
      <c r="V464" s="2"/>
      <c r="W464" s="2"/>
      <c r="X464" s="2"/>
      <c r="Y464" s="2"/>
      <c r="Z464" s="2"/>
    </row>
    <row r="465" ht="13.5" customHeight="1">
      <c r="A465" s="2"/>
      <c r="B465" s="2"/>
      <c r="C465" s="2"/>
      <c r="D465" s="2"/>
      <c r="E465" s="2"/>
      <c r="F465" s="2"/>
      <c r="G465" s="2"/>
      <c r="H465" s="2"/>
      <c r="I465" s="2"/>
      <c r="J465" s="28"/>
      <c r="K465" s="181"/>
      <c r="L465" s="2"/>
      <c r="M465" s="2"/>
      <c r="N465" s="2"/>
      <c r="O465" s="2"/>
      <c r="P465" s="2"/>
      <c r="Q465" s="157"/>
      <c r="R465" s="157"/>
      <c r="S465" s="157"/>
      <c r="T465" s="2"/>
      <c r="U465" s="2"/>
      <c r="V465" s="2"/>
      <c r="W465" s="2"/>
      <c r="X465" s="2"/>
      <c r="Y465" s="2"/>
      <c r="Z465" s="2"/>
    </row>
    <row r="466" ht="13.5" customHeight="1">
      <c r="A466" s="2"/>
      <c r="B466" s="2"/>
      <c r="C466" s="2"/>
      <c r="D466" s="2"/>
      <c r="E466" s="2"/>
      <c r="F466" s="2"/>
      <c r="G466" s="2"/>
      <c r="H466" s="2"/>
      <c r="I466" s="2"/>
      <c r="J466" s="28"/>
      <c r="K466" s="181"/>
      <c r="L466" s="2"/>
      <c r="M466" s="2"/>
      <c r="N466" s="2"/>
      <c r="O466" s="2"/>
      <c r="P466" s="2"/>
      <c r="Q466" s="157"/>
      <c r="R466" s="157"/>
      <c r="S466" s="157"/>
      <c r="T466" s="2"/>
      <c r="U466" s="2"/>
      <c r="V466" s="2"/>
      <c r="W466" s="2"/>
      <c r="X466" s="2"/>
      <c r="Y466" s="2"/>
      <c r="Z466" s="2"/>
    </row>
    <row r="467" ht="13.5" customHeight="1">
      <c r="A467" s="2"/>
      <c r="B467" s="2"/>
      <c r="C467" s="2"/>
      <c r="D467" s="2"/>
      <c r="E467" s="2"/>
      <c r="F467" s="2"/>
      <c r="G467" s="2"/>
      <c r="H467" s="2"/>
      <c r="I467" s="2"/>
      <c r="J467" s="28"/>
      <c r="K467" s="181"/>
      <c r="L467" s="2"/>
      <c r="M467" s="2"/>
      <c r="N467" s="2"/>
      <c r="O467" s="2"/>
      <c r="P467" s="2"/>
      <c r="Q467" s="157"/>
      <c r="R467" s="157"/>
      <c r="S467" s="157"/>
      <c r="T467" s="2"/>
      <c r="U467" s="2"/>
      <c r="V467" s="2"/>
      <c r="W467" s="2"/>
      <c r="X467" s="2"/>
      <c r="Y467" s="2"/>
      <c r="Z467" s="2"/>
    </row>
    <row r="468" ht="13.5" customHeight="1">
      <c r="A468" s="2"/>
      <c r="B468" s="2"/>
      <c r="C468" s="2"/>
      <c r="D468" s="2"/>
      <c r="E468" s="2"/>
      <c r="F468" s="2"/>
      <c r="G468" s="2"/>
      <c r="H468" s="2"/>
      <c r="I468" s="2"/>
      <c r="J468" s="28"/>
      <c r="K468" s="181"/>
      <c r="L468" s="2"/>
      <c r="M468" s="2"/>
      <c r="N468" s="2"/>
      <c r="O468" s="2"/>
      <c r="P468" s="2"/>
      <c r="Q468" s="157"/>
      <c r="R468" s="157"/>
      <c r="S468" s="157"/>
      <c r="T468" s="2"/>
      <c r="U468" s="2"/>
      <c r="V468" s="2"/>
      <c r="W468" s="2"/>
      <c r="X468" s="2"/>
      <c r="Y468" s="2"/>
      <c r="Z468" s="2"/>
    </row>
    <row r="469" ht="13.5" customHeight="1">
      <c r="A469" s="2"/>
      <c r="B469" s="2"/>
      <c r="C469" s="2"/>
      <c r="D469" s="2"/>
      <c r="E469" s="2"/>
      <c r="F469" s="2"/>
      <c r="G469" s="2"/>
      <c r="H469" s="2"/>
      <c r="I469" s="2"/>
      <c r="J469" s="28"/>
      <c r="K469" s="181"/>
      <c r="L469" s="2"/>
      <c r="M469" s="2"/>
      <c r="N469" s="2"/>
      <c r="O469" s="2"/>
      <c r="P469" s="2"/>
      <c r="Q469" s="157"/>
      <c r="R469" s="157"/>
      <c r="S469" s="157"/>
      <c r="T469" s="2"/>
      <c r="U469" s="2"/>
      <c r="V469" s="2"/>
      <c r="W469" s="2"/>
      <c r="X469" s="2"/>
      <c r="Y469" s="2"/>
      <c r="Z469" s="2"/>
    </row>
    <row r="470" ht="13.5" customHeight="1">
      <c r="A470" s="2"/>
      <c r="B470" s="2"/>
      <c r="C470" s="2"/>
      <c r="D470" s="2"/>
      <c r="E470" s="2"/>
      <c r="F470" s="2"/>
      <c r="G470" s="2"/>
      <c r="H470" s="2"/>
      <c r="I470" s="2"/>
      <c r="J470" s="28"/>
      <c r="K470" s="181"/>
      <c r="L470" s="2"/>
      <c r="M470" s="2"/>
      <c r="N470" s="2"/>
      <c r="O470" s="2"/>
      <c r="P470" s="2"/>
      <c r="Q470" s="157"/>
      <c r="R470" s="157"/>
      <c r="S470" s="157"/>
      <c r="T470" s="2"/>
      <c r="U470" s="2"/>
      <c r="V470" s="2"/>
      <c r="W470" s="2"/>
      <c r="X470" s="2"/>
      <c r="Y470" s="2"/>
      <c r="Z470" s="2"/>
    </row>
    <row r="471" ht="13.5" customHeight="1">
      <c r="A471" s="2"/>
      <c r="B471" s="2"/>
      <c r="C471" s="2"/>
      <c r="D471" s="2"/>
      <c r="E471" s="2"/>
      <c r="F471" s="2"/>
      <c r="G471" s="2"/>
      <c r="H471" s="2"/>
      <c r="I471" s="2"/>
      <c r="J471" s="28"/>
      <c r="K471" s="181"/>
      <c r="L471" s="2"/>
      <c r="M471" s="2"/>
      <c r="N471" s="2"/>
      <c r="O471" s="2"/>
      <c r="P471" s="2"/>
      <c r="Q471" s="157"/>
      <c r="R471" s="157"/>
      <c r="S471" s="157"/>
      <c r="T471" s="2"/>
      <c r="U471" s="2"/>
      <c r="V471" s="2"/>
      <c r="W471" s="2"/>
      <c r="X471" s="2"/>
      <c r="Y471" s="2"/>
      <c r="Z471" s="2"/>
    </row>
    <row r="472" ht="13.5" customHeight="1">
      <c r="A472" s="2"/>
      <c r="B472" s="2"/>
      <c r="C472" s="2"/>
      <c r="D472" s="2"/>
      <c r="E472" s="2"/>
      <c r="F472" s="2"/>
      <c r="G472" s="2"/>
      <c r="H472" s="2"/>
      <c r="I472" s="2"/>
      <c r="J472" s="28"/>
      <c r="K472" s="181"/>
      <c r="L472" s="2"/>
      <c r="M472" s="2"/>
      <c r="N472" s="2"/>
      <c r="O472" s="2"/>
      <c r="P472" s="2"/>
      <c r="Q472" s="157"/>
      <c r="R472" s="157"/>
      <c r="S472" s="157"/>
      <c r="T472" s="2"/>
      <c r="U472" s="2"/>
      <c r="V472" s="2"/>
      <c r="W472" s="2"/>
      <c r="X472" s="2"/>
      <c r="Y472" s="2"/>
      <c r="Z472" s="2"/>
    </row>
    <row r="473" ht="13.5" customHeight="1">
      <c r="A473" s="2"/>
      <c r="B473" s="2"/>
      <c r="C473" s="2"/>
      <c r="D473" s="2"/>
      <c r="E473" s="2"/>
      <c r="F473" s="2"/>
      <c r="G473" s="2"/>
      <c r="H473" s="2"/>
      <c r="I473" s="2"/>
      <c r="J473" s="28"/>
      <c r="K473" s="181"/>
      <c r="L473" s="2"/>
      <c r="M473" s="2"/>
      <c r="N473" s="2"/>
      <c r="O473" s="2"/>
      <c r="P473" s="2"/>
      <c r="Q473" s="157"/>
      <c r="R473" s="157"/>
      <c r="S473" s="157"/>
      <c r="T473" s="2"/>
      <c r="U473" s="2"/>
      <c r="V473" s="2"/>
      <c r="W473" s="2"/>
      <c r="X473" s="2"/>
      <c r="Y473" s="2"/>
      <c r="Z473" s="2"/>
    </row>
    <row r="474" ht="13.5" customHeight="1">
      <c r="A474" s="2"/>
      <c r="B474" s="2"/>
      <c r="C474" s="2"/>
      <c r="D474" s="2"/>
      <c r="E474" s="2"/>
      <c r="F474" s="2"/>
      <c r="G474" s="2"/>
      <c r="H474" s="2"/>
      <c r="I474" s="2"/>
      <c r="J474" s="28"/>
      <c r="K474" s="181"/>
      <c r="L474" s="2"/>
      <c r="M474" s="2"/>
      <c r="N474" s="2"/>
      <c r="O474" s="2"/>
      <c r="P474" s="2"/>
      <c r="Q474" s="157"/>
      <c r="R474" s="157"/>
      <c r="S474" s="157"/>
      <c r="T474" s="2"/>
      <c r="U474" s="2"/>
      <c r="V474" s="2"/>
      <c r="W474" s="2"/>
      <c r="X474" s="2"/>
      <c r="Y474" s="2"/>
      <c r="Z474" s="2"/>
    </row>
    <row r="475" ht="13.5" customHeight="1">
      <c r="A475" s="2"/>
      <c r="B475" s="2"/>
      <c r="C475" s="2"/>
      <c r="D475" s="2"/>
      <c r="E475" s="2"/>
      <c r="F475" s="2"/>
      <c r="G475" s="2"/>
      <c r="H475" s="2"/>
      <c r="I475" s="2"/>
      <c r="J475" s="28"/>
      <c r="K475" s="181"/>
      <c r="L475" s="2"/>
      <c r="M475" s="2"/>
      <c r="N475" s="2"/>
      <c r="O475" s="2"/>
      <c r="P475" s="2"/>
      <c r="Q475" s="157"/>
      <c r="R475" s="157"/>
      <c r="S475" s="157"/>
      <c r="T475" s="2"/>
      <c r="U475" s="2"/>
      <c r="V475" s="2"/>
      <c r="W475" s="2"/>
      <c r="X475" s="2"/>
      <c r="Y475" s="2"/>
      <c r="Z475" s="2"/>
    </row>
    <row r="476" ht="13.5" customHeight="1">
      <c r="A476" s="2"/>
      <c r="B476" s="2"/>
      <c r="C476" s="2"/>
      <c r="D476" s="2"/>
      <c r="E476" s="2"/>
      <c r="F476" s="2"/>
      <c r="G476" s="2"/>
      <c r="H476" s="2"/>
      <c r="I476" s="2"/>
      <c r="J476" s="28"/>
      <c r="K476" s="181"/>
      <c r="L476" s="2"/>
      <c r="M476" s="2"/>
      <c r="N476" s="2"/>
      <c r="O476" s="2"/>
      <c r="P476" s="2"/>
      <c r="Q476" s="157"/>
      <c r="R476" s="157"/>
      <c r="S476" s="157"/>
      <c r="T476" s="2"/>
      <c r="U476" s="2"/>
      <c r="V476" s="2"/>
      <c r="W476" s="2"/>
      <c r="X476" s="2"/>
      <c r="Y476" s="2"/>
      <c r="Z476" s="2"/>
    </row>
    <row r="477" ht="13.5" customHeight="1">
      <c r="A477" s="2"/>
      <c r="B477" s="2"/>
      <c r="C477" s="2"/>
      <c r="D477" s="2"/>
      <c r="E477" s="2"/>
      <c r="F477" s="2"/>
      <c r="G477" s="2"/>
      <c r="H477" s="2"/>
      <c r="I477" s="2"/>
      <c r="J477" s="28"/>
      <c r="K477" s="181"/>
      <c r="L477" s="2"/>
      <c r="M477" s="2"/>
      <c r="N477" s="2"/>
      <c r="O477" s="2"/>
      <c r="P477" s="2"/>
      <c r="Q477" s="157"/>
      <c r="R477" s="157"/>
      <c r="S477" s="157"/>
      <c r="T477" s="2"/>
      <c r="U477" s="2"/>
      <c r="V477" s="2"/>
      <c r="W477" s="2"/>
      <c r="X477" s="2"/>
      <c r="Y477" s="2"/>
      <c r="Z477" s="2"/>
    </row>
    <row r="478" ht="13.5" customHeight="1">
      <c r="A478" s="2"/>
      <c r="B478" s="2"/>
      <c r="C478" s="2"/>
      <c r="D478" s="2"/>
      <c r="E478" s="2"/>
      <c r="F478" s="2"/>
      <c r="G478" s="2"/>
      <c r="H478" s="2"/>
      <c r="I478" s="2"/>
      <c r="J478" s="28"/>
      <c r="K478" s="181"/>
      <c r="L478" s="2"/>
      <c r="M478" s="2"/>
      <c r="N478" s="2"/>
      <c r="O478" s="2"/>
      <c r="P478" s="2"/>
      <c r="Q478" s="157"/>
      <c r="R478" s="157"/>
      <c r="S478" s="157"/>
      <c r="T478" s="2"/>
      <c r="U478" s="2"/>
      <c r="V478" s="2"/>
      <c r="W478" s="2"/>
      <c r="X478" s="2"/>
      <c r="Y478" s="2"/>
      <c r="Z478" s="2"/>
    </row>
    <row r="479" ht="13.5" customHeight="1">
      <c r="A479" s="2"/>
      <c r="B479" s="2"/>
      <c r="C479" s="2"/>
      <c r="D479" s="2"/>
      <c r="E479" s="2"/>
      <c r="F479" s="2"/>
      <c r="G479" s="2"/>
      <c r="H479" s="2"/>
      <c r="I479" s="2"/>
      <c r="J479" s="28"/>
      <c r="K479" s="181"/>
      <c r="L479" s="2"/>
      <c r="M479" s="2"/>
      <c r="N479" s="2"/>
      <c r="O479" s="2"/>
      <c r="P479" s="2"/>
      <c r="Q479" s="157"/>
      <c r="R479" s="157"/>
      <c r="S479" s="157"/>
      <c r="T479" s="2"/>
      <c r="U479" s="2"/>
      <c r="V479" s="2"/>
      <c r="W479" s="2"/>
      <c r="X479" s="2"/>
      <c r="Y479" s="2"/>
      <c r="Z479" s="2"/>
    </row>
    <row r="480" ht="13.5" customHeight="1">
      <c r="A480" s="2"/>
      <c r="B480" s="2"/>
      <c r="C480" s="2"/>
      <c r="D480" s="2"/>
      <c r="E480" s="2"/>
      <c r="F480" s="2"/>
      <c r="G480" s="2"/>
      <c r="H480" s="2"/>
      <c r="I480" s="2"/>
      <c r="J480" s="28"/>
      <c r="K480" s="181"/>
      <c r="L480" s="2"/>
      <c r="M480" s="2"/>
      <c r="N480" s="2"/>
      <c r="O480" s="2"/>
      <c r="P480" s="2"/>
      <c r="Q480" s="157"/>
      <c r="R480" s="157"/>
      <c r="S480" s="157"/>
      <c r="T480" s="2"/>
      <c r="U480" s="2"/>
      <c r="V480" s="2"/>
      <c r="W480" s="2"/>
      <c r="X480" s="2"/>
      <c r="Y480" s="2"/>
      <c r="Z480" s="2"/>
    </row>
    <row r="481" ht="13.5" customHeight="1">
      <c r="A481" s="2"/>
      <c r="B481" s="2"/>
      <c r="C481" s="2"/>
      <c r="D481" s="2"/>
      <c r="E481" s="2"/>
      <c r="F481" s="2"/>
      <c r="G481" s="2"/>
      <c r="H481" s="2"/>
      <c r="I481" s="2"/>
      <c r="J481" s="28"/>
      <c r="K481" s="181"/>
      <c r="L481" s="2"/>
      <c r="M481" s="2"/>
      <c r="N481" s="2"/>
      <c r="O481" s="2"/>
      <c r="P481" s="2"/>
      <c r="Q481" s="157"/>
      <c r="R481" s="157"/>
      <c r="S481" s="157"/>
      <c r="T481" s="2"/>
      <c r="U481" s="2"/>
      <c r="V481" s="2"/>
      <c r="W481" s="2"/>
      <c r="X481" s="2"/>
      <c r="Y481" s="2"/>
      <c r="Z481" s="2"/>
    </row>
    <row r="482" ht="13.5" customHeight="1">
      <c r="A482" s="2"/>
      <c r="B482" s="2"/>
      <c r="C482" s="2"/>
      <c r="D482" s="2"/>
      <c r="E482" s="2"/>
      <c r="F482" s="2"/>
      <c r="G482" s="2"/>
      <c r="H482" s="2"/>
      <c r="I482" s="2"/>
      <c r="J482" s="28"/>
      <c r="K482" s="181"/>
      <c r="L482" s="2"/>
      <c r="M482" s="2"/>
      <c r="N482" s="2"/>
      <c r="O482" s="2"/>
      <c r="P482" s="2"/>
      <c r="Q482" s="157"/>
      <c r="R482" s="157"/>
      <c r="S482" s="157"/>
      <c r="T482" s="2"/>
      <c r="U482" s="2"/>
      <c r="V482" s="2"/>
      <c r="W482" s="2"/>
      <c r="X482" s="2"/>
      <c r="Y482" s="2"/>
      <c r="Z482" s="2"/>
    </row>
    <row r="483" ht="13.5" customHeight="1">
      <c r="A483" s="2"/>
      <c r="B483" s="2"/>
      <c r="C483" s="2"/>
      <c r="D483" s="2"/>
      <c r="E483" s="2"/>
      <c r="F483" s="2"/>
      <c r="G483" s="2"/>
      <c r="H483" s="2"/>
      <c r="I483" s="2"/>
      <c r="J483" s="28"/>
      <c r="K483" s="181"/>
      <c r="L483" s="2"/>
      <c r="M483" s="2"/>
      <c r="N483" s="2"/>
      <c r="O483" s="2"/>
      <c r="P483" s="2"/>
      <c r="Q483" s="157"/>
      <c r="R483" s="157"/>
      <c r="S483" s="157"/>
      <c r="T483" s="2"/>
      <c r="U483" s="2"/>
      <c r="V483" s="2"/>
      <c r="W483" s="2"/>
      <c r="X483" s="2"/>
      <c r="Y483" s="2"/>
      <c r="Z483" s="2"/>
    </row>
    <row r="484" ht="13.5" customHeight="1">
      <c r="A484" s="2"/>
      <c r="B484" s="2"/>
      <c r="C484" s="2"/>
      <c r="D484" s="2"/>
      <c r="E484" s="2"/>
      <c r="F484" s="2"/>
      <c r="G484" s="2"/>
      <c r="H484" s="2"/>
      <c r="I484" s="2"/>
      <c r="J484" s="28"/>
      <c r="K484" s="181"/>
      <c r="L484" s="2"/>
      <c r="M484" s="2"/>
      <c r="N484" s="2"/>
      <c r="O484" s="2"/>
      <c r="P484" s="2"/>
      <c r="Q484" s="157"/>
      <c r="R484" s="157"/>
      <c r="S484" s="157"/>
      <c r="T484" s="2"/>
      <c r="U484" s="2"/>
      <c r="V484" s="2"/>
      <c r="W484" s="2"/>
      <c r="X484" s="2"/>
      <c r="Y484" s="2"/>
      <c r="Z484" s="2"/>
    </row>
    <row r="485" ht="13.5" customHeight="1">
      <c r="A485" s="2"/>
      <c r="B485" s="2"/>
      <c r="C485" s="2"/>
      <c r="D485" s="2"/>
      <c r="E485" s="2"/>
      <c r="F485" s="2"/>
      <c r="G485" s="2"/>
      <c r="H485" s="2"/>
      <c r="I485" s="2"/>
      <c r="J485" s="28"/>
      <c r="K485" s="181"/>
      <c r="L485" s="2"/>
      <c r="M485" s="2"/>
      <c r="N485" s="2"/>
      <c r="O485" s="2"/>
      <c r="P485" s="2"/>
      <c r="Q485" s="157"/>
      <c r="R485" s="157"/>
      <c r="S485" s="157"/>
      <c r="T485" s="2"/>
      <c r="U485" s="2"/>
      <c r="V485" s="2"/>
      <c r="W485" s="2"/>
      <c r="X485" s="2"/>
      <c r="Y485" s="2"/>
      <c r="Z485" s="2"/>
    </row>
    <row r="486" ht="13.5" customHeight="1">
      <c r="A486" s="2"/>
      <c r="B486" s="2"/>
      <c r="C486" s="2"/>
      <c r="D486" s="2"/>
      <c r="E486" s="2"/>
      <c r="F486" s="2"/>
      <c r="G486" s="2"/>
      <c r="H486" s="2"/>
      <c r="I486" s="2"/>
      <c r="J486" s="28"/>
      <c r="K486" s="181"/>
      <c r="L486" s="2"/>
      <c r="M486" s="2"/>
      <c r="N486" s="2"/>
      <c r="O486" s="2"/>
      <c r="P486" s="2"/>
      <c r="Q486" s="157"/>
      <c r="R486" s="157"/>
      <c r="S486" s="157"/>
      <c r="T486" s="2"/>
      <c r="U486" s="2"/>
      <c r="V486" s="2"/>
      <c r="W486" s="2"/>
      <c r="X486" s="2"/>
      <c r="Y486" s="2"/>
      <c r="Z486" s="2"/>
    </row>
    <row r="487" ht="13.5" customHeight="1">
      <c r="A487" s="2"/>
      <c r="B487" s="2"/>
      <c r="C487" s="2"/>
      <c r="D487" s="2"/>
      <c r="E487" s="2"/>
      <c r="F487" s="2"/>
      <c r="G487" s="2"/>
      <c r="H487" s="2"/>
      <c r="I487" s="2"/>
      <c r="J487" s="28"/>
      <c r="K487" s="181"/>
      <c r="L487" s="2"/>
      <c r="M487" s="2"/>
      <c r="N487" s="2"/>
      <c r="O487" s="2"/>
      <c r="P487" s="2"/>
      <c r="Q487" s="157"/>
      <c r="R487" s="157"/>
      <c r="S487" s="157"/>
      <c r="T487" s="2"/>
      <c r="U487" s="2"/>
      <c r="V487" s="2"/>
      <c r="W487" s="2"/>
      <c r="X487" s="2"/>
      <c r="Y487" s="2"/>
      <c r="Z487" s="2"/>
    </row>
    <row r="488" ht="13.5" customHeight="1">
      <c r="A488" s="2"/>
      <c r="B488" s="2"/>
      <c r="C488" s="2"/>
      <c r="D488" s="2"/>
      <c r="E488" s="2"/>
      <c r="F488" s="2"/>
      <c r="G488" s="2"/>
      <c r="H488" s="2"/>
      <c r="I488" s="2"/>
      <c r="J488" s="28"/>
      <c r="K488" s="181"/>
      <c r="L488" s="2"/>
      <c r="M488" s="2"/>
      <c r="N488" s="2"/>
      <c r="O488" s="2"/>
      <c r="P488" s="2"/>
      <c r="Q488" s="157"/>
      <c r="R488" s="157"/>
      <c r="S488" s="157"/>
      <c r="T488" s="2"/>
      <c r="U488" s="2"/>
      <c r="V488" s="2"/>
      <c r="W488" s="2"/>
      <c r="X488" s="2"/>
      <c r="Y488" s="2"/>
      <c r="Z488" s="2"/>
    </row>
    <row r="489" ht="13.5" customHeight="1">
      <c r="A489" s="2"/>
      <c r="B489" s="2"/>
      <c r="C489" s="2"/>
      <c r="D489" s="2"/>
      <c r="E489" s="2"/>
      <c r="F489" s="2"/>
      <c r="G489" s="2"/>
      <c r="H489" s="2"/>
      <c r="I489" s="2"/>
      <c r="J489" s="28"/>
      <c r="K489" s="181"/>
      <c r="L489" s="2"/>
      <c r="M489" s="2"/>
      <c r="N489" s="2"/>
      <c r="O489" s="2"/>
      <c r="P489" s="2"/>
      <c r="Q489" s="157"/>
      <c r="R489" s="157"/>
      <c r="S489" s="157"/>
      <c r="T489" s="2"/>
      <c r="U489" s="2"/>
      <c r="V489" s="2"/>
      <c r="W489" s="2"/>
      <c r="X489" s="2"/>
      <c r="Y489" s="2"/>
      <c r="Z489" s="2"/>
    </row>
    <row r="490" ht="13.5" customHeight="1">
      <c r="A490" s="2"/>
      <c r="B490" s="2"/>
      <c r="C490" s="2"/>
      <c r="D490" s="2"/>
      <c r="E490" s="2"/>
      <c r="F490" s="2"/>
      <c r="G490" s="2"/>
      <c r="H490" s="2"/>
      <c r="I490" s="2"/>
      <c r="J490" s="28"/>
      <c r="K490" s="181"/>
      <c r="L490" s="2"/>
      <c r="M490" s="2"/>
      <c r="N490" s="2"/>
      <c r="O490" s="2"/>
      <c r="P490" s="2"/>
      <c r="Q490" s="157"/>
      <c r="R490" s="157"/>
      <c r="S490" s="157"/>
      <c r="T490" s="2"/>
      <c r="U490" s="2"/>
      <c r="V490" s="2"/>
      <c r="W490" s="2"/>
      <c r="X490" s="2"/>
      <c r="Y490" s="2"/>
      <c r="Z490" s="2"/>
    </row>
    <row r="491" ht="13.5" customHeight="1">
      <c r="A491" s="2"/>
      <c r="B491" s="2"/>
      <c r="C491" s="2"/>
      <c r="D491" s="2"/>
      <c r="E491" s="2"/>
      <c r="F491" s="2"/>
      <c r="G491" s="2"/>
      <c r="H491" s="2"/>
      <c r="I491" s="2"/>
      <c r="J491" s="28"/>
      <c r="K491" s="181"/>
      <c r="L491" s="2"/>
      <c r="M491" s="2"/>
      <c r="N491" s="2"/>
      <c r="O491" s="2"/>
      <c r="P491" s="2"/>
      <c r="Q491" s="157"/>
      <c r="R491" s="157"/>
      <c r="S491" s="157"/>
      <c r="T491" s="2"/>
      <c r="U491" s="2"/>
      <c r="V491" s="2"/>
      <c r="W491" s="2"/>
      <c r="X491" s="2"/>
      <c r="Y491" s="2"/>
      <c r="Z491" s="2"/>
    </row>
    <row r="492" ht="13.5" customHeight="1">
      <c r="A492" s="2"/>
      <c r="B492" s="2"/>
      <c r="C492" s="2"/>
      <c r="D492" s="2"/>
      <c r="E492" s="2"/>
      <c r="F492" s="2"/>
      <c r="G492" s="2"/>
      <c r="H492" s="2"/>
      <c r="I492" s="2"/>
      <c r="J492" s="28"/>
      <c r="K492" s="181"/>
      <c r="L492" s="2"/>
      <c r="M492" s="2"/>
      <c r="N492" s="2"/>
      <c r="O492" s="2"/>
      <c r="P492" s="2"/>
      <c r="Q492" s="157"/>
      <c r="R492" s="157"/>
      <c r="S492" s="157"/>
      <c r="T492" s="2"/>
      <c r="U492" s="2"/>
      <c r="V492" s="2"/>
      <c r="W492" s="2"/>
      <c r="X492" s="2"/>
      <c r="Y492" s="2"/>
      <c r="Z492" s="2"/>
    </row>
    <row r="493" ht="13.5" customHeight="1">
      <c r="A493" s="2"/>
      <c r="B493" s="2"/>
      <c r="C493" s="2"/>
      <c r="D493" s="2"/>
      <c r="E493" s="2"/>
      <c r="F493" s="2"/>
      <c r="G493" s="2"/>
      <c r="H493" s="2"/>
      <c r="I493" s="2"/>
      <c r="J493" s="28"/>
      <c r="K493" s="181"/>
      <c r="L493" s="2"/>
      <c r="M493" s="2"/>
      <c r="N493" s="2"/>
      <c r="O493" s="2"/>
      <c r="P493" s="2"/>
      <c r="Q493" s="157"/>
      <c r="R493" s="157"/>
      <c r="S493" s="157"/>
      <c r="T493" s="2"/>
      <c r="U493" s="2"/>
      <c r="V493" s="2"/>
      <c r="W493" s="2"/>
      <c r="X493" s="2"/>
      <c r="Y493" s="2"/>
      <c r="Z493" s="2"/>
    </row>
    <row r="494" ht="13.5" customHeight="1">
      <c r="A494" s="2"/>
      <c r="B494" s="2"/>
      <c r="C494" s="2"/>
      <c r="D494" s="2"/>
      <c r="E494" s="2"/>
      <c r="F494" s="2"/>
      <c r="G494" s="2"/>
      <c r="H494" s="2"/>
      <c r="I494" s="2"/>
      <c r="J494" s="28"/>
      <c r="K494" s="181"/>
      <c r="L494" s="2"/>
      <c r="M494" s="2"/>
      <c r="N494" s="2"/>
      <c r="O494" s="2"/>
      <c r="P494" s="2"/>
      <c r="Q494" s="157"/>
      <c r="R494" s="157"/>
      <c r="S494" s="157"/>
      <c r="T494" s="2"/>
      <c r="U494" s="2"/>
      <c r="V494" s="2"/>
      <c r="W494" s="2"/>
      <c r="X494" s="2"/>
      <c r="Y494" s="2"/>
      <c r="Z494" s="2"/>
    </row>
    <row r="495" ht="13.5" customHeight="1">
      <c r="A495" s="2"/>
      <c r="B495" s="2"/>
      <c r="C495" s="2"/>
      <c r="D495" s="2"/>
      <c r="E495" s="2"/>
      <c r="F495" s="2"/>
      <c r="G495" s="2"/>
      <c r="H495" s="2"/>
      <c r="I495" s="2"/>
      <c r="J495" s="28"/>
      <c r="K495" s="181"/>
      <c r="L495" s="2"/>
      <c r="M495" s="2"/>
      <c r="N495" s="2"/>
      <c r="O495" s="2"/>
      <c r="P495" s="2"/>
      <c r="Q495" s="157"/>
      <c r="R495" s="157"/>
      <c r="S495" s="157"/>
      <c r="T495" s="2"/>
      <c r="U495" s="2"/>
      <c r="V495" s="2"/>
      <c r="W495" s="2"/>
      <c r="X495" s="2"/>
      <c r="Y495" s="2"/>
      <c r="Z495" s="2"/>
    </row>
    <row r="496" ht="13.5" customHeight="1">
      <c r="A496" s="2"/>
      <c r="B496" s="2"/>
      <c r="C496" s="2"/>
      <c r="D496" s="2"/>
      <c r="E496" s="2"/>
      <c r="F496" s="2"/>
      <c r="G496" s="2"/>
      <c r="H496" s="2"/>
      <c r="I496" s="2"/>
      <c r="J496" s="28"/>
      <c r="K496" s="181"/>
      <c r="L496" s="2"/>
      <c r="M496" s="2"/>
      <c r="N496" s="2"/>
      <c r="O496" s="2"/>
      <c r="P496" s="2"/>
      <c r="Q496" s="157"/>
      <c r="R496" s="157"/>
      <c r="S496" s="157"/>
      <c r="T496" s="2"/>
      <c r="U496" s="2"/>
      <c r="V496" s="2"/>
      <c r="W496" s="2"/>
      <c r="X496" s="2"/>
      <c r="Y496" s="2"/>
      <c r="Z496" s="2"/>
    </row>
    <row r="497" ht="13.5" customHeight="1">
      <c r="A497" s="2"/>
      <c r="B497" s="2"/>
      <c r="C497" s="2"/>
      <c r="D497" s="2"/>
      <c r="E497" s="2"/>
      <c r="F497" s="2"/>
      <c r="G497" s="2"/>
      <c r="H497" s="2"/>
      <c r="I497" s="2"/>
      <c r="J497" s="28"/>
      <c r="K497" s="181"/>
      <c r="L497" s="2"/>
      <c r="M497" s="2"/>
      <c r="N497" s="2"/>
      <c r="O497" s="2"/>
      <c r="P497" s="2"/>
      <c r="Q497" s="157"/>
      <c r="R497" s="157"/>
      <c r="S497" s="157"/>
      <c r="T497" s="2"/>
      <c r="U497" s="2"/>
      <c r="V497" s="2"/>
      <c r="W497" s="2"/>
      <c r="X497" s="2"/>
      <c r="Y497" s="2"/>
      <c r="Z497" s="2"/>
    </row>
    <row r="498" ht="13.5" customHeight="1">
      <c r="A498" s="2"/>
      <c r="B498" s="2"/>
      <c r="C498" s="2"/>
      <c r="D498" s="2"/>
      <c r="E498" s="2"/>
      <c r="F498" s="2"/>
      <c r="G498" s="2"/>
      <c r="H498" s="2"/>
      <c r="I498" s="2"/>
      <c r="J498" s="28"/>
      <c r="K498" s="181"/>
      <c r="L498" s="2"/>
      <c r="M498" s="2"/>
      <c r="N498" s="2"/>
      <c r="O498" s="2"/>
      <c r="P498" s="2"/>
      <c r="Q498" s="157"/>
      <c r="R498" s="157"/>
      <c r="S498" s="157"/>
      <c r="T498" s="2"/>
      <c r="U498" s="2"/>
      <c r="V498" s="2"/>
      <c r="W498" s="2"/>
      <c r="X498" s="2"/>
      <c r="Y498" s="2"/>
      <c r="Z498" s="2"/>
    </row>
    <row r="499" ht="13.5" customHeight="1">
      <c r="A499" s="2"/>
      <c r="B499" s="2"/>
      <c r="C499" s="2"/>
      <c r="D499" s="2"/>
      <c r="E499" s="2"/>
      <c r="F499" s="2"/>
      <c r="G499" s="2"/>
      <c r="H499" s="2"/>
      <c r="I499" s="2"/>
      <c r="J499" s="28"/>
      <c r="K499" s="181"/>
      <c r="L499" s="2"/>
      <c r="M499" s="2"/>
      <c r="N499" s="2"/>
      <c r="O499" s="2"/>
      <c r="P499" s="2"/>
      <c r="Q499" s="157"/>
      <c r="R499" s="157"/>
      <c r="S499" s="157"/>
      <c r="T499" s="2"/>
      <c r="U499" s="2"/>
      <c r="V499" s="2"/>
      <c r="W499" s="2"/>
      <c r="X499" s="2"/>
      <c r="Y499" s="2"/>
      <c r="Z499" s="2"/>
    </row>
    <row r="500" ht="13.5" customHeight="1">
      <c r="A500" s="2"/>
      <c r="B500" s="2"/>
      <c r="C500" s="2"/>
      <c r="D500" s="2"/>
      <c r="E500" s="2"/>
      <c r="F500" s="2"/>
      <c r="G500" s="2"/>
      <c r="H500" s="2"/>
      <c r="I500" s="2"/>
      <c r="J500" s="28"/>
      <c r="K500" s="181"/>
      <c r="L500" s="2"/>
      <c r="M500" s="2"/>
      <c r="N500" s="2"/>
      <c r="O500" s="2"/>
      <c r="P500" s="2"/>
      <c r="Q500" s="157"/>
      <c r="R500" s="157"/>
      <c r="S500" s="157"/>
      <c r="T500" s="2"/>
      <c r="U500" s="2"/>
      <c r="V500" s="2"/>
      <c r="W500" s="2"/>
      <c r="X500" s="2"/>
      <c r="Y500" s="2"/>
      <c r="Z500" s="2"/>
    </row>
    <row r="501" ht="13.5" customHeight="1">
      <c r="A501" s="2"/>
      <c r="B501" s="2"/>
      <c r="C501" s="2"/>
      <c r="D501" s="2"/>
      <c r="E501" s="2"/>
      <c r="F501" s="2"/>
      <c r="G501" s="2"/>
      <c r="H501" s="2"/>
      <c r="I501" s="2"/>
      <c r="J501" s="28"/>
      <c r="K501" s="181"/>
      <c r="L501" s="2"/>
      <c r="M501" s="2"/>
      <c r="N501" s="2"/>
      <c r="O501" s="2"/>
      <c r="P501" s="2"/>
      <c r="Q501" s="157"/>
      <c r="R501" s="157"/>
      <c r="S501" s="157"/>
      <c r="T501" s="2"/>
      <c r="U501" s="2"/>
      <c r="V501" s="2"/>
      <c r="W501" s="2"/>
      <c r="X501" s="2"/>
      <c r="Y501" s="2"/>
      <c r="Z501" s="2"/>
    </row>
    <row r="502" ht="13.5" customHeight="1">
      <c r="A502" s="2"/>
      <c r="B502" s="2"/>
      <c r="C502" s="2"/>
      <c r="D502" s="2"/>
      <c r="E502" s="2"/>
      <c r="F502" s="2"/>
      <c r="G502" s="2"/>
      <c r="H502" s="2"/>
      <c r="I502" s="2"/>
      <c r="J502" s="28"/>
      <c r="K502" s="181"/>
      <c r="L502" s="2"/>
      <c r="M502" s="2"/>
      <c r="N502" s="2"/>
      <c r="O502" s="2"/>
      <c r="P502" s="2"/>
      <c r="Q502" s="157"/>
      <c r="R502" s="157"/>
      <c r="S502" s="157"/>
      <c r="T502" s="2"/>
      <c r="U502" s="2"/>
      <c r="V502" s="2"/>
      <c r="W502" s="2"/>
      <c r="X502" s="2"/>
      <c r="Y502" s="2"/>
      <c r="Z502" s="2"/>
    </row>
    <row r="503" ht="13.5" customHeight="1">
      <c r="A503" s="2"/>
      <c r="B503" s="2"/>
      <c r="C503" s="2"/>
      <c r="D503" s="2"/>
      <c r="E503" s="2"/>
      <c r="F503" s="2"/>
      <c r="G503" s="2"/>
      <c r="H503" s="2"/>
      <c r="I503" s="2"/>
      <c r="J503" s="28"/>
      <c r="K503" s="181"/>
      <c r="L503" s="2"/>
      <c r="M503" s="2"/>
      <c r="N503" s="2"/>
      <c r="O503" s="2"/>
      <c r="P503" s="2"/>
      <c r="Q503" s="157"/>
      <c r="R503" s="157"/>
      <c r="S503" s="157"/>
      <c r="T503" s="2"/>
      <c r="U503" s="2"/>
      <c r="V503" s="2"/>
      <c r="W503" s="2"/>
      <c r="X503" s="2"/>
      <c r="Y503" s="2"/>
      <c r="Z503" s="2"/>
    </row>
    <row r="504" ht="13.5" customHeight="1">
      <c r="A504" s="2"/>
      <c r="B504" s="2"/>
      <c r="C504" s="2"/>
      <c r="D504" s="2"/>
      <c r="E504" s="2"/>
      <c r="F504" s="2"/>
      <c r="G504" s="2"/>
      <c r="H504" s="2"/>
      <c r="I504" s="2"/>
      <c r="J504" s="28"/>
      <c r="K504" s="181"/>
      <c r="L504" s="2"/>
      <c r="M504" s="2"/>
      <c r="N504" s="2"/>
      <c r="O504" s="2"/>
      <c r="P504" s="2"/>
      <c r="Q504" s="157"/>
      <c r="R504" s="157"/>
      <c r="S504" s="157"/>
      <c r="T504" s="2"/>
      <c r="U504" s="2"/>
      <c r="V504" s="2"/>
      <c r="W504" s="2"/>
      <c r="X504" s="2"/>
      <c r="Y504" s="2"/>
      <c r="Z504" s="2"/>
    </row>
    <row r="505" ht="13.5" customHeight="1">
      <c r="A505" s="2"/>
      <c r="B505" s="2"/>
      <c r="C505" s="2"/>
      <c r="D505" s="2"/>
      <c r="E505" s="2"/>
      <c r="F505" s="2"/>
      <c r="G505" s="2"/>
      <c r="H505" s="2"/>
      <c r="I505" s="2"/>
      <c r="J505" s="28"/>
      <c r="K505" s="181"/>
      <c r="L505" s="2"/>
      <c r="M505" s="2"/>
      <c r="N505" s="2"/>
      <c r="O505" s="2"/>
      <c r="P505" s="2"/>
      <c r="Q505" s="157"/>
      <c r="R505" s="157"/>
      <c r="S505" s="157"/>
      <c r="T505" s="2"/>
      <c r="U505" s="2"/>
      <c r="V505" s="2"/>
      <c r="W505" s="2"/>
      <c r="X505" s="2"/>
      <c r="Y505" s="2"/>
      <c r="Z505" s="2"/>
    </row>
    <row r="506" ht="13.5" customHeight="1">
      <c r="A506" s="2"/>
      <c r="B506" s="2"/>
      <c r="C506" s="2"/>
      <c r="D506" s="2"/>
      <c r="E506" s="2"/>
      <c r="F506" s="2"/>
      <c r="G506" s="2"/>
      <c r="H506" s="2"/>
      <c r="I506" s="2"/>
      <c r="J506" s="28"/>
      <c r="K506" s="181"/>
      <c r="L506" s="2"/>
      <c r="M506" s="2"/>
      <c r="N506" s="2"/>
      <c r="O506" s="2"/>
      <c r="P506" s="2"/>
      <c r="Q506" s="157"/>
      <c r="R506" s="157"/>
      <c r="S506" s="157"/>
      <c r="T506" s="2"/>
      <c r="U506" s="2"/>
      <c r="V506" s="2"/>
      <c r="W506" s="2"/>
      <c r="X506" s="2"/>
      <c r="Y506" s="2"/>
      <c r="Z506" s="2"/>
    </row>
    <row r="507" ht="13.5" customHeight="1">
      <c r="A507" s="2"/>
      <c r="B507" s="2"/>
      <c r="C507" s="2"/>
      <c r="D507" s="2"/>
      <c r="E507" s="2"/>
      <c r="F507" s="2"/>
      <c r="G507" s="2"/>
      <c r="H507" s="2"/>
      <c r="I507" s="2"/>
      <c r="J507" s="28"/>
      <c r="K507" s="181"/>
      <c r="L507" s="2"/>
      <c r="M507" s="2"/>
      <c r="N507" s="2"/>
      <c r="O507" s="2"/>
      <c r="P507" s="2"/>
      <c r="Q507" s="157"/>
      <c r="R507" s="157"/>
      <c r="S507" s="157"/>
      <c r="T507" s="2"/>
      <c r="U507" s="2"/>
      <c r="V507" s="2"/>
      <c r="W507" s="2"/>
      <c r="X507" s="2"/>
      <c r="Y507" s="2"/>
      <c r="Z507" s="2"/>
    </row>
    <row r="508" ht="13.5" customHeight="1">
      <c r="A508" s="2"/>
      <c r="B508" s="2"/>
      <c r="C508" s="2"/>
      <c r="D508" s="2"/>
      <c r="E508" s="2"/>
      <c r="F508" s="2"/>
      <c r="G508" s="2"/>
      <c r="H508" s="2"/>
      <c r="I508" s="2"/>
      <c r="J508" s="28"/>
      <c r="K508" s="181"/>
      <c r="L508" s="2"/>
      <c r="M508" s="2"/>
      <c r="N508" s="2"/>
      <c r="O508" s="2"/>
      <c r="P508" s="2"/>
      <c r="Q508" s="157"/>
      <c r="R508" s="157"/>
      <c r="S508" s="157"/>
      <c r="T508" s="2"/>
      <c r="U508" s="2"/>
      <c r="V508" s="2"/>
      <c r="W508" s="2"/>
      <c r="X508" s="2"/>
      <c r="Y508" s="2"/>
      <c r="Z508" s="2"/>
    </row>
    <row r="509" ht="13.5" customHeight="1">
      <c r="A509" s="2"/>
      <c r="B509" s="2"/>
      <c r="C509" s="2"/>
      <c r="D509" s="2"/>
      <c r="E509" s="2"/>
      <c r="F509" s="2"/>
      <c r="G509" s="2"/>
      <c r="H509" s="2"/>
      <c r="I509" s="2"/>
      <c r="J509" s="28"/>
      <c r="K509" s="181"/>
      <c r="L509" s="2"/>
      <c r="M509" s="2"/>
      <c r="N509" s="2"/>
      <c r="O509" s="2"/>
      <c r="P509" s="2"/>
      <c r="Q509" s="157"/>
      <c r="R509" s="157"/>
      <c r="S509" s="157"/>
      <c r="T509" s="2"/>
      <c r="U509" s="2"/>
      <c r="V509" s="2"/>
      <c r="W509" s="2"/>
      <c r="X509" s="2"/>
      <c r="Y509" s="2"/>
      <c r="Z509" s="2"/>
    </row>
    <row r="510" ht="13.5" customHeight="1">
      <c r="A510" s="2"/>
      <c r="B510" s="2"/>
      <c r="C510" s="2"/>
      <c r="D510" s="2"/>
      <c r="E510" s="2"/>
      <c r="F510" s="2"/>
      <c r="G510" s="2"/>
      <c r="H510" s="2"/>
      <c r="I510" s="2"/>
      <c r="J510" s="28"/>
      <c r="K510" s="181"/>
      <c r="L510" s="2"/>
      <c r="M510" s="2"/>
      <c r="N510" s="2"/>
      <c r="O510" s="2"/>
      <c r="P510" s="2"/>
      <c r="Q510" s="157"/>
      <c r="R510" s="157"/>
      <c r="S510" s="157"/>
      <c r="T510" s="2"/>
      <c r="U510" s="2"/>
      <c r="V510" s="2"/>
      <c r="W510" s="2"/>
      <c r="X510" s="2"/>
      <c r="Y510" s="2"/>
      <c r="Z510" s="2"/>
    </row>
    <row r="511" ht="13.5" customHeight="1">
      <c r="A511" s="2"/>
      <c r="B511" s="2"/>
      <c r="C511" s="2"/>
      <c r="D511" s="2"/>
      <c r="E511" s="2"/>
      <c r="F511" s="2"/>
      <c r="G511" s="2"/>
      <c r="H511" s="2"/>
      <c r="I511" s="2"/>
      <c r="J511" s="28"/>
      <c r="K511" s="181"/>
      <c r="L511" s="2"/>
      <c r="M511" s="2"/>
      <c r="N511" s="2"/>
      <c r="O511" s="2"/>
      <c r="P511" s="2"/>
      <c r="Q511" s="157"/>
      <c r="R511" s="157"/>
      <c r="S511" s="157"/>
      <c r="T511" s="2"/>
      <c r="U511" s="2"/>
      <c r="V511" s="2"/>
      <c r="W511" s="2"/>
      <c r="X511" s="2"/>
      <c r="Y511" s="2"/>
      <c r="Z511" s="2"/>
    </row>
    <row r="512" ht="13.5" customHeight="1">
      <c r="A512" s="2"/>
      <c r="B512" s="2"/>
      <c r="C512" s="2"/>
      <c r="D512" s="2"/>
      <c r="E512" s="2"/>
      <c r="F512" s="2"/>
      <c r="G512" s="2"/>
      <c r="H512" s="2"/>
      <c r="I512" s="2"/>
      <c r="J512" s="28"/>
      <c r="K512" s="181"/>
      <c r="L512" s="2"/>
      <c r="M512" s="2"/>
      <c r="N512" s="2"/>
      <c r="O512" s="2"/>
      <c r="P512" s="2"/>
      <c r="Q512" s="157"/>
      <c r="R512" s="157"/>
      <c r="S512" s="157"/>
      <c r="T512" s="2"/>
      <c r="U512" s="2"/>
      <c r="V512" s="2"/>
      <c r="W512" s="2"/>
      <c r="X512" s="2"/>
      <c r="Y512" s="2"/>
      <c r="Z512" s="2"/>
    </row>
    <row r="513" ht="13.5" customHeight="1">
      <c r="A513" s="2"/>
      <c r="B513" s="2"/>
      <c r="C513" s="2"/>
      <c r="D513" s="2"/>
      <c r="E513" s="2"/>
      <c r="F513" s="2"/>
      <c r="G513" s="2"/>
      <c r="H513" s="2"/>
      <c r="I513" s="2"/>
      <c r="J513" s="28"/>
      <c r="K513" s="181"/>
      <c r="L513" s="2"/>
      <c r="M513" s="2"/>
      <c r="N513" s="2"/>
      <c r="O513" s="2"/>
      <c r="P513" s="2"/>
      <c r="Q513" s="157"/>
      <c r="R513" s="157"/>
      <c r="S513" s="157"/>
      <c r="T513" s="2"/>
      <c r="U513" s="2"/>
      <c r="V513" s="2"/>
      <c r="W513" s="2"/>
      <c r="X513" s="2"/>
      <c r="Y513" s="2"/>
      <c r="Z513" s="2"/>
    </row>
    <row r="514" ht="13.5" customHeight="1">
      <c r="A514" s="2"/>
      <c r="B514" s="2"/>
      <c r="C514" s="2"/>
      <c r="D514" s="2"/>
      <c r="E514" s="2"/>
      <c r="F514" s="2"/>
      <c r="G514" s="2"/>
      <c r="H514" s="2"/>
      <c r="I514" s="2"/>
      <c r="J514" s="28"/>
      <c r="K514" s="181"/>
      <c r="L514" s="2"/>
      <c r="M514" s="2"/>
      <c r="N514" s="2"/>
      <c r="O514" s="2"/>
      <c r="P514" s="2"/>
      <c r="Q514" s="157"/>
      <c r="R514" s="157"/>
      <c r="S514" s="157"/>
      <c r="T514" s="2"/>
      <c r="U514" s="2"/>
      <c r="V514" s="2"/>
      <c r="W514" s="2"/>
      <c r="X514" s="2"/>
      <c r="Y514" s="2"/>
      <c r="Z514" s="2"/>
    </row>
    <row r="515" ht="13.5" customHeight="1">
      <c r="A515" s="2"/>
      <c r="B515" s="2"/>
      <c r="C515" s="2"/>
      <c r="D515" s="2"/>
      <c r="E515" s="2"/>
      <c r="F515" s="2"/>
      <c r="G515" s="2"/>
      <c r="H515" s="2"/>
      <c r="I515" s="2"/>
      <c r="J515" s="28"/>
      <c r="K515" s="181"/>
      <c r="L515" s="2"/>
      <c r="M515" s="2"/>
      <c r="N515" s="2"/>
      <c r="O515" s="2"/>
      <c r="P515" s="2"/>
      <c r="Q515" s="157"/>
      <c r="R515" s="157"/>
      <c r="S515" s="157"/>
      <c r="T515" s="2"/>
      <c r="U515" s="2"/>
      <c r="V515" s="2"/>
      <c r="W515" s="2"/>
      <c r="X515" s="2"/>
      <c r="Y515" s="2"/>
      <c r="Z515" s="2"/>
    </row>
    <row r="516" ht="13.5" customHeight="1">
      <c r="A516" s="2"/>
      <c r="B516" s="2"/>
      <c r="C516" s="2"/>
      <c r="D516" s="2"/>
      <c r="E516" s="2"/>
      <c r="F516" s="2"/>
      <c r="G516" s="2"/>
      <c r="H516" s="2"/>
      <c r="I516" s="2"/>
      <c r="J516" s="28"/>
      <c r="K516" s="181"/>
      <c r="L516" s="2"/>
      <c r="M516" s="2"/>
      <c r="N516" s="2"/>
      <c r="O516" s="2"/>
      <c r="P516" s="2"/>
      <c r="Q516" s="157"/>
      <c r="R516" s="157"/>
      <c r="S516" s="157"/>
      <c r="T516" s="2"/>
      <c r="U516" s="2"/>
      <c r="V516" s="2"/>
      <c r="W516" s="2"/>
      <c r="X516" s="2"/>
      <c r="Y516" s="2"/>
      <c r="Z516" s="2"/>
    </row>
    <row r="517" ht="13.5" customHeight="1">
      <c r="A517" s="2"/>
      <c r="B517" s="2"/>
      <c r="C517" s="2"/>
      <c r="D517" s="2"/>
      <c r="E517" s="2"/>
      <c r="F517" s="2"/>
      <c r="G517" s="2"/>
      <c r="H517" s="2"/>
      <c r="I517" s="2"/>
      <c r="J517" s="28"/>
      <c r="K517" s="181"/>
      <c r="L517" s="2"/>
      <c r="M517" s="2"/>
      <c r="N517" s="2"/>
      <c r="O517" s="2"/>
      <c r="P517" s="2"/>
      <c r="Q517" s="157"/>
      <c r="R517" s="157"/>
      <c r="S517" s="157"/>
      <c r="T517" s="2"/>
      <c r="U517" s="2"/>
      <c r="V517" s="2"/>
      <c r="W517" s="2"/>
      <c r="X517" s="2"/>
      <c r="Y517" s="2"/>
      <c r="Z517" s="2"/>
    </row>
    <row r="518" ht="13.5" customHeight="1">
      <c r="A518" s="2"/>
      <c r="B518" s="2"/>
      <c r="C518" s="2"/>
      <c r="D518" s="2"/>
      <c r="E518" s="2"/>
      <c r="F518" s="2"/>
      <c r="G518" s="2"/>
      <c r="H518" s="2"/>
      <c r="I518" s="2"/>
      <c r="J518" s="28"/>
      <c r="K518" s="181"/>
      <c r="L518" s="2"/>
      <c r="M518" s="2"/>
      <c r="N518" s="2"/>
      <c r="O518" s="2"/>
      <c r="P518" s="2"/>
      <c r="Q518" s="157"/>
      <c r="R518" s="157"/>
      <c r="S518" s="157"/>
      <c r="T518" s="2"/>
      <c r="U518" s="2"/>
      <c r="V518" s="2"/>
      <c r="W518" s="2"/>
      <c r="X518" s="2"/>
      <c r="Y518" s="2"/>
      <c r="Z518" s="2"/>
    </row>
    <row r="519" ht="13.5" customHeight="1">
      <c r="A519" s="2"/>
      <c r="B519" s="2"/>
      <c r="C519" s="2"/>
      <c r="D519" s="2"/>
      <c r="E519" s="2"/>
      <c r="F519" s="2"/>
      <c r="G519" s="2"/>
      <c r="H519" s="2"/>
      <c r="I519" s="2"/>
      <c r="J519" s="28"/>
      <c r="K519" s="181"/>
      <c r="L519" s="2"/>
      <c r="M519" s="2"/>
      <c r="N519" s="2"/>
      <c r="O519" s="2"/>
      <c r="P519" s="2"/>
      <c r="Q519" s="157"/>
      <c r="R519" s="157"/>
      <c r="S519" s="157"/>
      <c r="T519" s="2"/>
      <c r="U519" s="2"/>
      <c r="V519" s="2"/>
      <c r="W519" s="2"/>
      <c r="X519" s="2"/>
      <c r="Y519" s="2"/>
      <c r="Z519" s="2"/>
    </row>
    <row r="520" ht="13.5" customHeight="1">
      <c r="A520" s="2"/>
      <c r="B520" s="2"/>
      <c r="C520" s="2"/>
      <c r="D520" s="2"/>
      <c r="E520" s="2"/>
      <c r="F520" s="2"/>
      <c r="G520" s="2"/>
      <c r="H520" s="2"/>
      <c r="I520" s="2"/>
      <c r="J520" s="28"/>
      <c r="K520" s="181"/>
      <c r="L520" s="2"/>
      <c r="M520" s="2"/>
      <c r="N520" s="2"/>
      <c r="O520" s="2"/>
      <c r="P520" s="2"/>
      <c r="Q520" s="157"/>
      <c r="R520" s="157"/>
      <c r="S520" s="157"/>
      <c r="T520" s="2"/>
      <c r="U520" s="2"/>
      <c r="V520" s="2"/>
      <c r="W520" s="2"/>
      <c r="X520" s="2"/>
      <c r="Y520" s="2"/>
      <c r="Z520" s="2"/>
    </row>
    <row r="521" ht="13.5" customHeight="1">
      <c r="A521" s="2"/>
      <c r="B521" s="2"/>
      <c r="C521" s="2"/>
      <c r="D521" s="2"/>
      <c r="E521" s="2"/>
      <c r="F521" s="2"/>
      <c r="G521" s="2"/>
      <c r="H521" s="2"/>
      <c r="I521" s="2"/>
      <c r="J521" s="28"/>
      <c r="K521" s="181"/>
      <c r="L521" s="2"/>
      <c r="M521" s="2"/>
      <c r="N521" s="2"/>
      <c r="O521" s="2"/>
      <c r="P521" s="2"/>
      <c r="Q521" s="157"/>
      <c r="R521" s="157"/>
      <c r="S521" s="157"/>
      <c r="T521" s="2"/>
      <c r="U521" s="2"/>
      <c r="V521" s="2"/>
      <c r="W521" s="2"/>
      <c r="X521" s="2"/>
      <c r="Y521" s="2"/>
      <c r="Z521" s="2"/>
    </row>
    <row r="522" ht="13.5" customHeight="1">
      <c r="A522" s="2"/>
      <c r="B522" s="2"/>
      <c r="C522" s="2"/>
      <c r="D522" s="2"/>
      <c r="E522" s="2"/>
      <c r="F522" s="2"/>
      <c r="G522" s="2"/>
      <c r="H522" s="2"/>
      <c r="I522" s="2"/>
      <c r="J522" s="28"/>
      <c r="K522" s="181"/>
      <c r="L522" s="2"/>
      <c r="M522" s="2"/>
      <c r="N522" s="2"/>
      <c r="O522" s="2"/>
      <c r="P522" s="2"/>
      <c r="Q522" s="157"/>
      <c r="R522" s="157"/>
      <c r="S522" s="157"/>
      <c r="T522" s="2"/>
      <c r="U522" s="2"/>
      <c r="V522" s="2"/>
      <c r="W522" s="2"/>
      <c r="X522" s="2"/>
      <c r="Y522" s="2"/>
      <c r="Z522" s="2"/>
    </row>
    <row r="523" ht="13.5" customHeight="1">
      <c r="A523" s="2"/>
      <c r="B523" s="2"/>
      <c r="C523" s="2"/>
      <c r="D523" s="2"/>
      <c r="E523" s="2"/>
      <c r="F523" s="2"/>
      <c r="G523" s="2"/>
      <c r="H523" s="2"/>
      <c r="I523" s="2"/>
      <c r="J523" s="28"/>
      <c r="K523" s="181"/>
      <c r="L523" s="2"/>
      <c r="M523" s="2"/>
      <c r="N523" s="2"/>
      <c r="O523" s="2"/>
      <c r="P523" s="2"/>
      <c r="Q523" s="157"/>
      <c r="R523" s="157"/>
      <c r="S523" s="157"/>
      <c r="T523" s="2"/>
      <c r="U523" s="2"/>
      <c r="V523" s="2"/>
      <c r="W523" s="2"/>
      <c r="X523" s="2"/>
      <c r="Y523" s="2"/>
      <c r="Z523" s="2"/>
    </row>
    <row r="524" ht="13.5" customHeight="1">
      <c r="A524" s="2"/>
      <c r="B524" s="2"/>
      <c r="C524" s="2"/>
      <c r="D524" s="2"/>
      <c r="E524" s="2"/>
      <c r="F524" s="2"/>
      <c r="G524" s="2"/>
      <c r="H524" s="2"/>
      <c r="I524" s="2"/>
      <c r="J524" s="28"/>
      <c r="K524" s="181"/>
      <c r="L524" s="2"/>
      <c r="M524" s="2"/>
      <c r="N524" s="2"/>
      <c r="O524" s="2"/>
      <c r="P524" s="2"/>
      <c r="Q524" s="157"/>
      <c r="R524" s="157"/>
      <c r="S524" s="157"/>
      <c r="T524" s="2"/>
      <c r="U524" s="2"/>
      <c r="V524" s="2"/>
      <c r="W524" s="2"/>
      <c r="X524" s="2"/>
      <c r="Y524" s="2"/>
      <c r="Z524" s="2"/>
    </row>
    <row r="525" ht="13.5" customHeight="1">
      <c r="A525" s="2"/>
      <c r="B525" s="2"/>
      <c r="C525" s="2"/>
      <c r="D525" s="2"/>
      <c r="E525" s="2"/>
      <c r="F525" s="2"/>
      <c r="G525" s="2"/>
      <c r="H525" s="2"/>
      <c r="I525" s="2"/>
      <c r="J525" s="28"/>
      <c r="K525" s="181"/>
      <c r="L525" s="2"/>
      <c r="M525" s="2"/>
      <c r="N525" s="2"/>
      <c r="O525" s="2"/>
      <c r="P525" s="2"/>
      <c r="Q525" s="157"/>
      <c r="R525" s="157"/>
      <c r="S525" s="157"/>
      <c r="T525" s="2"/>
      <c r="U525" s="2"/>
      <c r="V525" s="2"/>
      <c r="W525" s="2"/>
      <c r="X525" s="2"/>
      <c r="Y525" s="2"/>
      <c r="Z525" s="2"/>
    </row>
    <row r="526" ht="13.5" customHeight="1">
      <c r="A526" s="2"/>
      <c r="B526" s="2"/>
      <c r="C526" s="2"/>
      <c r="D526" s="2"/>
      <c r="E526" s="2"/>
      <c r="F526" s="2"/>
      <c r="G526" s="2"/>
      <c r="H526" s="2"/>
      <c r="I526" s="2"/>
      <c r="J526" s="28"/>
      <c r="K526" s="181"/>
      <c r="L526" s="2"/>
      <c r="M526" s="2"/>
      <c r="N526" s="2"/>
      <c r="O526" s="2"/>
      <c r="P526" s="2"/>
      <c r="Q526" s="157"/>
      <c r="R526" s="157"/>
      <c r="S526" s="157"/>
      <c r="T526" s="2"/>
      <c r="U526" s="2"/>
      <c r="V526" s="2"/>
      <c r="W526" s="2"/>
      <c r="X526" s="2"/>
      <c r="Y526" s="2"/>
      <c r="Z526" s="2"/>
    </row>
    <row r="527" ht="13.5" customHeight="1">
      <c r="A527" s="2"/>
      <c r="B527" s="2"/>
      <c r="C527" s="2"/>
      <c r="D527" s="2"/>
      <c r="E527" s="2"/>
      <c r="F527" s="2"/>
      <c r="G527" s="2"/>
      <c r="H527" s="2"/>
      <c r="I527" s="2"/>
      <c r="J527" s="28"/>
      <c r="K527" s="181"/>
      <c r="L527" s="2"/>
      <c r="M527" s="2"/>
      <c r="N527" s="2"/>
      <c r="O527" s="2"/>
      <c r="P527" s="2"/>
      <c r="Q527" s="157"/>
      <c r="R527" s="157"/>
      <c r="S527" s="157"/>
      <c r="T527" s="2"/>
      <c r="U527" s="2"/>
      <c r="V527" s="2"/>
      <c r="W527" s="2"/>
      <c r="X527" s="2"/>
      <c r="Y527" s="2"/>
      <c r="Z527" s="2"/>
    </row>
    <row r="528" ht="13.5" customHeight="1">
      <c r="A528" s="2"/>
      <c r="B528" s="2"/>
      <c r="C528" s="2"/>
      <c r="D528" s="2"/>
      <c r="E528" s="2"/>
      <c r="F528" s="2"/>
      <c r="G528" s="2"/>
      <c r="H528" s="2"/>
      <c r="I528" s="2"/>
      <c r="J528" s="28"/>
      <c r="K528" s="181"/>
      <c r="L528" s="2"/>
      <c r="M528" s="2"/>
      <c r="N528" s="2"/>
      <c r="O528" s="2"/>
      <c r="P528" s="2"/>
      <c r="Q528" s="157"/>
      <c r="R528" s="157"/>
      <c r="S528" s="157"/>
      <c r="T528" s="2"/>
      <c r="U528" s="2"/>
      <c r="V528" s="2"/>
      <c r="W528" s="2"/>
      <c r="X528" s="2"/>
      <c r="Y528" s="2"/>
      <c r="Z528" s="2"/>
    </row>
    <row r="529" ht="13.5" customHeight="1">
      <c r="A529" s="2"/>
      <c r="B529" s="2"/>
      <c r="C529" s="2"/>
      <c r="D529" s="2"/>
      <c r="E529" s="2"/>
      <c r="F529" s="2"/>
      <c r="G529" s="2"/>
      <c r="H529" s="2"/>
      <c r="I529" s="2"/>
      <c r="J529" s="28"/>
      <c r="K529" s="181"/>
      <c r="L529" s="2"/>
      <c r="M529" s="2"/>
      <c r="N529" s="2"/>
      <c r="O529" s="2"/>
      <c r="P529" s="2"/>
      <c r="Q529" s="157"/>
      <c r="R529" s="157"/>
      <c r="S529" s="157"/>
      <c r="T529" s="2"/>
      <c r="U529" s="2"/>
      <c r="V529" s="2"/>
      <c r="W529" s="2"/>
      <c r="X529" s="2"/>
      <c r="Y529" s="2"/>
      <c r="Z529" s="2"/>
    </row>
    <row r="530" ht="13.5" customHeight="1">
      <c r="A530" s="2"/>
      <c r="B530" s="2"/>
      <c r="C530" s="2"/>
      <c r="D530" s="2"/>
      <c r="E530" s="2"/>
      <c r="F530" s="2"/>
      <c r="G530" s="2"/>
      <c r="H530" s="2"/>
      <c r="I530" s="2"/>
      <c r="J530" s="28"/>
      <c r="K530" s="181"/>
      <c r="L530" s="2"/>
      <c r="M530" s="2"/>
      <c r="N530" s="2"/>
      <c r="O530" s="2"/>
      <c r="P530" s="2"/>
      <c r="Q530" s="157"/>
      <c r="R530" s="157"/>
      <c r="S530" s="157"/>
      <c r="T530" s="2"/>
      <c r="U530" s="2"/>
      <c r="V530" s="2"/>
      <c r="W530" s="2"/>
      <c r="X530" s="2"/>
      <c r="Y530" s="2"/>
      <c r="Z530" s="2"/>
    </row>
    <row r="531" ht="13.5" customHeight="1">
      <c r="A531" s="2"/>
      <c r="B531" s="2"/>
      <c r="C531" s="2"/>
      <c r="D531" s="2"/>
      <c r="E531" s="2"/>
      <c r="F531" s="2"/>
      <c r="G531" s="2"/>
      <c r="H531" s="2"/>
      <c r="I531" s="2"/>
      <c r="J531" s="28"/>
      <c r="K531" s="181"/>
      <c r="L531" s="2"/>
      <c r="M531" s="2"/>
      <c r="N531" s="2"/>
      <c r="O531" s="2"/>
      <c r="P531" s="2"/>
      <c r="Q531" s="157"/>
      <c r="R531" s="157"/>
      <c r="S531" s="157"/>
      <c r="T531" s="2"/>
      <c r="U531" s="2"/>
      <c r="V531" s="2"/>
      <c r="W531" s="2"/>
      <c r="X531" s="2"/>
      <c r="Y531" s="2"/>
      <c r="Z531" s="2"/>
    </row>
    <row r="532" ht="13.5" customHeight="1">
      <c r="A532" s="2"/>
      <c r="B532" s="2"/>
      <c r="C532" s="2"/>
      <c r="D532" s="2"/>
      <c r="E532" s="2"/>
      <c r="F532" s="2"/>
      <c r="G532" s="2"/>
      <c r="H532" s="2"/>
      <c r="I532" s="2"/>
      <c r="J532" s="28"/>
      <c r="K532" s="181"/>
      <c r="L532" s="2"/>
      <c r="M532" s="2"/>
      <c r="N532" s="2"/>
      <c r="O532" s="2"/>
      <c r="P532" s="2"/>
      <c r="Q532" s="157"/>
      <c r="R532" s="157"/>
      <c r="S532" s="157"/>
      <c r="T532" s="2"/>
      <c r="U532" s="2"/>
      <c r="V532" s="2"/>
      <c r="W532" s="2"/>
      <c r="X532" s="2"/>
      <c r="Y532" s="2"/>
      <c r="Z532" s="2"/>
    </row>
    <row r="533" ht="13.5" customHeight="1">
      <c r="A533" s="2"/>
      <c r="B533" s="2"/>
      <c r="C533" s="2"/>
      <c r="D533" s="2"/>
      <c r="E533" s="2"/>
      <c r="F533" s="2"/>
      <c r="G533" s="2"/>
      <c r="H533" s="2"/>
      <c r="I533" s="2"/>
      <c r="J533" s="28"/>
      <c r="K533" s="181"/>
      <c r="L533" s="2"/>
      <c r="M533" s="2"/>
      <c r="N533" s="2"/>
      <c r="O533" s="2"/>
      <c r="P533" s="2"/>
      <c r="Q533" s="157"/>
      <c r="R533" s="157"/>
      <c r="S533" s="157"/>
      <c r="T533" s="2"/>
      <c r="U533" s="2"/>
      <c r="V533" s="2"/>
      <c r="W533" s="2"/>
      <c r="X533" s="2"/>
      <c r="Y533" s="2"/>
      <c r="Z533" s="2"/>
    </row>
    <row r="534" ht="13.5" customHeight="1">
      <c r="A534" s="2"/>
      <c r="B534" s="2"/>
      <c r="C534" s="2"/>
      <c r="D534" s="2"/>
      <c r="E534" s="2"/>
      <c r="F534" s="2"/>
      <c r="G534" s="2"/>
      <c r="H534" s="2"/>
      <c r="I534" s="2"/>
      <c r="J534" s="28"/>
      <c r="K534" s="181"/>
      <c r="L534" s="2"/>
      <c r="M534" s="2"/>
      <c r="N534" s="2"/>
      <c r="O534" s="2"/>
      <c r="P534" s="2"/>
      <c r="Q534" s="157"/>
      <c r="R534" s="157"/>
      <c r="S534" s="157"/>
      <c r="T534" s="2"/>
      <c r="U534" s="2"/>
      <c r="V534" s="2"/>
      <c r="W534" s="2"/>
      <c r="X534" s="2"/>
      <c r="Y534" s="2"/>
      <c r="Z534" s="2"/>
    </row>
    <row r="535" ht="13.5" customHeight="1">
      <c r="A535" s="2"/>
      <c r="B535" s="2"/>
      <c r="C535" s="2"/>
      <c r="D535" s="2"/>
      <c r="E535" s="2"/>
      <c r="F535" s="2"/>
      <c r="G535" s="2"/>
      <c r="H535" s="2"/>
      <c r="I535" s="2"/>
      <c r="J535" s="28"/>
      <c r="K535" s="181"/>
      <c r="L535" s="2"/>
      <c r="M535" s="2"/>
      <c r="N535" s="2"/>
      <c r="O535" s="2"/>
      <c r="P535" s="2"/>
      <c r="Q535" s="157"/>
      <c r="R535" s="157"/>
      <c r="S535" s="157"/>
      <c r="T535" s="2"/>
      <c r="U535" s="2"/>
      <c r="V535" s="2"/>
      <c r="W535" s="2"/>
      <c r="X535" s="2"/>
      <c r="Y535" s="2"/>
      <c r="Z535" s="2"/>
    </row>
    <row r="536" ht="13.5" customHeight="1">
      <c r="A536" s="2"/>
      <c r="B536" s="2"/>
      <c r="C536" s="2"/>
      <c r="D536" s="2"/>
      <c r="E536" s="2"/>
      <c r="F536" s="2"/>
      <c r="G536" s="2"/>
      <c r="H536" s="2"/>
      <c r="I536" s="2"/>
      <c r="J536" s="28"/>
      <c r="K536" s="181"/>
      <c r="L536" s="2"/>
      <c r="M536" s="2"/>
      <c r="N536" s="2"/>
      <c r="O536" s="2"/>
      <c r="P536" s="2"/>
      <c r="Q536" s="157"/>
      <c r="R536" s="157"/>
      <c r="S536" s="157"/>
      <c r="T536" s="2"/>
      <c r="U536" s="2"/>
      <c r="V536" s="2"/>
      <c r="W536" s="2"/>
      <c r="X536" s="2"/>
      <c r="Y536" s="2"/>
      <c r="Z536" s="2"/>
    </row>
    <row r="537" ht="13.5" customHeight="1">
      <c r="A537" s="2"/>
      <c r="B537" s="2"/>
      <c r="C537" s="2"/>
      <c r="D537" s="2"/>
      <c r="E537" s="2"/>
      <c r="F537" s="2"/>
      <c r="G537" s="2"/>
      <c r="H537" s="2"/>
      <c r="I537" s="2"/>
      <c r="J537" s="28"/>
      <c r="K537" s="181"/>
      <c r="L537" s="2"/>
      <c r="M537" s="2"/>
      <c r="N537" s="2"/>
      <c r="O537" s="2"/>
      <c r="P537" s="2"/>
      <c r="Q537" s="157"/>
      <c r="R537" s="157"/>
      <c r="S537" s="157"/>
      <c r="T537" s="2"/>
      <c r="U537" s="2"/>
      <c r="V537" s="2"/>
      <c r="W537" s="2"/>
      <c r="X537" s="2"/>
      <c r="Y537" s="2"/>
      <c r="Z537" s="2"/>
    </row>
    <row r="538" ht="13.5" customHeight="1">
      <c r="A538" s="2"/>
      <c r="B538" s="2"/>
      <c r="C538" s="2"/>
      <c r="D538" s="2"/>
      <c r="E538" s="2"/>
      <c r="F538" s="2"/>
      <c r="G538" s="2"/>
      <c r="H538" s="2"/>
      <c r="I538" s="2"/>
      <c r="J538" s="28"/>
      <c r="K538" s="181"/>
      <c r="L538" s="2"/>
      <c r="M538" s="2"/>
      <c r="N538" s="2"/>
      <c r="O538" s="2"/>
      <c r="P538" s="2"/>
      <c r="Q538" s="157"/>
      <c r="R538" s="157"/>
      <c r="S538" s="157"/>
      <c r="T538" s="2"/>
      <c r="U538" s="2"/>
      <c r="V538" s="2"/>
      <c r="W538" s="2"/>
      <c r="X538" s="2"/>
      <c r="Y538" s="2"/>
      <c r="Z538" s="2"/>
    </row>
    <row r="539" ht="13.5" customHeight="1">
      <c r="A539" s="2"/>
      <c r="B539" s="2"/>
      <c r="C539" s="2"/>
      <c r="D539" s="2"/>
      <c r="E539" s="2"/>
      <c r="F539" s="2"/>
      <c r="G539" s="2"/>
      <c r="H539" s="2"/>
      <c r="I539" s="2"/>
      <c r="J539" s="28"/>
      <c r="K539" s="181"/>
      <c r="L539" s="2"/>
      <c r="M539" s="2"/>
      <c r="N539" s="2"/>
      <c r="O539" s="2"/>
      <c r="P539" s="2"/>
      <c r="Q539" s="157"/>
      <c r="R539" s="157"/>
      <c r="S539" s="157"/>
      <c r="T539" s="2"/>
      <c r="U539" s="2"/>
      <c r="V539" s="2"/>
      <c r="W539" s="2"/>
      <c r="X539" s="2"/>
      <c r="Y539" s="2"/>
      <c r="Z539" s="2"/>
    </row>
    <row r="540" ht="13.5" customHeight="1">
      <c r="A540" s="2"/>
      <c r="B540" s="2"/>
      <c r="C540" s="2"/>
      <c r="D540" s="2"/>
      <c r="E540" s="2"/>
      <c r="F540" s="2"/>
      <c r="G540" s="2"/>
      <c r="H540" s="2"/>
      <c r="I540" s="2"/>
      <c r="J540" s="28"/>
      <c r="K540" s="181"/>
      <c r="L540" s="2"/>
      <c r="M540" s="2"/>
      <c r="N540" s="2"/>
      <c r="O540" s="2"/>
      <c r="P540" s="2"/>
      <c r="Q540" s="157"/>
      <c r="R540" s="157"/>
      <c r="S540" s="157"/>
      <c r="T540" s="2"/>
      <c r="U540" s="2"/>
      <c r="V540" s="2"/>
      <c r="W540" s="2"/>
      <c r="X540" s="2"/>
      <c r="Y540" s="2"/>
      <c r="Z540" s="2"/>
    </row>
    <row r="541" ht="13.5" customHeight="1">
      <c r="A541" s="2"/>
      <c r="B541" s="2"/>
      <c r="C541" s="2"/>
      <c r="D541" s="2"/>
      <c r="E541" s="2"/>
      <c r="F541" s="2"/>
      <c r="G541" s="2"/>
      <c r="H541" s="2"/>
      <c r="I541" s="2"/>
      <c r="J541" s="28"/>
      <c r="K541" s="181"/>
      <c r="L541" s="2"/>
      <c r="M541" s="2"/>
      <c r="N541" s="2"/>
      <c r="O541" s="2"/>
      <c r="P541" s="2"/>
      <c r="Q541" s="157"/>
      <c r="R541" s="157"/>
      <c r="S541" s="157"/>
      <c r="T541" s="2"/>
      <c r="U541" s="2"/>
      <c r="V541" s="2"/>
      <c r="W541" s="2"/>
      <c r="X541" s="2"/>
      <c r="Y541" s="2"/>
      <c r="Z541" s="2"/>
    </row>
    <row r="542" ht="13.5" customHeight="1">
      <c r="A542" s="2"/>
      <c r="B542" s="2"/>
      <c r="C542" s="2"/>
      <c r="D542" s="2"/>
      <c r="E542" s="2"/>
      <c r="F542" s="2"/>
      <c r="G542" s="2"/>
      <c r="H542" s="2"/>
      <c r="I542" s="2"/>
      <c r="J542" s="28"/>
      <c r="K542" s="181"/>
      <c r="L542" s="2"/>
      <c r="M542" s="2"/>
      <c r="N542" s="2"/>
      <c r="O542" s="2"/>
      <c r="P542" s="2"/>
      <c r="Q542" s="157"/>
      <c r="R542" s="157"/>
      <c r="S542" s="157"/>
      <c r="T542" s="2"/>
      <c r="U542" s="2"/>
      <c r="V542" s="2"/>
      <c r="W542" s="2"/>
      <c r="X542" s="2"/>
      <c r="Y542" s="2"/>
      <c r="Z542" s="2"/>
    </row>
    <row r="543" ht="13.5" customHeight="1">
      <c r="A543" s="2"/>
      <c r="B543" s="2"/>
      <c r="C543" s="2"/>
      <c r="D543" s="2"/>
      <c r="E543" s="2"/>
      <c r="F543" s="2"/>
      <c r="G543" s="2"/>
      <c r="H543" s="2"/>
      <c r="I543" s="2"/>
      <c r="J543" s="28"/>
      <c r="K543" s="181"/>
      <c r="L543" s="2"/>
      <c r="M543" s="2"/>
      <c r="N543" s="2"/>
      <c r="O543" s="2"/>
      <c r="P543" s="2"/>
      <c r="Q543" s="157"/>
      <c r="R543" s="157"/>
      <c r="S543" s="157"/>
      <c r="T543" s="2"/>
      <c r="U543" s="2"/>
      <c r="V543" s="2"/>
      <c r="W543" s="2"/>
      <c r="X543" s="2"/>
      <c r="Y543" s="2"/>
      <c r="Z543" s="2"/>
    </row>
    <row r="544" ht="13.5" customHeight="1">
      <c r="A544" s="2"/>
      <c r="B544" s="2"/>
      <c r="C544" s="2"/>
      <c r="D544" s="2"/>
      <c r="E544" s="2"/>
      <c r="F544" s="2"/>
      <c r="G544" s="2"/>
      <c r="H544" s="2"/>
      <c r="I544" s="2"/>
      <c r="J544" s="28"/>
      <c r="K544" s="181"/>
      <c r="L544" s="2"/>
      <c r="M544" s="2"/>
      <c r="N544" s="2"/>
      <c r="O544" s="2"/>
      <c r="P544" s="2"/>
      <c r="Q544" s="157"/>
      <c r="R544" s="157"/>
      <c r="S544" s="157"/>
      <c r="T544" s="2"/>
      <c r="U544" s="2"/>
      <c r="V544" s="2"/>
      <c r="W544" s="2"/>
      <c r="X544" s="2"/>
      <c r="Y544" s="2"/>
      <c r="Z544" s="2"/>
    </row>
    <row r="545" ht="13.5" customHeight="1">
      <c r="A545" s="2"/>
      <c r="B545" s="2"/>
      <c r="C545" s="2"/>
      <c r="D545" s="2"/>
      <c r="E545" s="2"/>
      <c r="F545" s="2"/>
      <c r="G545" s="2"/>
      <c r="H545" s="2"/>
      <c r="I545" s="2"/>
      <c r="J545" s="28"/>
      <c r="K545" s="181"/>
      <c r="L545" s="2"/>
      <c r="M545" s="2"/>
      <c r="N545" s="2"/>
      <c r="O545" s="2"/>
      <c r="P545" s="2"/>
      <c r="Q545" s="157"/>
      <c r="R545" s="157"/>
      <c r="S545" s="157"/>
      <c r="T545" s="2"/>
      <c r="U545" s="2"/>
      <c r="V545" s="2"/>
      <c r="W545" s="2"/>
      <c r="X545" s="2"/>
      <c r="Y545" s="2"/>
      <c r="Z545" s="2"/>
    </row>
    <row r="546" ht="13.5" customHeight="1">
      <c r="A546" s="2"/>
      <c r="B546" s="2"/>
      <c r="C546" s="2"/>
      <c r="D546" s="2"/>
      <c r="E546" s="2"/>
      <c r="F546" s="2"/>
      <c r="G546" s="2"/>
      <c r="H546" s="2"/>
      <c r="I546" s="2"/>
      <c r="J546" s="28"/>
      <c r="K546" s="181"/>
      <c r="L546" s="2"/>
      <c r="M546" s="2"/>
      <c r="N546" s="2"/>
      <c r="O546" s="2"/>
      <c r="P546" s="2"/>
      <c r="Q546" s="157"/>
      <c r="R546" s="157"/>
      <c r="S546" s="157"/>
      <c r="T546" s="2"/>
      <c r="U546" s="2"/>
      <c r="V546" s="2"/>
      <c r="W546" s="2"/>
      <c r="X546" s="2"/>
      <c r="Y546" s="2"/>
      <c r="Z546" s="2"/>
    </row>
    <row r="547" ht="13.5" customHeight="1">
      <c r="A547" s="2"/>
      <c r="B547" s="2"/>
      <c r="C547" s="2"/>
      <c r="D547" s="2"/>
      <c r="E547" s="2"/>
      <c r="F547" s="2"/>
      <c r="G547" s="2"/>
      <c r="H547" s="2"/>
      <c r="I547" s="2"/>
      <c r="J547" s="28"/>
      <c r="K547" s="181"/>
      <c r="L547" s="2"/>
      <c r="M547" s="2"/>
      <c r="N547" s="2"/>
      <c r="O547" s="2"/>
      <c r="P547" s="2"/>
      <c r="Q547" s="157"/>
      <c r="R547" s="157"/>
      <c r="S547" s="157"/>
      <c r="T547" s="2"/>
      <c r="U547" s="2"/>
      <c r="V547" s="2"/>
      <c r="W547" s="2"/>
      <c r="X547" s="2"/>
      <c r="Y547" s="2"/>
      <c r="Z547" s="2"/>
    </row>
    <row r="548" ht="13.5" customHeight="1">
      <c r="A548" s="2"/>
      <c r="B548" s="2"/>
      <c r="C548" s="2"/>
      <c r="D548" s="2"/>
      <c r="E548" s="2"/>
      <c r="F548" s="2"/>
      <c r="G548" s="2"/>
      <c r="H548" s="2"/>
      <c r="I548" s="2"/>
      <c r="J548" s="28"/>
      <c r="K548" s="181"/>
      <c r="L548" s="2"/>
      <c r="M548" s="2"/>
      <c r="N548" s="2"/>
      <c r="O548" s="2"/>
      <c r="P548" s="2"/>
      <c r="Q548" s="157"/>
      <c r="R548" s="157"/>
      <c r="S548" s="157"/>
      <c r="T548" s="2"/>
      <c r="U548" s="2"/>
      <c r="V548" s="2"/>
      <c r="W548" s="2"/>
      <c r="X548" s="2"/>
      <c r="Y548" s="2"/>
      <c r="Z548" s="2"/>
    </row>
    <row r="549" ht="13.5" customHeight="1">
      <c r="A549" s="2"/>
      <c r="B549" s="2"/>
      <c r="C549" s="2"/>
      <c r="D549" s="2"/>
      <c r="E549" s="2"/>
      <c r="F549" s="2"/>
      <c r="G549" s="2"/>
      <c r="H549" s="2"/>
      <c r="I549" s="2"/>
      <c r="J549" s="28"/>
      <c r="K549" s="181"/>
      <c r="L549" s="2"/>
      <c r="M549" s="2"/>
      <c r="N549" s="2"/>
      <c r="O549" s="2"/>
      <c r="P549" s="2"/>
      <c r="Q549" s="157"/>
      <c r="R549" s="157"/>
      <c r="S549" s="157"/>
      <c r="T549" s="2"/>
      <c r="U549" s="2"/>
      <c r="V549" s="2"/>
      <c r="W549" s="2"/>
      <c r="X549" s="2"/>
      <c r="Y549" s="2"/>
      <c r="Z549" s="2"/>
    </row>
    <row r="550" ht="13.5" customHeight="1">
      <c r="A550" s="2"/>
      <c r="B550" s="2"/>
      <c r="C550" s="2"/>
      <c r="D550" s="2"/>
      <c r="E550" s="2"/>
      <c r="F550" s="2"/>
      <c r="G550" s="2"/>
      <c r="H550" s="2"/>
      <c r="I550" s="2"/>
      <c r="J550" s="28"/>
      <c r="K550" s="181"/>
      <c r="L550" s="2"/>
      <c r="M550" s="2"/>
      <c r="N550" s="2"/>
      <c r="O550" s="2"/>
      <c r="P550" s="2"/>
      <c r="Q550" s="157"/>
      <c r="R550" s="157"/>
      <c r="S550" s="157"/>
      <c r="T550" s="2"/>
      <c r="U550" s="2"/>
      <c r="V550" s="2"/>
      <c r="W550" s="2"/>
      <c r="X550" s="2"/>
      <c r="Y550" s="2"/>
      <c r="Z550" s="2"/>
    </row>
    <row r="551" ht="13.5" customHeight="1">
      <c r="A551" s="2"/>
      <c r="B551" s="2"/>
      <c r="C551" s="2"/>
      <c r="D551" s="2"/>
      <c r="E551" s="2"/>
      <c r="F551" s="2"/>
      <c r="G551" s="2"/>
      <c r="H551" s="2"/>
      <c r="I551" s="2"/>
      <c r="J551" s="28"/>
      <c r="K551" s="181"/>
      <c r="L551" s="2"/>
      <c r="M551" s="2"/>
      <c r="N551" s="2"/>
      <c r="O551" s="2"/>
      <c r="P551" s="2"/>
      <c r="Q551" s="157"/>
      <c r="R551" s="157"/>
      <c r="S551" s="157"/>
      <c r="T551" s="2"/>
      <c r="U551" s="2"/>
      <c r="V551" s="2"/>
      <c r="W551" s="2"/>
      <c r="X551" s="2"/>
      <c r="Y551" s="2"/>
      <c r="Z551" s="2"/>
    </row>
    <row r="552" ht="13.5" customHeight="1">
      <c r="A552" s="2"/>
      <c r="B552" s="2"/>
      <c r="C552" s="2"/>
      <c r="D552" s="2"/>
      <c r="E552" s="2"/>
      <c r="F552" s="2"/>
      <c r="G552" s="2"/>
      <c r="H552" s="2"/>
      <c r="I552" s="2"/>
      <c r="J552" s="28"/>
      <c r="K552" s="181"/>
      <c r="L552" s="2"/>
      <c r="M552" s="2"/>
      <c r="N552" s="2"/>
      <c r="O552" s="2"/>
      <c r="P552" s="2"/>
      <c r="Q552" s="157"/>
      <c r="R552" s="157"/>
      <c r="S552" s="157"/>
      <c r="T552" s="2"/>
      <c r="U552" s="2"/>
      <c r="V552" s="2"/>
      <c r="W552" s="2"/>
      <c r="X552" s="2"/>
      <c r="Y552" s="2"/>
      <c r="Z552" s="2"/>
    </row>
    <row r="553" ht="13.5" customHeight="1">
      <c r="A553" s="2"/>
      <c r="B553" s="2"/>
      <c r="C553" s="2"/>
      <c r="D553" s="2"/>
      <c r="E553" s="2"/>
      <c r="F553" s="2"/>
      <c r="G553" s="2"/>
      <c r="H553" s="2"/>
      <c r="I553" s="2"/>
      <c r="J553" s="28"/>
      <c r="K553" s="181"/>
      <c r="L553" s="2"/>
      <c r="M553" s="2"/>
      <c r="N553" s="2"/>
      <c r="O553" s="2"/>
      <c r="P553" s="2"/>
      <c r="Q553" s="157"/>
      <c r="R553" s="157"/>
      <c r="S553" s="157"/>
      <c r="T553" s="2"/>
      <c r="U553" s="2"/>
      <c r="V553" s="2"/>
      <c r="W553" s="2"/>
      <c r="X553" s="2"/>
      <c r="Y553" s="2"/>
      <c r="Z553" s="2"/>
    </row>
    <row r="554" ht="13.5" customHeight="1">
      <c r="A554" s="2"/>
      <c r="B554" s="2"/>
      <c r="C554" s="2"/>
      <c r="D554" s="2"/>
      <c r="E554" s="2"/>
      <c r="F554" s="2"/>
      <c r="G554" s="2"/>
      <c r="H554" s="2"/>
      <c r="I554" s="2"/>
      <c r="J554" s="28"/>
      <c r="K554" s="181"/>
      <c r="L554" s="2"/>
      <c r="M554" s="2"/>
      <c r="N554" s="2"/>
      <c r="O554" s="2"/>
      <c r="P554" s="2"/>
      <c r="Q554" s="157"/>
      <c r="R554" s="157"/>
      <c r="S554" s="157"/>
      <c r="T554" s="2"/>
      <c r="U554" s="2"/>
      <c r="V554" s="2"/>
      <c r="W554" s="2"/>
      <c r="X554" s="2"/>
      <c r="Y554" s="2"/>
      <c r="Z554" s="2"/>
    </row>
    <row r="555" ht="13.5" customHeight="1">
      <c r="A555" s="2"/>
      <c r="B555" s="2"/>
      <c r="C555" s="2"/>
      <c r="D555" s="2"/>
      <c r="E555" s="2"/>
      <c r="F555" s="2"/>
      <c r="G555" s="2"/>
      <c r="H555" s="2"/>
      <c r="I555" s="2"/>
      <c r="J555" s="28"/>
      <c r="K555" s="181"/>
      <c r="L555" s="2"/>
      <c r="M555" s="2"/>
      <c r="N555" s="2"/>
      <c r="O555" s="2"/>
      <c r="P555" s="2"/>
      <c r="Q555" s="157"/>
      <c r="R555" s="157"/>
      <c r="S555" s="157"/>
      <c r="T555" s="2"/>
      <c r="U555" s="2"/>
      <c r="V555" s="2"/>
      <c r="W555" s="2"/>
      <c r="X555" s="2"/>
      <c r="Y555" s="2"/>
      <c r="Z555" s="2"/>
    </row>
    <row r="556" ht="13.5" customHeight="1">
      <c r="A556" s="2"/>
      <c r="B556" s="2"/>
      <c r="C556" s="2"/>
      <c r="D556" s="2"/>
      <c r="E556" s="2"/>
      <c r="F556" s="2"/>
      <c r="G556" s="2"/>
      <c r="H556" s="2"/>
      <c r="I556" s="2"/>
      <c r="J556" s="28"/>
      <c r="K556" s="181"/>
      <c r="L556" s="2"/>
      <c r="M556" s="2"/>
      <c r="N556" s="2"/>
      <c r="O556" s="2"/>
      <c r="P556" s="2"/>
      <c r="Q556" s="157"/>
      <c r="R556" s="157"/>
      <c r="S556" s="157"/>
      <c r="T556" s="2"/>
      <c r="U556" s="2"/>
      <c r="V556" s="2"/>
      <c r="W556" s="2"/>
      <c r="X556" s="2"/>
      <c r="Y556" s="2"/>
      <c r="Z556" s="2"/>
    </row>
    <row r="557" ht="13.5" customHeight="1">
      <c r="A557" s="2"/>
      <c r="B557" s="2"/>
      <c r="C557" s="2"/>
      <c r="D557" s="2"/>
      <c r="E557" s="2"/>
      <c r="F557" s="2"/>
      <c r="G557" s="2"/>
      <c r="H557" s="2"/>
      <c r="I557" s="2"/>
      <c r="J557" s="28"/>
      <c r="K557" s="181"/>
      <c r="L557" s="2"/>
      <c r="M557" s="2"/>
      <c r="N557" s="2"/>
      <c r="O557" s="2"/>
      <c r="P557" s="2"/>
      <c r="Q557" s="157"/>
      <c r="R557" s="157"/>
      <c r="S557" s="157"/>
      <c r="T557" s="2"/>
      <c r="U557" s="2"/>
      <c r="V557" s="2"/>
      <c r="W557" s="2"/>
      <c r="X557" s="2"/>
      <c r="Y557" s="2"/>
      <c r="Z557" s="2"/>
    </row>
    <row r="558" ht="13.5" customHeight="1">
      <c r="A558" s="2"/>
      <c r="B558" s="2"/>
      <c r="C558" s="2"/>
      <c r="D558" s="2"/>
      <c r="E558" s="2"/>
      <c r="F558" s="2"/>
      <c r="G558" s="2"/>
      <c r="H558" s="2"/>
      <c r="I558" s="2"/>
      <c r="J558" s="28"/>
      <c r="K558" s="181"/>
      <c r="L558" s="2"/>
      <c r="M558" s="2"/>
      <c r="N558" s="2"/>
      <c r="O558" s="2"/>
      <c r="P558" s="2"/>
      <c r="Q558" s="157"/>
      <c r="R558" s="157"/>
      <c r="S558" s="157"/>
      <c r="T558" s="2"/>
      <c r="U558" s="2"/>
      <c r="V558" s="2"/>
      <c r="W558" s="2"/>
      <c r="X558" s="2"/>
      <c r="Y558" s="2"/>
      <c r="Z558" s="2"/>
    </row>
    <row r="559" ht="13.5" customHeight="1">
      <c r="A559" s="2"/>
      <c r="B559" s="2"/>
      <c r="C559" s="2"/>
      <c r="D559" s="2"/>
      <c r="E559" s="2"/>
      <c r="F559" s="2"/>
      <c r="G559" s="2"/>
      <c r="H559" s="2"/>
      <c r="I559" s="2"/>
      <c r="J559" s="28"/>
      <c r="K559" s="181"/>
      <c r="L559" s="2"/>
      <c r="M559" s="2"/>
      <c r="N559" s="2"/>
      <c r="O559" s="2"/>
      <c r="P559" s="2"/>
      <c r="Q559" s="157"/>
      <c r="R559" s="157"/>
      <c r="S559" s="157"/>
      <c r="T559" s="2"/>
      <c r="U559" s="2"/>
      <c r="V559" s="2"/>
      <c r="W559" s="2"/>
      <c r="X559" s="2"/>
      <c r="Y559" s="2"/>
      <c r="Z559" s="2"/>
    </row>
    <row r="560" ht="13.5" customHeight="1">
      <c r="A560" s="2"/>
      <c r="B560" s="2"/>
      <c r="C560" s="2"/>
      <c r="D560" s="2"/>
      <c r="E560" s="2"/>
      <c r="F560" s="2"/>
      <c r="G560" s="2"/>
      <c r="H560" s="2"/>
      <c r="I560" s="2"/>
      <c r="J560" s="28"/>
      <c r="K560" s="181"/>
      <c r="L560" s="2"/>
      <c r="M560" s="2"/>
      <c r="N560" s="2"/>
      <c r="O560" s="2"/>
      <c r="P560" s="2"/>
      <c r="Q560" s="157"/>
      <c r="R560" s="157"/>
      <c r="S560" s="157"/>
      <c r="T560" s="2"/>
      <c r="U560" s="2"/>
      <c r="V560" s="2"/>
      <c r="W560" s="2"/>
      <c r="X560" s="2"/>
      <c r="Y560" s="2"/>
      <c r="Z560" s="2"/>
    </row>
    <row r="561" ht="13.5" customHeight="1">
      <c r="A561" s="2"/>
      <c r="B561" s="2"/>
      <c r="C561" s="2"/>
      <c r="D561" s="2"/>
      <c r="E561" s="2"/>
      <c r="F561" s="2"/>
      <c r="G561" s="2"/>
      <c r="H561" s="2"/>
      <c r="I561" s="2"/>
      <c r="J561" s="28"/>
      <c r="K561" s="181"/>
      <c r="L561" s="2"/>
      <c r="M561" s="2"/>
      <c r="N561" s="2"/>
      <c r="O561" s="2"/>
      <c r="P561" s="2"/>
      <c r="Q561" s="157"/>
      <c r="R561" s="157"/>
      <c r="S561" s="157"/>
      <c r="T561" s="2"/>
      <c r="U561" s="2"/>
      <c r="V561" s="2"/>
      <c r="W561" s="2"/>
      <c r="X561" s="2"/>
      <c r="Y561" s="2"/>
      <c r="Z561" s="2"/>
    </row>
    <row r="562" ht="13.5" customHeight="1">
      <c r="A562" s="2"/>
      <c r="B562" s="2"/>
      <c r="C562" s="2"/>
      <c r="D562" s="2"/>
      <c r="E562" s="2"/>
      <c r="F562" s="2"/>
      <c r="G562" s="2"/>
      <c r="H562" s="2"/>
      <c r="I562" s="2"/>
      <c r="J562" s="28"/>
      <c r="K562" s="181"/>
      <c r="L562" s="2"/>
      <c r="M562" s="2"/>
      <c r="N562" s="2"/>
      <c r="O562" s="2"/>
      <c r="P562" s="2"/>
      <c r="Q562" s="157"/>
      <c r="R562" s="157"/>
      <c r="S562" s="157"/>
      <c r="T562" s="2"/>
      <c r="U562" s="2"/>
      <c r="V562" s="2"/>
      <c r="W562" s="2"/>
      <c r="X562" s="2"/>
      <c r="Y562" s="2"/>
      <c r="Z562" s="2"/>
    </row>
    <row r="563" ht="13.5" customHeight="1">
      <c r="A563" s="2"/>
      <c r="B563" s="2"/>
      <c r="C563" s="2"/>
      <c r="D563" s="2"/>
      <c r="E563" s="2"/>
      <c r="F563" s="2"/>
      <c r="G563" s="2"/>
      <c r="H563" s="2"/>
      <c r="I563" s="2"/>
      <c r="J563" s="28"/>
      <c r="K563" s="181"/>
      <c r="L563" s="2"/>
      <c r="M563" s="2"/>
      <c r="N563" s="2"/>
      <c r="O563" s="2"/>
      <c r="P563" s="2"/>
      <c r="Q563" s="157"/>
      <c r="R563" s="157"/>
      <c r="S563" s="157"/>
      <c r="T563" s="2"/>
      <c r="U563" s="2"/>
      <c r="V563" s="2"/>
      <c r="W563" s="2"/>
      <c r="X563" s="2"/>
      <c r="Y563" s="2"/>
      <c r="Z563" s="2"/>
    </row>
    <row r="564" ht="13.5" customHeight="1">
      <c r="A564" s="2"/>
      <c r="B564" s="2"/>
      <c r="C564" s="2"/>
      <c r="D564" s="2"/>
      <c r="E564" s="2"/>
      <c r="F564" s="2"/>
      <c r="G564" s="2"/>
      <c r="H564" s="2"/>
      <c r="I564" s="2"/>
      <c r="J564" s="28"/>
      <c r="K564" s="181"/>
      <c r="L564" s="2"/>
      <c r="M564" s="2"/>
      <c r="N564" s="2"/>
      <c r="O564" s="2"/>
      <c r="P564" s="2"/>
      <c r="Q564" s="157"/>
      <c r="R564" s="157"/>
      <c r="S564" s="157"/>
      <c r="T564" s="2"/>
      <c r="U564" s="2"/>
      <c r="V564" s="2"/>
      <c r="W564" s="2"/>
      <c r="X564" s="2"/>
      <c r="Y564" s="2"/>
      <c r="Z564" s="2"/>
    </row>
    <row r="565" ht="13.5" customHeight="1">
      <c r="A565" s="2"/>
      <c r="B565" s="2"/>
      <c r="C565" s="2"/>
      <c r="D565" s="2"/>
      <c r="E565" s="2"/>
      <c r="F565" s="2"/>
      <c r="G565" s="2"/>
      <c r="H565" s="2"/>
      <c r="I565" s="2"/>
      <c r="J565" s="28"/>
      <c r="K565" s="181"/>
      <c r="L565" s="2"/>
      <c r="M565" s="2"/>
      <c r="N565" s="2"/>
      <c r="O565" s="2"/>
      <c r="P565" s="2"/>
      <c r="Q565" s="157"/>
      <c r="R565" s="157"/>
      <c r="S565" s="157"/>
      <c r="T565" s="2"/>
      <c r="U565" s="2"/>
      <c r="V565" s="2"/>
      <c r="W565" s="2"/>
      <c r="X565" s="2"/>
      <c r="Y565" s="2"/>
      <c r="Z565" s="2"/>
    </row>
    <row r="566" ht="13.5" customHeight="1">
      <c r="A566" s="2"/>
      <c r="B566" s="2"/>
      <c r="C566" s="2"/>
      <c r="D566" s="2"/>
      <c r="E566" s="2"/>
      <c r="F566" s="2"/>
      <c r="G566" s="2"/>
      <c r="H566" s="2"/>
      <c r="I566" s="2"/>
      <c r="J566" s="28"/>
      <c r="K566" s="181"/>
      <c r="L566" s="2"/>
      <c r="M566" s="2"/>
      <c r="N566" s="2"/>
      <c r="O566" s="2"/>
      <c r="P566" s="2"/>
      <c r="Q566" s="157"/>
      <c r="R566" s="157"/>
      <c r="S566" s="157"/>
      <c r="T566" s="2"/>
      <c r="U566" s="2"/>
      <c r="V566" s="2"/>
      <c r="W566" s="2"/>
      <c r="X566" s="2"/>
      <c r="Y566" s="2"/>
      <c r="Z566" s="2"/>
    </row>
    <row r="567" ht="13.5" customHeight="1">
      <c r="A567" s="2"/>
      <c r="B567" s="2"/>
      <c r="C567" s="2"/>
      <c r="D567" s="2"/>
      <c r="E567" s="2"/>
      <c r="F567" s="2"/>
      <c r="G567" s="2"/>
      <c r="H567" s="2"/>
      <c r="I567" s="2"/>
      <c r="J567" s="28"/>
      <c r="K567" s="181"/>
      <c r="L567" s="2"/>
      <c r="M567" s="2"/>
      <c r="N567" s="2"/>
      <c r="O567" s="2"/>
      <c r="P567" s="2"/>
      <c r="Q567" s="157"/>
      <c r="R567" s="157"/>
      <c r="S567" s="157"/>
      <c r="T567" s="2"/>
      <c r="U567" s="2"/>
      <c r="V567" s="2"/>
      <c r="W567" s="2"/>
      <c r="X567" s="2"/>
      <c r="Y567" s="2"/>
      <c r="Z567" s="2"/>
    </row>
    <row r="568" ht="13.5" customHeight="1">
      <c r="A568" s="2"/>
      <c r="B568" s="2"/>
      <c r="C568" s="2"/>
      <c r="D568" s="2"/>
      <c r="E568" s="2"/>
      <c r="F568" s="2"/>
      <c r="G568" s="2"/>
      <c r="H568" s="2"/>
      <c r="I568" s="2"/>
      <c r="J568" s="28"/>
      <c r="K568" s="181"/>
      <c r="L568" s="2"/>
      <c r="M568" s="2"/>
      <c r="N568" s="2"/>
      <c r="O568" s="2"/>
      <c r="P568" s="2"/>
      <c r="Q568" s="157"/>
      <c r="R568" s="157"/>
      <c r="S568" s="157"/>
      <c r="T568" s="2"/>
      <c r="U568" s="2"/>
      <c r="V568" s="2"/>
      <c r="W568" s="2"/>
      <c r="X568" s="2"/>
      <c r="Y568" s="2"/>
      <c r="Z568" s="2"/>
    </row>
    <row r="569" ht="13.5" customHeight="1">
      <c r="A569" s="2"/>
      <c r="B569" s="2"/>
      <c r="C569" s="2"/>
      <c r="D569" s="2"/>
      <c r="E569" s="2"/>
      <c r="F569" s="2"/>
      <c r="G569" s="2"/>
      <c r="H569" s="2"/>
      <c r="I569" s="2"/>
      <c r="J569" s="28"/>
      <c r="K569" s="181"/>
      <c r="L569" s="2"/>
      <c r="M569" s="2"/>
      <c r="N569" s="2"/>
      <c r="O569" s="2"/>
      <c r="P569" s="2"/>
      <c r="Q569" s="157"/>
      <c r="R569" s="157"/>
      <c r="S569" s="157"/>
      <c r="T569" s="2"/>
      <c r="U569" s="2"/>
      <c r="V569" s="2"/>
      <c r="W569" s="2"/>
      <c r="X569" s="2"/>
      <c r="Y569" s="2"/>
      <c r="Z569" s="2"/>
    </row>
    <row r="570" ht="13.5" customHeight="1">
      <c r="A570" s="2"/>
      <c r="B570" s="2"/>
      <c r="C570" s="2"/>
      <c r="D570" s="2"/>
      <c r="E570" s="2"/>
      <c r="F570" s="2"/>
      <c r="G570" s="2"/>
      <c r="H570" s="2"/>
      <c r="I570" s="2"/>
      <c r="J570" s="28"/>
      <c r="K570" s="181"/>
      <c r="L570" s="2"/>
      <c r="M570" s="2"/>
      <c r="N570" s="2"/>
      <c r="O570" s="2"/>
      <c r="P570" s="2"/>
      <c r="Q570" s="157"/>
      <c r="R570" s="157"/>
      <c r="S570" s="157"/>
      <c r="T570" s="2"/>
      <c r="U570" s="2"/>
      <c r="V570" s="2"/>
      <c r="W570" s="2"/>
      <c r="X570" s="2"/>
      <c r="Y570" s="2"/>
      <c r="Z570" s="2"/>
    </row>
    <row r="571" ht="13.5" customHeight="1">
      <c r="A571" s="2"/>
      <c r="B571" s="2"/>
      <c r="C571" s="2"/>
      <c r="D571" s="2"/>
      <c r="E571" s="2"/>
      <c r="F571" s="2"/>
      <c r="G571" s="2"/>
      <c r="H571" s="2"/>
      <c r="I571" s="2"/>
      <c r="J571" s="28"/>
      <c r="K571" s="181"/>
      <c r="L571" s="2"/>
      <c r="M571" s="2"/>
      <c r="N571" s="2"/>
      <c r="O571" s="2"/>
      <c r="P571" s="2"/>
      <c r="Q571" s="157"/>
      <c r="R571" s="157"/>
      <c r="S571" s="157"/>
      <c r="T571" s="2"/>
      <c r="U571" s="2"/>
      <c r="V571" s="2"/>
      <c r="W571" s="2"/>
      <c r="X571" s="2"/>
      <c r="Y571" s="2"/>
      <c r="Z571" s="2"/>
    </row>
    <row r="572" ht="13.5" customHeight="1">
      <c r="A572" s="2"/>
      <c r="B572" s="2"/>
      <c r="C572" s="2"/>
      <c r="D572" s="2"/>
      <c r="E572" s="2"/>
      <c r="F572" s="2"/>
      <c r="G572" s="2"/>
      <c r="H572" s="2"/>
      <c r="I572" s="2"/>
      <c r="J572" s="28"/>
      <c r="K572" s="181"/>
      <c r="L572" s="2"/>
      <c r="M572" s="2"/>
      <c r="N572" s="2"/>
      <c r="O572" s="2"/>
      <c r="P572" s="2"/>
      <c r="Q572" s="157"/>
      <c r="R572" s="157"/>
      <c r="S572" s="157"/>
      <c r="T572" s="2"/>
      <c r="U572" s="2"/>
      <c r="V572" s="2"/>
      <c r="W572" s="2"/>
      <c r="X572" s="2"/>
      <c r="Y572" s="2"/>
      <c r="Z572" s="2"/>
    </row>
    <row r="573" ht="13.5" customHeight="1">
      <c r="A573" s="2"/>
      <c r="B573" s="2"/>
      <c r="C573" s="2"/>
      <c r="D573" s="2"/>
      <c r="E573" s="2"/>
      <c r="F573" s="2"/>
      <c r="G573" s="2"/>
      <c r="H573" s="2"/>
      <c r="I573" s="2"/>
      <c r="J573" s="28"/>
      <c r="K573" s="181"/>
      <c r="L573" s="2"/>
      <c r="M573" s="2"/>
      <c r="N573" s="2"/>
      <c r="O573" s="2"/>
      <c r="P573" s="2"/>
      <c r="Q573" s="157"/>
      <c r="R573" s="157"/>
      <c r="S573" s="157"/>
      <c r="T573" s="2"/>
      <c r="U573" s="2"/>
      <c r="V573" s="2"/>
      <c r="W573" s="2"/>
      <c r="X573" s="2"/>
      <c r="Y573" s="2"/>
      <c r="Z573" s="2"/>
    </row>
    <row r="574" ht="13.5" customHeight="1">
      <c r="A574" s="2"/>
      <c r="B574" s="2"/>
      <c r="C574" s="2"/>
      <c r="D574" s="2"/>
      <c r="E574" s="2"/>
      <c r="F574" s="2"/>
      <c r="G574" s="2"/>
      <c r="H574" s="2"/>
      <c r="I574" s="2"/>
      <c r="J574" s="28"/>
      <c r="K574" s="181"/>
      <c r="L574" s="2"/>
      <c r="M574" s="2"/>
      <c r="N574" s="2"/>
      <c r="O574" s="2"/>
      <c r="P574" s="2"/>
      <c r="Q574" s="157"/>
      <c r="R574" s="157"/>
      <c r="S574" s="157"/>
      <c r="T574" s="2"/>
      <c r="U574" s="2"/>
      <c r="V574" s="2"/>
      <c r="W574" s="2"/>
      <c r="X574" s="2"/>
      <c r="Y574" s="2"/>
      <c r="Z574" s="2"/>
    </row>
    <row r="575" ht="13.5" customHeight="1">
      <c r="A575" s="2"/>
      <c r="B575" s="2"/>
      <c r="C575" s="2"/>
      <c r="D575" s="2"/>
      <c r="E575" s="2"/>
      <c r="F575" s="2"/>
      <c r="G575" s="2"/>
      <c r="H575" s="2"/>
      <c r="I575" s="2"/>
      <c r="J575" s="28"/>
      <c r="K575" s="181"/>
      <c r="L575" s="2"/>
      <c r="M575" s="2"/>
      <c r="N575" s="2"/>
      <c r="O575" s="2"/>
      <c r="P575" s="2"/>
      <c r="Q575" s="157"/>
      <c r="R575" s="157"/>
      <c r="S575" s="157"/>
      <c r="T575" s="2"/>
      <c r="U575" s="2"/>
      <c r="V575" s="2"/>
      <c r="W575" s="2"/>
      <c r="X575" s="2"/>
      <c r="Y575" s="2"/>
      <c r="Z575" s="2"/>
    </row>
    <row r="576" ht="13.5" customHeight="1">
      <c r="A576" s="2"/>
      <c r="B576" s="2"/>
      <c r="C576" s="2"/>
      <c r="D576" s="2"/>
      <c r="E576" s="2"/>
      <c r="F576" s="2"/>
      <c r="G576" s="2"/>
      <c r="H576" s="2"/>
      <c r="I576" s="2"/>
      <c r="J576" s="28"/>
      <c r="K576" s="181"/>
      <c r="L576" s="2"/>
      <c r="M576" s="2"/>
      <c r="N576" s="2"/>
      <c r="O576" s="2"/>
      <c r="P576" s="2"/>
      <c r="Q576" s="157"/>
      <c r="R576" s="157"/>
      <c r="S576" s="157"/>
      <c r="T576" s="2"/>
      <c r="U576" s="2"/>
      <c r="V576" s="2"/>
      <c r="W576" s="2"/>
      <c r="X576" s="2"/>
      <c r="Y576" s="2"/>
      <c r="Z576" s="2"/>
    </row>
    <row r="577" ht="13.5" customHeight="1">
      <c r="A577" s="2"/>
      <c r="B577" s="2"/>
      <c r="C577" s="2"/>
      <c r="D577" s="2"/>
      <c r="E577" s="2"/>
      <c r="F577" s="2"/>
      <c r="G577" s="2"/>
      <c r="H577" s="2"/>
      <c r="I577" s="2"/>
      <c r="J577" s="28"/>
      <c r="K577" s="181"/>
      <c r="L577" s="2"/>
      <c r="M577" s="2"/>
      <c r="N577" s="2"/>
      <c r="O577" s="2"/>
      <c r="P577" s="2"/>
      <c r="Q577" s="157"/>
      <c r="R577" s="157"/>
      <c r="S577" s="157"/>
      <c r="T577" s="2"/>
      <c r="U577" s="2"/>
      <c r="V577" s="2"/>
      <c r="W577" s="2"/>
      <c r="X577" s="2"/>
      <c r="Y577" s="2"/>
      <c r="Z577" s="2"/>
    </row>
    <row r="578" ht="13.5" customHeight="1">
      <c r="A578" s="2"/>
      <c r="B578" s="2"/>
      <c r="C578" s="2"/>
      <c r="D578" s="2"/>
      <c r="E578" s="2"/>
      <c r="F578" s="2"/>
      <c r="G578" s="2"/>
      <c r="H578" s="2"/>
      <c r="I578" s="2"/>
      <c r="J578" s="28"/>
      <c r="K578" s="181"/>
      <c r="L578" s="2"/>
      <c r="M578" s="2"/>
      <c r="N578" s="2"/>
      <c r="O578" s="2"/>
      <c r="P578" s="2"/>
      <c r="Q578" s="157"/>
      <c r="R578" s="157"/>
      <c r="S578" s="157"/>
      <c r="T578" s="2"/>
      <c r="U578" s="2"/>
      <c r="V578" s="2"/>
      <c r="W578" s="2"/>
      <c r="X578" s="2"/>
      <c r="Y578" s="2"/>
      <c r="Z578" s="2"/>
    </row>
    <row r="579" ht="13.5" customHeight="1">
      <c r="A579" s="2"/>
      <c r="B579" s="2"/>
      <c r="C579" s="2"/>
      <c r="D579" s="2"/>
      <c r="E579" s="2"/>
      <c r="F579" s="2"/>
      <c r="G579" s="2"/>
      <c r="H579" s="2"/>
      <c r="I579" s="2"/>
      <c r="J579" s="28"/>
      <c r="K579" s="181"/>
      <c r="L579" s="2"/>
      <c r="M579" s="2"/>
      <c r="N579" s="2"/>
      <c r="O579" s="2"/>
      <c r="P579" s="2"/>
      <c r="Q579" s="157"/>
      <c r="R579" s="157"/>
      <c r="S579" s="157"/>
      <c r="T579" s="2"/>
      <c r="U579" s="2"/>
      <c r="V579" s="2"/>
      <c r="W579" s="2"/>
      <c r="X579" s="2"/>
      <c r="Y579" s="2"/>
      <c r="Z579" s="2"/>
    </row>
    <row r="580" ht="13.5" customHeight="1">
      <c r="A580" s="2"/>
      <c r="B580" s="2"/>
      <c r="C580" s="2"/>
      <c r="D580" s="2"/>
      <c r="E580" s="2"/>
      <c r="F580" s="2"/>
      <c r="G580" s="2"/>
      <c r="H580" s="2"/>
      <c r="I580" s="2"/>
      <c r="J580" s="28"/>
      <c r="K580" s="181"/>
      <c r="L580" s="2"/>
      <c r="M580" s="2"/>
      <c r="N580" s="2"/>
      <c r="O580" s="2"/>
      <c r="P580" s="2"/>
      <c r="Q580" s="157"/>
      <c r="R580" s="157"/>
      <c r="S580" s="157"/>
      <c r="T580" s="2"/>
      <c r="U580" s="2"/>
      <c r="V580" s="2"/>
      <c r="W580" s="2"/>
      <c r="X580" s="2"/>
      <c r="Y580" s="2"/>
      <c r="Z580" s="2"/>
    </row>
    <row r="581" ht="13.5" customHeight="1">
      <c r="A581" s="2"/>
      <c r="B581" s="2"/>
      <c r="C581" s="2"/>
      <c r="D581" s="2"/>
      <c r="E581" s="2"/>
      <c r="F581" s="2"/>
      <c r="G581" s="2"/>
      <c r="H581" s="2"/>
      <c r="I581" s="2"/>
      <c r="J581" s="28"/>
      <c r="K581" s="181"/>
      <c r="L581" s="2"/>
      <c r="M581" s="2"/>
      <c r="N581" s="2"/>
      <c r="O581" s="2"/>
      <c r="P581" s="2"/>
      <c r="Q581" s="157"/>
      <c r="R581" s="157"/>
      <c r="S581" s="157"/>
      <c r="T581" s="2"/>
      <c r="U581" s="2"/>
      <c r="V581" s="2"/>
      <c r="W581" s="2"/>
      <c r="X581" s="2"/>
      <c r="Y581" s="2"/>
      <c r="Z581" s="2"/>
    </row>
    <row r="582" ht="13.5" customHeight="1">
      <c r="A582" s="2"/>
      <c r="B582" s="2"/>
      <c r="C582" s="2"/>
      <c r="D582" s="2"/>
      <c r="E582" s="2"/>
      <c r="F582" s="2"/>
      <c r="G582" s="2"/>
      <c r="H582" s="2"/>
      <c r="I582" s="2"/>
      <c r="J582" s="28"/>
      <c r="K582" s="181"/>
      <c r="L582" s="2"/>
      <c r="M582" s="2"/>
      <c r="N582" s="2"/>
      <c r="O582" s="2"/>
      <c r="P582" s="2"/>
      <c r="Q582" s="157"/>
      <c r="R582" s="157"/>
      <c r="S582" s="157"/>
      <c r="T582" s="2"/>
      <c r="U582" s="2"/>
      <c r="V582" s="2"/>
      <c r="W582" s="2"/>
      <c r="X582" s="2"/>
      <c r="Y582" s="2"/>
      <c r="Z582" s="2"/>
    </row>
    <row r="583" ht="13.5" customHeight="1">
      <c r="A583" s="2"/>
      <c r="B583" s="2"/>
      <c r="C583" s="2"/>
      <c r="D583" s="2"/>
      <c r="E583" s="2"/>
      <c r="F583" s="2"/>
      <c r="G583" s="2"/>
      <c r="H583" s="2"/>
      <c r="I583" s="2"/>
      <c r="J583" s="28"/>
      <c r="K583" s="181"/>
      <c r="L583" s="2"/>
      <c r="M583" s="2"/>
      <c r="N583" s="2"/>
      <c r="O583" s="2"/>
      <c r="P583" s="2"/>
      <c r="Q583" s="157"/>
      <c r="R583" s="157"/>
      <c r="S583" s="157"/>
      <c r="T583" s="2"/>
      <c r="U583" s="2"/>
      <c r="V583" s="2"/>
      <c r="W583" s="2"/>
      <c r="X583" s="2"/>
      <c r="Y583" s="2"/>
      <c r="Z583" s="2"/>
    </row>
    <row r="584" ht="13.5" customHeight="1">
      <c r="A584" s="2"/>
      <c r="B584" s="2"/>
      <c r="C584" s="2"/>
      <c r="D584" s="2"/>
      <c r="E584" s="2"/>
      <c r="F584" s="2"/>
      <c r="G584" s="2"/>
      <c r="H584" s="2"/>
      <c r="I584" s="2"/>
      <c r="J584" s="28"/>
      <c r="K584" s="181"/>
      <c r="L584" s="2"/>
      <c r="M584" s="2"/>
      <c r="N584" s="2"/>
      <c r="O584" s="2"/>
      <c r="P584" s="2"/>
      <c r="Q584" s="157"/>
      <c r="R584" s="157"/>
      <c r="S584" s="157"/>
      <c r="T584" s="2"/>
      <c r="U584" s="2"/>
      <c r="V584" s="2"/>
      <c r="W584" s="2"/>
      <c r="X584" s="2"/>
      <c r="Y584" s="2"/>
      <c r="Z584" s="2"/>
    </row>
    <row r="585" ht="13.5" customHeight="1">
      <c r="A585" s="2"/>
      <c r="B585" s="2"/>
      <c r="C585" s="2"/>
      <c r="D585" s="2"/>
      <c r="E585" s="2"/>
      <c r="F585" s="2"/>
      <c r="G585" s="2"/>
      <c r="H585" s="2"/>
      <c r="I585" s="2"/>
      <c r="J585" s="28"/>
      <c r="K585" s="181"/>
      <c r="L585" s="2"/>
      <c r="M585" s="2"/>
      <c r="N585" s="2"/>
      <c r="O585" s="2"/>
      <c r="P585" s="2"/>
      <c r="Q585" s="157"/>
      <c r="R585" s="157"/>
      <c r="S585" s="157"/>
      <c r="T585" s="2"/>
      <c r="U585" s="2"/>
      <c r="V585" s="2"/>
      <c r="W585" s="2"/>
      <c r="X585" s="2"/>
      <c r="Y585" s="2"/>
      <c r="Z585" s="2"/>
    </row>
    <row r="586" ht="13.5" customHeight="1">
      <c r="A586" s="2"/>
      <c r="B586" s="2"/>
      <c r="C586" s="2"/>
      <c r="D586" s="2"/>
      <c r="E586" s="2"/>
      <c r="F586" s="2"/>
      <c r="G586" s="2"/>
      <c r="H586" s="2"/>
      <c r="I586" s="2"/>
      <c r="J586" s="28"/>
      <c r="K586" s="181"/>
      <c r="L586" s="2"/>
      <c r="M586" s="2"/>
      <c r="N586" s="2"/>
      <c r="O586" s="2"/>
      <c r="P586" s="2"/>
      <c r="Q586" s="157"/>
      <c r="R586" s="157"/>
      <c r="S586" s="157"/>
      <c r="T586" s="2"/>
      <c r="U586" s="2"/>
      <c r="V586" s="2"/>
      <c r="W586" s="2"/>
      <c r="X586" s="2"/>
      <c r="Y586" s="2"/>
      <c r="Z586" s="2"/>
    </row>
    <row r="587" ht="13.5" customHeight="1">
      <c r="A587" s="2"/>
      <c r="B587" s="2"/>
      <c r="C587" s="2"/>
      <c r="D587" s="2"/>
      <c r="E587" s="2"/>
      <c r="F587" s="2"/>
      <c r="G587" s="2"/>
      <c r="H587" s="2"/>
      <c r="I587" s="2"/>
      <c r="J587" s="28"/>
      <c r="K587" s="181"/>
      <c r="L587" s="2"/>
      <c r="M587" s="2"/>
      <c r="N587" s="2"/>
      <c r="O587" s="2"/>
      <c r="P587" s="2"/>
      <c r="Q587" s="157"/>
      <c r="R587" s="157"/>
      <c r="S587" s="157"/>
      <c r="T587" s="2"/>
      <c r="U587" s="2"/>
      <c r="V587" s="2"/>
      <c r="W587" s="2"/>
      <c r="X587" s="2"/>
      <c r="Y587" s="2"/>
      <c r="Z587" s="2"/>
    </row>
    <row r="588" ht="13.5" customHeight="1">
      <c r="A588" s="2"/>
      <c r="B588" s="2"/>
      <c r="C588" s="2"/>
      <c r="D588" s="2"/>
      <c r="E588" s="2"/>
      <c r="F588" s="2"/>
      <c r="G588" s="2"/>
      <c r="H588" s="2"/>
      <c r="I588" s="2"/>
      <c r="J588" s="28"/>
      <c r="K588" s="181"/>
      <c r="L588" s="2"/>
      <c r="M588" s="2"/>
      <c r="N588" s="2"/>
      <c r="O588" s="2"/>
      <c r="P588" s="2"/>
      <c r="Q588" s="157"/>
      <c r="R588" s="157"/>
      <c r="S588" s="157"/>
      <c r="T588" s="2"/>
      <c r="U588" s="2"/>
      <c r="V588" s="2"/>
      <c r="W588" s="2"/>
      <c r="X588" s="2"/>
      <c r="Y588" s="2"/>
      <c r="Z588" s="2"/>
    </row>
    <row r="589" ht="13.5" customHeight="1">
      <c r="A589" s="2"/>
      <c r="B589" s="2"/>
      <c r="C589" s="2"/>
      <c r="D589" s="2"/>
      <c r="E589" s="2"/>
      <c r="F589" s="2"/>
      <c r="G589" s="2"/>
      <c r="H589" s="2"/>
      <c r="I589" s="2"/>
      <c r="J589" s="28"/>
      <c r="K589" s="181"/>
      <c r="L589" s="2"/>
      <c r="M589" s="2"/>
      <c r="N589" s="2"/>
      <c r="O589" s="2"/>
      <c r="P589" s="2"/>
      <c r="Q589" s="157"/>
      <c r="R589" s="157"/>
      <c r="S589" s="157"/>
      <c r="T589" s="2"/>
      <c r="U589" s="2"/>
      <c r="V589" s="2"/>
      <c r="W589" s="2"/>
      <c r="X589" s="2"/>
      <c r="Y589" s="2"/>
      <c r="Z589" s="2"/>
    </row>
    <row r="590" ht="13.5" customHeight="1">
      <c r="A590" s="2"/>
      <c r="B590" s="2"/>
      <c r="C590" s="2"/>
      <c r="D590" s="2"/>
      <c r="E590" s="2"/>
      <c r="F590" s="2"/>
      <c r="G590" s="2"/>
      <c r="H590" s="2"/>
      <c r="I590" s="2"/>
      <c r="J590" s="28"/>
      <c r="K590" s="181"/>
      <c r="L590" s="2"/>
      <c r="M590" s="2"/>
      <c r="N590" s="2"/>
      <c r="O590" s="2"/>
      <c r="P590" s="2"/>
      <c r="Q590" s="157"/>
      <c r="R590" s="157"/>
      <c r="S590" s="157"/>
      <c r="T590" s="2"/>
      <c r="U590" s="2"/>
      <c r="V590" s="2"/>
      <c r="W590" s="2"/>
      <c r="X590" s="2"/>
      <c r="Y590" s="2"/>
      <c r="Z590" s="2"/>
    </row>
    <row r="591" ht="13.5" customHeight="1">
      <c r="A591" s="2"/>
      <c r="B591" s="2"/>
      <c r="C591" s="2"/>
      <c r="D591" s="2"/>
      <c r="E591" s="2"/>
      <c r="F591" s="2"/>
      <c r="G591" s="2"/>
      <c r="H591" s="2"/>
      <c r="I591" s="2"/>
      <c r="J591" s="28"/>
      <c r="K591" s="181"/>
      <c r="L591" s="2"/>
      <c r="M591" s="2"/>
      <c r="N591" s="2"/>
      <c r="O591" s="2"/>
      <c r="P591" s="2"/>
      <c r="Q591" s="157"/>
      <c r="R591" s="157"/>
      <c r="S591" s="157"/>
      <c r="T591" s="2"/>
      <c r="U591" s="2"/>
      <c r="V591" s="2"/>
      <c r="W591" s="2"/>
      <c r="X591" s="2"/>
      <c r="Y591" s="2"/>
      <c r="Z591" s="2"/>
    </row>
    <row r="592" ht="13.5" customHeight="1">
      <c r="A592" s="2"/>
      <c r="B592" s="2"/>
      <c r="C592" s="2"/>
      <c r="D592" s="2"/>
      <c r="E592" s="2"/>
      <c r="F592" s="2"/>
      <c r="G592" s="2"/>
      <c r="H592" s="2"/>
      <c r="I592" s="2"/>
      <c r="J592" s="28"/>
      <c r="K592" s="181"/>
      <c r="L592" s="2"/>
      <c r="M592" s="2"/>
      <c r="N592" s="2"/>
      <c r="O592" s="2"/>
      <c r="P592" s="2"/>
      <c r="Q592" s="157"/>
      <c r="R592" s="157"/>
      <c r="S592" s="157"/>
      <c r="T592" s="2"/>
      <c r="U592" s="2"/>
      <c r="V592" s="2"/>
      <c r="W592" s="2"/>
      <c r="X592" s="2"/>
      <c r="Y592" s="2"/>
      <c r="Z592" s="2"/>
    </row>
    <row r="593" ht="13.5" customHeight="1">
      <c r="A593" s="2"/>
      <c r="B593" s="2"/>
      <c r="C593" s="2"/>
      <c r="D593" s="2"/>
      <c r="E593" s="2"/>
      <c r="F593" s="2"/>
      <c r="G593" s="2"/>
      <c r="H593" s="2"/>
      <c r="I593" s="2"/>
      <c r="J593" s="28"/>
      <c r="K593" s="181"/>
      <c r="L593" s="2"/>
      <c r="M593" s="2"/>
      <c r="N593" s="2"/>
      <c r="O593" s="2"/>
      <c r="P593" s="2"/>
      <c r="Q593" s="157"/>
      <c r="R593" s="157"/>
      <c r="S593" s="157"/>
      <c r="T593" s="2"/>
      <c r="U593" s="2"/>
      <c r="V593" s="2"/>
      <c r="W593" s="2"/>
      <c r="X593" s="2"/>
      <c r="Y593" s="2"/>
      <c r="Z593" s="2"/>
    </row>
    <row r="594" ht="13.5" customHeight="1">
      <c r="A594" s="2"/>
      <c r="B594" s="2"/>
      <c r="C594" s="2"/>
      <c r="D594" s="2"/>
      <c r="E594" s="2"/>
      <c r="F594" s="2"/>
      <c r="G594" s="2"/>
      <c r="H594" s="2"/>
      <c r="I594" s="2"/>
      <c r="J594" s="28"/>
      <c r="K594" s="181"/>
      <c r="L594" s="2"/>
      <c r="M594" s="2"/>
      <c r="N594" s="2"/>
      <c r="O594" s="2"/>
      <c r="P594" s="2"/>
      <c r="Q594" s="157"/>
      <c r="R594" s="157"/>
      <c r="S594" s="157"/>
      <c r="T594" s="2"/>
      <c r="U594" s="2"/>
      <c r="V594" s="2"/>
      <c r="W594" s="2"/>
      <c r="X594" s="2"/>
      <c r="Y594" s="2"/>
      <c r="Z594" s="2"/>
    </row>
    <row r="595" ht="13.5" customHeight="1">
      <c r="A595" s="2"/>
      <c r="B595" s="2"/>
      <c r="C595" s="2"/>
      <c r="D595" s="2"/>
      <c r="E595" s="2"/>
      <c r="F595" s="2"/>
      <c r="G595" s="2"/>
      <c r="H595" s="2"/>
      <c r="I595" s="2"/>
      <c r="J595" s="28"/>
      <c r="K595" s="181"/>
      <c r="L595" s="2"/>
      <c r="M595" s="2"/>
      <c r="N595" s="2"/>
      <c r="O595" s="2"/>
      <c r="P595" s="2"/>
      <c r="Q595" s="157"/>
      <c r="R595" s="157"/>
      <c r="S595" s="157"/>
      <c r="T595" s="2"/>
      <c r="U595" s="2"/>
      <c r="V595" s="2"/>
      <c r="W595" s="2"/>
      <c r="X595" s="2"/>
      <c r="Y595" s="2"/>
      <c r="Z595" s="2"/>
    </row>
    <row r="596" ht="13.5" customHeight="1">
      <c r="A596" s="2"/>
      <c r="B596" s="2"/>
      <c r="C596" s="2"/>
      <c r="D596" s="2"/>
      <c r="E596" s="2"/>
      <c r="F596" s="2"/>
      <c r="G596" s="2"/>
      <c r="H596" s="2"/>
      <c r="I596" s="2"/>
      <c r="J596" s="28"/>
      <c r="K596" s="181"/>
      <c r="L596" s="2"/>
      <c r="M596" s="2"/>
      <c r="N596" s="2"/>
      <c r="O596" s="2"/>
      <c r="P596" s="2"/>
      <c r="Q596" s="157"/>
      <c r="R596" s="157"/>
      <c r="S596" s="157"/>
      <c r="T596" s="2"/>
      <c r="U596" s="2"/>
      <c r="V596" s="2"/>
      <c r="W596" s="2"/>
      <c r="X596" s="2"/>
      <c r="Y596" s="2"/>
      <c r="Z596" s="2"/>
    </row>
    <row r="597" ht="13.5" customHeight="1">
      <c r="A597" s="2"/>
      <c r="B597" s="2"/>
      <c r="C597" s="2"/>
      <c r="D597" s="2"/>
      <c r="E597" s="2"/>
      <c r="F597" s="2"/>
      <c r="G597" s="2"/>
      <c r="H597" s="2"/>
      <c r="I597" s="2"/>
      <c r="J597" s="28"/>
      <c r="K597" s="181"/>
      <c r="L597" s="2"/>
      <c r="M597" s="2"/>
      <c r="N597" s="2"/>
      <c r="O597" s="2"/>
      <c r="P597" s="2"/>
      <c r="Q597" s="157"/>
      <c r="R597" s="157"/>
      <c r="S597" s="157"/>
      <c r="T597" s="2"/>
      <c r="U597" s="2"/>
      <c r="V597" s="2"/>
      <c r="W597" s="2"/>
      <c r="X597" s="2"/>
      <c r="Y597" s="2"/>
      <c r="Z597" s="2"/>
    </row>
    <row r="598" ht="13.5" customHeight="1">
      <c r="A598" s="2"/>
      <c r="B598" s="2"/>
      <c r="C598" s="2"/>
      <c r="D598" s="2"/>
      <c r="E598" s="2"/>
      <c r="F598" s="2"/>
      <c r="G598" s="2"/>
      <c r="H598" s="2"/>
      <c r="I598" s="2"/>
      <c r="J598" s="28"/>
      <c r="K598" s="181"/>
      <c r="L598" s="2"/>
      <c r="M598" s="2"/>
      <c r="N598" s="2"/>
      <c r="O598" s="2"/>
      <c r="P598" s="2"/>
      <c r="Q598" s="157"/>
      <c r="R598" s="157"/>
      <c r="S598" s="157"/>
      <c r="T598" s="2"/>
      <c r="U598" s="2"/>
      <c r="V598" s="2"/>
      <c r="W598" s="2"/>
      <c r="X598" s="2"/>
      <c r="Y598" s="2"/>
      <c r="Z598" s="2"/>
    </row>
    <row r="599" ht="13.5" customHeight="1">
      <c r="A599" s="2"/>
      <c r="B599" s="2"/>
      <c r="C599" s="2"/>
      <c r="D599" s="2"/>
      <c r="E599" s="2"/>
      <c r="F599" s="2"/>
      <c r="G599" s="2"/>
      <c r="H599" s="2"/>
      <c r="I599" s="2"/>
      <c r="J599" s="28"/>
      <c r="K599" s="181"/>
      <c r="L599" s="2"/>
      <c r="M599" s="2"/>
      <c r="N599" s="2"/>
      <c r="O599" s="2"/>
      <c r="P599" s="2"/>
      <c r="Q599" s="157"/>
      <c r="R599" s="157"/>
      <c r="S599" s="157"/>
      <c r="T599" s="2"/>
      <c r="U599" s="2"/>
      <c r="V599" s="2"/>
      <c r="W599" s="2"/>
      <c r="X599" s="2"/>
      <c r="Y599" s="2"/>
      <c r="Z599" s="2"/>
    </row>
    <row r="600" ht="13.5" customHeight="1">
      <c r="A600" s="2"/>
      <c r="B600" s="2"/>
      <c r="C600" s="2"/>
      <c r="D600" s="2"/>
      <c r="E600" s="2"/>
      <c r="F600" s="2"/>
      <c r="G600" s="2"/>
      <c r="H600" s="2"/>
      <c r="I600" s="2"/>
      <c r="J600" s="28"/>
      <c r="K600" s="181"/>
      <c r="L600" s="2"/>
      <c r="M600" s="2"/>
      <c r="N600" s="2"/>
      <c r="O600" s="2"/>
      <c r="P600" s="2"/>
      <c r="Q600" s="157"/>
      <c r="R600" s="157"/>
      <c r="S600" s="157"/>
      <c r="T600" s="2"/>
      <c r="U600" s="2"/>
      <c r="V600" s="2"/>
      <c r="W600" s="2"/>
      <c r="X600" s="2"/>
      <c r="Y600" s="2"/>
      <c r="Z600" s="2"/>
    </row>
    <row r="601" ht="13.5" customHeight="1">
      <c r="A601" s="2"/>
      <c r="B601" s="2"/>
      <c r="C601" s="2"/>
      <c r="D601" s="2"/>
      <c r="E601" s="2"/>
      <c r="F601" s="2"/>
      <c r="G601" s="2"/>
      <c r="H601" s="2"/>
      <c r="I601" s="2"/>
      <c r="J601" s="28"/>
      <c r="K601" s="181"/>
      <c r="L601" s="2"/>
      <c r="M601" s="2"/>
      <c r="N601" s="2"/>
      <c r="O601" s="2"/>
      <c r="P601" s="2"/>
      <c r="Q601" s="157"/>
      <c r="R601" s="157"/>
      <c r="S601" s="157"/>
      <c r="T601" s="2"/>
      <c r="U601" s="2"/>
      <c r="V601" s="2"/>
      <c r="W601" s="2"/>
      <c r="X601" s="2"/>
      <c r="Y601" s="2"/>
      <c r="Z601" s="2"/>
    </row>
    <row r="602" ht="13.5" customHeight="1">
      <c r="A602" s="2"/>
      <c r="B602" s="2"/>
      <c r="C602" s="2"/>
      <c r="D602" s="2"/>
      <c r="E602" s="2"/>
      <c r="F602" s="2"/>
      <c r="G602" s="2"/>
      <c r="H602" s="2"/>
      <c r="I602" s="2"/>
      <c r="J602" s="28"/>
      <c r="K602" s="181"/>
      <c r="L602" s="2"/>
      <c r="M602" s="2"/>
      <c r="N602" s="2"/>
      <c r="O602" s="2"/>
      <c r="P602" s="2"/>
      <c r="Q602" s="157"/>
      <c r="R602" s="157"/>
      <c r="S602" s="157"/>
      <c r="T602" s="2"/>
      <c r="U602" s="2"/>
      <c r="V602" s="2"/>
      <c r="W602" s="2"/>
      <c r="X602" s="2"/>
      <c r="Y602" s="2"/>
      <c r="Z602" s="2"/>
    </row>
    <row r="603" ht="13.5" customHeight="1">
      <c r="A603" s="2"/>
      <c r="B603" s="2"/>
      <c r="C603" s="2"/>
      <c r="D603" s="2"/>
      <c r="E603" s="2"/>
      <c r="F603" s="2"/>
      <c r="G603" s="2"/>
      <c r="H603" s="2"/>
      <c r="I603" s="2"/>
      <c r="J603" s="28"/>
      <c r="K603" s="181"/>
      <c r="L603" s="2"/>
      <c r="M603" s="2"/>
      <c r="N603" s="2"/>
      <c r="O603" s="2"/>
      <c r="P603" s="2"/>
      <c r="Q603" s="157"/>
      <c r="R603" s="157"/>
      <c r="S603" s="157"/>
      <c r="T603" s="2"/>
      <c r="U603" s="2"/>
      <c r="V603" s="2"/>
      <c r="W603" s="2"/>
      <c r="X603" s="2"/>
      <c r="Y603" s="2"/>
      <c r="Z603" s="2"/>
    </row>
    <row r="604" ht="13.5" customHeight="1">
      <c r="A604" s="2"/>
      <c r="B604" s="2"/>
      <c r="C604" s="2"/>
      <c r="D604" s="2"/>
      <c r="E604" s="2"/>
      <c r="F604" s="2"/>
      <c r="G604" s="2"/>
      <c r="H604" s="2"/>
      <c r="I604" s="2"/>
      <c r="J604" s="28"/>
      <c r="K604" s="181"/>
      <c r="L604" s="2"/>
      <c r="M604" s="2"/>
      <c r="N604" s="2"/>
      <c r="O604" s="2"/>
      <c r="P604" s="2"/>
      <c r="Q604" s="157"/>
      <c r="R604" s="157"/>
      <c r="S604" s="157"/>
      <c r="T604" s="2"/>
      <c r="U604" s="2"/>
      <c r="V604" s="2"/>
      <c r="W604" s="2"/>
      <c r="X604" s="2"/>
      <c r="Y604" s="2"/>
      <c r="Z604" s="2"/>
    </row>
    <row r="605" ht="13.5" customHeight="1">
      <c r="A605" s="2"/>
      <c r="B605" s="2"/>
      <c r="C605" s="2"/>
      <c r="D605" s="2"/>
      <c r="E605" s="2"/>
      <c r="F605" s="2"/>
      <c r="G605" s="2"/>
      <c r="H605" s="2"/>
      <c r="I605" s="2"/>
      <c r="J605" s="28"/>
      <c r="K605" s="181"/>
      <c r="L605" s="2"/>
      <c r="M605" s="2"/>
      <c r="N605" s="2"/>
      <c r="O605" s="2"/>
      <c r="P605" s="2"/>
      <c r="Q605" s="157"/>
      <c r="R605" s="157"/>
      <c r="S605" s="157"/>
      <c r="T605" s="2"/>
      <c r="U605" s="2"/>
      <c r="V605" s="2"/>
      <c r="W605" s="2"/>
      <c r="X605" s="2"/>
      <c r="Y605" s="2"/>
      <c r="Z605" s="2"/>
    </row>
    <row r="606" ht="13.5" customHeight="1">
      <c r="A606" s="2"/>
      <c r="B606" s="2"/>
      <c r="C606" s="2"/>
      <c r="D606" s="2"/>
      <c r="E606" s="2"/>
      <c r="F606" s="2"/>
      <c r="G606" s="2"/>
      <c r="H606" s="2"/>
      <c r="I606" s="2"/>
      <c r="J606" s="28"/>
      <c r="K606" s="181"/>
      <c r="L606" s="2"/>
      <c r="M606" s="2"/>
      <c r="N606" s="2"/>
      <c r="O606" s="2"/>
      <c r="P606" s="2"/>
      <c r="Q606" s="157"/>
      <c r="R606" s="157"/>
      <c r="S606" s="157"/>
      <c r="T606" s="2"/>
      <c r="U606" s="2"/>
      <c r="V606" s="2"/>
      <c r="W606" s="2"/>
      <c r="X606" s="2"/>
      <c r="Y606" s="2"/>
      <c r="Z606" s="2"/>
    </row>
    <row r="607" ht="13.5" customHeight="1">
      <c r="A607" s="2"/>
      <c r="B607" s="2"/>
      <c r="C607" s="2"/>
      <c r="D607" s="2"/>
      <c r="E607" s="2"/>
      <c r="F607" s="2"/>
      <c r="G607" s="2"/>
      <c r="H607" s="2"/>
      <c r="I607" s="2"/>
      <c r="J607" s="28"/>
      <c r="K607" s="181"/>
      <c r="L607" s="2"/>
      <c r="M607" s="2"/>
      <c r="N607" s="2"/>
      <c r="O607" s="2"/>
      <c r="P607" s="2"/>
      <c r="Q607" s="157"/>
      <c r="R607" s="157"/>
      <c r="S607" s="157"/>
      <c r="T607" s="2"/>
      <c r="U607" s="2"/>
      <c r="V607" s="2"/>
      <c r="W607" s="2"/>
      <c r="X607" s="2"/>
      <c r="Y607" s="2"/>
      <c r="Z607" s="2"/>
    </row>
    <row r="608" ht="13.5" customHeight="1">
      <c r="A608" s="2"/>
      <c r="B608" s="2"/>
      <c r="C608" s="2"/>
      <c r="D608" s="2"/>
      <c r="E608" s="2"/>
      <c r="F608" s="2"/>
      <c r="G608" s="2"/>
      <c r="H608" s="2"/>
      <c r="I608" s="2"/>
      <c r="J608" s="28"/>
      <c r="K608" s="181"/>
      <c r="L608" s="2"/>
      <c r="M608" s="2"/>
      <c r="N608" s="2"/>
      <c r="O608" s="2"/>
      <c r="P608" s="2"/>
      <c r="Q608" s="157"/>
      <c r="R608" s="157"/>
      <c r="S608" s="157"/>
      <c r="T608" s="2"/>
      <c r="U608" s="2"/>
      <c r="V608" s="2"/>
      <c r="W608" s="2"/>
      <c r="X608" s="2"/>
      <c r="Y608" s="2"/>
      <c r="Z608" s="2"/>
    </row>
    <row r="609" ht="13.5" customHeight="1">
      <c r="A609" s="2"/>
      <c r="B609" s="2"/>
      <c r="C609" s="2"/>
      <c r="D609" s="2"/>
      <c r="E609" s="2"/>
      <c r="F609" s="2"/>
      <c r="G609" s="2"/>
      <c r="H609" s="2"/>
      <c r="I609" s="2"/>
      <c r="J609" s="28"/>
      <c r="K609" s="181"/>
      <c r="L609" s="2"/>
      <c r="M609" s="2"/>
      <c r="N609" s="2"/>
      <c r="O609" s="2"/>
      <c r="P609" s="2"/>
      <c r="Q609" s="157"/>
      <c r="R609" s="157"/>
      <c r="S609" s="157"/>
      <c r="T609" s="2"/>
      <c r="U609" s="2"/>
      <c r="V609" s="2"/>
      <c r="W609" s="2"/>
      <c r="X609" s="2"/>
      <c r="Y609" s="2"/>
      <c r="Z609" s="2"/>
    </row>
    <row r="610" ht="13.5" customHeight="1">
      <c r="A610" s="2"/>
      <c r="B610" s="2"/>
      <c r="C610" s="2"/>
      <c r="D610" s="2"/>
      <c r="E610" s="2"/>
      <c r="F610" s="2"/>
      <c r="G610" s="2"/>
      <c r="H610" s="2"/>
      <c r="I610" s="2"/>
      <c r="J610" s="28"/>
      <c r="K610" s="181"/>
      <c r="L610" s="2"/>
      <c r="M610" s="2"/>
      <c r="N610" s="2"/>
      <c r="O610" s="2"/>
      <c r="P610" s="2"/>
      <c r="Q610" s="157"/>
      <c r="R610" s="157"/>
      <c r="S610" s="157"/>
      <c r="T610" s="2"/>
      <c r="U610" s="2"/>
      <c r="V610" s="2"/>
      <c r="W610" s="2"/>
      <c r="X610" s="2"/>
      <c r="Y610" s="2"/>
      <c r="Z610" s="2"/>
    </row>
    <row r="611" ht="13.5" customHeight="1">
      <c r="A611" s="2"/>
      <c r="B611" s="2"/>
      <c r="C611" s="2"/>
      <c r="D611" s="2"/>
      <c r="E611" s="2"/>
      <c r="F611" s="2"/>
      <c r="G611" s="2"/>
      <c r="H611" s="2"/>
      <c r="I611" s="2"/>
      <c r="J611" s="28"/>
      <c r="K611" s="181"/>
      <c r="L611" s="2"/>
      <c r="M611" s="2"/>
      <c r="N611" s="2"/>
      <c r="O611" s="2"/>
      <c r="P611" s="2"/>
      <c r="Q611" s="157"/>
      <c r="R611" s="157"/>
      <c r="S611" s="157"/>
      <c r="T611" s="2"/>
      <c r="U611" s="2"/>
      <c r="V611" s="2"/>
      <c r="W611" s="2"/>
      <c r="X611" s="2"/>
      <c r="Y611" s="2"/>
      <c r="Z611" s="2"/>
    </row>
    <row r="612" ht="13.5" customHeight="1">
      <c r="A612" s="2"/>
      <c r="B612" s="2"/>
      <c r="C612" s="2"/>
      <c r="D612" s="2"/>
      <c r="E612" s="2"/>
      <c r="F612" s="2"/>
      <c r="G612" s="2"/>
      <c r="H612" s="2"/>
      <c r="I612" s="2"/>
      <c r="J612" s="28"/>
      <c r="K612" s="181"/>
      <c r="L612" s="2"/>
      <c r="M612" s="2"/>
      <c r="N612" s="2"/>
      <c r="O612" s="2"/>
      <c r="P612" s="2"/>
      <c r="Q612" s="157"/>
      <c r="R612" s="157"/>
      <c r="S612" s="157"/>
      <c r="T612" s="2"/>
      <c r="U612" s="2"/>
      <c r="V612" s="2"/>
      <c r="W612" s="2"/>
      <c r="X612" s="2"/>
      <c r="Y612" s="2"/>
      <c r="Z612" s="2"/>
    </row>
    <row r="613" ht="13.5" customHeight="1">
      <c r="A613" s="2"/>
      <c r="B613" s="2"/>
      <c r="C613" s="2"/>
      <c r="D613" s="2"/>
      <c r="E613" s="2"/>
      <c r="F613" s="2"/>
      <c r="G613" s="2"/>
      <c r="H613" s="2"/>
      <c r="I613" s="2"/>
      <c r="J613" s="28"/>
      <c r="K613" s="181"/>
      <c r="L613" s="2"/>
      <c r="M613" s="2"/>
      <c r="N613" s="2"/>
      <c r="O613" s="2"/>
      <c r="P613" s="2"/>
      <c r="Q613" s="157"/>
      <c r="R613" s="157"/>
      <c r="S613" s="157"/>
      <c r="T613" s="2"/>
      <c r="U613" s="2"/>
      <c r="V613" s="2"/>
      <c r="W613" s="2"/>
      <c r="X613" s="2"/>
      <c r="Y613" s="2"/>
      <c r="Z613" s="2"/>
    </row>
    <row r="614" ht="13.5" customHeight="1">
      <c r="A614" s="2"/>
      <c r="B614" s="2"/>
      <c r="C614" s="2"/>
      <c r="D614" s="2"/>
      <c r="E614" s="2"/>
      <c r="F614" s="2"/>
      <c r="G614" s="2"/>
      <c r="H614" s="2"/>
      <c r="I614" s="2"/>
      <c r="J614" s="28"/>
      <c r="K614" s="181"/>
      <c r="L614" s="2"/>
      <c r="M614" s="2"/>
      <c r="N614" s="2"/>
      <c r="O614" s="2"/>
      <c r="P614" s="2"/>
      <c r="Q614" s="157"/>
      <c r="R614" s="157"/>
      <c r="S614" s="157"/>
      <c r="T614" s="2"/>
      <c r="U614" s="2"/>
      <c r="V614" s="2"/>
      <c r="W614" s="2"/>
      <c r="X614" s="2"/>
      <c r="Y614" s="2"/>
      <c r="Z614" s="2"/>
    </row>
    <row r="615" ht="13.5" customHeight="1">
      <c r="A615" s="2"/>
      <c r="B615" s="2"/>
      <c r="C615" s="2"/>
      <c r="D615" s="2"/>
      <c r="E615" s="2"/>
      <c r="F615" s="2"/>
      <c r="G615" s="2"/>
      <c r="H615" s="2"/>
      <c r="I615" s="2"/>
      <c r="J615" s="28"/>
      <c r="K615" s="181"/>
      <c r="L615" s="2"/>
      <c r="M615" s="2"/>
      <c r="N615" s="2"/>
      <c r="O615" s="2"/>
      <c r="P615" s="2"/>
      <c r="Q615" s="157"/>
      <c r="R615" s="157"/>
      <c r="S615" s="157"/>
      <c r="T615" s="2"/>
      <c r="U615" s="2"/>
      <c r="V615" s="2"/>
      <c r="W615" s="2"/>
      <c r="X615" s="2"/>
      <c r="Y615" s="2"/>
      <c r="Z615" s="2"/>
    </row>
    <row r="616" ht="13.5" customHeight="1">
      <c r="A616" s="2"/>
      <c r="B616" s="2"/>
      <c r="C616" s="2"/>
      <c r="D616" s="2"/>
      <c r="E616" s="2"/>
      <c r="F616" s="2"/>
      <c r="G616" s="2"/>
      <c r="H616" s="2"/>
      <c r="I616" s="2"/>
      <c r="J616" s="28"/>
      <c r="K616" s="181"/>
      <c r="L616" s="2"/>
      <c r="M616" s="2"/>
      <c r="N616" s="2"/>
      <c r="O616" s="2"/>
      <c r="P616" s="2"/>
      <c r="Q616" s="157"/>
      <c r="R616" s="157"/>
      <c r="S616" s="157"/>
      <c r="T616" s="2"/>
      <c r="U616" s="2"/>
      <c r="V616" s="2"/>
      <c r="W616" s="2"/>
      <c r="X616" s="2"/>
      <c r="Y616" s="2"/>
      <c r="Z616" s="2"/>
    </row>
    <row r="617" ht="13.5" customHeight="1">
      <c r="A617" s="2"/>
      <c r="B617" s="2"/>
      <c r="C617" s="2"/>
      <c r="D617" s="2"/>
      <c r="E617" s="2"/>
      <c r="F617" s="2"/>
      <c r="G617" s="2"/>
      <c r="H617" s="2"/>
      <c r="I617" s="2"/>
      <c r="J617" s="28"/>
      <c r="K617" s="181"/>
      <c r="L617" s="2"/>
      <c r="M617" s="2"/>
      <c r="N617" s="2"/>
      <c r="O617" s="2"/>
      <c r="P617" s="2"/>
      <c r="Q617" s="157"/>
      <c r="R617" s="157"/>
      <c r="S617" s="157"/>
      <c r="T617" s="2"/>
      <c r="U617" s="2"/>
      <c r="V617" s="2"/>
      <c r="W617" s="2"/>
      <c r="X617" s="2"/>
      <c r="Y617" s="2"/>
      <c r="Z617" s="2"/>
    </row>
    <row r="618" ht="13.5" customHeight="1">
      <c r="A618" s="2"/>
      <c r="B618" s="2"/>
      <c r="C618" s="2"/>
      <c r="D618" s="2"/>
      <c r="E618" s="2"/>
      <c r="F618" s="2"/>
      <c r="G618" s="2"/>
      <c r="H618" s="2"/>
      <c r="I618" s="2"/>
      <c r="J618" s="28"/>
      <c r="K618" s="181"/>
      <c r="L618" s="2"/>
      <c r="M618" s="2"/>
      <c r="N618" s="2"/>
      <c r="O618" s="2"/>
      <c r="P618" s="2"/>
      <c r="Q618" s="157"/>
      <c r="R618" s="157"/>
      <c r="S618" s="157"/>
      <c r="T618" s="2"/>
      <c r="U618" s="2"/>
      <c r="V618" s="2"/>
      <c r="W618" s="2"/>
      <c r="X618" s="2"/>
      <c r="Y618" s="2"/>
      <c r="Z618" s="2"/>
    </row>
    <row r="619" ht="13.5" customHeight="1">
      <c r="A619" s="2"/>
      <c r="B619" s="2"/>
      <c r="C619" s="2"/>
      <c r="D619" s="2"/>
      <c r="E619" s="2"/>
      <c r="F619" s="2"/>
      <c r="G619" s="2"/>
      <c r="H619" s="2"/>
      <c r="I619" s="2"/>
      <c r="J619" s="28"/>
      <c r="K619" s="181"/>
      <c r="L619" s="2"/>
      <c r="M619" s="2"/>
      <c r="N619" s="2"/>
      <c r="O619" s="2"/>
      <c r="P619" s="2"/>
      <c r="Q619" s="157"/>
      <c r="R619" s="157"/>
      <c r="S619" s="157"/>
      <c r="T619" s="2"/>
      <c r="U619" s="2"/>
      <c r="V619" s="2"/>
      <c r="W619" s="2"/>
      <c r="X619" s="2"/>
      <c r="Y619" s="2"/>
      <c r="Z619" s="2"/>
    </row>
    <row r="620" ht="13.5" customHeight="1">
      <c r="A620" s="2"/>
      <c r="B620" s="2"/>
      <c r="C620" s="2"/>
      <c r="D620" s="2"/>
      <c r="E620" s="2"/>
      <c r="F620" s="2"/>
      <c r="G620" s="2"/>
      <c r="H620" s="2"/>
      <c r="I620" s="2"/>
      <c r="J620" s="28"/>
      <c r="K620" s="181"/>
      <c r="L620" s="2"/>
      <c r="M620" s="2"/>
      <c r="N620" s="2"/>
      <c r="O620" s="2"/>
      <c r="P620" s="2"/>
      <c r="Q620" s="157"/>
      <c r="R620" s="157"/>
      <c r="S620" s="157"/>
      <c r="T620" s="2"/>
      <c r="U620" s="2"/>
      <c r="V620" s="2"/>
      <c r="W620" s="2"/>
      <c r="X620" s="2"/>
      <c r="Y620" s="2"/>
      <c r="Z620" s="2"/>
    </row>
    <row r="621" ht="13.5" customHeight="1">
      <c r="A621" s="2"/>
      <c r="B621" s="2"/>
      <c r="C621" s="2"/>
      <c r="D621" s="2"/>
      <c r="E621" s="2"/>
      <c r="F621" s="2"/>
      <c r="G621" s="2"/>
      <c r="H621" s="2"/>
      <c r="I621" s="2"/>
      <c r="J621" s="28"/>
      <c r="K621" s="181"/>
      <c r="L621" s="2"/>
      <c r="M621" s="2"/>
      <c r="N621" s="2"/>
      <c r="O621" s="2"/>
      <c r="P621" s="2"/>
      <c r="Q621" s="157"/>
      <c r="R621" s="157"/>
      <c r="S621" s="157"/>
      <c r="T621" s="2"/>
      <c r="U621" s="2"/>
      <c r="V621" s="2"/>
      <c r="W621" s="2"/>
      <c r="X621" s="2"/>
      <c r="Y621" s="2"/>
      <c r="Z621" s="2"/>
    </row>
    <row r="622" ht="13.5" customHeight="1">
      <c r="A622" s="2"/>
      <c r="B622" s="2"/>
      <c r="C622" s="2"/>
      <c r="D622" s="2"/>
      <c r="E622" s="2"/>
      <c r="F622" s="2"/>
      <c r="G622" s="2"/>
      <c r="H622" s="2"/>
      <c r="I622" s="2"/>
      <c r="J622" s="28"/>
      <c r="K622" s="181"/>
      <c r="L622" s="2"/>
      <c r="M622" s="2"/>
      <c r="N622" s="2"/>
      <c r="O622" s="2"/>
      <c r="P622" s="2"/>
      <c r="Q622" s="157"/>
      <c r="R622" s="157"/>
      <c r="S622" s="157"/>
      <c r="T622" s="2"/>
      <c r="U622" s="2"/>
      <c r="V622" s="2"/>
      <c r="W622" s="2"/>
      <c r="X622" s="2"/>
      <c r="Y622" s="2"/>
      <c r="Z622" s="2"/>
    </row>
    <row r="623" ht="13.5" customHeight="1">
      <c r="A623" s="2"/>
      <c r="B623" s="2"/>
      <c r="C623" s="2"/>
      <c r="D623" s="2"/>
      <c r="E623" s="2"/>
      <c r="F623" s="2"/>
      <c r="G623" s="2"/>
      <c r="H623" s="2"/>
      <c r="I623" s="2"/>
      <c r="J623" s="28"/>
      <c r="K623" s="181"/>
      <c r="L623" s="2"/>
      <c r="M623" s="2"/>
      <c r="N623" s="2"/>
      <c r="O623" s="2"/>
      <c r="P623" s="2"/>
      <c r="Q623" s="157"/>
      <c r="R623" s="157"/>
      <c r="S623" s="157"/>
      <c r="T623" s="2"/>
      <c r="U623" s="2"/>
      <c r="V623" s="2"/>
      <c r="W623" s="2"/>
      <c r="X623" s="2"/>
      <c r="Y623" s="2"/>
      <c r="Z623" s="2"/>
    </row>
    <row r="624" ht="13.5" customHeight="1">
      <c r="A624" s="2"/>
      <c r="B624" s="2"/>
      <c r="C624" s="2"/>
      <c r="D624" s="2"/>
      <c r="E624" s="2"/>
      <c r="F624" s="2"/>
      <c r="G624" s="2"/>
      <c r="H624" s="2"/>
      <c r="I624" s="2"/>
      <c r="J624" s="28"/>
      <c r="K624" s="181"/>
      <c r="L624" s="2"/>
      <c r="M624" s="2"/>
      <c r="N624" s="2"/>
      <c r="O624" s="2"/>
      <c r="P624" s="2"/>
      <c r="Q624" s="157"/>
      <c r="R624" s="157"/>
      <c r="S624" s="157"/>
      <c r="T624" s="2"/>
      <c r="U624" s="2"/>
      <c r="V624" s="2"/>
      <c r="W624" s="2"/>
      <c r="X624" s="2"/>
      <c r="Y624" s="2"/>
      <c r="Z624" s="2"/>
    </row>
    <row r="625" ht="13.5" customHeight="1">
      <c r="A625" s="2"/>
      <c r="B625" s="2"/>
      <c r="C625" s="2"/>
      <c r="D625" s="2"/>
      <c r="E625" s="2"/>
      <c r="F625" s="2"/>
      <c r="G625" s="2"/>
      <c r="H625" s="2"/>
      <c r="I625" s="2"/>
      <c r="J625" s="28"/>
      <c r="K625" s="181"/>
      <c r="L625" s="2"/>
      <c r="M625" s="2"/>
      <c r="N625" s="2"/>
      <c r="O625" s="2"/>
      <c r="P625" s="2"/>
      <c r="Q625" s="157"/>
      <c r="R625" s="157"/>
      <c r="S625" s="157"/>
      <c r="T625" s="2"/>
      <c r="U625" s="2"/>
      <c r="V625" s="2"/>
      <c r="W625" s="2"/>
      <c r="X625" s="2"/>
      <c r="Y625" s="2"/>
      <c r="Z625" s="2"/>
    </row>
    <row r="626" ht="13.5" customHeight="1">
      <c r="A626" s="2"/>
      <c r="B626" s="2"/>
      <c r="C626" s="2"/>
      <c r="D626" s="2"/>
      <c r="E626" s="2"/>
      <c r="F626" s="2"/>
      <c r="G626" s="2"/>
      <c r="H626" s="2"/>
      <c r="I626" s="2"/>
      <c r="J626" s="28"/>
      <c r="K626" s="181"/>
      <c r="L626" s="2"/>
      <c r="M626" s="2"/>
      <c r="N626" s="2"/>
      <c r="O626" s="2"/>
      <c r="P626" s="2"/>
      <c r="Q626" s="157"/>
      <c r="R626" s="157"/>
      <c r="S626" s="157"/>
      <c r="T626" s="2"/>
      <c r="U626" s="2"/>
      <c r="V626" s="2"/>
      <c r="W626" s="2"/>
      <c r="X626" s="2"/>
      <c r="Y626" s="2"/>
      <c r="Z626" s="2"/>
    </row>
    <row r="627" ht="13.5" customHeight="1">
      <c r="A627" s="2"/>
      <c r="B627" s="2"/>
      <c r="C627" s="2"/>
      <c r="D627" s="2"/>
      <c r="E627" s="2"/>
      <c r="F627" s="2"/>
      <c r="G627" s="2"/>
      <c r="H627" s="2"/>
      <c r="I627" s="2"/>
      <c r="J627" s="28"/>
      <c r="K627" s="181"/>
      <c r="L627" s="2"/>
      <c r="M627" s="2"/>
      <c r="N627" s="2"/>
      <c r="O627" s="2"/>
      <c r="P627" s="2"/>
      <c r="Q627" s="157"/>
      <c r="R627" s="157"/>
      <c r="S627" s="157"/>
      <c r="T627" s="2"/>
      <c r="U627" s="2"/>
      <c r="V627" s="2"/>
      <c r="W627" s="2"/>
      <c r="X627" s="2"/>
      <c r="Y627" s="2"/>
      <c r="Z627" s="2"/>
    </row>
    <row r="628" ht="13.5" customHeight="1">
      <c r="A628" s="2"/>
      <c r="B628" s="2"/>
      <c r="C628" s="2"/>
      <c r="D628" s="2"/>
      <c r="E628" s="2"/>
      <c r="F628" s="2"/>
      <c r="G628" s="2"/>
      <c r="H628" s="2"/>
      <c r="I628" s="2"/>
      <c r="J628" s="28"/>
      <c r="K628" s="181"/>
      <c r="L628" s="2"/>
      <c r="M628" s="2"/>
      <c r="N628" s="2"/>
      <c r="O628" s="2"/>
      <c r="P628" s="2"/>
      <c r="Q628" s="157"/>
      <c r="R628" s="157"/>
      <c r="S628" s="157"/>
      <c r="T628" s="2"/>
      <c r="U628" s="2"/>
      <c r="V628" s="2"/>
      <c r="W628" s="2"/>
      <c r="X628" s="2"/>
      <c r="Y628" s="2"/>
      <c r="Z628" s="2"/>
    </row>
    <row r="629" ht="13.5" customHeight="1">
      <c r="A629" s="2"/>
      <c r="B629" s="2"/>
      <c r="C629" s="2"/>
      <c r="D629" s="2"/>
      <c r="E629" s="2"/>
      <c r="F629" s="2"/>
      <c r="G629" s="2"/>
      <c r="H629" s="2"/>
      <c r="I629" s="2"/>
      <c r="J629" s="28"/>
      <c r="K629" s="181"/>
      <c r="L629" s="2"/>
      <c r="M629" s="2"/>
      <c r="N629" s="2"/>
      <c r="O629" s="2"/>
      <c r="P629" s="2"/>
      <c r="Q629" s="157"/>
      <c r="R629" s="157"/>
      <c r="S629" s="157"/>
      <c r="T629" s="2"/>
      <c r="U629" s="2"/>
      <c r="V629" s="2"/>
      <c r="W629" s="2"/>
      <c r="X629" s="2"/>
      <c r="Y629" s="2"/>
      <c r="Z629" s="2"/>
    </row>
    <row r="630" ht="13.5" customHeight="1">
      <c r="A630" s="2"/>
      <c r="B630" s="2"/>
      <c r="C630" s="2"/>
      <c r="D630" s="2"/>
      <c r="E630" s="2"/>
      <c r="F630" s="2"/>
      <c r="G630" s="2"/>
      <c r="H630" s="2"/>
      <c r="I630" s="2"/>
      <c r="J630" s="28"/>
      <c r="K630" s="181"/>
      <c r="L630" s="2"/>
      <c r="M630" s="2"/>
      <c r="N630" s="2"/>
      <c r="O630" s="2"/>
      <c r="P630" s="2"/>
      <c r="Q630" s="157"/>
      <c r="R630" s="157"/>
      <c r="S630" s="157"/>
      <c r="T630" s="2"/>
      <c r="U630" s="2"/>
      <c r="V630" s="2"/>
      <c r="W630" s="2"/>
      <c r="X630" s="2"/>
      <c r="Y630" s="2"/>
      <c r="Z630" s="2"/>
    </row>
    <row r="631" ht="13.5" customHeight="1">
      <c r="A631" s="2"/>
      <c r="B631" s="2"/>
      <c r="C631" s="2"/>
      <c r="D631" s="2"/>
      <c r="E631" s="2"/>
      <c r="F631" s="2"/>
      <c r="G631" s="2"/>
      <c r="H631" s="2"/>
      <c r="I631" s="2"/>
      <c r="J631" s="28"/>
      <c r="K631" s="181"/>
      <c r="L631" s="2"/>
      <c r="M631" s="2"/>
      <c r="N631" s="2"/>
      <c r="O631" s="2"/>
      <c r="P631" s="2"/>
      <c r="Q631" s="157"/>
      <c r="R631" s="157"/>
      <c r="S631" s="157"/>
      <c r="T631" s="2"/>
      <c r="U631" s="2"/>
      <c r="V631" s="2"/>
      <c r="W631" s="2"/>
      <c r="X631" s="2"/>
      <c r="Y631" s="2"/>
      <c r="Z631" s="2"/>
    </row>
    <row r="632" ht="13.5" customHeight="1">
      <c r="A632" s="2"/>
      <c r="B632" s="2"/>
      <c r="C632" s="2"/>
      <c r="D632" s="2"/>
      <c r="E632" s="2"/>
      <c r="F632" s="2"/>
      <c r="G632" s="2"/>
      <c r="H632" s="2"/>
      <c r="I632" s="2"/>
      <c r="J632" s="28"/>
      <c r="K632" s="181"/>
      <c r="L632" s="2"/>
      <c r="M632" s="2"/>
      <c r="N632" s="2"/>
      <c r="O632" s="2"/>
      <c r="P632" s="2"/>
      <c r="Q632" s="157"/>
      <c r="R632" s="157"/>
      <c r="S632" s="157"/>
      <c r="T632" s="2"/>
      <c r="U632" s="2"/>
      <c r="V632" s="2"/>
      <c r="W632" s="2"/>
      <c r="X632" s="2"/>
      <c r="Y632" s="2"/>
      <c r="Z632" s="2"/>
    </row>
    <row r="633" ht="13.5" customHeight="1">
      <c r="A633" s="2"/>
      <c r="B633" s="2"/>
      <c r="C633" s="2"/>
      <c r="D633" s="2"/>
      <c r="E633" s="2"/>
      <c r="F633" s="2"/>
      <c r="G633" s="2"/>
      <c r="H633" s="2"/>
      <c r="I633" s="2"/>
      <c r="J633" s="28"/>
      <c r="K633" s="181"/>
      <c r="L633" s="2"/>
      <c r="M633" s="2"/>
      <c r="N633" s="2"/>
      <c r="O633" s="2"/>
      <c r="P633" s="2"/>
      <c r="Q633" s="157"/>
      <c r="R633" s="157"/>
      <c r="S633" s="157"/>
      <c r="T633" s="2"/>
      <c r="U633" s="2"/>
      <c r="V633" s="2"/>
      <c r="W633" s="2"/>
      <c r="X633" s="2"/>
      <c r="Y633" s="2"/>
      <c r="Z633" s="2"/>
    </row>
    <row r="634" ht="13.5" customHeight="1">
      <c r="A634" s="2"/>
      <c r="B634" s="2"/>
      <c r="C634" s="2"/>
      <c r="D634" s="2"/>
      <c r="E634" s="2"/>
      <c r="F634" s="2"/>
      <c r="G634" s="2"/>
      <c r="H634" s="2"/>
      <c r="I634" s="2"/>
      <c r="J634" s="28"/>
      <c r="K634" s="181"/>
      <c r="L634" s="2"/>
      <c r="M634" s="2"/>
      <c r="N634" s="2"/>
      <c r="O634" s="2"/>
      <c r="P634" s="2"/>
      <c r="Q634" s="157"/>
      <c r="R634" s="157"/>
      <c r="S634" s="157"/>
      <c r="T634" s="2"/>
      <c r="U634" s="2"/>
      <c r="V634" s="2"/>
      <c r="W634" s="2"/>
      <c r="X634" s="2"/>
      <c r="Y634" s="2"/>
      <c r="Z634" s="2"/>
    </row>
    <row r="635" ht="13.5" customHeight="1">
      <c r="A635" s="2"/>
      <c r="B635" s="2"/>
      <c r="C635" s="2"/>
      <c r="D635" s="2"/>
      <c r="E635" s="2"/>
      <c r="F635" s="2"/>
      <c r="G635" s="2"/>
      <c r="H635" s="2"/>
      <c r="I635" s="2"/>
      <c r="J635" s="28"/>
      <c r="K635" s="181"/>
      <c r="L635" s="2"/>
      <c r="M635" s="2"/>
      <c r="N635" s="2"/>
      <c r="O635" s="2"/>
      <c r="P635" s="2"/>
      <c r="Q635" s="157"/>
      <c r="R635" s="157"/>
      <c r="S635" s="157"/>
      <c r="T635" s="2"/>
      <c r="U635" s="2"/>
      <c r="V635" s="2"/>
      <c r="W635" s="2"/>
      <c r="X635" s="2"/>
      <c r="Y635" s="2"/>
      <c r="Z635" s="2"/>
    </row>
    <row r="636" ht="13.5" customHeight="1">
      <c r="A636" s="2"/>
      <c r="B636" s="2"/>
      <c r="C636" s="2"/>
      <c r="D636" s="2"/>
      <c r="E636" s="2"/>
      <c r="F636" s="2"/>
      <c r="G636" s="2"/>
      <c r="H636" s="2"/>
      <c r="I636" s="2"/>
      <c r="J636" s="28"/>
      <c r="K636" s="181"/>
      <c r="L636" s="2"/>
      <c r="M636" s="2"/>
      <c r="N636" s="2"/>
      <c r="O636" s="2"/>
      <c r="P636" s="2"/>
      <c r="Q636" s="157"/>
      <c r="R636" s="157"/>
      <c r="S636" s="157"/>
      <c r="T636" s="2"/>
      <c r="U636" s="2"/>
      <c r="V636" s="2"/>
      <c r="W636" s="2"/>
      <c r="X636" s="2"/>
      <c r="Y636" s="2"/>
      <c r="Z636" s="2"/>
    </row>
    <row r="637" ht="13.5" customHeight="1">
      <c r="A637" s="2"/>
      <c r="B637" s="2"/>
      <c r="C637" s="2"/>
      <c r="D637" s="2"/>
      <c r="E637" s="2"/>
      <c r="F637" s="2"/>
      <c r="G637" s="2"/>
      <c r="H637" s="2"/>
      <c r="I637" s="2"/>
      <c r="J637" s="28"/>
      <c r="K637" s="181"/>
      <c r="L637" s="2"/>
      <c r="M637" s="2"/>
      <c r="N637" s="2"/>
      <c r="O637" s="2"/>
      <c r="P637" s="2"/>
      <c r="Q637" s="157"/>
      <c r="R637" s="157"/>
      <c r="S637" s="157"/>
      <c r="T637" s="2"/>
      <c r="U637" s="2"/>
      <c r="V637" s="2"/>
      <c r="W637" s="2"/>
      <c r="X637" s="2"/>
      <c r="Y637" s="2"/>
      <c r="Z637" s="2"/>
    </row>
    <row r="638" ht="13.5" customHeight="1">
      <c r="A638" s="2"/>
      <c r="B638" s="2"/>
      <c r="C638" s="2"/>
      <c r="D638" s="2"/>
      <c r="E638" s="2"/>
      <c r="F638" s="2"/>
      <c r="G638" s="2"/>
      <c r="H638" s="2"/>
      <c r="I638" s="2"/>
      <c r="J638" s="28"/>
      <c r="K638" s="181"/>
      <c r="L638" s="2"/>
      <c r="M638" s="2"/>
      <c r="N638" s="2"/>
      <c r="O638" s="2"/>
      <c r="P638" s="2"/>
      <c r="Q638" s="157"/>
      <c r="R638" s="157"/>
      <c r="S638" s="157"/>
      <c r="T638" s="2"/>
      <c r="U638" s="2"/>
      <c r="V638" s="2"/>
      <c r="W638" s="2"/>
      <c r="X638" s="2"/>
      <c r="Y638" s="2"/>
      <c r="Z638" s="2"/>
    </row>
    <row r="639" ht="13.5" customHeight="1">
      <c r="A639" s="2"/>
      <c r="B639" s="2"/>
      <c r="C639" s="2"/>
      <c r="D639" s="2"/>
      <c r="E639" s="2"/>
      <c r="F639" s="2"/>
      <c r="G639" s="2"/>
      <c r="H639" s="2"/>
      <c r="I639" s="2"/>
      <c r="J639" s="28"/>
      <c r="K639" s="181"/>
      <c r="L639" s="2"/>
      <c r="M639" s="2"/>
      <c r="N639" s="2"/>
      <c r="O639" s="2"/>
      <c r="P639" s="2"/>
      <c r="Q639" s="157"/>
      <c r="R639" s="157"/>
      <c r="S639" s="157"/>
      <c r="T639" s="2"/>
      <c r="U639" s="2"/>
      <c r="V639" s="2"/>
      <c r="W639" s="2"/>
      <c r="X639" s="2"/>
      <c r="Y639" s="2"/>
      <c r="Z639" s="2"/>
    </row>
    <row r="640" ht="13.5" customHeight="1">
      <c r="A640" s="2"/>
      <c r="B640" s="2"/>
      <c r="C640" s="2"/>
      <c r="D640" s="2"/>
      <c r="E640" s="2"/>
      <c r="F640" s="2"/>
      <c r="G640" s="2"/>
      <c r="H640" s="2"/>
      <c r="I640" s="2"/>
      <c r="J640" s="28"/>
      <c r="K640" s="181"/>
      <c r="L640" s="2"/>
      <c r="M640" s="2"/>
      <c r="N640" s="2"/>
      <c r="O640" s="2"/>
      <c r="P640" s="2"/>
      <c r="Q640" s="157"/>
      <c r="R640" s="157"/>
      <c r="S640" s="157"/>
      <c r="T640" s="2"/>
      <c r="U640" s="2"/>
      <c r="V640" s="2"/>
      <c r="W640" s="2"/>
      <c r="X640" s="2"/>
      <c r="Y640" s="2"/>
      <c r="Z640" s="2"/>
    </row>
    <row r="641" ht="13.5" customHeight="1">
      <c r="A641" s="2"/>
      <c r="B641" s="2"/>
      <c r="C641" s="2"/>
      <c r="D641" s="2"/>
      <c r="E641" s="2"/>
      <c r="F641" s="2"/>
      <c r="G641" s="2"/>
      <c r="H641" s="2"/>
      <c r="I641" s="2"/>
      <c r="J641" s="28"/>
      <c r="K641" s="181"/>
      <c r="L641" s="2"/>
      <c r="M641" s="2"/>
      <c r="N641" s="2"/>
      <c r="O641" s="2"/>
      <c r="P641" s="2"/>
      <c r="Q641" s="157"/>
      <c r="R641" s="157"/>
      <c r="S641" s="157"/>
      <c r="T641" s="2"/>
      <c r="U641" s="2"/>
      <c r="V641" s="2"/>
      <c r="W641" s="2"/>
      <c r="X641" s="2"/>
      <c r="Y641" s="2"/>
      <c r="Z641" s="2"/>
    </row>
    <row r="642" ht="13.5" customHeight="1">
      <c r="A642" s="2"/>
      <c r="B642" s="2"/>
      <c r="C642" s="2"/>
      <c r="D642" s="2"/>
      <c r="E642" s="2"/>
      <c r="F642" s="2"/>
      <c r="G642" s="2"/>
      <c r="H642" s="2"/>
      <c r="I642" s="2"/>
      <c r="J642" s="28"/>
      <c r="K642" s="181"/>
      <c r="L642" s="2"/>
      <c r="M642" s="2"/>
      <c r="N642" s="2"/>
      <c r="O642" s="2"/>
      <c r="P642" s="2"/>
      <c r="Q642" s="157"/>
      <c r="R642" s="157"/>
      <c r="S642" s="157"/>
      <c r="T642" s="2"/>
      <c r="U642" s="2"/>
      <c r="V642" s="2"/>
      <c r="W642" s="2"/>
      <c r="X642" s="2"/>
      <c r="Y642" s="2"/>
      <c r="Z642" s="2"/>
    </row>
    <row r="643" ht="13.5" customHeight="1">
      <c r="A643" s="2"/>
      <c r="B643" s="2"/>
      <c r="C643" s="2"/>
      <c r="D643" s="2"/>
      <c r="E643" s="2"/>
      <c r="F643" s="2"/>
      <c r="G643" s="2"/>
      <c r="H643" s="2"/>
      <c r="I643" s="2"/>
      <c r="J643" s="28"/>
      <c r="K643" s="181"/>
      <c r="L643" s="2"/>
      <c r="M643" s="2"/>
      <c r="N643" s="2"/>
      <c r="O643" s="2"/>
      <c r="P643" s="2"/>
      <c r="Q643" s="157"/>
      <c r="R643" s="157"/>
      <c r="S643" s="157"/>
      <c r="T643" s="2"/>
      <c r="U643" s="2"/>
      <c r="V643" s="2"/>
      <c r="W643" s="2"/>
      <c r="X643" s="2"/>
      <c r="Y643" s="2"/>
      <c r="Z643" s="2"/>
    </row>
    <row r="644" ht="13.5" customHeight="1">
      <c r="A644" s="2"/>
      <c r="B644" s="2"/>
      <c r="C644" s="2"/>
      <c r="D644" s="2"/>
      <c r="E644" s="2"/>
      <c r="F644" s="2"/>
      <c r="G644" s="2"/>
      <c r="H644" s="2"/>
      <c r="I644" s="2"/>
      <c r="J644" s="28"/>
      <c r="K644" s="181"/>
      <c r="L644" s="2"/>
      <c r="M644" s="2"/>
      <c r="N644" s="2"/>
      <c r="O644" s="2"/>
      <c r="P644" s="2"/>
      <c r="Q644" s="157"/>
      <c r="R644" s="157"/>
      <c r="S644" s="157"/>
      <c r="T644" s="2"/>
      <c r="U644" s="2"/>
      <c r="V644" s="2"/>
      <c r="W644" s="2"/>
      <c r="X644" s="2"/>
      <c r="Y644" s="2"/>
      <c r="Z644" s="2"/>
    </row>
    <row r="645" ht="13.5" customHeight="1">
      <c r="A645" s="2"/>
      <c r="B645" s="2"/>
      <c r="C645" s="2"/>
      <c r="D645" s="2"/>
      <c r="E645" s="2"/>
      <c r="F645" s="2"/>
      <c r="G645" s="2"/>
      <c r="H645" s="2"/>
      <c r="I645" s="2"/>
      <c r="J645" s="28"/>
      <c r="K645" s="181"/>
      <c r="L645" s="2"/>
      <c r="M645" s="2"/>
      <c r="N645" s="2"/>
      <c r="O645" s="2"/>
      <c r="P645" s="2"/>
      <c r="Q645" s="157"/>
      <c r="R645" s="157"/>
      <c r="S645" s="157"/>
      <c r="T645" s="2"/>
      <c r="U645" s="2"/>
      <c r="V645" s="2"/>
      <c r="W645" s="2"/>
      <c r="X645" s="2"/>
      <c r="Y645" s="2"/>
      <c r="Z645" s="2"/>
    </row>
    <row r="646" ht="13.5" customHeight="1">
      <c r="A646" s="2"/>
      <c r="B646" s="2"/>
      <c r="C646" s="2"/>
      <c r="D646" s="2"/>
      <c r="E646" s="2"/>
      <c r="F646" s="2"/>
      <c r="G646" s="2"/>
      <c r="H646" s="2"/>
      <c r="I646" s="2"/>
      <c r="J646" s="28"/>
      <c r="K646" s="181"/>
      <c r="L646" s="2"/>
      <c r="M646" s="2"/>
      <c r="N646" s="2"/>
      <c r="O646" s="2"/>
      <c r="P646" s="2"/>
      <c r="Q646" s="157"/>
      <c r="R646" s="157"/>
      <c r="S646" s="157"/>
      <c r="T646" s="2"/>
      <c r="U646" s="2"/>
      <c r="V646" s="2"/>
      <c r="W646" s="2"/>
      <c r="X646" s="2"/>
      <c r="Y646" s="2"/>
      <c r="Z646" s="2"/>
    </row>
    <row r="647" ht="13.5" customHeight="1">
      <c r="A647" s="2"/>
      <c r="B647" s="2"/>
      <c r="C647" s="2"/>
      <c r="D647" s="2"/>
      <c r="E647" s="2"/>
      <c r="F647" s="2"/>
      <c r="G647" s="2"/>
      <c r="H647" s="2"/>
      <c r="I647" s="2"/>
      <c r="J647" s="28"/>
      <c r="K647" s="181"/>
      <c r="L647" s="2"/>
      <c r="M647" s="2"/>
      <c r="N647" s="2"/>
      <c r="O647" s="2"/>
      <c r="P647" s="2"/>
      <c r="Q647" s="157"/>
      <c r="R647" s="157"/>
      <c r="S647" s="157"/>
      <c r="T647" s="2"/>
      <c r="U647" s="2"/>
      <c r="V647" s="2"/>
      <c r="W647" s="2"/>
      <c r="X647" s="2"/>
      <c r="Y647" s="2"/>
      <c r="Z647" s="2"/>
    </row>
    <row r="648" ht="13.5" customHeight="1">
      <c r="A648" s="2"/>
      <c r="B648" s="2"/>
      <c r="C648" s="2"/>
      <c r="D648" s="2"/>
      <c r="E648" s="2"/>
      <c r="F648" s="2"/>
      <c r="G648" s="2"/>
      <c r="H648" s="2"/>
      <c r="I648" s="2"/>
      <c r="J648" s="28"/>
      <c r="K648" s="181"/>
      <c r="L648" s="2"/>
      <c r="M648" s="2"/>
      <c r="N648" s="2"/>
      <c r="O648" s="2"/>
      <c r="P648" s="2"/>
      <c r="Q648" s="157"/>
      <c r="R648" s="157"/>
      <c r="S648" s="157"/>
      <c r="T648" s="2"/>
      <c r="U648" s="2"/>
      <c r="V648" s="2"/>
      <c r="W648" s="2"/>
      <c r="X648" s="2"/>
      <c r="Y648" s="2"/>
      <c r="Z648" s="2"/>
    </row>
    <row r="649" ht="13.5" customHeight="1">
      <c r="A649" s="2"/>
      <c r="B649" s="2"/>
      <c r="C649" s="2"/>
      <c r="D649" s="2"/>
      <c r="E649" s="2"/>
      <c r="F649" s="2"/>
      <c r="G649" s="2"/>
      <c r="H649" s="2"/>
      <c r="I649" s="2"/>
      <c r="J649" s="28"/>
      <c r="K649" s="181"/>
      <c r="L649" s="2"/>
      <c r="M649" s="2"/>
      <c r="N649" s="2"/>
      <c r="O649" s="2"/>
      <c r="P649" s="2"/>
      <c r="Q649" s="157"/>
      <c r="R649" s="157"/>
      <c r="S649" s="157"/>
      <c r="T649" s="2"/>
      <c r="U649" s="2"/>
      <c r="V649" s="2"/>
      <c r="W649" s="2"/>
      <c r="X649" s="2"/>
      <c r="Y649" s="2"/>
      <c r="Z649" s="2"/>
    </row>
    <row r="650" ht="13.5" customHeight="1">
      <c r="A650" s="2"/>
      <c r="B650" s="2"/>
      <c r="C650" s="2"/>
      <c r="D650" s="2"/>
      <c r="E650" s="2"/>
      <c r="F650" s="2"/>
      <c r="G650" s="2"/>
      <c r="H650" s="2"/>
      <c r="I650" s="2"/>
      <c r="J650" s="28"/>
      <c r="K650" s="181"/>
      <c r="L650" s="2"/>
      <c r="M650" s="2"/>
      <c r="N650" s="2"/>
      <c r="O650" s="2"/>
      <c r="P650" s="2"/>
      <c r="Q650" s="157"/>
      <c r="R650" s="157"/>
      <c r="S650" s="157"/>
      <c r="T650" s="2"/>
      <c r="U650" s="2"/>
      <c r="V650" s="2"/>
      <c r="W650" s="2"/>
      <c r="X650" s="2"/>
      <c r="Y650" s="2"/>
      <c r="Z650" s="2"/>
    </row>
    <row r="651" ht="13.5" customHeight="1">
      <c r="A651" s="2"/>
      <c r="B651" s="2"/>
      <c r="C651" s="2"/>
      <c r="D651" s="2"/>
      <c r="E651" s="2"/>
      <c r="F651" s="2"/>
      <c r="G651" s="2"/>
      <c r="H651" s="2"/>
      <c r="I651" s="2"/>
      <c r="J651" s="28"/>
      <c r="K651" s="181"/>
      <c r="L651" s="2"/>
      <c r="M651" s="2"/>
      <c r="N651" s="2"/>
      <c r="O651" s="2"/>
      <c r="P651" s="2"/>
      <c r="Q651" s="157"/>
      <c r="R651" s="157"/>
      <c r="S651" s="157"/>
      <c r="T651" s="2"/>
      <c r="U651" s="2"/>
      <c r="V651" s="2"/>
      <c r="W651" s="2"/>
      <c r="X651" s="2"/>
      <c r="Y651" s="2"/>
      <c r="Z651" s="2"/>
    </row>
    <row r="652" ht="13.5" customHeight="1">
      <c r="A652" s="2"/>
      <c r="B652" s="2"/>
      <c r="C652" s="2"/>
      <c r="D652" s="2"/>
      <c r="E652" s="2"/>
      <c r="F652" s="2"/>
      <c r="G652" s="2"/>
      <c r="H652" s="2"/>
      <c r="I652" s="2"/>
      <c r="J652" s="28"/>
      <c r="K652" s="181"/>
      <c r="L652" s="2"/>
      <c r="M652" s="2"/>
      <c r="N652" s="2"/>
      <c r="O652" s="2"/>
      <c r="P652" s="2"/>
      <c r="Q652" s="157"/>
      <c r="R652" s="157"/>
      <c r="S652" s="157"/>
      <c r="T652" s="2"/>
      <c r="U652" s="2"/>
      <c r="V652" s="2"/>
      <c r="W652" s="2"/>
      <c r="X652" s="2"/>
      <c r="Y652" s="2"/>
      <c r="Z652" s="2"/>
    </row>
    <row r="653" ht="13.5" customHeight="1">
      <c r="A653" s="2"/>
      <c r="B653" s="2"/>
      <c r="C653" s="2"/>
      <c r="D653" s="2"/>
      <c r="E653" s="2"/>
      <c r="F653" s="2"/>
      <c r="G653" s="2"/>
      <c r="H653" s="2"/>
      <c r="I653" s="2"/>
      <c r="J653" s="28"/>
      <c r="K653" s="181"/>
      <c r="L653" s="2"/>
      <c r="M653" s="2"/>
      <c r="N653" s="2"/>
      <c r="O653" s="2"/>
      <c r="P653" s="2"/>
      <c r="Q653" s="157"/>
      <c r="R653" s="157"/>
      <c r="S653" s="157"/>
      <c r="T653" s="2"/>
      <c r="U653" s="2"/>
      <c r="V653" s="2"/>
      <c r="W653" s="2"/>
      <c r="X653" s="2"/>
      <c r="Y653" s="2"/>
      <c r="Z653" s="2"/>
    </row>
    <row r="654" ht="13.5" customHeight="1">
      <c r="A654" s="2"/>
      <c r="B654" s="2"/>
      <c r="C654" s="2"/>
      <c r="D654" s="2"/>
      <c r="E654" s="2"/>
      <c r="F654" s="2"/>
      <c r="G654" s="2"/>
      <c r="H654" s="2"/>
      <c r="I654" s="2"/>
      <c r="J654" s="28"/>
      <c r="K654" s="181"/>
      <c r="L654" s="2"/>
      <c r="M654" s="2"/>
      <c r="N654" s="2"/>
      <c r="O654" s="2"/>
      <c r="P654" s="2"/>
      <c r="Q654" s="157"/>
      <c r="R654" s="157"/>
      <c r="S654" s="157"/>
      <c r="T654" s="2"/>
      <c r="U654" s="2"/>
      <c r="V654" s="2"/>
      <c r="W654" s="2"/>
      <c r="X654" s="2"/>
      <c r="Y654" s="2"/>
      <c r="Z654" s="2"/>
    </row>
    <row r="655" ht="13.5" customHeight="1">
      <c r="A655" s="2"/>
      <c r="B655" s="2"/>
      <c r="C655" s="2"/>
      <c r="D655" s="2"/>
      <c r="E655" s="2"/>
      <c r="F655" s="2"/>
      <c r="G655" s="2"/>
      <c r="H655" s="2"/>
      <c r="I655" s="2"/>
      <c r="J655" s="28"/>
      <c r="K655" s="181"/>
      <c r="L655" s="2"/>
      <c r="M655" s="2"/>
      <c r="N655" s="2"/>
      <c r="O655" s="2"/>
      <c r="P655" s="2"/>
      <c r="Q655" s="157"/>
      <c r="R655" s="157"/>
      <c r="S655" s="157"/>
      <c r="T655" s="2"/>
      <c r="U655" s="2"/>
      <c r="V655" s="2"/>
      <c r="W655" s="2"/>
      <c r="X655" s="2"/>
      <c r="Y655" s="2"/>
      <c r="Z655" s="2"/>
    </row>
    <row r="656" ht="13.5" customHeight="1">
      <c r="A656" s="2"/>
      <c r="B656" s="2"/>
      <c r="C656" s="2"/>
      <c r="D656" s="2"/>
      <c r="E656" s="2"/>
      <c r="F656" s="2"/>
      <c r="G656" s="2"/>
      <c r="H656" s="2"/>
      <c r="I656" s="2"/>
      <c r="J656" s="28"/>
      <c r="K656" s="181"/>
      <c r="L656" s="2"/>
      <c r="M656" s="2"/>
      <c r="N656" s="2"/>
      <c r="O656" s="2"/>
      <c r="P656" s="2"/>
      <c r="Q656" s="157"/>
      <c r="R656" s="157"/>
      <c r="S656" s="157"/>
      <c r="T656" s="2"/>
      <c r="U656" s="2"/>
      <c r="V656" s="2"/>
      <c r="W656" s="2"/>
      <c r="X656" s="2"/>
      <c r="Y656" s="2"/>
      <c r="Z656" s="2"/>
    </row>
    <row r="657" ht="13.5" customHeight="1">
      <c r="A657" s="2"/>
      <c r="B657" s="2"/>
      <c r="C657" s="2"/>
      <c r="D657" s="2"/>
      <c r="E657" s="2"/>
      <c r="F657" s="2"/>
      <c r="G657" s="2"/>
      <c r="H657" s="2"/>
      <c r="I657" s="2"/>
      <c r="J657" s="28"/>
      <c r="K657" s="181"/>
      <c r="L657" s="2"/>
      <c r="M657" s="2"/>
      <c r="N657" s="2"/>
      <c r="O657" s="2"/>
      <c r="P657" s="2"/>
      <c r="Q657" s="157"/>
      <c r="R657" s="157"/>
      <c r="S657" s="157"/>
      <c r="T657" s="2"/>
      <c r="U657" s="2"/>
      <c r="V657" s="2"/>
      <c r="W657" s="2"/>
      <c r="X657" s="2"/>
      <c r="Y657" s="2"/>
      <c r="Z657" s="2"/>
    </row>
    <row r="658" ht="13.5" customHeight="1">
      <c r="A658" s="2"/>
      <c r="B658" s="2"/>
      <c r="C658" s="2"/>
      <c r="D658" s="2"/>
      <c r="E658" s="2"/>
      <c r="F658" s="2"/>
      <c r="G658" s="2"/>
      <c r="H658" s="2"/>
      <c r="I658" s="2"/>
      <c r="J658" s="28"/>
      <c r="K658" s="181"/>
      <c r="L658" s="2"/>
      <c r="M658" s="2"/>
      <c r="N658" s="2"/>
      <c r="O658" s="2"/>
      <c r="P658" s="2"/>
      <c r="Q658" s="157"/>
      <c r="R658" s="157"/>
      <c r="S658" s="157"/>
      <c r="T658" s="2"/>
      <c r="U658" s="2"/>
      <c r="V658" s="2"/>
      <c r="W658" s="2"/>
      <c r="X658" s="2"/>
      <c r="Y658" s="2"/>
      <c r="Z658" s="2"/>
    </row>
    <row r="659" ht="13.5" customHeight="1">
      <c r="A659" s="2"/>
      <c r="B659" s="2"/>
      <c r="C659" s="2"/>
      <c r="D659" s="2"/>
      <c r="E659" s="2"/>
      <c r="F659" s="2"/>
      <c r="G659" s="2"/>
      <c r="H659" s="2"/>
      <c r="I659" s="2"/>
      <c r="J659" s="28"/>
      <c r="K659" s="181"/>
      <c r="L659" s="2"/>
      <c r="M659" s="2"/>
      <c r="N659" s="2"/>
      <c r="O659" s="2"/>
      <c r="P659" s="2"/>
      <c r="Q659" s="157"/>
      <c r="R659" s="157"/>
      <c r="S659" s="157"/>
      <c r="T659" s="2"/>
      <c r="U659" s="2"/>
      <c r="V659" s="2"/>
      <c r="W659" s="2"/>
      <c r="X659" s="2"/>
      <c r="Y659" s="2"/>
      <c r="Z659" s="2"/>
    </row>
    <row r="660" ht="13.5" customHeight="1">
      <c r="A660" s="2"/>
      <c r="B660" s="2"/>
      <c r="C660" s="2"/>
      <c r="D660" s="2"/>
      <c r="E660" s="2"/>
      <c r="F660" s="2"/>
      <c r="G660" s="2"/>
      <c r="H660" s="2"/>
      <c r="I660" s="2"/>
      <c r="J660" s="28"/>
      <c r="K660" s="181"/>
      <c r="L660" s="2"/>
      <c r="M660" s="2"/>
      <c r="N660" s="2"/>
      <c r="O660" s="2"/>
      <c r="P660" s="2"/>
      <c r="Q660" s="157"/>
      <c r="R660" s="157"/>
      <c r="S660" s="157"/>
      <c r="T660" s="2"/>
      <c r="U660" s="2"/>
      <c r="V660" s="2"/>
      <c r="W660" s="2"/>
      <c r="X660" s="2"/>
      <c r="Y660" s="2"/>
      <c r="Z660" s="2"/>
    </row>
    <row r="661" ht="13.5" customHeight="1">
      <c r="A661" s="2"/>
      <c r="B661" s="2"/>
      <c r="C661" s="2"/>
      <c r="D661" s="2"/>
      <c r="E661" s="2"/>
      <c r="F661" s="2"/>
      <c r="G661" s="2"/>
      <c r="H661" s="2"/>
      <c r="I661" s="2"/>
      <c r="J661" s="28"/>
      <c r="K661" s="181"/>
      <c r="L661" s="2"/>
      <c r="M661" s="2"/>
      <c r="N661" s="2"/>
      <c r="O661" s="2"/>
      <c r="P661" s="2"/>
      <c r="Q661" s="157"/>
      <c r="R661" s="157"/>
      <c r="S661" s="157"/>
      <c r="T661" s="2"/>
      <c r="U661" s="2"/>
      <c r="V661" s="2"/>
      <c r="W661" s="2"/>
      <c r="X661" s="2"/>
      <c r="Y661" s="2"/>
      <c r="Z661" s="2"/>
    </row>
    <row r="662" ht="13.5" customHeight="1">
      <c r="A662" s="2"/>
      <c r="B662" s="2"/>
      <c r="C662" s="2"/>
      <c r="D662" s="2"/>
      <c r="E662" s="2"/>
      <c r="F662" s="2"/>
      <c r="G662" s="2"/>
      <c r="H662" s="2"/>
      <c r="I662" s="2"/>
      <c r="J662" s="28"/>
      <c r="K662" s="181"/>
      <c r="L662" s="2"/>
      <c r="M662" s="2"/>
      <c r="N662" s="2"/>
      <c r="O662" s="2"/>
      <c r="P662" s="2"/>
      <c r="Q662" s="157"/>
      <c r="R662" s="157"/>
      <c r="S662" s="157"/>
      <c r="T662" s="2"/>
      <c r="U662" s="2"/>
      <c r="V662" s="2"/>
      <c r="W662" s="2"/>
      <c r="X662" s="2"/>
      <c r="Y662" s="2"/>
      <c r="Z662" s="2"/>
    </row>
    <row r="663" ht="13.5" customHeight="1">
      <c r="A663" s="2"/>
      <c r="B663" s="2"/>
      <c r="C663" s="2"/>
      <c r="D663" s="2"/>
      <c r="E663" s="2"/>
      <c r="F663" s="2"/>
      <c r="G663" s="2"/>
      <c r="H663" s="2"/>
      <c r="I663" s="2"/>
      <c r="J663" s="28"/>
      <c r="K663" s="181"/>
      <c r="L663" s="2"/>
      <c r="M663" s="2"/>
      <c r="N663" s="2"/>
      <c r="O663" s="2"/>
      <c r="P663" s="2"/>
      <c r="Q663" s="157"/>
      <c r="R663" s="157"/>
      <c r="S663" s="157"/>
      <c r="T663" s="2"/>
      <c r="U663" s="2"/>
      <c r="V663" s="2"/>
      <c r="W663" s="2"/>
      <c r="X663" s="2"/>
      <c r="Y663" s="2"/>
      <c r="Z663" s="2"/>
    </row>
    <row r="664" ht="13.5" customHeight="1">
      <c r="A664" s="2"/>
      <c r="B664" s="2"/>
      <c r="C664" s="2"/>
      <c r="D664" s="2"/>
      <c r="E664" s="2"/>
      <c r="F664" s="2"/>
      <c r="G664" s="2"/>
      <c r="H664" s="2"/>
      <c r="I664" s="2"/>
      <c r="J664" s="28"/>
      <c r="K664" s="181"/>
      <c r="L664" s="2"/>
      <c r="M664" s="2"/>
      <c r="N664" s="2"/>
      <c r="O664" s="2"/>
      <c r="P664" s="2"/>
      <c r="Q664" s="157"/>
      <c r="R664" s="157"/>
      <c r="S664" s="157"/>
      <c r="T664" s="2"/>
      <c r="U664" s="2"/>
      <c r="V664" s="2"/>
      <c r="W664" s="2"/>
      <c r="X664" s="2"/>
      <c r="Y664" s="2"/>
      <c r="Z664" s="2"/>
    </row>
    <row r="665" ht="13.5" customHeight="1">
      <c r="A665" s="2"/>
      <c r="B665" s="2"/>
      <c r="C665" s="2"/>
      <c r="D665" s="2"/>
      <c r="E665" s="2"/>
      <c r="F665" s="2"/>
      <c r="G665" s="2"/>
      <c r="H665" s="2"/>
      <c r="I665" s="2"/>
      <c r="J665" s="28"/>
      <c r="K665" s="181"/>
      <c r="L665" s="2"/>
      <c r="M665" s="2"/>
      <c r="N665" s="2"/>
      <c r="O665" s="2"/>
      <c r="P665" s="2"/>
      <c r="Q665" s="157"/>
      <c r="R665" s="157"/>
      <c r="S665" s="157"/>
      <c r="T665" s="2"/>
      <c r="U665" s="2"/>
      <c r="V665" s="2"/>
      <c r="W665" s="2"/>
      <c r="X665" s="2"/>
      <c r="Y665" s="2"/>
      <c r="Z665" s="2"/>
    </row>
    <row r="666" ht="13.5" customHeight="1">
      <c r="A666" s="2"/>
      <c r="B666" s="2"/>
      <c r="C666" s="2"/>
      <c r="D666" s="2"/>
      <c r="E666" s="2"/>
      <c r="F666" s="2"/>
      <c r="G666" s="2"/>
      <c r="H666" s="2"/>
      <c r="I666" s="2"/>
      <c r="J666" s="28"/>
      <c r="K666" s="181"/>
      <c r="L666" s="2"/>
      <c r="M666" s="2"/>
      <c r="N666" s="2"/>
      <c r="O666" s="2"/>
      <c r="P666" s="2"/>
      <c r="Q666" s="157"/>
      <c r="R666" s="157"/>
      <c r="S666" s="157"/>
      <c r="T666" s="2"/>
      <c r="U666" s="2"/>
      <c r="V666" s="2"/>
      <c r="W666" s="2"/>
      <c r="X666" s="2"/>
      <c r="Y666" s="2"/>
      <c r="Z666" s="2"/>
    </row>
    <row r="667" ht="13.5" customHeight="1">
      <c r="A667" s="2"/>
      <c r="B667" s="2"/>
      <c r="C667" s="2"/>
      <c r="D667" s="2"/>
      <c r="E667" s="2"/>
      <c r="F667" s="2"/>
      <c r="G667" s="2"/>
      <c r="H667" s="2"/>
      <c r="I667" s="2"/>
      <c r="J667" s="28"/>
      <c r="K667" s="181"/>
      <c r="L667" s="2"/>
      <c r="M667" s="2"/>
      <c r="N667" s="2"/>
      <c r="O667" s="2"/>
      <c r="P667" s="2"/>
      <c r="Q667" s="157"/>
      <c r="R667" s="157"/>
      <c r="S667" s="157"/>
      <c r="T667" s="2"/>
      <c r="U667" s="2"/>
      <c r="V667" s="2"/>
      <c r="W667" s="2"/>
      <c r="X667" s="2"/>
      <c r="Y667" s="2"/>
      <c r="Z667" s="2"/>
    </row>
    <row r="668" ht="13.5" customHeight="1">
      <c r="A668" s="2"/>
      <c r="B668" s="2"/>
      <c r="C668" s="2"/>
      <c r="D668" s="2"/>
      <c r="E668" s="2"/>
      <c r="F668" s="2"/>
      <c r="G668" s="2"/>
      <c r="H668" s="2"/>
      <c r="I668" s="2"/>
      <c r="J668" s="28"/>
      <c r="K668" s="181"/>
      <c r="L668" s="2"/>
      <c r="M668" s="2"/>
      <c r="N668" s="2"/>
      <c r="O668" s="2"/>
      <c r="P668" s="2"/>
      <c r="Q668" s="157"/>
      <c r="R668" s="157"/>
      <c r="S668" s="157"/>
      <c r="T668" s="2"/>
      <c r="U668" s="2"/>
      <c r="V668" s="2"/>
      <c r="W668" s="2"/>
      <c r="X668" s="2"/>
      <c r="Y668" s="2"/>
      <c r="Z668" s="2"/>
    </row>
    <row r="669" ht="13.5" customHeight="1">
      <c r="A669" s="2"/>
      <c r="B669" s="2"/>
      <c r="C669" s="2"/>
      <c r="D669" s="2"/>
      <c r="E669" s="2"/>
      <c r="F669" s="2"/>
      <c r="G669" s="2"/>
      <c r="H669" s="2"/>
      <c r="I669" s="2"/>
      <c r="J669" s="28"/>
      <c r="K669" s="181"/>
      <c r="L669" s="2"/>
      <c r="M669" s="2"/>
      <c r="N669" s="2"/>
      <c r="O669" s="2"/>
      <c r="P669" s="2"/>
      <c r="Q669" s="157"/>
      <c r="R669" s="157"/>
      <c r="S669" s="157"/>
      <c r="T669" s="2"/>
      <c r="U669" s="2"/>
      <c r="V669" s="2"/>
      <c r="W669" s="2"/>
      <c r="X669" s="2"/>
      <c r="Y669" s="2"/>
      <c r="Z669" s="2"/>
    </row>
    <row r="670" ht="13.5" customHeight="1">
      <c r="A670" s="2"/>
      <c r="B670" s="2"/>
      <c r="C670" s="2"/>
      <c r="D670" s="2"/>
      <c r="E670" s="2"/>
      <c r="F670" s="2"/>
      <c r="G670" s="2"/>
      <c r="H670" s="2"/>
      <c r="I670" s="2"/>
      <c r="J670" s="28"/>
      <c r="K670" s="181"/>
      <c r="L670" s="2"/>
      <c r="M670" s="2"/>
      <c r="N670" s="2"/>
      <c r="O670" s="2"/>
      <c r="P670" s="2"/>
      <c r="Q670" s="157"/>
      <c r="R670" s="157"/>
      <c r="S670" s="157"/>
      <c r="T670" s="2"/>
      <c r="U670" s="2"/>
      <c r="V670" s="2"/>
      <c r="W670" s="2"/>
      <c r="X670" s="2"/>
      <c r="Y670" s="2"/>
      <c r="Z670" s="2"/>
    </row>
    <row r="671" ht="13.5" customHeight="1">
      <c r="A671" s="2"/>
      <c r="B671" s="2"/>
      <c r="C671" s="2"/>
      <c r="D671" s="2"/>
      <c r="E671" s="2"/>
      <c r="F671" s="2"/>
      <c r="G671" s="2"/>
      <c r="H671" s="2"/>
      <c r="I671" s="2"/>
      <c r="J671" s="28"/>
      <c r="K671" s="181"/>
      <c r="L671" s="2"/>
      <c r="M671" s="2"/>
      <c r="N671" s="2"/>
      <c r="O671" s="2"/>
      <c r="P671" s="2"/>
      <c r="Q671" s="157"/>
      <c r="R671" s="157"/>
      <c r="S671" s="157"/>
      <c r="T671" s="2"/>
      <c r="U671" s="2"/>
      <c r="V671" s="2"/>
      <c r="W671" s="2"/>
      <c r="X671" s="2"/>
      <c r="Y671" s="2"/>
      <c r="Z671" s="2"/>
    </row>
    <row r="672" ht="13.5" customHeight="1">
      <c r="A672" s="2"/>
      <c r="B672" s="2"/>
      <c r="C672" s="2"/>
      <c r="D672" s="2"/>
      <c r="E672" s="2"/>
      <c r="F672" s="2"/>
      <c r="G672" s="2"/>
      <c r="H672" s="2"/>
      <c r="I672" s="2"/>
      <c r="J672" s="28"/>
      <c r="K672" s="181"/>
      <c r="L672" s="2"/>
      <c r="M672" s="2"/>
      <c r="N672" s="2"/>
      <c r="O672" s="2"/>
      <c r="P672" s="2"/>
      <c r="Q672" s="157"/>
      <c r="R672" s="157"/>
      <c r="S672" s="157"/>
      <c r="T672" s="2"/>
      <c r="U672" s="2"/>
      <c r="V672" s="2"/>
      <c r="W672" s="2"/>
      <c r="X672" s="2"/>
      <c r="Y672" s="2"/>
      <c r="Z672" s="2"/>
    </row>
    <row r="673" ht="13.5" customHeight="1">
      <c r="A673" s="2"/>
      <c r="B673" s="2"/>
      <c r="C673" s="2"/>
      <c r="D673" s="2"/>
      <c r="E673" s="2"/>
      <c r="F673" s="2"/>
      <c r="G673" s="2"/>
      <c r="H673" s="2"/>
      <c r="I673" s="2"/>
      <c r="J673" s="28"/>
      <c r="K673" s="181"/>
      <c r="L673" s="2"/>
      <c r="M673" s="2"/>
      <c r="N673" s="2"/>
      <c r="O673" s="2"/>
      <c r="P673" s="2"/>
      <c r="Q673" s="157"/>
      <c r="R673" s="157"/>
      <c r="S673" s="157"/>
      <c r="T673" s="2"/>
      <c r="U673" s="2"/>
      <c r="V673" s="2"/>
      <c r="W673" s="2"/>
      <c r="X673" s="2"/>
      <c r="Y673" s="2"/>
      <c r="Z673" s="2"/>
    </row>
    <row r="674" ht="13.5" customHeight="1">
      <c r="A674" s="2"/>
      <c r="B674" s="2"/>
      <c r="C674" s="2"/>
      <c r="D674" s="2"/>
      <c r="E674" s="2"/>
      <c r="F674" s="2"/>
      <c r="G674" s="2"/>
      <c r="H674" s="2"/>
      <c r="I674" s="2"/>
      <c r="J674" s="28"/>
      <c r="K674" s="181"/>
      <c r="L674" s="2"/>
      <c r="M674" s="2"/>
      <c r="N674" s="2"/>
      <c r="O674" s="2"/>
      <c r="P674" s="2"/>
      <c r="Q674" s="157"/>
      <c r="R674" s="157"/>
      <c r="S674" s="157"/>
      <c r="T674" s="2"/>
      <c r="U674" s="2"/>
      <c r="V674" s="2"/>
      <c r="W674" s="2"/>
      <c r="X674" s="2"/>
      <c r="Y674" s="2"/>
      <c r="Z674" s="2"/>
    </row>
    <row r="675" ht="13.5" customHeight="1">
      <c r="A675" s="2"/>
      <c r="B675" s="2"/>
      <c r="C675" s="2"/>
      <c r="D675" s="2"/>
      <c r="E675" s="2"/>
      <c r="F675" s="2"/>
      <c r="G675" s="2"/>
      <c r="H675" s="2"/>
      <c r="I675" s="2"/>
      <c r="J675" s="28"/>
      <c r="K675" s="181"/>
      <c r="L675" s="2"/>
      <c r="M675" s="2"/>
      <c r="N675" s="2"/>
      <c r="O675" s="2"/>
      <c r="P675" s="2"/>
      <c r="Q675" s="157"/>
      <c r="R675" s="157"/>
      <c r="S675" s="157"/>
      <c r="T675" s="2"/>
      <c r="U675" s="2"/>
      <c r="V675" s="2"/>
      <c r="W675" s="2"/>
      <c r="X675" s="2"/>
      <c r="Y675" s="2"/>
      <c r="Z675" s="2"/>
    </row>
    <row r="676" ht="13.5" customHeight="1">
      <c r="A676" s="2"/>
      <c r="B676" s="2"/>
      <c r="C676" s="2"/>
      <c r="D676" s="2"/>
      <c r="E676" s="2"/>
      <c r="F676" s="2"/>
      <c r="G676" s="2"/>
      <c r="H676" s="2"/>
      <c r="I676" s="2"/>
      <c r="J676" s="28"/>
      <c r="K676" s="181"/>
      <c r="L676" s="2"/>
      <c r="M676" s="2"/>
      <c r="N676" s="2"/>
      <c r="O676" s="2"/>
      <c r="P676" s="2"/>
      <c r="Q676" s="157"/>
      <c r="R676" s="157"/>
      <c r="S676" s="157"/>
      <c r="T676" s="2"/>
      <c r="U676" s="2"/>
      <c r="V676" s="2"/>
      <c r="W676" s="2"/>
      <c r="X676" s="2"/>
      <c r="Y676" s="2"/>
      <c r="Z676" s="2"/>
    </row>
    <row r="677" ht="13.5" customHeight="1">
      <c r="A677" s="2"/>
      <c r="B677" s="2"/>
      <c r="C677" s="2"/>
      <c r="D677" s="2"/>
      <c r="E677" s="2"/>
      <c r="F677" s="2"/>
      <c r="G677" s="2"/>
      <c r="H677" s="2"/>
      <c r="I677" s="2"/>
      <c r="J677" s="28"/>
      <c r="K677" s="181"/>
      <c r="L677" s="2"/>
      <c r="M677" s="2"/>
      <c r="N677" s="2"/>
      <c r="O677" s="2"/>
      <c r="P677" s="2"/>
      <c r="Q677" s="157"/>
      <c r="R677" s="157"/>
      <c r="S677" s="157"/>
      <c r="T677" s="2"/>
      <c r="U677" s="2"/>
      <c r="V677" s="2"/>
      <c r="W677" s="2"/>
      <c r="X677" s="2"/>
      <c r="Y677" s="2"/>
      <c r="Z677" s="2"/>
    </row>
    <row r="678" ht="13.5" customHeight="1">
      <c r="A678" s="2"/>
      <c r="B678" s="2"/>
      <c r="C678" s="2"/>
      <c r="D678" s="2"/>
      <c r="E678" s="2"/>
      <c r="F678" s="2"/>
      <c r="G678" s="2"/>
      <c r="H678" s="2"/>
      <c r="I678" s="2"/>
      <c r="J678" s="28"/>
      <c r="K678" s="181"/>
      <c r="L678" s="2"/>
      <c r="M678" s="2"/>
      <c r="N678" s="2"/>
      <c r="O678" s="2"/>
      <c r="P678" s="2"/>
      <c r="Q678" s="157"/>
      <c r="R678" s="157"/>
      <c r="S678" s="157"/>
      <c r="T678" s="2"/>
      <c r="U678" s="2"/>
      <c r="V678" s="2"/>
      <c r="W678" s="2"/>
      <c r="X678" s="2"/>
      <c r="Y678" s="2"/>
      <c r="Z678" s="2"/>
    </row>
    <row r="679" ht="13.5" customHeight="1">
      <c r="A679" s="2"/>
      <c r="B679" s="2"/>
      <c r="C679" s="2"/>
      <c r="D679" s="2"/>
      <c r="E679" s="2"/>
      <c r="F679" s="2"/>
      <c r="G679" s="2"/>
      <c r="H679" s="2"/>
      <c r="I679" s="2"/>
      <c r="J679" s="28"/>
      <c r="K679" s="181"/>
      <c r="L679" s="2"/>
      <c r="M679" s="2"/>
      <c r="N679" s="2"/>
      <c r="O679" s="2"/>
      <c r="P679" s="2"/>
      <c r="Q679" s="157"/>
      <c r="R679" s="157"/>
      <c r="S679" s="157"/>
      <c r="T679" s="2"/>
      <c r="U679" s="2"/>
      <c r="V679" s="2"/>
      <c r="W679" s="2"/>
      <c r="X679" s="2"/>
      <c r="Y679" s="2"/>
      <c r="Z679" s="2"/>
    </row>
    <row r="680" ht="13.5" customHeight="1">
      <c r="A680" s="2"/>
      <c r="B680" s="2"/>
      <c r="C680" s="2"/>
      <c r="D680" s="2"/>
      <c r="E680" s="2"/>
      <c r="F680" s="2"/>
      <c r="G680" s="2"/>
      <c r="H680" s="2"/>
      <c r="I680" s="2"/>
      <c r="J680" s="28"/>
      <c r="K680" s="181"/>
      <c r="L680" s="2"/>
      <c r="M680" s="2"/>
      <c r="N680" s="2"/>
      <c r="O680" s="2"/>
      <c r="P680" s="2"/>
      <c r="Q680" s="157"/>
      <c r="R680" s="157"/>
      <c r="S680" s="157"/>
      <c r="T680" s="2"/>
      <c r="U680" s="2"/>
      <c r="V680" s="2"/>
      <c r="W680" s="2"/>
      <c r="X680" s="2"/>
      <c r="Y680" s="2"/>
      <c r="Z680" s="2"/>
    </row>
    <row r="681" ht="13.5" customHeight="1">
      <c r="A681" s="2"/>
      <c r="B681" s="2"/>
      <c r="C681" s="2"/>
      <c r="D681" s="2"/>
      <c r="E681" s="2"/>
      <c r="F681" s="2"/>
      <c r="G681" s="2"/>
      <c r="H681" s="2"/>
      <c r="I681" s="2"/>
      <c r="J681" s="28"/>
      <c r="K681" s="181"/>
      <c r="L681" s="2"/>
      <c r="M681" s="2"/>
      <c r="N681" s="2"/>
      <c r="O681" s="2"/>
      <c r="P681" s="2"/>
      <c r="Q681" s="157"/>
      <c r="R681" s="157"/>
      <c r="S681" s="157"/>
      <c r="T681" s="2"/>
      <c r="U681" s="2"/>
      <c r="V681" s="2"/>
      <c r="W681" s="2"/>
      <c r="X681" s="2"/>
      <c r="Y681" s="2"/>
      <c r="Z681" s="2"/>
    </row>
    <row r="682" ht="13.5" customHeight="1">
      <c r="A682" s="2"/>
      <c r="B682" s="2"/>
      <c r="C682" s="2"/>
      <c r="D682" s="2"/>
      <c r="E682" s="2"/>
      <c r="F682" s="2"/>
      <c r="G682" s="2"/>
      <c r="H682" s="2"/>
      <c r="I682" s="2"/>
      <c r="J682" s="28"/>
      <c r="K682" s="181"/>
      <c r="L682" s="2"/>
      <c r="M682" s="2"/>
      <c r="N682" s="2"/>
      <c r="O682" s="2"/>
      <c r="P682" s="2"/>
      <c r="Q682" s="157"/>
      <c r="R682" s="157"/>
      <c r="S682" s="157"/>
      <c r="T682" s="2"/>
      <c r="U682" s="2"/>
      <c r="V682" s="2"/>
      <c r="W682" s="2"/>
      <c r="X682" s="2"/>
      <c r="Y682" s="2"/>
      <c r="Z682" s="2"/>
    </row>
    <row r="683" ht="13.5" customHeight="1">
      <c r="A683" s="2"/>
      <c r="B683" s="2"/>
      <c r="C683" s="2"/>
      <c r="D683" s="2"/>
      <c r="E683" s="2"/>
      <c r="F683" s="2"/>
      <c r="G683" s="2"/>
      <c r="H683" s="2"/>
      <c r="I683" s="2"/>
      <c r="J683" s="28"/>
      <c r="K683" s="181"/>
      <c r="L683" s="2"/>
      <c r="M683" s="2"/>
      <c r="N683" s="2"/>
      <c r="O683" s="2"/>
      <c r="P683" s="2"/>
      <c r="Q683" s="157"/>
      <c r="R683" s="157"/>
      <c r="S683" s="157"/>
      <c r="T683" s="2"/>
      <c r="U683" s="2"/>
      <c r="V683" s="2"/>
      <c r="W683" s="2"/>
      <c r="X683" s="2"/>
      <c r="Y683" s="2"/>
      <c r="Z683" s="2"/>
    </row>
    <row r="684" ht="13.5" customHeight="1">
      <c r="A684" s="2"/>
      <c r="B684" s="2"/>
      <c r="C684" s="2"/>
      <c r="D684" s="2"/>
      <c r="E684" s="2"/>
      <c r="F684" s="2"/>
      <c r="G684" s="2"/>
      <c r="H684" s="2"/>
      <c r="I684" s="2"/>
      <c r="J684" s="28"/>
      <c r="K684" s="181"/>
      <c r="L684" s="2"/>
      <c r="M684" s="2"/>
      <c r="N684" s="2"/>
      <c r="O684" s="2"/>
      <c r="P684" s="2"/>
      <c r="Q684" s="157"/>
      <c r="R684" s="157"/>
      <c r="S684" s="157"/>
      <c r="T684" s="2"/>
      <c r="U684" s="2"/>
      <c r="V684" s="2"/>
      <c r="W684" s="2"/>
      <c r="X684" s="2"/>
      <c r="Y684" s="2"/>
      <c r="Z684" s="2"/>
    </row>
    <row r="685" ht="13.5" customHeight="1">
      <c r="A685" s="2"/>
      <c r="B685" s="2"/>
      <c r="C685" s="2"/>
      <c r="D685" s="2"/>
      <c r="E685" s="2"/>
      <c r="F685" s="2"/>
      <c r="G685" s="2"/>
      <c r="H685" s="2"/>
      <c r="I685" s="2"/>
      <c r="J685" s="28"/>
      <c r="K685" s="181"/>
      <c r="L685" s="2"/>
      <c r="M685" s="2"/>
      <c r="N685" s="2"/>
      <c r="O685" s="2"/>
      <c r="P685" s="2"/>
      <c r="Q685" s="157"/>
      <c r="R685" s="157"/>
      <c r="S685" s="157"/>
      <c r="T685" s="2"/>
      <c r="U685" s="2"/>
      <c r="V685" s="2"/>
      <c r="W685" s="2"/>
      <c r="X685" s="2"/>
      <c r="Y685" s="2"/>
      <c r="Z685" s="2"/>
    </row>
    <row r="686" ht="13.5" customHeight="1">
      <c r="A686" s="2"/>
      <c r="B686" s="2"/>
      <c r="C686" s="2"/>
      <c r="D686" s="2"/>
      <c r="E686" s="2"/>
      <c r="F686" s="2"/>
      <c r="G686" s="2"/>
      <c r="H686" s="2"/>
      <c r="I686" s="2"/>
      <c r="J686" s="28"/>
      <c r="K686" s="181"/>
      <c r="L686" s="2"/>
      <c r="M686" s="2"/>
      <c r="N686" s="2"/>
      <c r="O686" s="2"/>
      <c r="P686" s="2"/>
      <c r="Q686" s="157"/>
      <c r="R686" s="157"/>
      <c r="S686" s="157"/>
      <c r="T686" s="2"/>
      <c r="U686" s="2"/>
      <c r="V686" s="2"/>
      <c r="W686" s="2"/>
      <c r="X686" s="2"/>
      <c r="Y686" s="2"/>
      <c r="Z686" s="2"/>
    </row>
    <row r="687" ht="13.5" customHeight="1">
      <c r="A687" s="2"/>
      <c r="B687" s="2"/>
      <c r="C687" s="2"/>
      <c r="D687" s="2"/>
      <c r="E687" s="2"/>
      <c r="F687" s="2"/>
      <c r="G687" s="2"/>
      <c r="H687" s="2"/>
      <c r="I687" s="2"/>
      <c r="J687" s="28"/>
      <c r="K687" s="181"/>
      <c r="L687" s="2"/>
      <c r="M687" s="2"/>
      <c r="N687" s="2"/>
      <c r="O687" s="2"/>
      <c r="P687" s="2"/>
      <c r="Q687" s="157"/>
      <c r="R687" s="157"/>
      <c r="S687" s="157"/>
      <c r="T687" s="2"/>
      <c r="U687" s="2"/>
      <c r="V687" s="2"/>
      <c r="W687" s="2"/>
      <c r="X687" s="2"/>
      <c r="Y687" s="2"/>
      <c r="Z687" s="2"/>
    </row>
    <row r="688" ht="13.5" customHeight="1">
      <c r="A688" s="2"/>
      <c r="B688" s="2"/>
      <c r="C688" s="2"/>
      <c r="D688" s="2"/>
      <c r="E688" s="2"/>
      <c r="F688" s="2"/>
      <c r="G688" s="2"/>
      <c r="H688" s="2"/>
      <c r="I688" s="2"/>
      <c r="J688" s="28"/>
      <c r="K688" s="181"/>
      <c r="L688" s="2"/>
      <c r="M688" s="2"/>
      <c r="N688" s="2"/>
      <c r="O688" s="2"/>
      <c r="P688" s="2"/>
      <c r="Q688" s="157"/>
      <c r="R688" s="157"/>
      <c r="S688" s="157"/>
      <c r="T688" s="2"/>
      <c r="U688" s="2"/>
      <c r="V688" s="2"/>
      <c r="W688" s="2"/>
      <c r="X688" s="2"/>
      <c r="Y688" s="2"/>
      <c r="Z688" s="2"/>
    </row>
    <row r="689" ht="13.5" customHeight="1">
      <c r="A689" s="2"/>
      <c r="B689" s="2"/>
      <c r="C689" s="2"/>
      <c r="D689" s="2"/>
      <c r="E689" s="2"/>
      <c r="F689" s="2"/>
      <c r="G689" s="2"/>
      <c r="H689" s="2"/>
      <c r="I689" s="2"/>
      <c r="J689" s="28"/>
      <c r="K689" s="181"/>
      <c r="L689" s="2"/>
      <c r="M689" s="2"/>
      <c r="N689" s="2"/>
      <c r="O689" s="2"/>
      <c r="P689" s="2"/>
      <c r="Q689" s="157"/>
      <c r="R689" s="157"/>
      <c r="S689" s="157"/>
      <c r="T689" s="2"/>
      <c r="U689" s="2"/>
      <c r="V689" s="2"/>
      <c r="W689" s="2"/>
      <c r="X689" s="2"/>
      <c r="Y689" s="2"/>
      <c r="Z689" s="2"/>
    </row>
    <row r="690" ht="13.5" customHeight="1">
      <c r="A690" s="2"/>
      <c r="B690" s="2"/>
      <c r="C690" s="2"/>
      <c r="D690" s="2"/>
      <c r="E690" s="2"/>
      <c r="F690" s="2"/>
      <c r="G690" s="2"/>
      <c r="H690" s="2"/>
      <c r="I690" s="2"/>
      <c r="J690" s="28"/>
      <c r="K690" s="181"/>
      <c r="L690" s="2"/>
      <c r="M690" s="2"/>
      <c r="N690" s="2"/>
      <c r="O690" s="2"/>
      <c r="P690" s="2"/>
      <c r="Q690" s="157"/>
      <c r="R690" s="157"/>
      <c r="S690" s="157"/>
      <c r="T690" s="2"/>
      <c r="U690" s="2"/>
      <c r="V690" s="2"/>
      <c r="W690" s="2"/>
      <c r="X690" s="2"/>
      <c r="Y690" s="2"/>
      <c r="Z690" s="2"/>
    </row>
    <row r="691" ht="13.5" customHeight="1">
      <c r="A691" s="2"/>
      <c r="B691" s="2"/>
      <c r="C691" s="2"/>
      <c r="D691" s="2"/>
      <c r="E691" s="2"/>
      <c r="F691" s="2"/>
      <c r="G691" s="2"/>
      <c r="H691" s="2"/>
      <c r="I691" s="2"/>
      <c r="J691" s="28"/>
      <c r="K691" s="181"/>
      <c r="L691" s="2"/>
      <c r="M691" s="2"/>
      <c r="N691" s="2"/>
      <c r="O691" s="2"/>
      <c r="P691" s="2"/>
      <c r="Q691" s="157"/>
      <c r="R691" s="157"/>
      <c r="S691" s="157"/>
      <c r="T691" s="2"/>
      <c r="U691" s="2"/>
      <c r="V691" s="2"/>
      <c r="W691" s="2"/>
      <c r="X691" s="2"/>
      <c r="Y691" s="2"/>
      <c r="Z691" s="2"/>
    </row>
    <row r="692" ht="13.5" customHeight="1">
      <c r="A692" s="2"/>
      <c r="B692" s="2"/>
      <c r="C692" s="2"/>
      <c r="D692" s="2"/>
      <c r="E692" s="2"/>
      <c r="F692" s="2"/>
      <c r="G692" s="2"/>
      <c r="H692" s="2"/>
      <c r="I692" s="2"/>
      <c r="J692" s="28"/>
      <c r="K692" s="181"/>
      <c r="L692" s="2"/>
      <c r="M692" s="2"/>
      <c r="N692" s="2"/>
      <c r="O692" s="2"/>
      <c r="P692" s="2"/>
      <c r="Q692" s="157"/>
      <c r="R692" s="157"/>
      <c r="S692" s="157"/>
      <c r="T692" s="2"/>
      <c r="U692" s="2"/>
      <c r="V692" s="2"/>
      <c r="W692" s="2"/>
      <c r="X692" s="2"/>
      <c r="Y692" s="2"/>
      <c r="Z692" s="2"/>
    </row>
    <row r="693" ht="13.5" customHeight="1">
      <c r="A693" s="2"/>
      <c r="B693" s="2"/>
      <c r="C693" s="2"/>
      <c r="D693" s="2"/>
      <c r="E693" s="2"/>
      <c r="F693" s="2"/>
      <c r="G693" s="2"/>
      <c r="H693" s="2"/>
      <c r="I693" s="2"/>
      <c r="J693" s="28"/>
      <c r="K693" s="181"/>
      <c r="L693" s="2"/>
      <c r="M693" s="2"/>
      <c r="N693" s="2"/>
      <c r="O693" s="2"/>
      <c r="P693" s="2"/>
      <c r="Q693" s="157"/>
      <c r="R693" s="157"/>
      <c r="S693" s="157"/>
      <c r="T693" s="2"/>
      <c r="U693" s="2"/>
      <c r="V693" s="2"/>
      <c r="W693" s="2"/>
      <c r="X693" s="2"/>
      <c r="Y693" s="2"/>
      <c r="Z693" s="2"/>
    </row>
    <row r="694" ht="13.5" customHeight="1">
      <c r="A694" s="2"/>
      <c r="B694" s="2"/>
      <c r="C694" s="2"/>
      <c r="D694" s="2"/>
      <c r="E694" s="2"/>
      <c r="F694" s="2"/>
      <c r="G694" s="2"/>
      <c r="H694" s="2"/>
      <c r="I694" s="2"/>
      <c r="J694" s="28"/>
      <c r="K694" s="181"/>
      <c r="L694" s="2"/>
      <c r="M694" s="2"/>
      <c r="N694" s="2"/>
      <c r="O694" s="2"/>
      <c r="P694" s="2"/>
      <c r="Q694" s="157"/>
      <c r="R694" s="157"/>
      <c r="S694" s="157"/>
      <c r="T694" s="2"/>
      <c r="U694" s="2"/>
      <c r="V694" s="2"/>
      <c r="W694" s="2"/>
      <c r="X694" s="2"/>
      <c r="Y694" s="2"/>
      <c r="Z694" s="2"/>
    </row>
    <row r="695" ht="13.5" customHeight="1">
      <c r="A695" s="2"/>
      <c r="B695" s="2"/>
      <c r="C695" s="2"/>
      <c r="D695" s="2"/>
      <c r="E695" s="2"/>
      <c r="F695" s="2"/>
      <c r="G695" s="2"/>
      <c r="H695" s="2"/>
      <c r="I695" s="2"/>
      <c r="J695" s="28"/>
      <c r="K695" s="181"/>
      <c r="L695" s="2"/>
      <c r="M695" s="2"/>
      <c r="N695" s="2"/>
      <c r="O695" s="2"/>
      <c r="P695" s="2"/>
      <c r="Q695" s="157"/>
      <c r="R695" s="157"/>
      <c r="S695" s="157"/>
      <c r="T695" s="2"/>
      <c r="U695" s="2"/>
      <c r="V695" s="2"/>
      <c r="W695" s="2"/>
      <c r="X695" s="2"/>
      <c r="Y695" s="2"/>
      <c r="Z695" s="2"/>
    </row>
    <row r="696" ht="13.5" customHeight="1">
      <c r="A696" s="2"/>
      <c r="B696" s="2"/>
      <c r="C696" s="2"/>
      <c r="D696" s="2"/>
      <c r="E696" s="2"/>
      <c r="F696" s="2"/>
      <c r="G696" s="2"/>
      <c r="H696" s="2"/>
      <c r="I696" s="2"/>
      <c r="J696" s="28"/>
      <c r="K696" s="181"/>
      <c r="L696" s="2"/>
      <c r="M696" s="2"/>
      <c r="N696" s="2"/>
      <c r="O696" s="2"/>
      <c r="P696" s="2"/>
      <c r="Q696" s="157"/>
      <c r="R696" s="157"/>
      <c r="S696" s="157"/>
      <c r="T696" s="2"/>
      <c r="U696" s="2"/>
      <c r="V696" s="2"/>
      <c r="W696" s="2"/>
      <c r="X696" s="2"/>
      <c r="Y696" s="2"/>
      <c r="Z696" s="2"/>
    </row>
    <row r="697" ht="13.5" customHeight="1">
      <c r="A697" s="2"/>
      <c r="B697" s="2"/>
      <c r="C697" s="2"/>
      <c r="D697" s="2"/>
      <c r="E697" s="2"/>
      <c r="F697" s="2"/>
      <c r="G697" s="2"/>
      <c r="H697" s="2"/>
      <c r="I697" s="2"/>
      <c r="J697" s="28"/>
      <c r="K697" s="181"/>
      <c r="L697" s="2"/>
      <c r="M697" s="2"/>
      <c r="N697" s="2"/>
      <c r="O697" s="2"/>
      <c r="P697" s="2"/>
      <c r="Q697" s="157"/>
      <c r="R697" s="157"/>
      <c r="S697" s="157"/>
      <c r="T697" s="2"/>
      <c r="U697" s="2"/>
      <c r="V697" s="2"/>
      <c r="W697" s="2"/>
      <c r="X697" s="2"/>
      <c r="Y697" s="2"/>
      <c r="Z697" s="2"/>
    </row>
    <row r="698" ht="13.5" customHeight="1">
      <c r="A698" s="2"/>
      <c r="B698" s="2"/>
      <c r="C698" s="2"/>
      <c r="D698" s="2"/>
      <c r="E698" s="2"/>
      <c r="F698" s="2"/>
      <c r="G698" s="2"/>
      <c r="H698" s="2"/>
      <c r="I698" s="2"/>
      <c r="J698" s="28"/>
      <c r="K698" s="181"/>
      <c r="L698" s="2"/>
      <c r="M698" s="2"/>
      <c r="N698" s="2"/>
      <c r="O698" s="2"/>
      <c r="P698" s="2"/>
      <c r="Q698" s="157"/>
      <c r="R698" s="157"/>
      <c r="S698" s="157"/>
      <c r="T698" s="2"/>
      <c r="U698" s="2"/>
      <c r="V698" s="2"/>
      <c r="W698" s="2"/>
      <c r="X698" s="2"/>
      <c r="Y698" s="2"/>
      <c r="Z698" s="2"/>
    </row>
    <row r="699" ht="13.5" customHeight="1">
      <c r="A699" s="2"/>
      <c r="B699" s="2"/>
      <c r="C699" s="2"/>
      <c r="D699" s="2"/>
      <c r="E699" s="2"/>
      <c r="F699" s="2"/>
      <c r="G699" s="2"/>
      <c r="H699" s="2"/>
      <c r="I699" s="2"/>
      <c r="J699" s="28"/>
      <c r="K699" s="181"/>
      <c r="L699" s="2"/>
      <c r="M699" s="2"/>
      <c r="N699" s="2"/>
      <c r="O699" s="2"/>
      <c r="P699" s="2"/>
      <c r="Q699" s="157"/>
      <c r="R699" s="157"/>
      <c r="S699" s="157"/>
      <c r="T699" s="2"/>
      <c r="U699" s="2"/>
      <c r="V699" s="2"/>
      <c r="W699" s="2"/>
      <c r="X699" s="2"/>
      <c r="Y699" s="2"/>
      <c r="Z699" s="2"/>
    </row>
    <row r="700" ht="13.5" customHeight="1">
      <c r="A700" s="2"/>
      <c r="B700" s="2"/>
      <c r="C700" s="2"/>
      <c r="D700" s="2"/>
      <c r="E700" s="2"/>
      <c r="F700" s="2"/>
      <c r="G700" s="2"/>
      <c r="H700" s="2"/>
      <c r="I700" s="2"/>
      <c r="J700" s="28"/>
      <c r="K700" s="181"/>
      <c r="L700" s="2"/>
      <c r="M700" s="2"/>
      <c r="N700" s="2"/>
      <c r="O700" s="2"/>
      <c r="P700" s="2"/>
      <c r="Q700" s="157"/>
      <c r="R700" s="157"/>
      <c r="S700" s="157"/>
      <c r="T700" s="2"/>
      <c r="U700" s="2"/>
      <c r="V700" s="2"/>
      <c r="W700" s="2"/>
      <c r="X700" s="2"/>
      <c r="Y700" s="2"/>
      <c r="Z700" s="2"/>
    </row>
    <row r="701" ht="13.5" customHeight="1">
      <c r="A701" s="2"/>
      <c r="B701" s="2"/>
      <c r="C701" s="2"/>
      <c r="D701" s="2"/>
      <c r="E701" s="2"/>
      <c r="F701" s="2"/>
      <c r="G701" s="2"/>
      <c r="H701" s="2"/>
      <c r="I701" s="2"/>
      <c r="J701" s="28"/>
      <c r="K701" s="181"/>
      <c r="L701" s="2"/>
      <c r="M701" s="2"/>
      <c r="N701" s="2"/>
      <c r="O701" s="2"/>
      <c r="P701" s="2"/>
      <c r="Q701" s="157"/>
      <c r="R701" s="157"/>
      <c r="S701" s="157"/>
      <c r="T701" s="2"/>
      <c r="U701" s="2"/>
      <c r="V701" s="2"/>
      <c r="W701" s="2"/>
      <c r="X701" s="2"/>
      <c r="Y701" s="2"/>
      <c r="Z701" s="2"/>
    </row>
    <row r="702" ht="13.5" customHeight="1">
      <c r="A702" s="2"/>
      <c r="B702" s="2"/>
      <c r="C702" s="2"/>
      <c r="D702" s="2"/>
      <c r="E702" s="2"/>
      <c r="F702" s="2"/>
      <c r="G702" s="2"/>
      <c r="H702" s="2"/>
      <c r="I702" s="2"/>
      <c r="J702" s="28"/>
      <c r="K702" s="181"/>
      <c r="L702" s="2"/>
      <c r="M702" s="2"/>
      <c r="N702" s="2"/>
      <c r="O702" s="2"/>
      <c r="P702" s="2"/>
      <c r="Q702" s="157"/>
      <c r="R702" s="157"/>
      <c r="S702" s="157"/>
      <c r="T702" s="2"/>
      <c r="U702" s="2"/>
      <c r="V702" s="2"/>
      <c r="W702" s="2"/>
      <c r="X702" s="2"/>
      <c r="Y702" s="2"/>
      <c r="Z702" s="2"/>
    </row>
    <row r="703" ht="13.5" customHeight="1">
      <c r="A703" s="2"/>
      <c r="B703" s="2"/>
      <c r="C703" s="2"/>
      <c r="D703" s="2"/>
      <c r="E703" s="2"/>
      <c r="F703" s="2"/>
      <c r="G703" s="2"/>
      <c r="H703" s="2"/>
      <c r="I703" s="2"/>
      <c r="J703" s="28"/>
      <c r="K703" s="181"/>
      <c r="L703" s="2"/>
      <c r="M703" s="2"/>
      <c r="N703" s="2"/>
      <c r="O703" s="2"/>
      <c r="P703" s="2"/>
      <c r="Q703" s="157"/>
      <c r="R703" s="157"/>
      <c r="S703" s="157"/>
      <c r="T703" s="2"/>
      <c r="U703" s="2"/>
      <c r="V703" s="2"/>
      <c r="W703" s="2"/>
      <c r="X703" s="2"/>
      <c r="Y703" s="2"/>
      <c r="Z703" s="2"/>
    </row>
    <row r="704" ht="13.5" customHeight="1">
      <c r="A704" s="2"/>
      <c r="B704" s="2"/>
      <c r="C704" s="2"/>
      <c r="D704" s="2"/>
      <c r="E704" s="2"/>
      <c r="F704" s="2"/>
      <c r="G704" s="2"/>
      <c r="H704" s="2"/>
      <c r="I704" s="2"/>
      <c r="J704" s="28"/>
      <c r="K704" s="181"/>
      <c r="L704" s="2"/>
      <c r="M704" s="2"/>
      <c r="N704" s="2"/>
      <c r="O704" s="2"/>
      <c r="P704" s="2"/>
      <c r="Q704" s="157"/>
      <c r="R704" s="157"/>
      <c r="S704" s="157"/>
      <c r="T704" s="2"/>
      <c r="U704" s="2"/>
      <c r="V704" s="2"/>
      <c r="W704" s="2"/>
      <c r="X704" s="2"/>
      <c r="Y704" s="2"/>
      <c r="Z704" s="2"/>
    </row>
    <row r="705" ht="13.5" customHeight="1">
      <c r="A705" s="2"/>
      <c r="B705" s="2"/>
      <c r="C705" s="2"/>
      <c r="D705" s="2"/>
      <c r="E705" s="2"/>
      <c r="F705" s="2"/>
      <c r="G705" s="2"/>
      <c r="H705" s="2"/>
      <c r="I705" s="2"/>
      <c r="J705" s="28"/>
      <c r="K705" s="181"/>
      <c r="L705" s="2"/>
      <c r="M705" s="2"/>
      <c r="N705" s="2"/>
      <c r="O705" s="2"/>
      <c r="P705" s="2"/>
      <c r="Q705" s="157"/>
      <c r="R705" s="157"/>
      <c r="S705" s="157"/>
      <c r="T705" s="2"/>
      <c r="U705" s="2"/>
      <c r="V705" s="2"/>
      <c r="W705" s="2"/>
      <c r="X705" s="2"/>
      <c r="Y705" s="2"/>
      <c r="Z705" s="2"/>
    </row>
    <row r="706" ht="13.5" customHeight="1">
      <c r="A706" s="2"/>
      <c r="B706" s="2"/>
      <c r="C706" s="2"/>
      <c r="D706" s="2"/>
      <c r="E706" s="2"/>
      <c r="F706" s="2"/>
      <c r="G706" s="2"/>
      <c r="H706" s="2"/>
      <c r="I706" s="2"/>
      <c r="J706" s="28"/>
      <c r="K706" s="181"/>
      <c r="L706" s="2"/>
      <c r="M706" s="2"/>
      <c r="N706" s="2"/>
      <c r="O706" s="2"/>
      <c r="P706" s="2"/>
      <c r="Q706" s="157"/>
      <c r="R706" s="157"/>
      <c r="S706" s="157"/>
      <c r="T706" s="2"/>
      <c r="U706" s="2"/>
      <c r="V706" s="2"/>
      <c r="W706" s="2"/>
      <c r="X706" s="2"/>
      <c r="Y706" s="2"/>
      <c r="Z706" s="2"/>
    </row>
    <row r="707" ht="13.5" customHeight="1">
      <c r="A707" s="2"/>
      <c r="B707" s="2"/>
      <c r="C707" s="2"/>
      <c r="D707" s="2"/>
      <c r="E707" s="2"/>
      <c r="F707" s="2"/>
      <c r="G707" s="2"/>
      <c r="H707" s="2"/>
      <c r="I707" s="2"/>
      <c r="J707" s="28"/>
      <c r="K707" s="181"/>
      <c r="L707" s="2"/>
      <c r="M707" s="2"/>
      <c r="N707" s="2"/>
      <c r="O707" s="2"/>
      <c r="P707" s="2"/>
      <c r="Q707" s="157"/>
      <c r="R707" s="157"/>
      <c r="S707" s="157"/>
      <c r="T707" s="2"/>
      <c r="U707" s="2"/>
      <c r="V707" s="2"/>
      <c r="W707" s="2"/>
      <c r="X707" s="2"/>
      <c r="Y707" s="2"/>
      <c r="Z707" s="2"/>
    </row>
    <row r="708" ht="13.5" customHeight="1">
      <c r="A708" s="2"/>
      <c r="B708" s="2"/>
      <c r="C708" s="2"/>
      <c r="D708" s="2"/>
      <c r="E708" s="2"/>
      <c r="F708" s="2"/>
      <c r="G708" s="2"/>
      <c r="H708" s="2"/>
      <c r="I708" s="2"/>
      <c r="J708" s="28"/>
      <c r="K708" s="181"/>
      <c r="L708" s="2"/>
      <c r="M708" s="2"/>
      <c r="N708" s="2"/>
      <c r="O708" s="2"/>
      <c r="P708" s="2"/>
      <c r="Q708" s="157"/>
      <c r="R708" s="157"/>
      <c r="S708" s="157"/>
      <c r="T708" s="2"/>
      <c r="U708" s="2"/>
      <c r="V708" s="2"/>
      <c r="W708" s="2"/>
      <c r="X708" s="2"/>
      <c r="Y708" s="2"/>
      <c r="Z708" s="2"/>
    </row>
    <row r="709" ht="13.5" customHeight="1">
      <c r="A709" s="2"/>
      <c r="B709" s="2"/>
      <c r="C709" s="2"/>
      <c r="D709" s="2"/>
      <c r="E709" s="2"/>
      <c r="F709" s="2"/>
      <c r="G709" s="2"/>
      <c r="H709" s="2"/>
      <c r="I709" s="2"/>
      <c r="J709" s="28"/>
      <c r="K709" s="181"/>
      <c r="L709" s="2"/>
      <c r="M709" s="2"/>
      <c r="N709" s="2"/>
      <c r="O709" s="2"/>
      <c r="P709" s="2"/>
      <c r="Q709" s="157"/>
      <c r="R709" s="157"/>
      <c r="S709" s="157"/>
      <c r="T709" s="2"/>
      <c r="U709" s="2"/>
      <c r="V709" s="2"/>
      <c r="W709" s="2"/>
      <c r="X709" s="2"/>
      <c r="Y709" s="2"/>
      <c r="Z709" s="2"/>
    </row>
    <row r="710" ht="13.5" customHeight="1">
      <c r="A710" s="2"/>
      <c r="B710" s="2"/>
      <c r="C710" s="2"/>
      <c r="D710" s="2"/>
      <c r="E710" s="2"/>
      <c r="F710" s="2"/>
      <c r="G710" s="2"/>
      <c r="H710" s="2"/>
      <c r="I710" s="2"/>
      <c r="J710" s="28"/>
      <c r="K710" s="181"/>
      <c r="L710" s="2"/>
      <c r="M710" s="2"/>
      <c r="N710" s="2"/>
      <c r="O710" s="2"/>
      <c r="P710" s="2"/>
      <c r="Q710" s="157"/>
      <c r="R710" s="157"/>
      <c r="S710" s="157"/>
      <c r="T710" s="2"/>
      <c r="U710" s="2"/>
      <c r="V710" s="2"/>
      <c r="W710" s="2"/>
      <c r="X710" s="2"/>
      <c r="Y710" s="2"/>
      <c r="Z710" s="2"/>
    </row>
    <row r="711" ht="13.5" customHeight="1">
      <c r="A711" s="2"/>
      <c r="B711" s="2"/>
      <c r="C711" s="2"/>
      <c r="D711" s="2"/>
      <c r="E711" s="2"/>
      <c r="F711" s="2"/>
      <c r="G711" s="2"/>
      <c r="H711" s="2"/>
      <c r="I711" s="2"/>
      <c r="J711" s="28"/>
      <c r="K711" s="181"/>
      <c r="L711" s="2"/>
      <c r="M711" s="2"/>
      <c r="N711" s="2"/>
      <c r="O711" s="2"/>
      <c r="P711" s="2"/>
      <c r="Q711" s="157"/>
      <c r="R711" s="157"/>
      <c r="S711" s="157"/>
      <c r="T711" s="2"/>
      <c r="U711" s="2"/>
      <c r="V711" s="2"/>
      <c r="W711" s="2"/>
      <c r="X711" s="2"/>
      <c r="Y711" s="2"/>
      <c r="Z711" s="2"/>
    </row>
    <row r="712" ht="13.5" customHeight="1">
      <c r="A712" s="2"/>
      <c r="B712" s="2"/>
      <c r="C712" s="2"/>
      <c r="D712" s="2"/>
      <c r="E712" s="2"/>
      <c r="F712" s="2"/>
      <c r="G712" s="2"/>
      <c r="H712" s="2"/>
      <c r="I712" s="2"/>
      <c r="J712" s="28"/>
      <c r="K712" s="181"/>
      <c r="L712" s="2"/>
      <c r="M712" s="2"/>
      <c r="N712" s="2"/>
      <c r="O712" s="2"/>
      <c r="P712" s="2"/>
      <c r="Q712" s="157"/>
      <c r="R712" s="157"/>
      <c r="S712" s="157"/>
      <c r="T712" s="2"/>
      <c r="U712" s="2"/>
      <c r="V712" s="2"/>
      <c r="W712" s="2"/>
      <c r="X712" s="2"/>
      <c r="Y712" s="2"/>
      <c r="Z712" s="2"/>
    </row>
    <row r="713" ht="13.5" customHeight="1">
      <c r="A713" s="2"/>
      <c r="B713" s="2"/>
      <c r="C713" s="2"/>
      <c r="D713" s="2"/>
      <c r="E713" s="2"/>
      <c r="F713" s="2"/>
      <c r="G713" s="2"/>
      <c r="H713" s="2"/>
      <c r="I713" s="2"/>
      <c r="J713" s="28"/>
      <c r="K713" s="181"/>
      <c r="L713" s="2"/>
      <c r="M713" s="2"/>
      <c r="N713" s="2"/>
      <c r="O713" s="2"/>
      <c r="P713" s="2"/>
      <c r="Q713" s="157"/>
      <c r="R713" s="157"/>
      <c r="S713" s="157"/>
      <c r="T713" s="2"/>
      <c r="U713" s="2"/>
      <c r="V713" s="2"/>
      <c r="W713" s="2"/>
      <c r="X713" s="2"/>
      <c r="Y713" s="2"/>
      <c r="Z713" s="2"/>
    </row>
    <row r="714" ht="13.5" customHeight="1">
      <c r="A714" s="2"/>
      <c r="B714" s="2"/>
      <c r="C714" s="2"/>
      <c r="D714" s="2"/>
      <c r="E714" s="2"/>
      <c r="F714" s="2"/>
      <c r="G714" s="2"/>
      <c r="H714" s="2"/>
      <c r="I714" s="2"/>
      <c r="J714" s="28"/>
      <c r="K714" s="181"/>
      <c r="L714" s="2"/>
      <c r="M714" s="2"/>
      <c r="N714" s="2"/>
      <c r="O714" s="2"/>
      <c r="P714" s="2"/>
      <c r="Q714" s="157"/>
      <c r="R714" s="157"/>
      <c r="S714" s="157"/>
      <c r="T714" s="2"/>
      <c r="U714" s="2"/>
      <c r="V714" s="2"/>
      <c r="W714" s="2"/>
      <c r="X714" s="2"/>
      <c r="Y714" s="2"/>
      <c r="Z714" s="2"/>
    </row>
    <row r="715" ht="13.5" customHeight="1">
      <c r="A715" s="2"/>
      <c r="B715" s="2"/>
      <c r="C715" s="2"/>
      <c r="D715" s="2"/>
      <c r="E715" s="2"/>
      <c r="F715" s="2"/>
      <c r="G715" s="2"/>
      <c r="H715" s="2"/>
      <c r="I715" s="2"/>
      <c r="J715" s="28"/>
      <c r="K715" s="181"/>
      <c r="L715" s="2"/>
      <c r="M715" s="2"/>
      <c r="N715" s="2"/>
      <c r="O715" s="2"/>
      <c r="P715" s="2"/>
      <c r="Q715" s="157"/>
      <c r="R715" s="157"/>
      <c r="S715" s="157"/>
      <c r="T715" s="2"/>
      <c r="U715" s="2"/>
      <c r="V715" s="2"/>
      <c r="W715" s="2"/>
      <c r="X715" s="2"/>
      <c r="Y715" s="2"/>
      <c r="Z715" s="2"/>
    </row>
    <row r="716" ht="13.5" customHeight="1">
      <c r="A716" s="2"/>
      <c r="B716" s="2"/>
      <c r="C716" s="2"/>
      <c r="D716" s="2"/>
      <c r="E716" s="2"/>
      <c r="F716" s="2"/>
      <c r="G716" s="2"/>
      <c r="H716" s="2"/>
      <c r="I716" s="2"/>
      <c r="J716" s="28"/>
      <c r="K716" s="181"/>
      <c r="L716" s="2"/>
      <c r="M716" s="2"/>
      <c r="N716" s="2"/>
      <c r="O716" s="2"/>
      <c r="P716" s="2"/>
      <c r="Q716" s="157"/>
      <c r="R716" s="157"/>
      <c r="S716" s="157"/>
      <c r="T716" s="2"/>
      <c r="U716" s="2"/>
      <c r="V716" s="2"/>
      <c r="W716" s="2"/>
      <c r="X716" s="2"/>
      <c r="Y716" s="2"/>
      <c r="Z716" s="2"/>
    </row>
    <row r="717" ht="13.5" customHeight="1">
      <c r="A717" s="2"/>
      <c r="B717" s="2"/>
      <c r="C717" s="2"/>
      <c r="D717" s="2"/>
      <c r="E717" s="2"/>
      <c r="F717" s="2"/>
      <c r="G717" s="2"/>
      <c r="H717" s="2"/>
      <c r="I717" s="2"/>
      <c r="J717" s="28"/>
      <c r="K717" s="181"/>
      <c r="L717" s="2"/>
      <c r="M717" s="2"/>
      <c r="N717" s="2"/>
      <c r="O717" s="2"/>
      <c r="P717" s="2"/>
      <c r="Q717" s="157"/>
      <c r="R717" s="157"/>
      <c r="S717" s="157"/>
      <c r="T717" s="2"/>
      <c r="U717" s="2"/>
      <c r="V717" s="2"/>
      <c r="W717" s="2"/>
      <c r="X717" s="2"/>
      <c r="Y717" s="2"/>
      <c r="Z717" s="2"/>
    </row>
    <row r="718" ht="13.5" customHeight="1">
      <c r="A718" s="2"/>
      <c r="B718" s="2"/>
      <c r="C718" s="2"/>
      <c r="D718" s="2"/>
      <c r="E718" s="2"/>
      <c r="F718" s="2"/>
      <c r="G718" s="2"/>
      <c r="H718" s="2"/>
      <c r="I718" s="2"/>
      <c r="J718" s="28"/>
      <c r="K718" s="181"/>
      <c r="L718" s="2"/>
      <c r="M718" s="2"/>
      <c r="N718" s="2"/>
      <c r="O718" s="2"/>
      <c r="P718" s="2"/>
      <c r="Q718" s="157"/>
      <c r="R718" s="157"/>
      <c r="S718" s="157"/>
      <c r="T718" s="2"/>
      <c r="U718" s="2"/>
      <c r="V718" s="2"/>
      <c r="W718" s="2"/>
      <c r="X718" s="2"/>
      <c r="Y718" s="2"/>
      <c r="Z718" s="2"/>
    </row>
    <row r="719" ht="13.5" customHeight="1">
      <c r="A719" s="2"/>
      <c r="B719" s="2"/>
      <c r="C719" s="2"/>
      <c r="D719" s="2"/>
      <c r="E719" s="2"/>
      <c r="F719" s="2"/>
      <c r="G719" s="2"/>
      <c r="H719" s="2"/>
      <c r="I719" s="2"/>
      <c r="J719" s="28"/>
      <c r="K719" s="181"/>
      <c r="L719" s="2"/>
      <c r="M719" s="2"/>
      <c r="N719" s="2"/>
      <c r="O719" s="2"/>
      <c r="P719" s="2"/>
      <c r="Q719" s="157"/>
      <c r="R719" s="157"/>
      <c r="S719" s="157"/>
      <c r="T719" s="2"/>
      <c r="U719" s="2"/>
      <c r="V719" s="2"/>
      <c r="W719" s="2"/>
      <c r="X719" s="2"/>
      <c r="Y719" s="2"/>
      <c r="Z719" s="2"/>
    </row>
    <row r="720" ht="13.5" customHeight="1">
      <c r="A720" s="2"/>
      <c r="B720" s="2"/>
      <c r="C720" s="2"/>
      <c r="D720" s="2"/>
      <c r="E720" s="2"/>
      <c r="F720" s="2"/>
      <c r="G720" s="2"/>
      <c r="H720" s="2"/>
      <c r="I720" s="2"/>
      <c r="J720" s="28"/>
      <c r="K720" s="181"/>
      <c r="L720" s="2"/>
      <c r="M720" s="2"/>
      <c r="N720" s="2"/>
      <c r="O720" s="2"/>
      <c r="P720" s="2"/>
      <c r="Q720" s="157"/>
      <c r="R720" s="157"/>
      <c r="S720" s="157"/>
      <c r="T720" s="2"/>
      <c r="U720" s="2"/>
      <c r="V720" s="2"/>
      <c r="W720" s="2"/>
      <c r="X720" s="2"/>
      <c r="Y720" s="2"/>
      <c r="Z720" s="2"/>
    </row>
    <row r="721" ht="13.5" customHeight="1">
      <c r="A721" s="2"/>
      <c r="B721" s="2"/>
      <c r="C721" s="2"/>
      <c r="D721" s="2"/>
      <c r="E721" s="2"/>
      <c r="F721" s="2"/>
      <c r="G721" s="2"/>
      <c r="H721" s="2"/>
      <c r="I721" s="2"/>
      <c r="J721" s="28"/>
      <c r="K721" s="181"/>
      <c r="L721" s="2"/>
      <c r="M721" s="2"/>
      <c r="N721" s="2"/>
      <c r="O721" s="2"/>
      <c r="P721" s="2"/>
      <c r="Q721" s="157"/>
      <c r="R721" s="157"/>
      <c r="S721" s="157"/>
      <c r="T721" s="2"/>
      <c r="U721" s="2"/>
      <c r="V721" s="2"/>
      <c r="W721" s="2"/>
      <c r="X721" s="2"/>
      <c r="Y721" s="2"/>
      <c r="Z721" s="2"/>
    </row>
    <row r="722" ht="13.5" customHeight="1">
      <c r="A722" s="2"/>
      <c r="B722" s="2"/>
      <c r="C722" s="2"/>
      <c r="D722" s="2"/>
      <c r="E722" s="2"/>
      <c r="F722" s="2"/>
      <c r="G722" s="2"/>
      <c r="H722" s="2"/>
      <c r="I722" s="2"/>
      <c r="J722" s="28"/>
      <c r="K722" s="181"/>
      <c r="L722" s="2"/>
      <c r="M722" s="2"/>
      <c r="N722" s="2"/>
      <c r="O722" s="2"/>
      <c r="P722" s="2"/>
      <c r="Q722" s="157"/>
      <c r="R722" s="157"/>
      <c r="S722" s="157"/>
      <c r="T722" s="2"/>
      <c r="U722" s="2"/>
      <c r="V722" s="2"/>
      <c r="W722" s="2"/>
      <c r="X722" s="2"/>
      <c r="Y722" s="2"/>
      <c r="Z722" s="2"/>
    </row>
    <row r="723" ht="13.5" customHeight="1">
      <c r="A723" s="2"/>
      <c r="B723" s="2"/>
      <c r="C723" s="2"/>
      <c r="D723" s="2"/>
      <c r="E723" s="2"/>
      <c r="F723" s="2"/>
      <c r="G723" s="2"/>
      <c r="H723" s="2"/>
      <c r="I723" s="2"/>
      <c r="J723" s="28"/>
      <c r="K723" s="181"/>
      <c r="L723" s="2"/>
      <c r="M723" s="2"/>
      <c r="N723" s="2"/>
      <c r="O723" s="2"/>
      <c r="P723" s="2"/>
      <c r="Q723" s="157"/>
      <c r="R723" s="157"/>
      <c r="S723" s="157"/>
      <c r="T723" s="2"/>
      <c r="U723" s="2"/>
      <c r="V723" s="2"/>
      <c r="W723" s="2"/>
      <c r="X723" s="2"/>
      <c r="Y723" s="2"/>
      <c r="Z723" s="2"/>
    </row>
    <row r="724" ht="13.5" customHeight="1">
      <c r="A724" s="2"/>
      <c r="B724" s="2"/>
      <c r="C724" s="2"/>
      <c r="D724" s="2"/>
      <c r="E724" s="2"/>
      <c r="F724" s="2"/>
      <c r="G724" s="2"/>
      <c r="H724" s="2"/>
      <c r="I724" s="2"/>
      <c r="J724" s="28"/>
      <c r="K724" s="181"/>
      <c r="L724" s="2"/>
      <c r="M724" s="2"/>
      <c r="N724" s="2"/>
      <c r="O724" s="2"/>
      <c r="P724" s="2"/>
      <c r="Q724" s="157"/>
      <c r="R724" s="157"/>
      <c r="S724" s="157"/>
      <c r="T724" s="2"/>
      <c r="U724" s="2"/>
      <c r="V724" s="2"/>
      <c r="W724" s="2"/>
      <c r="X724" s="2"/>
      <c r="Y724" s="2"/>
      <c r="Z724" s="2"/>
    </row>
    <row r="725" ht="13.5" customHeight="1">
      <c r="A725" s="2"/>
      <c r="B725" s="2"/>
      <c r="C725" s="2"/>
      <c r="D725" s="2"/>
      <c r="E725" s="2"/>
      <c r="F725" s="2"/>
      <c r="G725" s="2"/>
      <c r="H725" s="2"/>
      <c r="I725" s="2"/>
      <c r="J725" s="28"/>
      <c r="K725" s="181"/>
      <c r="L725" s="2"/>
      <c r="M725" s="2"/>
      <c r="N725" s="2"/>
      <c r="O725" s="2"/>
      <c r="P725" s="2"/>
      <c r="Q725" s="157"/>
      <c r="R725" s="157"/>
      <c r="S725" s="157"/>
      <c r="T725" s="2"/>
      <c r="U725" s="2"/>
      <c r="V725" s="2"/>
      <c r="W725" s="2"/>
      <c r="X725" s="2"/>
      <c r="Y725" s="2"/>
      <c r="Z725" s="2"/>
    </row>
    <row r="726" ht="13.5" customHeight="1">
      <c r="A726" s="2"/>
      <c r="B726" s="2"/>
      <c r="C726" s="2"/>
      <c r="D726" s="2"/>
      <c r="E726" s="2"/>
      <c r="F726" s="2"/>
      <c r="G726" s="2"/>
      <c r="H726" s="2"/>
      <c r="I726" s="2"/>
      <c r="J726" s="28"/>
      <c r="K726" s="181"/>
      <c r="L726" s="2"/>
      <c r="M726" s="2"/>
      <c r="N726" s="2"/>
      <c r="O726" s="2"/>
      <c r="P726" s="2"/>
      <c r="Q726" s="157"/>
      <c r="R726" s="157"/>
      <c r="S726" s="157"/>
      <c r="T726" s="2"/>
      <c r="U726" s="2"/>
      <c r="V726" s="2"/>
      <c r="W726" s="2"/>
      <c r="X726" s="2"/>
      <c r="Y726" s="2"/>
      <c r="Z726" s="2"/>
    </row>
    <row r="727" ht="13.5" customHeight="1">
      <c r="A727" s="2"/>
      <c r="B727" s="2"/>
      <c r="C727" s="2"/>
      <c r="D727" s="2"/>
      <c r="E727" s="2"/>
      <c r="F727" s="2"/>
      <c r="G727" s="2"/>
      <c r="H727" s="2"/>
      <c r="I727" s="2"/>
      <c r="J727" s="28"/>
      <c r="K727" s="181"/>
      <c r="L727" s="2"/>
      <c r="M727" s="2"/>
      <c r="N727" s="2"/>
      <c r="O727" s="2"/>
      <c r="P727" s="2"/>
      <c r="Q727" s="157"/>
      <c r="R727" s="157"/>
      <c r="S727" s="157"/>
      <c r="T727" s="2"/>
      <c r="U727" s="2"/>
      <c r="V727" s="2"/>
      <c r="W727" s="2"/>
      <c r="X727" s="2"/>
      <c r="Y727" s="2"/>
      <c r="Z727" s="2"/>
    </row>
    <row r="728" ht="13.5" customHeight="1">
      <c r="A728" s="2"/>
      <c r="B728" s="2"/>
      <c r="C728" s="2"/>
      <c r="D728" s="2"/>
      <c r="E728" s="2"/>
      <c r="F728" s="2"/>
      <c r="G728" s="2"/>
      <c r="H728" s="2"/>
      <c r="I728" s="2"/>
      <c r="J728" s="28"/>
      <c r="K728" s="181"/>
      <c r="L728" s="2"/>
      <c r="M728" s="2"/>
      <c r="N728" s="2"/>
      <c r="O728" s="2"/>
      <c r="P728" s="2"/>
      <c r="Q728" s="157"/>
      <c r="R728" s="157"/>
      <c r="S728" s="157"/>
      <c r="T728" s="2"/>
      <c r="U728" s="2"/>
      <c r="V728" s="2"/>
      <c r="W728" s="2"/>
      <c r="X728" s="2"/>
      <c r="Y728" s="2"/>
      <c r="Z728" s="2"/>
    </row>
    <row r="729" ht="13.5" customHeight="1">
      <c r="A729" s="2"/>
      <c r="B729" s="2"/>
      <c r="C729" s="2"/>
      <c r="D729" s="2"/>
      <c r="E729" s="2"/>
      <c r="F729" s="2"/>
      <c r="G729" s="2"/>
      <c r="H729" s="2"/>
      <c r="I729" s="2"/>
      <c r="J729" s="28"/>
      <c r="K729" s="181"/>
      <c r="L729" s="2"/>
      <c r="M729" s="2"/>
      <c r="N729" s="2"/>
      <c r="O729" s="2"/>
      <c r="P729" s="2"/>
      <c r="Q729" s="157"/>
      <c r="R729" s="157"/>
      <c r="S729" s="157"/>
      <c r="T729" s="2"/>
      <c r="U729" s="2"/>
      <c r="V729" s="2"/>
      <c r="W729" s="2"/>
      <c r="X729" s="2"/>
      <c r="Y729" s="2"/>
      <c r="Z729" s="2"/>
    </row>
    <row r="730" ht="13.5" customHeight="1">
      <c r="A730" s="2"/>
      <c r="B730" s="2"/>
      <c r="C730" s="2"/>
      <c r="D730" s="2"/>
      <c r="E730" s="2"/>
      <c r="F730" s="2"/>
      <c r="G730" s="2"/>
      <c r="H730" s="2"/>
      <c r="I730" s="2"/>
      <c r="J730" s="28"/>
      <c r="K730" s="181"/>
      <c r="L730" s="2"/>
      <c r="M730" s="2"/>
      <c r="N730" s="2"/>
      <c r="O730" s="2"/>
      <c r="P730" s="2"/>
      <c r="Q730" s="157"/>
      <c r="R730" s="157"/>
      <c r="S730" s="157"/>
      <c r="T730" s="2"/>
      <c r="U730" s="2"/>
      <c r="V730" s="2"/>
      <c r="W730" s="2"/>
      <c r="X730" s="2"/>
      <c r="Y730" s="2"/>
      <c r="Z730" s="2"/>
    </row>
    <row r="731" ht="13.5" customHeight="1">
      <c r="A731" s="2"/>
      <c r="B731" s="2"/>
      <c r="C731" s="2"/>
      <c r="D731" s="2"/>
      <c r="E731" s="2"/>
      <c r="F731" s="2"/>
      <c r="G731" s="2"/>
      <c r="H731" s="2"/>
      <c r="I731" s="2"/>
      <c r="J731" s="28"/>
      <c r="K731" s="181"/>
      <c r="L731" s="2"/>
      <c r="M731" s="2"/>
      <c r="N731" s="2"/>
      <c r="O731" s="2"/>
      <c r="P731" s="2"/>
      <c r="Q731" s="157"/>
      <c r="R731" s="157"/>
      <c r="S731" s="157"/>
      <c r="T731" s="2"/>
      <c r="U731" s="2"/>
      <c r="V731" s="2"/>
      <c r="W731" s="2"/>
      <c r="X731" s="2"/>
      <c r="Y731" s="2"/>
      <c r="Z731" s="2"/>
    </row>
    <row r="732" ht="13.5" customHeight="1">
      <c r="A732" s="2"/>
      <c r="B732" s="2"/>
      <c r="C732" s="2"/>
      <c r="D732" s="2"/>
      <c r="E732" s="2"/>
      <c r="F732" s="2"/>
      <c r="G732" s="2"/>
      <c r="H732" s="2"/>
      <c r="I732" s="2"/>
      <c r="J732" s="28"/>
      <c r="K732" s="181"/>
      <c r="L732" s="2"/>
      <c r="M732" s="2"/>
      <c r="N732" s="2"/>
      <c r="O732" s="2"/>
      <c r="P732" s="2"/>
      <c r="Q732" s="157"/>
      <c r="R732" s="157"/>
      <c r="S732" s="157"/>
      <c r="T732" s="2"/>
      <c r="U732" s="2"/>
      <c r="V732" s="2"/>
      <c r="W732" s="2"/>
      <c r="X732" s="2"/>
      <c r="Y732" s="2"/>
      <c r="Z732" s="2"/>
    </row>
    <row r="733" ht="13.5" customHeight="1">
      <c r="A733" s="2"/>
      <c r="B733" s="2"/>
      <c r="C733" s="2"/>
      <c r="D733" s="2"/>
      <c r="E733" s="2"/>
      <c r="F733" s="2"/>
      <c r="G733" s="2"/>
      <c r="H733" s="2"/>
      <c r="I733" s="2"/>
      <c r="J733" s="28"/>
      <c r="K733" s="181"/>
      <c r="L733" s="2"/>
      <c r="M733" s="2"/>
      <c r="N733" s="2"/>
      <c r="O733" s="2"/>
      <c r="P733" s="2"/>
      <c r="Q733" s="157"/>
      <c r="R733" s="157"/>
      <c r="S733" s="157"/>
      <c r="T733" s="2"/>
      <c r="U733" s="2"/>
      <c r="V733" s="2"/>
      <c r="W733" s="2"/>
      <c r="X733" s="2"/>
      <c r="Y733" s="2"/>
      <c r="Z733" s="2"/>
    </row>
    <row r="734" ht="13.5" customHeight="1">
      <c r="A734" s="2"/>
      <c r="B734" s="2"/>
      <c r="C734" s="2"/>
      <c r="D734" s="2"/>
      <c r="E734" s="2"/>
      <c r="F734" s="2"/>
      <c r="G734" s="2"/>
      <c r="H734" s="2"/>
      <c r="I734" s="2"/>
      <c r="J734" s="28"/>
      <c r="K734" s="181"/>
      <c r="L734" s="2"/>
      <c r="M734" s="2"/>
      <c r="N734" s="2"/>
      <c r="O734" s="2"/>
      <c r="P734" s="2"/>
      <c r="Q734" s="157"/>
      <c r="R734" s="157"/>
      <c r="S734" s="157"/>
      <c r="T734" s="2"/>
      <c r="U734" s="2"/>
      <c r="V734" s="2"/>
      <c r="W734" s="2"/>
      <c r="X734" s="2"/>
      <c r="Y734" s="2"/>
      <c r="Z734" s="2"/>
    </row>
    <row r="735" ht="13.5" customHeight="1">
      <c r="A735" s="2"/>
      <c r="B735" s="2"/>
      <c r="C735" s="2"/>
      <c r="D735" s="2"/>
      <c r="E735" s="2"/>
      <c r="F735" s="2"/>
      <c r="G735" s="2"/>
      <c r="H735" s="2"/>
      <c r="I735" s="2"/>
      <c r="J735" s="28"/>
      <c r="K735" s="181"/>
      <c r="L735" s="2"/>
      <c r="M735" s="2"/>
      <c r="N735" s="2"/>
      <c r="O735" s="2"/>
      <c r="P735" s="2"/>
      <c r="Q735" s="157"/>
      <c r="R735" s="157"/>
      <c r="S735" s="157"/>
      <c r="T735" s="2"/>
      <c r="U735" s="2"/>
      <c r="V735" s="2"/>
      <c r="W735" s="2"/>
      <c r="X735" s="2"/>
      <c r="Y735" s="2"/>
      <c r="Z735" s="2"/>
    </row>
    <row r="736" ht="13.5" customHeight="1">
      <c r="A736" s="2"/>
      <c r="B736" s="2"/>
      <c r="C736" s="2"/>
      <c r="D736" s="2"/>
      <c r="E736" s="2"/>
      <c r="F736" s="2"/>
      <c r="G736" s="2"/>
      <c r="H736" s="2"/>
      <c r="I736" s="2"/>
      <c r="J736" s="28"/>
      <c r="K736" s="181"/>
      <c r="L736" s="2"/>
      <c r="M736" s="2"/>
      <c r="N736" s="2"/>
      <c r="O736" s="2"/>
      <c r="P736" s="2"/>
      <c r="Q736" s="157"/>
      <c r="R736" s="157"/>
      <c r="S736" s="157"/>
      <c r="T736" s="2"/>
      <c r="U736" s="2"/>
      <c r="V736" s="2"/>
      <c r="W736" s="2"/>
      <c r="X736" s="2"/>
      <c r="Y736" s="2"/>
      <c r="Z736" s="2"/>
    </row>
    <row r="737" ht="13.5" customHeight="1">
      <c r="A737" s="2"/>
      <c r="B737" s="2"/>
      <c r="C737" s="2"/>
      <c r="D737" s="2"/>
      <c r="E737" s="2"/>
      <c r="F737" s="2"/>
      <c r="G737" s="2"/>
      <c r="H737" s="2"/>
      <c r="I737" s="2"/>
      <c r="J737" s="28"/>
      <c r="K737" s="181"/>
      <c r="L737" s="2"/>
      <c r="M737" s="2"/>
      <c r="N737" s="2"/>
      <c r="O737" s="2"/>
      <c r="P737" s="2"/>
      <c r="Q737" s="157"/>
      <c r="R737" s="157"/>
      <c r="S737" s="157"/>
      <c r="T737" s="2"/>
      <c r="U737" s="2"/>
      <c r="V737" s="2"/>
      <c r="W737" s="2"/>
      <c r="X737" s="2"/>
      <c r="Y737" s="2"/>
      <c r="Z737" s="2"/>
    </row>
    <row r="738" ht="13.5" customHeight="1">
      <c r="A738" s="2"/>
      <c r="B738" s="2"/>
      <c r="C738" s="2"/>
      <c r="D738" s="2"/>
      <c r="E738" s="2"/>
      <c r="F738" s="2"/>
      <c r="G738" s="2"/>
      <c r="H738" s="2"/>
      <c r="I738" s="2"/>
      <c r="J738" s="28"/>
      <c r="K738" s="181"/>
      <c r="L738" s="2"/>
      <c r="M738" s="2"/>
      <c r="N738" s="2"/>
      <c r="O738" s="2"/>
      <c r="P738" s="2"/>
      <c r="Q738" s="157"/>
      <c r="R738" s="157"/>
      <c r="S738" s="157"/>
      <c r="T738" s="2"/>
      <c r="U738" s="2"/>
      <c r="V738" s="2"/>
      <c r="W738" s="2"/>
      <c r="X738" s="2"/>
      <c r="Y738" s="2"/>
      <c r="Z738" s="2"/>
    </row>
    <row r="739" ht="13.5" customHeight="1">
      <c r="A739" s="2"/>
      <c r="B739" s="2"/>
      <c r="C739" s="2"/>
      <c r="D739" s="2"/>
      <c r="E739" s="2"/>
      <c r="F739" s="2"/>
      <c r="G739" s="2"/>
      <c r="H739" s="2"/>
      <c r="I739" s="2"/>
      <c r="J739" s="28"/>
      <c r="K739" s="181"/>
      <c r="L739" s="2"/>
      <c r="M739" s="2"/>
      <c r="N739" s="2"/>
      <c r="O739" s="2"/>
      <c r="P739" s="2"/>
      <c r="Q739" s="157"/>
      <c r="R739" s="157"/>
      <c r="S739" s="157"/>
      <c r="T739" s="2"/>
      <c r="U739" s="2"/>
      <c r="V739" s="2"/>
      <c r="W739" s="2"/>
      <c r="X739" s="2"/>
      <c r="Y739" s="2"/>
      <c r="Z739" s="2"/>
    </row>
    <row r="740" ht="13.5" customHeight="1">
      <c r="A740" s="2"/>
      <c r="B740" s="2"/>
      <c r="C740" s="2"/>
      <c r="D740" s="2"/>
      <c r="E740" s="2"/>
      <c r="F740" s="2"/>
      <c r="G740" s="2"/>
      <c r="H740" s="2"/>
      <c r="I740" s="2"/>
      <c r="J740" s="28"/>
      <c r="K740" s="181"/>
      <c r="L740" s="2"/>
      <c r="M740" s="2"/>
      <c r="N740" s="2"/>
      <c r="O740" s="2"/>
      <c r="P740" s="2"/>
      <c r="Q740" s="157"/>
      <c r="R740" s="157"/>
      <c r="S740" s="157"/>
      <c r="T740" s="2"/>
      <c r="U740" s="2"/>
      <c r="V740" s="2"/>
      <c r="W740" s="2"/>
      <c r="X740" s="2"/>
      <c r="Y740" s="2"/>
      <c r="Z740" s="2"/>
    </row>
    <row r="741" ht="13.5" customHeight="1">
      <c r="A741" s="2"/>
      <c r="B741" s="2"/>
      <c r="C741" s="2"/>
      <c r="D741" s="2"/>
      <c r="E741" s="2"/>
      <c r="F741" s="2"/>
      <c r="G741" s="2"/>
      <c r="H741" s="2"/>
      <c r="I741" s="2"/>
      <c r="J741" s="28"/>
      <c r="K741" s="181"/>
      <c r="L741" s="2"/>
      <c r="M741" s="2"/>
      <c r="N741" s="2"/>
      <c r="O741" s="2"/>
      <c r="P741" s="2"/>
      <c r="Q741" s="157"/>
      <c r="R741" s="157"/>
      <c r="S741" s="157"/>
      <c r="T741" s="2"/>
      <c r="U741" s="2"/>
      <c r="V741" s="2"/>
      <c r="W741" s="2"/>
      <c r="X741" s="2"/>
      <c r="Y741" s="2"/>
      <c r="Z741" s="2"/>
    </row>
    <row r="742" ht="13.5" customHeight="1">
      <c r="A742" s="2"/>
      <c r="B742" s="2"/>
      <c r="C742" s="2"/>
      <c r="D742" s="2"/>
      <c r="E742" s="2"/>
      <c r="F742" s="2"/>
      <c r="G742" s="2"/>
      <c r="H742" s="2"/>
      <c r="I742" s="2"/>
      <c r="J742" s="28"/>
      <c r="K742" s="181"/>
      <c r="L742" s="2"/>
      <c r="M742" s="2"/>
      <c r="N742" s="2"/>
      <c r="O742" s="2"/>
      <c r="P742" s="2"/>
      <c r="Q742" s="157"/>
      <c r="R742" s="157"/>
      <c r="S742" s="157"/>
      <c r="T742" s="2"/>
      <c r="U742" s="2"/>
      <c r="V742" s="2"/>
      <c r="W742" s="2"/>
      <c r="X742" s="2"/>
      <c r="Y742" s="2"/>
      <c r="Z742" s="2"/>
    </row>
    <row r="743" ht="13.5" customHeight="1">
      <c r="A743" s="2"/>
      <c r="B743" s="2"/>
      <c r="C743" s="2"/>
      <c r="D743" s="2"/>
      <c r="E743" s="2"/>
      <c r="F743" s="2"/>
      <c r="G743" s="2"/>
      <c r="H743" s="2"/>
      <c r="I743" s="2"/>
      <c r="J743" s="28"/>
      <c r="K743" s="181"/>
      <c r="L743" s="2"/>
      <c r="M743" s="2"/>
      <c r="N743" s="2"/>
      <c r="O743" s="2"/>
      <c r="P743" s="2"/>
      <c r="Q743" s="157"/>
      <c r="R743" s="157"/>
      <c r="S743" s="157"/>
      <c r="T743" s="2"/>
      <c r="U743" s="2"/>
      <c r="V743" s="2"/>
      <c r="W743" s="2"/>
      <c r="X743" s="2"/>
      <c r="Y743" s="2"/>
      <c r="Z743" s="2"/>
    </row>
    <row r="744" ht="13.5" customHeight="1">
      <c r="A744" s="2"/>
      <c r="B744" s="2"/>
      <c r="C744" s="2"/>
      <c r="D744" s="2"/>
      <c r="E744" s="2"/>
      <c r="F744" s="2"/>
      <c r="G744" s="2"/>
      <c r="H744" s="2"/>
      <c r="I744" s="2"/>
      <c r="J744" s="28"/>
      <c r="K744" s="181"/>
      <c r="L744" s="2"/>
      <c r="M744" s="2"/>
      <c r="N744" s="2"/>
      <c r="O744" s="2"/>
      <c r="P744" s="2"/>
      <c r="Q744" s="157"/>
      <c r="R744" s="157"/>
      <c r="S744" s="157"/>
      <c r="T744" s="2"/>
      <c r="U744" s="2"/>
      <c r="V744" s="2"/>
      <c r="W744" s="2"/>
      <c r="X744" s="2"/>
      <c r="Y744" s="2"/>
      <c r="Z744" s="2"/>
    </row>
    <row r="745" ht="13.5" customHeight="1">
      <c r="A745" s="2"/>
      <c r="B745" s="2"/>
      <c r="C745" s="2"/>
      <c r="D745" s="2"/>
      <c r="E745" s="2"/>
      <c r="F745" s="2"/>
      <c r="G745" s="2"/>
      <c r="H745" s="2"/>
      <c r="I745" s="2"/>
      <c r="J745" s="28"/>
      <c r="K745" s="181"/>
      <c r="L745" s="2"/>
      <c r="M745" s="2"/>
      <c r="N745" s="2"/>
      <c r="O745" s="2"/>
      <c r="P745" s="2"/>
      <c r="Q745" s="157"/>
      <c r="R745" s="157"/>
      <c r="S745" s="157"/>
      <c r="T745" s="2"/>
      <c r="U745" s="2"/>
      <c r="V745" s="2"/>
      <c r="W745" s="2"/>
      <c r="X745" s="2"/>
      <c r="Y745" s="2"/>
      <c r="Z745" s="2"/>
    </row>
    <row r="746" ht="13.5" customHeight="1">
      <c r="A746" s="2"/>
      <c r="B746" s="2"/>
      <c r="C746" s="2"/>
      <c r="D746" s="2"/>
      <c r="E746" s="2"/>
      <c r="F746" s="2"/>
      <c r="G746" s="2"/>
      <c r="H746" s="2"/>
      <c r="I746" s="2"/>
      <c r="J746" s="28"/>
      <c r="K746" s="181"/>
      <c r="L746" s="2"/>
      <c r="M746" s="2"/>
      <c r="N746" s="2"/>
      <c r="O746" s="2"/>
      <c r="P746" s="2"/>
      <c r="Q746" s="157"/>
      <c r="R746" s="157"/>
      <c r="S746" s="157"/>
      <c r="T746" s="2"/>
      <c r="U746" s="2"/>
      <c r="V746" s="2"/>
      <c r="W746" s="2"/>
      <c r="X746" s="2"/>
      <c r="Y746" s="2"/>
      <c r="Z746" s="2"/>
    </row>
    <row r="747" ht="13.5" customHeight="1">
      <c r="A747" s="2"/>
      <c r="B747" s="2"/>
      <c r="C747" s="2"/>
      <c r="D747" s="2"/>
      <c r="E747" s="2"/>
      <c r="F747" s="2"/>
      <c r="G747" s="2"/>
      <c r="H747" s="2"/>
      <c r="I747" s="2"/>
      <c r="J747" s="28"/>
      <c r="K747" s="181"/>
      <c r="L747" s="2"/>
      <c r="M747" s="2"/>
      <c r="N747" s="2"/>
      <c r="O747" s="2"/>
      <c r="P747" s="2"/>
      <c r="Q747" s="157"/>
      <c r="R747" s="157"/>
      <c r="S747" s="157"/>
      <c r="T747" s="2"/>
      <c r="U747" s="2"/>
      <c r="V747" s="2"/>
      <c r="W747" s="2"/>
      <c r="X747" s="2"/>
      <c r="Y747" s="2"/>
      <c r="Z747" s="2"/>
    </row>
    <row r="748" ht="13.5" customHeight="1">
      <c r="A748" s="2"/>
      <c r="B748" s="2"/>
      <c r="C748" s="2"/>
      <c r="D748" s="2"/>
      <c r="E748" s="2"/>
      <c r="F748" s="2"/>
      <c r="G748" s="2"/>
      <c r="H748" s="2"/>
      <c r="I748" s="2"/>
      <c r="J748" s="28"/>
      <c r="K748" s="181"/>
      <c r="L748" s="2"/>
      <c r="M748" s="2"/>
      <c r="N748" s="2"/>
      <c r="O748" s="2"/>
      <c r="P748" s="2"/>
      <c r="Q748" s="157"/>
      <c r="R748" s="157"/>
      <c r="S748" s="157"/>
      <c r="T748" s="2"/>
      <c r="U748" s="2"/>
      <c r="V748" s="2"/>
      <c r="W748" s="2"/>
      <c r="X748" s="2"/>
      <c r="Y748" s="2"/>
      <c r="Z748" s="2"/>
    </row>
    <row r="749" ht="13.5" customHeight="1">
      <c r="A749" s="2"/>
      <c r="B749" s="2"/>
      <c r="C749" s="2"/>
      <c r="D749" s="2"/>
      <c r="E749" s="2"/>
      <c r="F749" s="2"/>
      <c r="G749" s="2"/>
      <c r="H749" s="2"/>
      <c r="I749" s="2"/>
      <c r="J749" s="28"/>
      <c r="K749" s="181"/>
      <c r="L749" s="2"/>
      <c r="M749" s="2"/>
      <c r="N749" s="2"/>
      <c r="O749" s="2"/>
      <c r="P749" s="2"/>
      <c r="Q749" s="157"/>
      <c r="R749" s="157"/>
      <c r="S749" s="157"/>
      <c r="T749" s="2"/>
      <c r="U749" s="2"/>
      <c r="V749" s="2"/>
      <c r="W749" s="2"/>
      <c r="X749" s="2"/>
      <c r="Y749" s="2"/>
      <c r="Z749" s="2"/>
    </row>
    <row r="750" ht="13.5" customHeight="1">
      <c r="A750" s="2"/>
      <c r="B750" s="2"/>
      <c r="C750" s="2"/>
      <c r="D750" s="2"/>
      <c r="E750" s="2"/>
      <c r="F750" s="2"/>
      <c r="G750" s="2"/>
      <c r="H750" s="2"/>
      <c r="I750" s="2"/>
      <c r="J750" s="28"/>
      <c r="K750" s="181"/>
      <c r="L750" s="2"/>
      <c r="M750" s="2"/>
      <c r="N750" s="2"/>
      <c r="O750" s="2"/>
      <c r="P750" s="2"/>
      <c r="Q750" s="157"/>
      <c r="R750" s="157"/>
      <c r="S750" s="157"/>
      <c r="T750" s="2"/>
      <c r="U750" s="2"/>
      <c r="V750" s="2"/>
      <c r="W750" s="2"/>
      <c r="X750" s="2"/>
      <c r="Y750" s="2"/>
      <c r="Z750" s="2"/>
    </row>
    <row r="751" ht="13.5" customHeight="1">
      <c r="A751" s="2"/>
      <c r="B751" s="2"/>
      <c r="C751" s="2"/>
      <c r="D751" s="2"/>
      <c r="E751" s="2"/>
      <c r="F751" s="2"/>
      <c r="G751" s="2"/>
      <c r="H751" s="2"/>
      <c r="I751" s="2"/>
      <c r="J751" s="28"/>
      <c r="K751" s="181"/>
      <c r="L751" s="2"/>
      <c r="M751" s="2"/>
      <c r="N751" s="2"/>
      <c r="O751" s="2"/>
      <c r="P751" s="2"/>
      <c r="Q751" s="157"/>
      <c r="R751" s="157"/>
      <c r="S751" s="157"/>
      <c r="T751" s="2"/>
      <c r="U751" s="2"/>
      <c r="V751" s="2"/>
      <c r="W751" s="2"/>
      <c r="X751" s="2"/>
      <c r="Y751" s="2"/>
      <c r="Z751" s="2"/>
    </row>
    <row r="752" ht="13.5" customHeight="1">
      <c r="A752" s="2"/>
      <c r="B752" s="2"/>
      <c r="C752" s="2"/>
      <c r="D752" s="2"/>
      <c r="E752" s="2"/>
      <c r="F752" s="2"/>
      <c r="G752" s="2"/>
      <c r="H752" s="2"/>
      <c r="I752" s="2"/>
      <c r="J752" s="28"/>
      <c r="K752" s="181"/>
      <c r="L752" s="2"/>
      <c r="M752" s="2"/>
      <c r="N752" s="2"/>
      <c r="O752" s="2"/>
      <c r="P752" s="2"/>
      <c r="Q752" s="157"/>
      <c r="R752" s="157"/>
      <c r="S752" s="157"/>
      <c r="T752" s="2"/>
      <c r="U752" s="2"/>
      <c r="V752" s="2"/>
      <c r="W752" s="2"/>
      <c r="X752" s="2"/>
      <c r="Y752" s="2"/>
      <c r="Z752" s="2"/>
    </row>
    <row r="753" ht="13.5" customHeight="1">
      <c r="A753" s="2"/>
      <c r="B753" s="2"/>
      <c r="C753" s="2"/>
      <c r="D753" s="2"/>
      <c r="E753" s="2"/>
      <c r="F753" s="2"/>
      <c r="G753" s="2"/>
      <c r="H753" s="2"/>
      <c r="I753" s="2"/>
      <c r="J753" s="28"/>
      <c r="K753" s="181"/>
      <c r="L753" s="2"/>
      <c r="M753" s="2"/>
      <c r="N753" s="2"/>
      <c r="O753" s="2"/>
      <c r="P753" s="2"/>
      <c r="Q753" s="157"/>
      <c r="R753" s="157"/>
      <c r="S753" s="157"/>
      <c r="T753" s="2"/>
      <c r="U753" s="2"/>
      <c r="V753" s="2"/>
      <c r="W753" s="2"/>
      <c r="X753" s="2"/>
      <c r="Y753" s="2"/>
      <c r="Z753" s="2"/>
    </row>
    <row r="754" ht="13.5" customHeight="1">
      <c r="A754" s="2"/>
      <c r="B754" s="2"/>
      <c r="C754" s="2"/>
      <c r="D754" s="2"/>
      <c r="E754" s="2"/>
      <c r="F754" s="2"/>
      <c r="G754" s="2"/>
      <c r="H754" s="2"/>
      <c r="I754" s="2"/>
      <c r="J754" s="28"/>
      <c r="K754" s="181"/>
      <c r="L754" s="2"/>
      <c r="M754" s="2"/>
      <c r="N754" s="2"/>
      <c r="O754" s="2"/>
      <c r="P754" s="2"/>
      <c r="Q754" s="157"/>
      <c r="R754" s="157"/>
      <c r="S754" s="157"/>
      <c r="T754" s="2"/>
      <c r="U754" s="2"/>
      <c r="V754" s="2"/>
      <c r="W754" s="2"/>
      <c r="X754" s="2"/>
      <c r="Y754" s="2"/>
      <c r="Z754" s="2"/>
    </row>
    <row r="755" ht="13.5" customHeight="1">
      <c r="A755" s="2"/>
      <c r="B755" s="2"/>
      <c r="C755" s="2"/>
      <c r="D755" s="2"/>
      <c r="E755" s="2"/>
      <c r="F755" s="2"/>
      <c r="G755" s="2"/>
      <c r="H755" s="2"/>
      <c r="I755" s="2"/>
      <c r="J755" s="28"/>
      <c r="K755" s="181"/>
      <c r="L755" s="2"/>
      <c r="M755" s="2"/>
      <c r="N755" s="2"/>
      <c r="O755" s="2"/>
      <c r="P755" s="2"/>
      <c r="Q755" s="157"/>
      <c r="R755" s="157"/>
      <c r="S755" s="157"/>
      <c r="T755" s="2"/>
      <c r="U755" s="2"/>
      <c r="V755" s="2"/>
      <c r="W755" s="2"/>
      <c r="X755" s="2"/>
      <c r="Y755" s="2"/>
      <c r="Z755" s="2"/>
    </row>
    <row r="756" ht="13.5" customHeight="1">
      <c r="A756" s="2"/>
      <c r="B756" s="2"/>
      <c r="C756" s="2"/>
      <c r="D756" s="2"/>
      <c r="E756" s="2"/>
      <c r="F756" s="2"/>
      <c r="G756" s="2"/>
      <c r="H756" s="2"/>
      <c r="I756" s="2"/>
      <c r="J756" s="28"/>
      <c r="K756" s="181"/>
      <c r="L756" s="2"/>
      <c r="M756" s="2"/>
      <c r="N756" s="2"/>
      <c r="O756" s="2"/>
      <c r="P756" s="2"/>
      <c r="Q756" s="157"/>
      <c r="R756" s="157"/>
      <c r="S756" s="157"/>
      <c r="T756" s="2"/>
      <c r="U756" s="2"/>
      <c r="V756" s="2"/>
      <c r="W756" s="2"/>
      <c r="X756" s="2"/>
      <c r="Y756" s="2"/>
      <c r="Z756" s="2"/>
    </row>
    <row r="757" ht="13.5" customHeight="1">
      <c r="A757" s="2"/>
      <c r="B757" s="2"/>
      <c r="C757" s="2"/>
      <c r="D757" s="2"/>
      <c r="E757" s="2"/>
      <c r="F757" s="2"/>
      <c r="G757" s="2"/>
      <c r="H757" s="2"/>
      <c r="I757" s="2"/>
      <c r="J757" s="28"/>
      <c r="K757" s="181"/>
      <c r="L757" s="2"/>
      <c r="M757" s="2"/>
      <c r="N757" s="2"/>
      <c r="O757" s="2"/>
      <c r="P757" s="2"/>
      <c r="Q757" s="157"/>
      <c r="R757" s="157"/>
      <c r="S757" s="157"/>
      <c r="T757" s="2"/>
      <c r="U757" s="2"/>
      <c r="V757" s="2"/>
      <c r="W757" s="2"/>
      <c r="X757" s="2"/>
      <c r="Y757" s="2"/>
      <c r="Z757" s="2"/>
    </row>
    <row r="758" ht="13.5" customHeight="1">
      <c r="A758" s="2"/>
      <c r="B758" s="2"/>
      <c r="C758" s="2"/>
      <c r="D758" s="2"/>
      <c r="E758" s="2"/>
      <c r="F758" s="2"/>
      <c r="G758" s="2"/>
      <c r="H758" s="2"/>
      <c r="I758" s="2"/>
      <c r="J758" s="28"/>
      <c r="K758" s="181"/>
      <c r="L758" s="2"/>
      <c r="M758" s="2"/>
      <c r="N758" s="2"/>
      <c r="O758" s="2"/>
      <c r="P758" s="2"/>
      <c r="Q758" s="157"/>
      <c r="R758" s="157"/>
      <c r="S758" s="157"/>
      <c r="T758" s="2"/>
      <c r="U758" s="2"/>
      <c r="V758" s="2"/>
      <c r="W758" s="2"/>
      <c r="X758" s="2"/>
      <c r="Y758" s="2"/>
      <c r="Z758" s="2"/>
    </row>
    <row r="759" ht="13.5" customHeight="1">
      <c r="A759" s="2"/>
      <c r="B759" s="2"/>
      <c r="C759" s="2"/>
      <c r="D759" s="2"/>
      <c r="E759" s="2"/>
      <c r="F759" s="2"/>
      <c r="G759" s="2"/>
      <c r="H759" s="2"/>
      <c r="I759" s="2"/>
      <c r="J759" s="28"/>
      <c r="K759" s="181"/>
      <c r="L759" s="2"/>
      <c r="M759" s="2"/>
      <c r="N759" s="2"/>
      <c r="O759" s="2"/>
      <c r="P759" s="2"/>
      <c r="Q759" s="157"/>
      <c r="R759" s="157"/>
      <c r="S759" s="157"/>
      <c r="T759" s="2"/>
      <c r="U759" s="2"/>
      <c r="V759" s="2"/>
      <c r="W759" s="2"/>
      <c r="X759" s="2"/>
      <c r="Y759" s="2"/>
      <c r="Z759" s="2"/>
    </row>
    <row r="760" ht="13.5" customHeight="1">
      <c r="A760" s="2"/>
      <c r="B760" s="2"/>
      <c r="C760" s="2"/>
      <c r="D760" s="2"/>
      <c r="E760" s="2"/>
      <c r="F760" s="2"/>
      <c r="G760" s="2"/>
      <c r="H760" s="2"/>
      <c r="I760" s="2"/>
      <c r="J760" s="28"/>
      <c r="K760" s="181"/>
      <c r="L760" s="2"/>
      <c r="M760" s="2"/>
      <c r="N760" s="2"/>
      <c r="O760" s="2"/>
      <c r="P760" s="2"/>
      <c r="Q760" s="157"/>
      <c r="R760" s="157"/>
      <c r="S760" s="157"/>
      <c r="T760" s="2"/>
      <c r="U760" s="2"/>
      <c r="V760" s="2"/>
      <c r="W760" s="2"/>
      <c r="X760" s="2"/>
      <c r="Y760" s="2"/>
      <c r="Z760" s="2"/>
    </row>
    <row r="761" ht="13.5" customHeight="1">
      <c r="A761" s="2"/>
      <c r="B761" s="2"/>
      <c r="C761" s="2"/>
      <c r="D761" s="2"/>
      <c r="E761" s="2"/>
      <c r="F761" s="2"/>
      <c r="G761" s="2"/>
      <c r="H761" s="2"/>
      <c r="I761" s="2"/>
      <c r="J761" s="28"/>
      <c r="K761" s="181"/>
      <c r="L761" s="2"/>
      <c r="M761" s="2"/>
      <c r="N761" s="2"/>
      <c r="O761" s="2"/>
      <c r="P761" s="2"/>
      <c r="Q761" s="157"/>
      <c r="R761" s="157"/>
      <c r="S761" s="157"/>
      <c r="T761" s="2"/>
      <c r="U761" s="2"/>
      <c r="V761" s="2"/>
      <c r="W761" s="2"/>
      <c r="X761" s="2"/>
      <c r="Y761" s="2"/>
      <c r="Z761" s="2"/>
    </row>
    <row r="762" ht="13.5" customHeight="1">
      <c r="A762" s="2"/>
      <c r="B762" s="2"/>
      <c r="C762" s="2"/>
      <c r="D762" s="2"/>
      <c r="E762" s="2"/>
      <c r="F762" s="2"/>
      <c r="G762" s="2"/>
      <c r="H762" s="2"/>
      <c r="I762" s="2"/>
      <c r="J762" s="28"/>
      <c r="K762" s="181"/>
      <c r="L762" s="2"/>
      <c r="M762" s="2"/>
      <c r="N762" s="2"/>
      <c r="O762" s="2"/>
      <c r="P762" s="2"/>
      <c r="Q762" s="157"/>
      <c r="R762" s="157"/>
      <c r="S762" s="157"/>
      <c r="T762" s="2"/>
      <c r="U762" s="2"/>
      <c r="V762" s="2"/>
      <c r="W762" s="2"/>
      <c r="X762" s="2"/>
      <c r="Y762" s="2"/>
      <c r="Z762" s="2"/>
    </row>
    <row r="763" ht="13.5" customHeight="1">
      <c r="A763" s="2"/>
      <c r="B763" s="2"/>
      <c r="C763" s="2"/>
      <c r="D763" s="2"/>
      <c r="E763" s="2"/>
      <c r="F763" s="2"/>
      <c r="G763" s="2"/>
      <c r="H763" s="2"/>
      <c r="I763" s="2"/>
      <c r="J763" s="28"/>
      <c r="K763" s="181"/>
      <c r="L763" s="2"/>
      <c r="M763" s="2"/>
      <c r="N763" s="2"/>
      <c r="O763" s="2"/>
      <c r="P763" s="2"/>
      <c r="Q763" s="157"/>
      <c r="R763" s="157"/>
      <c r="S763" s="157"/>
      <c r="T763" s="2"/>
      <c r="U763" s="2"/>
      <c r="V763" s="2"/>
      <c r="W763" s="2"/>
      <c r="X763" s="2"/>
      <c r="Y763" s="2"/>
      <c r="Z763" s="2"/>
    </row>
    <row r="764" ht="13.5" customHeight="1">
      <c r="A764" s="2"/>
      <c r="B764" s="2"/>
      <c r="C764" s="2"/>
      <c r="D764" s="2"/>
      <c r="E764" s="2"/>
      <c r="F764" s="2"/>
      <c r="G764" s="2"/>
      <c r="H764" s="2"/>
      <c r="I764" s="2"/>
      <c r="J764" s="28"/>
      <c r="K764" s="181"/>
      <c r="L764" s="2"/>
      <c r="M764" s="2"/>
      <c r="N764" s="2"/>
      <c r="O764" s="2"/>
      <c r="P764" s="2"/>
      <c r="Q764" s="157"/>
      <c r="R764" s="157"/>
      <c r="S764" s="157"/>
      <c r="T764" s="2"/>
      <c r="U764" s="2"/>
      <c r="V764" s="2"/>
      <c r="W764" s="2"/>
      <c r="X764" s="2"/>
      <c r="Y764" s="2"/>
      <c r="Z764" s="2"/>
    </row>
    <row r="765" ht="13.5" customHeight="1">
      <c r="A765" s="2"/>
      <c r="B765" s="2"/>
      <c r="C765" s="2"/>
      <c r="D765" s="2"/>
      <c r="E765" s="2"/>
      <c r="F765" s="2"/>
      <c r="G765" s="2"/>
      <c r="H765" s="2"/>
      <c r="I765" s="2"/>
      <c r="J765" s="28"/>
      <c r="K765" s="181"/>
      <c r="L765" s="2"/>
      <c r="M765" s="2"/>
      <c r="N765" s="2"/>
      <c r="O765" s="2"/>
      <c r="P765" s="2"/>
      <c r="Q765" s="157"/>
      <c r="R765" s="157"/>
      <c r="S765" s="157"/>
      <c r="T765" s="2"/>
      <c r="U765" s="2"/>
      <c r="V765" s="2"/>
      <c r="W765" s="2"/>
      <c r="X765" s="2"/>
      <c r="Y765" s="2"/>
      <c r="Z765" s="2"/>
    </row>
    <row r="766" ht="13.5" customHeight="1">
      <c r="A766" s="2"/>
      <c r="B766" s="2"/>
      <c r="C766" s="2"/>
      <c r="D766" s="2"/>
      <c r="E766" s="2"/>
      <c r="F766" s="2"/>
      <c r="G766" s="2"/>
      <c r="H766" s="2"/>
      <c r="I766" s="2"/>
      <c r="J766" s="28"/>
      <c r="K766" s="181"/>
      <c r="L766" s="2"/>
      <c r="M766" s="2"/>
      <c r="N766" s="2"/>
      <c r="O766" s="2"/>
      <c r="P766" s="2"/>
      <c r="Q766" s="157"/>
      <c r="R766" s="157"/>
      <c r="S766" s="157"/>
      <c r="T766" s="2"/>
      <c r="U766" s="2"/>
      <c r="V766" s="2"/>
      <c r="W766" s="2"/>
      <c r="X766" s="2"/>
      <c r="Y766" s="2"/>
      <c r="Z766" s="2"/>
    </row>
    <row r="767" ht="13.5" customHeight="1">
      <c r="A767" s="2"/>
      <c r="B767" s="2"/>
      <c r="C767" s="2"/>
      <c r="D767" s="2"/>
      <c r="E767" s="2"/>
      <c r="F767" s="2"/>
      <c r="G767" s="2"/>
      <c r="H767" s="2"/>
      <c r="I767" s="2"/>
      <c r="J767" s="28"/>
      <c r="K767" s="181"/>
      <c r="L767" s="2"/>
      <c r="M767" s="2"/>
      <c r="N767" s="2"/>
      <c r="O767" s="2"/>
      <c r="P767" s="2"/>
      <c r="Q767" s="157"/>
      <c r="R767" s="157"/>
      <c r="S767" s="157"/>
      <c r="T767" s="2"/>
      <c r="U767" s="2"/>
      <c r="V767" s="2"/>
      <c r="W767" s="2"/>
      <c r="X767" s="2"/>
      <c r="Y767" s="2"/>
      <c r="Z767" s="2"/>
    </row>
    <row r="768" ht="13.5" customHeight="1">
      <c r="A768" s="2"/>
      <c r="B768" s="2"/>
      <c r="C768" s="2"/>
      <c r="D768" s="2"/>
      <c r="E768" s="2"/>
      <c r="F768" s="2"/>
      <c r="G768" s="2"/>
      <c r="H768" s="2"/>
      <c r="I768" s="2"/>
      <c r="J768" s="28"/>
      <c r="K768" s="181"/>
      <c r="L768" s="2"/>
      <c r="M768" s="2"/>
      <c r="N768" s="2"/>
      <c r="O768" s="2"/>
      <c r="P768" s="2"/>
      <c r="Q768" s="157"/>
      <c r="R768" s="157"/>
      <c r="S768" s="157"/>
      <c r="T768" s="2"/>
      <c r="U768" s="2"/>
      <c r="V768" s="2"/>
      <c r="W768" s="2"/>
      <c r="X768" s="2"/>
      <c r="Y768" s="2"/>
      <c r="Z768" s="2"/>
    </row>
    <row r="769" ht="13.5" customHeight="1">
      <c r="A769" s="2"/>
      <c r="B769" s="2"/>
      <c r="C769" s="2"/>
      <c r="D769" s="2"/>
      <c r="E769" s="2"/>
      <c r="F769" s="2"/>
      <c r="G769" s="2"/>
      <c r="H769" s="2"/>
      <c r="I769" s="2"/>
      <c r="J769" s="28"/>
      <c r="K769" s="181"/>
      <c r="L769" s="2"/>
      <c r="M769" s="2"/>
      <c r="N769" s="2"/>
      <c r="O769" s="2"/>
      <c r="P769" s="2"/>
      <c r="Q769" s="157"/>
      <c r="R769" s="157"/>
      <c r="S769" s="157"/>
      <c r="T769" s="2"/>
      <c r="U769" s="2"/>
      <c r="V769" s="2"/>
      <c r="W769" s="2"/>
      <c r="X769" s="2"/>
      <c r="Y769" s="2"/>
      <c r="Z769" s="2"/>
    </row>
    <row r="770" ht="13.5" customHeight="1">
      <c r="A770" s="2"/>
      <c r="B770" s="2"/>
      <c r="C770" s="2"/>
      <c r="D770" s="2"/>
      <c r="E770" s="2"/>
      <c r="F770" s="2"/>
      <c r="G770" s="2"/>
      <c r="H770" s="2"/>
      <c r="I770" s="2"/>
      <c r="J770" s="28"/>
      <c r="K770" s="181"/>
      <c r="L770" s="2"/>
      <c r="M770" s="2"/>
      <c r="N770" s="2"/>
      <c r="O770" s="2"/>
      <c r="P770" s="2"/>
      <c r="Q770" s="157"/>
      <c r="R770" s="157"/>
      <c r="S770" s="157"/>
      <c r="T770" s="2"/>
      <c r="U770" s="2"/>
      <c r="V770" s="2"/>
      <c r="W770" s="2"/>
      <c r="X770" s="2"/>
      <c r="Y770" s="2"/>
      <c r="Z770" s="2"/>
    </row>
    <row r="771" ht="13.5" customHeight="1">
      <c r="A771" s="2"/>
      <c r="B771" s="2"/>
      <c r="C771" s="2"/>
      <c r="D771" s="2"/>
      <c r="E771" s="2"/>
      <c r="F771" s="2"/>
      <c r="G771" s="2"/>
      <c r="H771" s="2"/>
      <c r="I771" s="2"/>
      <c r="J771" s="28"/>
      <c r="K771" s="181"/>
      <c r="L771" s="2"/>
      <c r="M771" s="2"/>
      <c r="N771" s="2"/>
      <c r="O771" s="2"/>
      <c r="P771" s="2"/>
      <c r="Q771" s="157"/>
      <c r="R771" s="157"/>
      <c r="S771" s="157"/>
      <c r="T771" s="2"/>
      <c r="U771" s="2"/>
      <c r="V771" s="2"/>
      <c r="W771" s="2"/>
      <c r="X771" s="2"/>
      <c r="Y771" s="2"/>
      <c r="Z771" s="2"/>
    </row>
    <row r="772" ht="13.5" customHeight="1">
      <c r="A772" s="2"/>
      <c r="B772" s="2"/>
      <c r="C772" s="2"/>
      <c r="D772" s="2"/>
      <c r="E772" s="2"/>
      <c r="F772" s="2"/>
      <c r="G772" s="2"/>
      <c r="H772" s="2"/>
      <c r="I772" s="2"/>
      <c r="J772" s="28"/>
      <c r="K772" s="181"/>
      <c r="L772" s="2"/>
      <c r="M772" s="2"/>
      <c r="N772" s="2"/>
      <c r="O772" s="2"/>
      <c r="P772" s="2"/>
      <c r="Q772" s="157"/>
      <c r="R772" s="157"/>
      <c r="S772" s="157"/>
      <c r="T772" s="2"/>
      <c r="U772" s="2"/>
      <c r="V772" s="2"/>
      <c r="W772" s="2"/>
      <c r="X772" s="2"/>
      <c r="Y772" s="2"/>
      <c r="Z772" s="2"/>
    </row>
    <row r="773" ht="13.5" customHeight="1">
      <c r="A773" s="2"/>
      <c r="B773" s="2"/>
      <c r="C773" s="2"/>
      <c r="D773" s="2"/>
      <c r="E773" s="2"/>
      <c r="F773" s="2"/>
      <c r="G773" s="2"/>
      <c r="H773" s="2"/>
      <c r="I773" s="2"/>
      <c r="J773" s="28"/>
      <c r="K773" s="181"/>
      <c r="L773" s="2"/>
      <c r="M773" s="2"/>
      <c r="N773" s="2"/>
      <c r="O773" s="2"/>
      <c r="P773" s="2"/>
      <c r="Q773" s="157"/>
      <c r="R773" s="157"/>
      <c r="S773" s="157"/>
      <c r="T773" s="2"/>
      <c r="U773" s="2"/>
      <c r="V773" s="2"/>
      <c r="W773" s="2"/>
      <c r="X773" s="2"/>
      <c r="Y773" s="2"/>
      <c r="Z773" s="2"/>
    </row>
    <row r="774" ht="13.5" customHeight="1">
      <c r="A774" s="2"/>
      <c r="B774" s="2"/>
      <c r="C774" s="2"/>
      <c r="D774" s="2"/>
      <c r="E774" s="2"/>
      <c r="F774" s="2"/>
      <c r="G774" s="2"/>
      <c r="H774" s="2"/>
      <c r="I774" s="2"/>
      <c r="J774" s="28"/>
      <c r="K774" s="181"/>
      <c r="L774" s="2"/>
      <c r="M774" s="2"/>
      <c r="N774" s="2"/>
      <c r="O774" s="2"/>
      <c r="P774" s="2"/>
      <c r="Q774" s="157"/>
      <c r="R774" s="157"/>
      <c r="S774" s="157"/>
      <c r="T774" s="2"/>
      <c r="U774" s="2"/>
      <c r="V774" s="2"/>
      <c r="W774" s="2"/>
      <c r="X774" s="2"/>
      <c r="Y774" s="2"/>
      <c r="Z774" s="2"/>
    </row>
    <row r="775" ht="13.5" customHeight="1">
      <c r="A775" s="2"/>
      <c r="B775" s="2"/>
      <c r="C775" s="2"/>
      <c r="D775" s="2"/>
      <c r="E775" s="2"/>
      <c r="F775" s="2"/>
      <c r="G775" s="2"/>
      <c r="H775" s="2"/>
      <c r="I775" s="2"/>
      <c r="J775" s="28"/>
      <c r="K775" s="181"/>
      <c r="L775" s="2"/>
      <c r="M775" s="2"/>
      <c r="N775" s="2"/>
      <c r="O775" s="2"/>
      <c r="P775" s="2"/>
      <c r="Q775" s="157"/>
      <c r="R775" s="157"/>
      <c r="S775" s="157"/>
      <c r="T775" s="2"/>
      <c r="U775" s="2"/>
      <c r="V775" s="2"/>
      <c r="W775" s="2"/>
      <c r="X775" s="2"/>
      <c r="Y775" s="2"/>
      <c r="Z775" s="2"/>
    </row>
    <row r="776" ht="13.5" customHeight="1">
      <c r="A776" s="2"/>
      <c r="B776" s="2"/>
      <c r="C776" s="2"/>
      <c r="D776" s="2"/>
      <c r="E776" s="2"/>
      <c r="F776" s="2"/>
      <c r="G776" s="2"/>
      <c r="H776" s="2"/>
      <c r="I776" s="2"/>
      <c r="J776" s="28"/>
      <c r="K776" s="181"/>
      <c r="L776" s="2"/>
      <c r="M776" s="2"/>
      <c r="N776" s="2"/>
      <c r="O776" s="2"/>
      <c r="P776" s="2"/>
      <c r="Q776" s="157"/>
      <c r="R776" s="157"/>
      <c r="S776" s="157"/>
      <c r="T776" s="2"/>
      <c r="U776" s="2"/>
      <c r="V776" s="2"/>
      <c r="W776" s="2"/>
      <c r="X776" s="2"/>
      <c r="Y776" s="2"/>
      <c r="Z776" s="2"/>
    </row>
    <row r="777" ht="13.5" customHeight="1">
      <c r="A777" s="2"/>
      <c r="B777" s="2"/>
      <c r="C777" s="2"/>
      <c r="D777" s="2"/>
      <c r="E777" s="2"/>
      <c r="F777" s="2"/>
      <c r="G777" s="2"/>
      <c r="H777" s="2"/>
      <c r="I777" s="2"/>
      <c r="J777" s="28"/>
      <c r="K777" s="181"/>
      <c r="L777" s="2"/>
      <c r="M777" s="2"/>
      <c r="N777" s="2"/>
      <c r="O777" s="2"/>
      <c r="P777" s="2"/>
      <c r="Q777" s="157"/>
      <c r="R777" s="157"/>
      <c r="S777" s="157"/>
      <c r="T777" s="2"/>
      <c r="U777" s="2"/>
      <c r="V777" s="2"/>
      <c r="W777" s="2"/>
      <c r="X777" s="2"/>
      <c r="Y777" s="2"/>
      <c r="Z777" s="2"/>
    </row>
    <row r="778" ht="13.5" customHeight="1">
      <c r="A778" s="2"/>
      <c r="B778" s="2"/>
      <c r="C778" s="2"/>
      <c r="D778" s="2"/>
      <c r="E778" s="2"/>
      <c r="F778" s="2"/>
      <c r="G778" s="2"/>
      <c r="H778" s="2"/>
      <c r="I778" s="2"/>
      <c r="J778" s="28"/>
      <c r="K778" s="181"/>
      <c r="L778" s="2"/>
      <c r="M778" s="2"/>
      <c r="N778" s="2"/>
      <c r="O778" s="2"/>
      <c r="P778" s="2"/>
      <c r="Q778" s="157"/>
      <c r="R778" s="157"/>
      <c r="S778" s="157"/>
      <c r="T778" s="2"/>
      <c r="U778" s="2"/>
      <c r="V778" s="2"/>
      <c r="W778" s="2"/>
      <c r="X778" s="2"/>
      <c r="Y778" s="2"/>
      <c r="Z778" s="2"/>
    </row>
    <row r="779" ht="13.5" customHeight="1">
      <c r="A779" s="2"/>
      <c r="B779" s="2"/>
      <c r="C779" s="2"/>
      <c r="D779" s="2"/>
      <c r="E779" s="2"/>
      <c r="F779" s="2"/>
      <c r="G779" s="2"/>
      <c r="H779" s="2"/>
      <c r="I779" s="2"/>
      <c r="J779" s="28"/>
      <c r="K779" s="181"/>
      <c r="L779" s="2"/>
      <c r="M779" s="2"/>
      <c r="N779" s="2"/>
      <c r="O779" s="2"/>
      <c r="P779" s="2"/>
      <c r="Q779" s="157"/>
      <c r="R779" s="157"/>
      <c r="S779" s="157"/>
      <c r="T779" s="2"/>
      <c r="U779" s="2"/>
      <c r="V779" s="2"/>
      <c r="W779" s="2"/>
      <c r="X779" s="2"/>
      <c r="Y779" s="2"/>
      <c r="Z779" s="2"/>
    </row>
    <row r="780" ht="13.5" customHeight="1">
      <c r="A780" s="2"/>
      <c r="B780" s="2"/>
      <c r="C780" s="2"/>
      <c r="D780" s="2"/>
      <c r="E780" s="2"/>
      <c r="F780" s="2"/>
      <c r="G780" s="2"/>
      <c r="H780" s="2"/>
      <c r="I780" s="2"/>
      <c r="J780" s="28"/>
      <c r="K780" s="181"/>
      <c r="L780" s="2"/>
      <c r="M780" s="2"/>
      <c r="N780" s="2"/>
      <c r="O780" s="2"/>
      <c r="P780" s="2"/>
      <c r="Q780" s="157"/>
      <c r="R780" s="157"/>
      <c r="S780" s="157"/>
      <c r="T780" s="2"/>
      <c r="U780" s="2"/>
      <c r="V780" s="2"/>
      <c r="W780" s="2"/>
      <c r="X780" s="2"/>
      <c r="Y780" s="2"/>
      <c r="Z780" s="2"/>
    </row>
    <row r="781" ht="13.5" customHeight="1">
      <c r="A781" s="2"/>
      <c r="B781" s="2"/>
      <c r="C781" s="2"/>
      <c r="D781" s="2"/>
      <c r="E781" s="2"/>
      <c r="F781" s="2"/>
      <c r="G781" s="2"/>
      <c r="H781" s="2"/>
      <c r="I781" s="2"/>
      <c r="J781" s="28"/>
      <c r="K781" s="181"/>
      <c r="L781" s="2"/>
      <c r="M781" s="2"/>
      <c r="N781" s="2"/>
      <c r="O781" s="2"/>
      <c r="P781" s="2"/>
      <c r="Q781" s="157"/>
      <c r="R781" s="157"/>
      <c r="S781" s="157"/>
      <c r="T781" s="2"/>
      <c r="U781" s="2"/>
      <c r="V781" s="2"/>
      <c r="W781" s="2"/>
      <c r="X781" s="2"/>
      <c r="Y781" s="2"/>
      <c r="Z781" s="2"/>
    </row>
    <row r="782" ht="13.5" customHeight="1">
      <c r="A782" s="2"/>
      <c r="B782" s="2"/>
      <c r="C782" s="2"/>
      <c r="D782" s="2"/>
      <c r="E782" s="2"/>
      <c r="F782" s="2"/>
      <c r="G782" s="2"/>
      <c r="H782" s="2"/>
      <c r="I782" s="2"/>
      <c r="J782" s="28"/>
      <c r="K782" s="181"/>
      <c r="L782" s="2"/>
      <c r="M782" s="2"/>
      <c r="N782" s="2"/>
      <c r="O782" s="2"/>
      <c r="P782" s="2"/>
      <c r="Q782" s="157"/>
      <c r="R782" s="157"/>
      <c r="S782" s="157"/>
      <c r="T782" s="2"/>
      <c r="U782" s="2"/>
      <c r="V782" s="2"/>
      <c r="W782" s="2"/>
      <c r="X782" s="2"/>
      <c r="Y782" s="2"/>
      <c r="Z782" s="2"/>
    </row>
    <row r="783" ht="13.5" customHeight="1">
      <c r="A783" s="2"/>
      <c r="B783" s="2"/>
      <c r="C783" s="2"/>
      <c r="D783" s="2"/>
      <c r="E783" s="2"/>
      <c r="F783" s="2"/>
      <c r="G783" s="2"/>
      <c r="H783" s="2"/>
      <c r="I783" s="2"/>
      <c r="J783" s="28"/>
      <c r="K783" s="181"/>
      <c r="L783" s="2"/>
      <c r="M783" s="2"/>
      <c r="N783" s="2"/>
      <c r="O783" s="2"/>
      <c r="P783" s="2"/>
      <c r="Q783" s="157"/>
      <c r="R783" s="157"/>
      <c r="S783" s="157"/>
      <c r="T783" s="2"/>
      <c r="U783" s="2"/>
      <c r="V783" s="2"/>
      <c r="W783" s="2"/>
      <c r="X783" s="2"/>
      <c r="Y783" s="2"/>
      <c r="Z783" s="2"/>
    </row>
    <row r="784" ht="13.5" customHeight="1">
      <c r="A784" s="2"/>
      <c r="B784" s="2"/>
      <c r="C784" s="2"/>
      <c r="D784" s="2"/>
      <c r="E784" s="2"/>
      <c r="F784" s="2"/>
      <c r="G784" s="2"/>
      <c r="H784" s="2"/>
      <c r="I784" s="2"/>
      <c r="J784" s="28"/>
      <c r="K784" s="181"/>
      <c r="L784" s="2"/>
      <c r="M784" s="2"/>
      <c r="N784" s="2"/>
      <c r="O784" s="2"/>
      <c r="P784" s="2"/>
      <c r="Q784" s="157"/>
      <c r="R784" s="157"/>
      <c r="S784" s="157"/>
      <c r="T784" s="2"/>
      <c r="U784" s="2"/>
      <c r="V784" s="2"/>
      <c r="W784" s="2"/>
      <c r="X784" s="2"/>
      <c r="Y784" s="2"/>
      <c r="Z784" s="2"/>
    </row>
    <row r="785" ht="13.5" customHeight="1">
      <c r="A785" s="2"/>
      <c r="B785" s="2"/>
      <c r="C785" s="2"/>
      <c r="D785" s="2"/>
      <c r="E785" s="2"/>
      <c r="F785" s="2"/>
      <c r="G785" s="2"/>
      <c r="H785" s="2"/>
      <c r="I785" s="2"/>
      <c r="J785" s="28"/>
      <c r="K785" s="181"/>
      <c r="L785" s="2"/>
      <c r="M785" s="2"/>
      <c r="N785" s="2"/>
      <c r="O785" s="2"/>
      <c r="P785" s="2"/>
      <c r="Q785" s="157"/>
      <c r="R785" s="157"/>
      <c r="S785" s="157"/>
      <c r="T785" s="2"/>
      <c r="U785" s="2"/>
      <c r="V785" s="2"/>
      <c r="W785" s="2"/>
      <c r="X785" s="2"/>
      <c r="Y785" s="2"/>
      <c r="Z785" s="2"/>
    </row>
    <row r="786" ht="13.5" customHeight="1">
      <c r="A786" s="2"/>
      <c r="B786" s="2"/>
      <c r="C786" s="2"/>
      <c r="D786" s="2"/>
      <c r="E786" s="2"/>
      <c r="F786" s="2"/>
      <c r="G786" s="2"/>
      <c r="H786" s="2"/>
      <c r="I786" s="2"/>
      <c r="J786" s="28"/>
      <c r="K786" s="181"/>
      <c r="L786" s="2"/>
      <c r="M786" s="2"/>
      <c r="N786" s="2"/>
      <c r="O786" s="2"/>
      <c r="P786" s="2"/>
      <c r="Q786" s="157"/>
      <c r="R786" s="157"/>
      <c r="S786" s="157"/>
      <c r="T786" s="2"/>
      <c r="U786" s="2"/>
      <c r="V786" s="2"/>
      <c r="W786" s="2"/>
      <c r="X786" s="2"/>
      <c r="Y786" s="2"/>
      <c r="Z786" s="2"/>
    </row>
    <row r="787" ht="13.5" customHeight="1">
      <c r="A787" s="2"/>
      <c r="B787" s="2"/>
      <c r="C787" s="2"/>
      <c r="D787" s="2"/>
      <c r="E787" s="2"/>
      <c r="F787" s="2"/>
      <c r="G787" s="2"/>
      <c r="H787" s="2"/>
      <c r="I787" s="2"/>
      <c r="J787" s="28"/>
      <c r="K787" s="181"/>
      <c r="L787" s="2"/>
      <c r="M787" s="2"/>
      <c r="N787" s="2"/>
      <c r="O787" s="2"/>
      <c r="P787" s="2"/>
      <c r="Q787" s="157"/>
      <c r="R787" s="157"/>
      <c r="S787" s="157"/>
      <c r="T787" s="2"/>
      <c r="U787" s="2"/>
      <c r="V787" s="2"/>
      <c r="W787" s="2"/>
      <c r="X787" s="2"/>
      <c r="Y787" s="2"/>
      <c r="Z787" s="2"/>
    </row>
    <row r="788" ht="13.5" customHeight="1">
      <c r="A788" s="2"/>
      <c r="B788" s="2"/>
      <c r="C788" s="2"/>
      <c r="D788" s="2"/>
      <c r="E788" s="2"/>
      <c r="F788" s="2"/>
      <c r="G788" s="2"/>
      <c r="H788" s="2"/>
      <c r="I788" s="2"/>
      <c r="J788" s="28"/>
      <c r="K788" s="181"/>
      <c r="L788" s="2"/>
      <c r="M788" s="2"/>
      <c r="N788" s="2"/>
      <c r="O788" s="2"/>
      <c r="P788" s="2"/>
      <c r="Q788" s="157"/>
      <c r="R788" s="157"/>
      <c r="S788" s="157"/>
      <c r="T788" s="2"/>
      <c r="U788" s="2"/>
      <c r="V788" s="2"/>
      <c r="W788" s="2"/>
      <c r="X788" s="2"/>
      <c r="Y788" s="2"/>
      <c r="Z788" s="2"/>
    </row>
    <row r="789" ht="13.5" customHeight="1">
      <c r="A789" s="2"/>
      <c r="B789" s="2"/>
      <c r="C789" s="2"/>
      <c r="D789" s="2"/>
      <c r="E789" s="2"/>
      <c r="F789" s="2"/>
      <c r="G789" s="2"/>
      <c r="H789" s="2"/>
      <c r="I789" s="2"/>
      <c r="J789" s="28"/>
      <c r="K789" s="181"/>
      <c r="L789" s="2"/>
      <c r="M789" s="2"/>
      <c r="N789" s="2"/>
      <c r="O789" s="2"/>
      <c r="P789" s="2"/>
      <c r="Q789" s="157"/>
      <c r="R789" s="157"/>
      <c r="S789" s="157"/>
      <c r="T789" s="2"/>
      <c r="U789" s="2"/>
      <c r="V789" s="2"/>
      <c r="W789" s="2"/>
      <c r="X789" s="2"/>
      <c r="Y789" s="2"/>
      <c r="Z789" s="2"/>
    </row>
    <row r="790" ht="13.5" customHeight="1">
      <c r="A790" s="2"/>
      <c r="B790" s="2"/>
      <c r="C790" s="2"/>
      <c r="D790" s="2"/>
      <c r="E790" s="2"/>
      <c r="F790" s="2"/>
      <c r="G790" s="2"/>
      <c r="H790" s="2"/>
      <c r="I790" s="2"/>
      <c r="J790" s="28"/>
      <c r="K790" s="181"/>
      <c r="L790" s="2"/>
      <c r="M790" s="2"/>
      <c r="N790" s="2"/>
      <c r="O790" s="2"/>
      <c r="P790" s="2"/>
      <c r="Q790" s="157"/>
      <c r="R790" s="157"/>
      <c r="S790" s="157"/>
      <c r="T790" s="2"/>
      <c r="U790" s="2"/>
      <c r="V790" s="2"/>
      <c r="W790" s="2"/>
      <c r="X790" s="2"/>
      <c r="Y790" s="2"/>
      <c r="Z790" s="2"/>
    </row>
    <row r="791" ht="13.5" customHeight="1">
      <c r="A791" s="2"/>
      <c r="B791" s="2"/>
      <c r="C791" s="2"/>
      <c r="D791" s="2"/>
      <c r="E791" s="2"/>
      <c r="F791" s="2"/>
      <c r="G791" s="2"/>
      <c r="H791" s="2"/>
      <c r="I791" s="2"/>
      <c r="J791" s="28"/>
      <c r="K791" s="181"/>
      <c r="L791" s="2"/>
      <c r="M791" s="2"/>
      <c r="N791" s="2"/>
      <c r="O791" s="2"/>
      <c r="P791" s="2"/>
      <c r="Q791" s="157"/>
      <c r="R791" s="157"/>
      <c r="S791" s="157"/>
      <c r="T791" s="2"/>
      <c r="U791" s="2"/>
      <c r="V791" s="2"/>
      <c r="W791" s="2"/>
      <c r="X791" s="2"/>
      <c r="Y791" s="2"/>
      <c r="Z791" s="2"/>
    </row>
    <row r="792" ht="13.5" customHeight="1">
      <c r="A792" s="2"/>
      <c r="B792" s="2"/>
      <c r="C792" s="2"/>
      <c r="D792" s="2"/>
      <c r="E792" s="2"/>
      <c r="F792" s="2"/>
      <c r="G792" s="2"/>
      <c r="H792" s="2"/>
      <c r="I792" s="2"/>
      <c r="J792" s="28"/>
      <c r="K792" s="181"/>
      <c r="L792" s="2"/>
      <c r="M792" s="2"/>
      <c r="N792" s="2"/>
      <c r="O792" s="2"/>
      <c r="P792" s="2"/>
      <c r="Q792" s="157"/>
      <c r="R792" s="157"/>
      <c r="S792" s="157"/>
      <c r="T792" s="2"/>
      <c r="U792" s="2"/>
      <c r="V792" s="2"/>
      <c r="W792" s="2"/>
      <c r="X792" s="2"/>
      <c r="Y792" s="2"/>
      <c r="Z792" s="2"/>
    </row>
    <row r="793" ht="13.5" customHeight="1">
      <c r="A793" s="2"/>
      <c r="B793" s="2"/>
      <c r="C793" s="2"/>
      <c r="D793" s="2"/>
      <c r="E793" s="2"/>
      <c r="F793" s="2"/>
      <c r="G793" s="2"/>
      <c r="H793" s="2"/>
      <c r="I793" s="2"/>
      <c r="J793" s="28"/>
      <c r="K793" s="181"/>
      <c r="L793" s="2"/>
      <c r="M793" s="2"/>
      <c r="N793" s="2"/>
      <c r="O793" s="2"/>
      <c r="P793" s="2"/>
      <c r="Q793" s="157"/>
      <c r="R793" s="157"/>
      <c r="S793" s="157"/>
      <c r="T793" s="2"/>
      <c r="U793" s="2"/>
      <c r="V793" s="2"/>
      <c r="W793" s="2"/>
      <c r="X793" s="2"/>
      <c r="Y793" s="2"/>
      <c r="Z793" s="2"/>
    </row>
    <row r="794" ht="13.5" customHeight="1">
      <c r="A794" s="2"/>
      <c r="B794" s="2"/>
      <c r="C794" s="2"/>
      <c r="D794" s="2"/>
      <c r="E794" s="2"/>
      <c r="F794" s="2"/>
      <c r="G794" s="2"/>
      <c r="H794" s="2"/>
      <c r="I794" s="2"/>
      <c r="J794" s="28"/>
      <c r="K794" s="181"/>
      <c r="L794" s="2"/>
      <c r="M794" s="2"/>
      <c r="N794" s="2"/>
      <c r="O794" s="2"/>
      <c r="P794" s="2"/>
      <c r="Q794" s="157"/>
      <c r="R794" s="157"/>
      <c r="S794" s="157"/>
      <c r="T794" s="2"/>
      <c r="U794" s="2"/>
      <c r="V794" s="2"/>
      <c r="W794" s="2"/>
      <c r="X794" s="2"/>
      <c r="Y794" s="2"/>
      <c r="Z794" s="2"/>
    </row>
    <row r="795" ht="13.5" customHeight="1">
      <c r="A795" s="2"/>
      <c r="B795" s="2"/>
      <c r="C795" s="2"/>
      <c r="D795" s="2"/>
      <c r="E795" s="2"/>
      <c r="F795" s="2"/>
      <c r="G795" s="2"/>
      <c r="H795" s="2"/>
      <c r="I795" s="2"/>
      <c r="J795" s="28"/>
      <c r="K795" s="181"/>
      <c r="L795" s="2"/>
      <c r="M795" s="2"/>
      <c r="N795" s="2"/>
      <c r="O795" s="2"/>
      <c r="P795" s="2"/>
      <c r="Q795" s="157"/>
      <c r="R795" s="157"/>
      <c r="S795" s="157"/>
      <c r="T795" s="2"/>
      <c r="U795" s="2"/>
      <c r="V795" s="2"/>
      <c r="W795" s="2"/>
      <c r="X795" s="2"/>
      <c r="Y795" s="2"/>
      <c r="Z795" s="2"/>
    </row>
    <row r="796" ht="13.5" customHeight="1">
      <c r="A796" s="2"/>
      <c r="B796" s="2"/>
      <c r="C796" s="2"/>
      <c r="D796" s="2"/>
      <c r="E796" s="2"/>
      <c r="F796" s="2"/>
      <c r="G796" s="2"/>
      <c r="H796" s="2"/>
      <c r="I796" s="2"/>
      <c r="J796" s="28"/>
      <c r="K796" s="181"/>
      <c r="L796" s="2"/>
      <c r="M796" s="2"/>
      <c r="N796" s="2"/>
      <c r="O796" s="2"/>
      <c r="P796" s="2"/>
      <c r="Q796" s="157"/>
      <c r="R796" s="157"/>
      <c r="S796" s="157"/>
      <c r="T796" s="2"/>
      <c r="U796" s="2"/>
      <c r="V796" s="2"/>
      <c r="W796" s="2"/>
      <c r="X796" s="2"/>
      <c r="Y796" s="2"/>
      <c r="Z796" s="2"/>
    </row>
    <row r="797" ht="13.5" customHeight="1">
      <c r="A797" s="2"/>
      <c r="B797" s="2"/>
      <c r="C797" s="2"/>
      <c r="D797" s="2"/>
      <c r="E797" s="2"/>
      <c r="F797" s="2"/>
      <c r="G797" s="2"/>
      <c r="H797" s="2"/>
      <c r="I797" s="2"/>
      <c r="J797" s="28"/>
      <c r="K797" s="181"/>
      <c r="L797" s="2"/>
      <c r="M797" s="2"/>
      <c r="N797" s="2"/>
      <c r="O797" s="2"/>
      <c r="P797" s="2"/>
      <c r="Q797" s="157"/>
      <c r="R797" s="157"/>
      <c r="S797" s="157"/>
      <c r="T797" s="2"/>
      <c r="U797" s="2"/>
      <c r="V797" s="2"/>
      <c r="W797" s="2"/>
      <c r="X797" s="2"/>
      <c r="Y797" s="2"/>
      <c r="Z797" s="2"/>
    </row>
    <row r="798" ht="13.5" customHeight="1">
      <c r="A798" s="2"/>
      <c r="B798" s="2"/>
      <c r="C798" s="2"/>
      <c r="D798" s="2"/>
      <c r="E798" s="2"/>
      <c r="F798" s="2"/>
      <c r="G798" s="2"/>
      <c r="H798" s="2"/>
      <c r="I798" s="2"/>
      <c r="J798" s="28"/>
      <c r="K798" s="181"/>
      <c r="L798" s="2"/>
      <c r="M798" s="2"/>
      <c r="N798" s="2"/>
      <c r="O798" s="2"/>
      <c r="P798" s="2"/>
      <c r="Q798" s="157"/>
      <c r="R798" s="157"/>
      <c r="S798" s="157"/>
      <c r="T798" s="2"/>
      <c r="U798" s="2"/>
      <c r="V798" s="2"/>
      <c r="W798" s="2"/>
      <c r="X798" s="2"/>
      <c r="Y798" s="2"/>
      <c r="Z798" s="2"/>
    </row>
    <row r="799" ht="13.5" customHeight="1">
      <c r="A799" s="2"/>
      <c r="B799" s="2"/>
      <c r="C799" s="2"/>
      <c r="D799" s="2"/>
      <c r="E799" s="2"/>
      <c r="F799" s="2"/>
      <c r="G799" s="2"/>
      <c r="H799" s="2"/>
      <c r="I799" s="2"/>
      <c r="J799" s="28"/>
      <c r="K799" s="181"/>
      <c r="L799" s="2"/>
      <c r="M799" s="2"/>
      <c r="N799" s="2"/>
      <c r="O799" s="2"/>
      <c r="P799" s="2"/>
      <c r="Q799" s="157"/>
      <c r="R799" s="157"/>
      <c r="S799" s="157"/>
      <c r="T799" s="2"/>
      <c r="U799" s="2"/>
      <c r="V799" s="2"/>
      <c r="W799" s="2"/>
      <c r="X799" s="2"/>
      <c r="Y799" s="2"/>
      <c r="Z799" s="2"/>
    </row>
    <row r="800" ht="13.5" customHeight="1">
      <c r="A800" s="2"/>
      <c r="B800" s="2"/>
      <c r="C800" s="2"/>
      <c r="D800" s="2"/>
      <c r="E800" s="2"/>
      <c r="F800" s="2"/>
      <c r="G800" s="2"/>
      <c r="H800" s="2"/>
      <c r="I800" s="2"/>
      <c r="J800" s="28"/>
      <c r="K800" s="181"/>
      <c r="L800" s="2"/>
      <c r="M800" s="2"/>
      <c r="N800" s="2"/>
      <c r="O800" s="2"/>
      <c r="P800" s="2"/>
      <c r="Q800" s="157"/>
      <c r="R800" s="157"/>
      <c r="S800" s="157"/>
      <c r="T800" s="2"/>
      <c r="U800" s="2"/>
      <c r="V800" s="2"/>
      <c r="W800" s="2"/>
      <c r="X800" s="2"/>
      <c r="Y800" s="2"/>
      <c r="Z800" s="2"/>
    </row>
    <row r="801" ht="13.5" customHeight="1">
      <c r="A801" s="2"/>
      <c r="B801" s="2"/>
      <c r="C801" s="2"/>
      <c r="D801" s="2"/>
      <c r="E801" s="2"/>
      <c r="F801" s="2"/>
      <c r="G801" s="2"/>
      <c r="H801" s="2"/>
      <c r="I801" s="2"/>
      <c r="J801" s="28"/>
      <c r="K801" s="181"/>
      <c r="L801" s="2"/>
      <c r="M801" s="2"/>
      <c r="N801" s="2"/>
      <c r="O801" s="2"/>
      <c r="P801" s="2"/>
      <c r="Q801" s="157"/>
      <c r="R801" s="157"/>
      <c r="S801" s="157"/>
      <c r="T801" s="2"/>
      <c r="U801" s="2"/>
      <c r="V801" s="2"/>
      <c r="W801" s="2"/>
      <c r="X801" s="2"/>
      <c r="Y801" s="2"/>
      <c r="Z801" s="2"/>
    </row>
    <row r="802" ht="13.5" customHeight="1">
      <c r="A802" s="2"/>
      <c r="B802" s="2"/>
      <c r="C802" s="2"/>
      <c r="D802" s="2"/>
      <c r="E802" s="2"/>
      <c r="F802" s="2"/>
      <c r="G802" s="2"/>
      <c r="H802" s="2"/>
      <c r="I802" s="2"/>
      <c r="J802" s="28"/>
      <c r="K802" s="181"/>
      <c r="L802" s="2"/>
      <c r="M802" s="2"/>
      <c r="N802" s="2"/>
      <c r="O802" s="2"/>
      <c r="P802" s="2"/>
      <c r="Q802" s="157"/>
      <c r="R802" s="157"/>
      <c r="S802" s="157"/>
      <c r="T802" s="2"/>
      <c r="U802" s="2"/>
      <c r="V802" s="2"/>
      <c r="W802" s="2"/>
      <c r="X802" s="2"/>
      <c r="Y802" s="2"/>
      <c r="Z802" s="2"/>
    </row>
    <row r="803" ht="13.5" customHeight="1">
      <c r="A803" s="2"/>
      <c r="B803" s="2"/>
      <c r="C803" s="2"/>
      <c r="D803" s="2"/>
      <c r="E803" s="2"/>
      <c r="F803" s="2"/>
      <c r="G803" s="2"/>
      <c r="H803" s="2"/>
      <c r="I803" s="2"/>
      <c r="J803" s="28"/>
      <c r="K803" s="181"/>
      <c r="L803" s="2"/>
      <c r="M803" s="2"/>
      <c r="N803" s="2"/>
      <c r="O803" s="2"/>
      <c r="P803" s="2"/>
      <c r="Q803" s="157"/>
      <c r="R803" s="157"/>
      <c r="S803" s="157"/>
      <c r="T803" s="2"/>
      <c r="U803" s="2"/>
      <c r="V803" s="2"/>
      <c r="W803" s="2"/>
      <c r="X803" s="2"/>
      <c r="Y803" s="2"/>
      <c r="Z803" s="2"/>
    </row>
    <row r="804" ht="13.5" customHeight="1">
      <c r="A804" s="2"/>
      <c r="B804" s="2"/>
      <c r="C804" s="2"/>
      <c r="D804" s="2"/>
      <c r="E804" s="2"/>
      <c r="F804" s="2"/>
      <c r="G804" s="2"/>
      <c r="H804" s="2"/>
      <c r="I804" s="2"/>
      <c r="J804" s="28"/>
      <c r="K804" s="181"/>
      <c r="L804" s="2"/>
      <c r="M804" s="2"/>
      <c r="N804" s="2"/>
      <c r="O804" s="2"/>
      <c r="P804" s="2"/>
      <c r="Q804" s="157"/>
      <c r="R804" s="157"/>
      <c r="S804" s="157"/>
      <c r="T804" s="2"/>
      <c r="U804" s="2"/>
      <c r="V804" s="2"/>
      <c r="W804" s="2"/>
      <c r="X804" s="2"/>
      <c r="Y804" s="2"/>
      <c r="Z804" s="2"/>
    </row>
    <row r="805" ht="13.5" customHeight="1">
      <c r="A805" s="2"/>
      <c r="B805" s="2"/>
      <c r="C805" s="2"/>
      <c r="D805" s="2"/>
      <c r="E805" s="2"/>
      <c r="F805" s="2"/>
      <c r="G805" s="2"/>
      <c r="H805" s="2"/>
      <c r="I805" s="2"/>
      <c r="J805" s="28"/>
      <c r="K805" s="181"/>
      <c r="L805" s="2"/>
      <c r="M805" s="2"/>
      <c r="N805" s="2"/>
      <c r="O805" s="2"/>
      <c r="P805" s="2"/>
      <c r="Q805" s="157"/>
      <c r="R805" s="157"/>
      <c r="S805" s="157"/>
      <c r="T805" s="2"/>
      <c r="U805" s="2"/>
      <c r="V805" s="2"/>
      <c r="W805" s="2"/>
      <c r="X805" s="2"/>
      <c r="Y805" s="2"/>
      <c r="Z805" s="2"/>
    </row>
    <row r="806" ht="13.5" customHeight="1">
      <c r="A806" s="2"/>
      <c r="B806" s="2"/>
      <c r="C806" s="2"/>
      <c r="D806" s="2"/>
      <c r="E806" s="2"/>
      <c r="F806" s="2"/>
      <c r="G806" s="2"/>
      <c r="H806" s="2"/>
      <c r="I806" s="2"/>
      <c r="J806" s="28"/>
      <c r="K806" s="181"/>
      <c r="L806" s="2"/>
      <c r="M806" s="2"/>
      <c r="N806" s="2"/>
      <c r="O806" s="2"/>
      <c r="P806" s="2"/>
      <c r="Q806" s="157"/>
      <c r="R806" s="157"/>
      <c r="S806" s="157"/>
      <c r="T806" s="2"/>
      <c r="U806" s="2"/>
      <c r="V806" s="2"/>
      <c r="W806" s="2"/>
      <c r="X806" s="2"/>
      <c r="Y806" s="2"/>
      <c r="Z806" s="2"/>
    </row>
    <row r="807" ht="13.5" customHeight="1">
      <c r="A807" s="2"/>
      <c r="B807" s="2"/>
      <c r="C807" s="2"/>
      <c r="D807" s="2"/>
      <c r="E807" s="2"/>
      <c r="F807" s="2"/>
      <c r="G807" s="2"/>
      <c r="H807" s="2"/>
      <c r="I807" s="2"/>
      <c r="J807" s="28"/>
      <c r="K807" s="181"/>
      <c r="L807" s="2"/>
      <c r="M807" s="2"/>
      <c r="N807" s="2"/>
      <c r="O807" s="2"/>
      <c r="P807" s="2"/>
      <c r="Q807" s="157"/>
      <c r="R807" s="157"/>
      <c r="S807" s="157"/>
      <c r="T807" s="2"/>
      <c r="U807" s="2"/>
      <c r="V807" s="2"/>
      <c r="W807" s="2"/>
      <c r="X807" s="2"/>
      <c r="Y807" s="2"/>
      <c r="Z807" s="2"/>
    </row>
    <row r="808" ht="13.5" customHeight="1">
      <c r="A808" s="2"/>
      <c r="B808" s="2"/>
      <c r="C808" s="2"/>
      <c r="D808" s="2"/>
      <c r="E808" s="2"/>
      <c r="F808" s="2"/>
      <c r="G808" s="2"/>
      <c r="H808" s="2"/>
      <c r="I808" s="2"/>
      <c r="J808" s="28"/>
      <c r="K808" s="181"/>
      <c r="L808" s="2"/>
      <c r="M808" s="2"/>
      <c r="N808" s="2"/>
      <c r="O808" s="2"/>
      <c r="P808" s="2"/>
      <c r="Q808" s="157"/>
      <c r="R808" s="157"/>
      <c r="S808" s="157"/>
      <c r="T808" s="2"/>
      <c r="U808" s="2"/>
      <c r="V808" s="2"/>
      <c r="W808" s="2"/>
      <c r="X808" s="2"/>
      <c r="Y808" s="2"/>
      <c r="Z808" s="2"/>
    </row>
    <row r="809" ht="13.5" customHeight="1">
      <c r="A809" s="2"/>
      <c r="B809" s="2"/>
      <c r="C809" s="2"/>
      <c r="D809" s="2"/>
      <c r="E809" s="2"/>
      <c r="F809" s="2"/>
      <c r="G809" s="2"/>
      <c r="H809" s="2"/>
      <c r="I809" s="2"/>
      <c r="J809" s="28"/>
      <c r="K809" s="181"/>
      <c r="L809" s="2"/>
      <c r="M809" s="2"/>
      <c r="N809" s="2"/>
      <c r="O809" s="2"/>
      <c r="P809" s="2"/>
      <c r="Q809" s="157"/>
      <c r="R809" s="157"/>
      <c r="S809" s="157"/>
      <c r="T809" s="2"/>
      <c r="U809" s="2"/>
      <c r="V809" s="2"/>
      <c r="W809" s="2"/>
      <c r="X809" s="2"/>
      <c r="Y809" s="2"/>
      <c r="Z809" s="2"/>
    </row>
    <row r="810" ht="13.5" customHeight="1">
      <c r="A810" s="2"/>
      <c r="B810" s="2"/>
      <c r="C810" s="2"/>
      <c r="D810" s="2"/>
      <c r="E810" s="2"/>
      <c r="F810" s="2"/>
      <c r="G810" s="2"/>
      <c r="H810" s="2"/>
      <c r="I810" s="2"/>
      <c r="J810" s="28"/>
      <c r="K810" s="181"/>
      <c r="L810" s="2"/>
      <c r="M810" s="2"/>
      <c r="N810" s="2"/>
      <c r="O810" s="2"/>
      <c r="P810" s="2"/>
      <c r="Q810" s="157"/>
      <c r="R810" s="157"/>
      <c r="S810" s="157"/>
      <c r="T810" s="2"/>
      <c r="U810" s="2"/>
      <c r="V810" s="2"/>
      <c r="W810" s="2"/>
      <c r="X810" s="2"/>
      <c r="Y810" s="2"/>
      <c r="Z810" s="2"/>
    </row>
    <row r="811" ht="13.5" customHeight="1">
      <c r="A811" s="2"/>
      <c r="B811" s="2"/>
      <c r="C811" s="2"/>
      <c r="D811" s="2"/>
      <c r="E811" s="2"/>
      <c r="F811" s="2"/>
      <c r="G811" s="2"/>
      <c r="H811" s="2"/>
      <c r="I811" s="2"/>
      <c r="J811" s="28"/>
      <c r="K811" s="181"/>
      <c r="L811" s="2"/>
      <c r="M811" s="2"/>
      <c r="N811" s="2"/>
      <c r="O811" s="2"/>
      <c r="P811" s="2"/>
      <c r="Q811" s="157"/>
      <c r="R811" s="157"/>
      <c r="S811" s="157"/>
      <c r="T811" s="2"/>
      <c r="U811" s="2"/>
      <c r="V811" s="2"/>
      <c r="W811" s="2"/>
      <c r="X811" s="2"/>
      <c r="Y811" s="2"/>
      <c r="Z811" s="2"/>
    </row>
    <row r="812" ht="13.5" customHeight="1">
      <c r="A812" s="2"/>
      <c r="B812" s="2"/>
      <c r="C812" s="2"/>
      <c r="D812" s="2"/>
      <c r="E812" s="2"/>
      <c r="F812" s="2"/>
      <c r="G812" s="2"/>
      <c r="H812" s="2"/>
      <c r="I812" s="2"/>
      <c r="J812" s="28"/>
      <c r="K812" s="181"/>
      <c r="L812" s="2"/>
      <c r="M812" s="2"/>
      <c r="N812" s="2"/>
      <c r="O812" s="2"/>
      <c r="P812" s="2"/>
      <c r="Q812" s="157"/>
      <c r="R812" s="157"/>
      <c r="S812" s="157"/>
      <c r="T812" s="2"/>
      <c r="U812" s="2"/>
      <c r="V812" s="2"/>
      <c r="W812" s="2"/>
      <c r="X812" s="2"/>
      <c r="Y812" s="2"/>
      <c r="Z812" s="2"/>
    </row>
    <row r="813" ht="13.5" customHeight="1">
      <c r="A813" s="2"/>
      <c r="B813" s="2"/>
      <c r="C813" s="2"/>
      <c r="D813" s="2"/>
      <c r="E813" s="2"/>
      <c r="F813" s="2"/>
      <c r="G813" s="2"/>
      <c r="H813" s="2"/>
      <c r="I813" s="2"/>
      <c r="J813" s="28"/>
      <c r="K813" s="181"/>
      <c r="L813" s="2"/>
      <c r="M813" s="2"/>
      <c r="N813" s="2"/>
      <c r="O813" s="2"/>
      <c r="P813" s="2"/>
      <c r="Q813" s="157"/>
      <c r="R813" s="157"/>
      <c r="S813" s="157"/>
      <c r="T813" s="2"/>
      <c r="U813" s="2"/>
      <c r="V813" s="2"/>
      <c r="W813" s="2"/>
      <c r="X813" s="2"/>
      <c r="Y813" s="2"/>
      <c r="Z813" s="2"/>
    </row>
    <row r="814" ht="13.5" customHeight="1">
      <c r="A814" s="2"/>
      <c r="B814" s="2"/>
      <c r="C814" s="2"/>
      <c r="D814" s="2"/>
      <c r="E814" s="2"/>
      <c r="F814" s="2"/>
      <c r="G814" s="2"/>
      <c r="H814" s="2"/>
      <c r="I814" s="2"/>
      <c r="J814" s="28"/>
      <c r="K814" s="181"/>
      <c r="L814" s="2"/>
      <c r="M814" s="2"/>
      <c r="N814" s="2"/>
      <c r="O814" s="2"/>
      <c r="P814" s="2"/>
      <c r="Q814" s="157"/>
      <c r="R814" s="157"/>
      <c r="S814" s="157"/>
      <c r="T814" s="2"/>
      <c r="U814" s="2"/>
      <c r="V814" s="2"/>
      <c r="W814" s="2"/>
      <c r="X814" s="2"/>
      <c r="Y814" s="2"/>
      <c r="Z814" s="2"/>
    </row>
    <row r="815" ht="13.5" customHeight="1">
      <c r="A815" s="2"/>
      <c r="B815" s="2"/>
      <c r="C815" s="2"/>
      <c r="D815" s="2"/>
      <c r="E815" s="2"/>
      <c r="F815" s="2"/>
      <c r="G815" s="2"/>
      <c r="H815" s="2"/>
      <c r="I815" s="2"/>
      <c r="J815" s="28"/>
      <c r="K815" s="181"/>
      <c r="L815" s="2"/>
      <c r="M815" s="2"/>
      <c r="N815" s="2"/>
      <c r="O815" s="2"/>
      <c r="P815" s="2"/>
      <c r="Q815" s="157"/>
      <c r="R815" s="157"/>
      <c r="S815" s="157"/>
      <c r="T815" s="2"/>
      <c r="U815" s="2"/>
      <c r="V815" s="2"/>
      <c r="W815" s="2"/>
      <c r="X815" s="2"/>
      <c r="Y815" s="2"/>
      <c r="Z815" s="2"/>
    </row>
    <row r="816" ht="13.5" customHeight="1">
      <c r="A816" s="2"/>
      <c r="B816" s="2"/>
      <c r="C816" s="2"/>
      <c r="D816" s="2"/>
      <c r="E816" s="2"/>
      <c r="F816" s="2"/>
      <c r="G816" s="2"/>
      <c r="H816" s="2"/>
      <c r="I816" s="2"/>
      <c r="J816" s="28"/>
      <c r="K816" s="181"/>
      <c r="L816" s="2"/>
      <c r="M816" s="2"/>
      <c r="N816" s="2"/>
      <c r="O816" s="2"/>
      <c r="P816" s="2"/>
      <c r="Q816" s="157"/>
      <c r="R816" s="157"/>
      <c r="S816" s="157"/>
      <c r="T816" s="2"/>
      <c r="U816" s="2"/>
      <c r="V816" s="2"/>
      <c r="W816" s="2"/>
      <c r="X816" s="2"/>
      <c r="Y816" s="2"/>
      <c r="Z816" s="2"/>
    </row>
    <row r="817" ht="13.5" customHeight="1">
      <c r="A817" s="2"/>
      <c r="B817" s="2"/>
      <c r="C817" s="2"/>
      <c r="D817" s="2"/>
      <c r="E817" s="2"/>
      <c r="F817" s="2"/>
      <c r="G817" s="2"/>
      <c r="H817" s="2"/>
      <c r="I817" s="2"/>
      <c r="J817" s="28"/>
      <c r="K817" s="181"/>
      <c r="L817" s="2"/>
      <c r="M817" s="2"/>
      <c r="N817" s="2"/>
      <c r="O817" s="2"/>
      <c r="P817" s="2"/>
      <c r="Q817" s="157"/>
      <c r="R817" s="157"/>
      <c r="S817" s="157"/>
      <c r="T817" s="2"/>
      <c r="U817" s="2"/>
      <c r="V817" s="2"/>
      <c r="W817" s="2"/>
      <c r="X817" s="2"/>
      <c r="Y817" s="2"/>
      <c r="Z817" s="2"/>
    </row>
    <row r="818" ht="13.5" customHeight="1">
      <c r="A818" s="2"/>
      <c r="B818" s="2"/>
      <c r="C818" s="2"/>
      <c r="D818" s="2"/>
      <c r="E818" s="2"/>
      <c r="F818" s="2"/>
      <c r="G818" s="2"/>
      <c r="H818" s="2"/>
      <c r="I818" s="2"/>
      <c r="J818" s="28"/>
      <c r="K818" s="181"/>
      <c r="L818" s="2"/>
      <c r="M818" s="2"/>
      <c r="N818" s="2"/>
      <c r="O818" s="2"/>
      <c r="P818" s="2"/>
      <c r="Q818" s="157"/>
      <c r="R818" s="157"/>
      <c r="S818" s="157"/>
      <c r="T818" s="2"/>
      <c r="U818" s="2"/>
      <c r="V818" s="2"/>
      <c r="W818" s="2"/>
      <c r="X818" s="2"/>
      <c r="Y818" s="2"/>
      <c r="Z818" s="2"/>
    </row>
    <row r="819" ht="13.5" customHeight="1">
      <c r="A819" s="2"/>
      <c r="B819" s="2"/>
      <c r="C819" s="2"/>
      <c r="D819" s="2"/>
      <c r="E819" s="2"/>
      <c r="F819" s="2"/>
      <c r="G819" s="2"/>
      <c r="H819" s="2"/>
      <c r="I819" s="2"/>
      <c r="J819" s="28"/>
      <c r="K819" s="181"/>
      <c r="L819" s="2"/>
      <c r="M819" s="2"/>
      <c r="N819" s="2"/>
      <c r="O819" s="2"/>
      <c r="P819" s="2"/>
      <c r="Q819" s="157"/>
      <c r="R819" s="157"/>
      <c r="S819" s="157"/>
      <c r="T819" s="2"/>
      <c r="U819" s="2"/>
      <c r="V819" s="2"/>
      <c r="W819" s="2"/>
      <c r="X819" s="2"/>
      <c r="Y819" s="2"/>
      <c r="Z819" s="2"/>
    </row>
    <row r="820" ht="13.5" customHeight="1">
      <c r="A820" s="2"/>
      <c r="B820" s="2"/>
      <c r="C820" s="2"/>
      <c r="D820" s="2"/>
      <c r="E820" s="2"/>
      <c r="F820" s="2"/>
      <c r="G820" s="2"/>
      <c r="H820" s="2"/>
      <c r="I820" s="2"/>
      <c r="J820" s="28"/>
      <c r="K820" s="181"/>
      <c r="L820" s="2"/>
      <c r="M820" s="2"/>
      <c r="N820" s="2"/>
      <c r="O820" s="2"/>
      <c r="P820" s="2"/>
      <c r="Q820" s="157"/>
      <c r="R820" s="157"/>
      <c r="S820" s="157"/>
      <c r="T820" s="2"/>
      <c r="U820" s="2"/>
      <c r="V820" s="2"/>
      <c r="W820" s="2"/>
      <c r="X820" s="2"/>
      <c r="Y820" s="2"/>
      <c r="Z820" s="2"/>
    </row>
    <row r="821" ht="13.5" customHeight="1">
      <c r="A821" s="2"/>
      <c r="B821" s="2"/>
      <c r="C821" s="2"/>
      <c r="D821" s="2"/>
      <c r="E821" s="2"/>
      <c r="F821" s="2"/>
      <c r="G821" s="2"/>
      <c r="H821" s="2"/>
      <c r="I821" s="2"/>
      <c r="J821" s="28"/>
      <c r="K821" s="181"/>
      <c r="L821" s="2"/>
      <c r="M821" s="2"/>
      <c r="N821" s="2"/>
      <c r="O821" s="2"/>
      <c r="P821" s="2"/>
      <c r="Q821" s="157"/>
      <c r="R821" s="157"/>
      <c r="S821" s="157"/>
      <c r="T821" s="2"/>
      <c r="U821" s="2"/>
      <c r="V821" s="2"/>
      <c r="W821" s="2"/>
      <c r="X821" s="2"/>
      <c r="Y821" s="2"/>
      <c r="Z821" s="2"/>
    </row>
    <row r="822" ht="13.5" customHeight="1">
      <c r="A822" s="2"/>
      <c r="B822" s="2"/>
      <c r="C822" s="2"/>
      <c r="D822" s="2"/>
      <c r="E822" s="2"/>
      <c r="F822" s="2"/>
      <c r="G822" s="2"/>
      <c r="H822" s="2"/>
      <c r="I822" s="2"/>
      <c r="J822" s="28"/>
      <c r="K822" s="181"/>
      <c r="L822" s="2"/>
      <c r="M822" s="2"/>
      <c r="N822" s="2"/>
      <c r="O822" s="2"/>
      <c r="P822" s="2"/>
      <c r="Q822" s="157"/>
      <c r="R822" s="157"/>
      <c r="S822" s="157"/>
      <c r="T822" s="2"/>
      <c r="U822" s="2"/>
      <c r="V822" s="2"/>
      <c r="W822" s="2"/>
      <c r="X822" s="2"/>
      <c r="Y822" s="2"/>
      <c r="Z822" s="2"/>
    </row>
    <row r="823" ht="13.5" customHeight="1">
      <c r="A823" s="2"/>
      <c r="B823" s="2"/>
      <c r="C823" s="2"/>
      <c r="D823" s="2"/>
      <c r="E823" s="2"/>
      <c r="F823" s="2"/>
      <c r="G823" s="2"/>
      <c r="H823" s="2"/>
      <c r="I823" s="2"/>
      <c r="J823" s="28"/>
      <c r="K823" s="181"/>
      <c r="L823" s="2"/>
      <c r="M823" s="2"/>
      <c r="N823" s="2"/>
      <c r="O823" s="2"/>
      <c r="P823" s="2"/>
      <c r="Q823" s="157"/>
      <c r="R823" s="157"/>
      <c r="S823" s="157"/>
      <c r="T823" s="2"/>
      <c r="U823" s="2"/>
      <c r="V823" s="2"/>
      <c r="W823" s="2"/>
      <c r="X823" s="2"/>
      <c r="Y823" s="2"/>
      <c r="Z823" s="2"/>
    </row>
    <row r="824" ht="13.5" customHeight="1">
      <c r="A824" s="2"/>
      <c r="B824" s="2"/>
      <c r="C824" s="2"/>
      <c r="D824" s="2"/>
      <c r="E824" s="2"/>
      <c r="F824" s="2"/>
      <c r="G824" s="2"/>
      <c r="H824" s="2"/>
      <c r="I824" s="2"/>
      <c r="J824" s="28"/>
      <c r="K824" s="181"/>
      <c r="L824" s="2"/>
      <c r="M824" s="2"/>
      <c r="N824" s="2"/>
      <c r="O824" s="2"/>
      <c r="P824" s="2"/>
      <c r="Q824" s="157"/>
      <c r="R824" s="157"/>
      <c r="S824" s="157"/>
      <c r="T824" s="2"/>
      <c r="U824" s="2"/>
      <c r="V824" s="2"/>
      <c r="W824" s="2"/>
      <c r="X824" s="2"/>
      <c r="Y824" s="2"/>
      <c r="Z824" s="2"/>
    </row>
    <row r="825" ht="13.5" customHeight="1">
      <c r="A825" s="2"/>
      <c r="B825" s="2"/>
      <c r="C825" s="2"/>
      <c r="D825" s="2"/>
      <c r="E825" s="2"/>
      <c r="F825" s="2"/>
      <c r="G825" s="2"/>
      <c r="H825" s="2"/>
      <c r="I825" s="2"/>
      <c r="J825" s="28"/>
      <c r="K825" s="181"/>
      <c r="L825" s="2"/>
      <c r="M825" s="2"/>
      <c r="N825" s="2"/>
      <c r="O825" s="2"/>
      <c r="P825" s="2"/>
      <c r="Q825" s="157"/>
      <c r="R825" s="157"/>
      <c r="S825" s="157"/>
      <c r="T825" s="2"/>
      <c r="U825" s="2"/>
      <c r="V825" s="2"/>
      <c r="W825" s="2"/>
      <c r="X825" s="2"/>
      <c r="Y825" s="2"/>
      <c r="Z825" s="2"/>
    </row>
    <row r="826" ht="13.5" customHeight="1">
      <c r="A826" s="2"/>
      <c r="B826" s="2"/>
      <c r="C826" s="2"/>
      <c r="D826" s="2"/>
      <c r="E826" s="2"/>
      <c r="F826" s="2"/>
      <c r="G826" s="2"/>
      <c r="H826" s="2"/>
      <c r="I826" s="2"/>
      <c r="J826" s="28"/>
      <c r="K826" s="181"/>
      <c r="L826" s="2"/>
      <c r="M826" s="2"/>
      <c r="N826" s="2"/>
      <c r="O826" s="2"/>
      <c r="P826" s="2"/>
      <c r="Q826" s="157"/>
      <c r="R826" s="157"/>
      <c r="S826" s="157"/>
      <c r="T826" s="2"/>
      <c r="U826" s="2"/>
      <c r="V826" s="2"/>
      <c r="W826" s="2"/>
      <c r="X826" s="2"/>
      <c r="Y826" s="2"/>
      <c r="Z826" s="2"/>
    </row>
    <row r="827" ht="13.5" customHeight="1">
      <c r="A827" s="2"/>
      <c r="B827" s="2"/>
      <c r="C827" s="2"/>
      <c r="D827" s="2"/>
      <c r="E827" s="2"/>
      <c r="F827" s="2"/>
      <c r="G827" s="2"/>
      <c r="H827" s="2"/>
      <c r="I827" s="2"/>
      <c r="J827" s="28"/>
      <c r="K827" s="181"/>
      <c r="L827" s="2"/>
      <c r="M827" s="2"/>
      <c r="N827" s="2"/>
      <c r="O827" s="2"/>
      <c r="P827" s="2"/>
      <c r="Q827" s="157"/>
      <c r="R827" s="157"/>
      <c r="S827" s="157"/>
      <c r="T827" s="2"/>
      <c r="U827" s="2"/>
      <c r="V827" s="2"/>
      <c r="W827" s="2"/>
      <c r="X827" s="2"/>
      <c r="Y827" s="2"/>
      <c r="Z827" s="2"/>
    </row>
    <row r="828" ht="13.5" customHeight="1">
      <c r="A828" s="2"/>
      <c r="B828" s="2"/>
      <c r="C828" s="2"/>
      <c r="D828" s="2"/>
      <c r="E828" s="2"/>
      <c r="F828" s="2"/>
      <c r="G828" s="2"/>
      <c r="H828" s="2"/>
      <c r="I828" s="2"/>
      <c r="J828" s="28"/>
      <c r="K828" s="181"/>
      <c r="L828" s="2"/>
      <c r="M828" s="2"/>
      <c r="N828" s="2"/>
      <c r="O828" s="2"/>
      <c r="P828" s="2"/>
      <c r="Q828" s="157"/>
      <c r="R828" s="157"/>
      <c r="S828" s="157"/>
      <c r="T828" s="2"/>
      <c r="U828" s="2"/>
      <c r="V828" s="2"/>
      <c r="W828" s="2"/>
      <c r="X828" s="2"/>
      <c r="Y828" s="2"/>
      <c r="Z828" s="2"/>
    </row>
    <row r="829" ht="13.5" customHeight="1">
      <c r="A829" s="2"/>
      <c r="B829" s="2"/>
      <c r="C829" s="2"/>
      <c r="D829" s="2"/>
      <c r="E829" s="2"/>
      <c r="F829" s="2"/>
      <c r="G829" s="2"/>
      <c r="H829" s="2"/>
      <c r="I829" s="2"/>
      <c r="J829" s="28"/>
      <c r="K829" s="181"/>
      <c r="L829" s="2"/>
      <c r="M829" s="2"/>
      <c r="N829" s="2"/>
      <c r="O829" s="2"/>
      <c r="P829" s="2"/>
      <c r="Q829" s="157"/>
      <c r="R829" s="157"/>
      <c r="S829" s="157"/>
      <c r="T829" s="2"/>
      <c r="U829" s="2"/>
      <c r="V829" s="2"/>
      <c r="W829" s="2"/>
      <c r="X829" s="2"/>
      <c r="Y829" s="2"/>
      <c r="Z829" s="2"/>
    </row>
    <row r="830" ht="13.5" customHeight="1">
      <c r="A830" s="2"/>
      <c r="B830" s="2"/>
      <c r="C830" s="2"/>
      <c r="D830" s="2"/>
      <c r="E830" s="2"/>
      <c r="F830" s="2"/>
      <c r="G830" s="2"/>
      <c r="H830" s="2"/>
      <c r="I830" s="2"/>
      <c r="J830" s="28"/>
      <c r="K830" s="181"/>
      <c r="L830" s="2"/>
      <c r="M830" s="2"/>
      <c r="N830" s="2"/>
      <c r="O830" s="2"/>
      <c r="P830" s="2"/>
      <c r="Q830" s="157"/>
      <c r="R830" s="157"/>
      <c r="S830" s="157"/>
      <c r="T830" s="2"/>
      <c r="U830" s="2"/>
      <c r="V830" s="2"/>
      <c r="W830" s="2"/>
      <c r="X830" s="2"/>
      <c r="Y830" s="2"/>
      <c r="Z830" s="2"/>
    </row>
    <row r="831" ht="13.5" customHeight="1">
      <c r="A831" s="2"/>
      <c r="B831" s="2"/>
      <c r="C831" s="2"/>
      <c r="D831" s="2"/>
      <c r="E831" s="2"/>
      <c r="F831" s="2"/>
      <c r="G831" s="2"/>
      <c r="H831" s="2"/>
      <c r="I831" s="2"/>
      <c r="J831" s="28"/>
      <c r="K831" s="181"/>
      <c r="L831" s="2"/>
      <c r="M831" s="2"/>
      <c r="N831" s="2"/>
      <c r="O831" s="2"/>
      <c r="P831" s="2"/>
      <c r="Q831" s="157"/>
      <c r="R831" s="157"/>
      <c r="S831" s="157"/>
      <c r="T831" s="2"/>
      <c r="U831" s="2"/>
      <c r="V831" s="2"/>
      <c r="W831" s="2"/>
      <c r="X831" s="2"/>
      <c r="Y831" s="2"/>
      <c r="Z831" s="2"/>
    </row>
    <row r="832" ht="13.5" customHeight="1">
      <c r="A832" s="2"/>
      <c r="B832" s="2"/>
      <c r="C832" s="2"/>
      <c r="D832" s="2"/>
      <c r="E832" s="2"/>
      <c r="F832" s="2"/>
      <c r="G832" s="2"/>
      <c r="H832" s="2"/>
      <c r="I832" s="2"/>
      <c r="J832" s="28"/>
      <c r="K832" s="181"/>
      <c r="L832" s="2"/>
      <c r="M832" s="2"/>
      <c r="N832" s="2"/>
      <c r="O832" s="2"/>
      <c r="P832" s="2"/>
      <c r="Q832" s="157"/>
      <c r="R832" s="157"/>
      <c r="S832" s="157"/>
      <c r="T832" s="2"/>
      <c r="U832" s="2"/>
      <c r="V832" s="2"/>
      <c r="W832" s="2"/>
      <c r="X832" s="2"/>
      <c r="Y832" s="2"/>
      <c r="Z832" s="2"/>
    </row>
    <row r="833" ht="13.5" customHeight="1">
      <c r="A833" s="2"/>
      <c r="B833" s="2"/>
      <c r="C833" s="2"/>
      <c r="D833" s="2"/>
      <c r="E833" s="2"/>
      <c r="F833" s="2"/>
      <c r="G833" s="2"/>
      <c r="H833" s="2"/>
      <c r="I833" s="2"/>
      <c r="J833" s="28"/>
      <c r="K833" s="181"/>
      <c r="L833" s="2"/>
      <c r="M833" s="2"/>
      <c r="N833" s="2"/>
      <c r="O833" s="2"/>
      <c r="P833" s="2"/>
      <c r="Q833" s="157"/>
      <c r="R833" s="157"/>
      <c r="S833" s="157"/>
      <c r="T833" s="2"/>
      <c r="U833" s="2"/>
      <c r="V833" s="2"/>
      <c r="W833" s="2"/>
      <c r="X833" s="2"/>
      <c r="Y833" s="2"/>
      <c r="Z833" s="2"/>
    </row>
    <row r="834" ht="13.5" customHeight="1">
      <c r="A834" s="2"/>
      <c r="B834" s="2"/>
      <c r="C834" s="2"/>
      <c r="D834" s="2"/>
      <c r="E834" s="2"/>
      <c r="F834" s="2"/>
      <c r="G834" s="2"/>
      <c r="H834" s="2"/>
      <c r="I834" s="2"/>
      <c r="J834" s="28"/>
      <c r="K834" s="181"/>
      <c r="L834" s="2"/>
      <c r="M834" s="2"/>
      <c r="N834" s="2"/>
      <c r="O834" s="2"/>
      <c r="P834" s="2"/>
      <c r="Q834" s="157"/>
      <c r="R834" s="157"/>
      <c r="S834" s="157"/>
      <c r="T834" s="2"/>
      <c r="U834" s="2"/>
      <c r="V834" s="2"/>
      <c r="W834" s="2"/>
      <c r="X834" s="2"/>
      <c r="Y834" s="2"/>
      <c r="Z834" s="2"/>
    </row>
    <row r="835" ht="13.5" customHeight="1">
      <c r="A835" s="2"/>
      <c r="B835" s="2"/>
      <c r="C835" s="2"/>
      <c r="D835" s="2"/>
      <c r="E835" s="2"/>
      <c r="F835" s="2"/>
      <c r="G835" s="2"/>
      <c r="H835" s="2"/>
      <c r="I835" s="2"/>
      <c r="J835" s="28"/>
      <c r="K835" s="181"/>
      <c r="L835" s="2"/>
      <c r="M835" s="2"/>
      <c r="N835" s="2"/>
      <c r="O835" s="2"/>
      <c r="P835" s="2"/>
      <c r="Q835" s="157"/>
      <c r="R835" s="157"/>
      <c r="S835" s="157"/>
      <c r="T835" s="2"/>
      <c r="U835" s="2"/>
      <c r="V835" s="2"/>
      <c r="W835" s="2"/>
      <c r="X835" s="2"/>
      <c r="Y835" s="2"/>
      <c r="Z835" s="2"/>
    </row>
    <row r="836" ht="13.5" customHeight="1">
      <c r="A836" s="2"/>
      <c r="B836" s="2"/>
      <c r="C836" s="2"/>
      <c r="D836" s="2"/>
      <c r="E836" s="2"/>
      <c r="F836" s="2"/>
      <c r="G836" s="2"/>
      <c r="H836" s="2"/>
      <c r="I836" s="2"/>
      <c r="J836" s="28"/>
      <c r="K836" s="181"/>
      <c r="L836" s="2"/>
      <c r="M836" s="2"/>
      <c r="N836" s="2"/>
      <c r="O836" s="2"/>
      <c r="P836" s="2"/>
      <c r="Q836" s="157"/>
      <c r="R836" s="157"/>
      <c r="S836" s="157"/>
      <c r="T836" s="2"/>
      <c r="U836" s="2"/>
      <c r="V836" s="2"/>
      <c r="W836" s="2"/>
      <c r="X836" s="2"/>
      <c r="Y836" s="2"/>
      <c r="Z836" s="2"/>
    </row>
    <row r="837" ht="13.5" customHeight="1">
      <c r="A837" s="2"/>
      <c r="B837" s="2"/>
      <c r="C837" s="2"/>
      <c r="D837" s="2"/>
      <c r="E837" s="2"/>
      <c r="F837" s="2"/>
      <c r="G837" s="2"/>
      <c r="H837" s="2"/>
      <c r="I837" s="2"/>
      <c r="J837" s="28"/>
      <c r="K837" s="181"/>
      <c r="L837" s="2"/>
      <c r="M837" s="2"/>
      <c r="N837" s="2"/>
      <c r="O837" s="2"/>
      <c r="P837" s="2"/>
      <c r="Q837" s="157"/>
      <c r="R837" s="157"/>
      <c r="S837" s="157"/>
      <c r="T837" s="2"/>
      <c r="U837" s="2"/>
      <c r="V837" s="2"/>
      <c r="W837" s="2"/>
      <c r="X837" s="2"/>
      <c r="Y837" s="2"/>
      <c r="Z837" s="2"/>
    </row>
    <row r="838" ht="13.5" customHeight="1">
      <c r="A838" s="2"/>
      <c r="B838" s="2"/>
      <c r="C838" s="2"/>
      <c r="D838" s="2"/>
      <c r="E838" s="2"/>
      <c r="F838" s="2"/>
      <c r="G838" s="2"/>
      <c r="H838" s="2"/>
      <c r="I838" s="2"/>
      <c r="J838" s="28"/>
      <c r="K838" s="181"/>
      <c r="L838" s="2"/>
      <c r="M838" s="2"/>
      <c r="N838" s="2"/>
      <c r="O838" s="2"/>
      <c r="P838" s="2"/>
      <c r="Q838" s="157"/>
      <c r="R838" s="157"/>
      <c r="S838" s="157"/>
      <c r="T838" s="2"/>
      <c r="U838" s="2"/>
      <c r="V838" s="2"/>
      <c r="W838" s="2"/>
      <c r="X838" s="2"/>
      <c r="Y838" s="2"/>
      <c r="Z838" s="2"/>
    </row>
    <row r="839" ht="13.5" customHeight="1">
      <c r="A839" s="2"/>
      <c r="B839" s="2"/>
      <c r="C839" s="2"/>
      <c r="D839" s="2"/>
      <c r="E839" s="2"/>
      <c r="F839" s="2"/>
      <c r="G839" s="2"/>
      <c r="H839" s="2"/>
      <c r="I839" s="2"/>
      <c r="J839" s="28"/>
      <c r="K839" s="181"/>
      <c r="L839" s="2"/>
      <c r="M839" s="2"/>
      <c r="N839" s="2"/>
      <c r="O839" s="2"/>
      <c r="P839" s="2"/>
      <c r="Q839" s="157"/>
      <c r="R839" s="157"/>
      <c r="S839" s="157"/>
      <c r="T839" s="2"/>
      <c r="U839" s="2"/>
      <c r="V839" s="2"/>
      <c r="W839" s="2"/>
      <c r="X839" s="2"/>
      <c r="Y839" s="2"/>
      <c r="Z839" s="2"/>
    </row>
    <row r="840" ht="13.5" customHeight="1">
      <c r="A840" s="2"/>
      <c r="B840" s="2"/>
      <c r="C840" s="2"/>
      <c r="D840" s="2"/>
      <c r="E840" s="2"/>
      <c r="F840" s="2"/>
      <c r="G840" s="2"/>
      <c r="H840" s="2"/>
      <c r="I840" s="2"/>
      <c r="J840" s="28"/>
      <c r="K840" s="181"/>
      <c r="L840" s="2"/>
      <c r="M840" s="2"/>
      <c r="N840" s="2"/>
      <c r="O840" s="2"/>
      <c r="P840" s="2"/>
      <c r="Q840" s="157"/>
      <c r="R840" s="157"/>
      <c r="S840" s="157"/>
      <c r="T840" s="2"/>
      <c r="U840" s="2"/>
      <c r="V840" s="2"/>
      <c r="W840" s="2"/>
      <c r="X840" s="2"/>
      <c r="Y840" s="2"/>
      <c r="Z840" s="2"/>
    </row>
    <row r="841" ht="13.5" customHeight="1">
      <c r="A841" s="2"/>
      <c r="B841" s="2"/>
      <c r="C841" s="2"/>
      <c r="D841" s="2"/>
      <c r="E841" s="2"/>
      <c r="F841" s="2"/>
      <c r="G841" s="2"/>
      <c r="H841" s="2"/>
      <c r="I841" s="2"/>
      <c r="J841" s="28"/>
      <c r="K841" s="181"/>
      <c r="L841" s="2"/>
      <c r="M841" s="2"/>
      <c r="N841" s="2"/>
      <c r="O841" s="2"/>
      <c r="P841" s="2"/>
      <c r="Q841" s="157"/>
      <c r="R841" s="157"/>
      <c r="S841" s="157"/>
      <c r="T841" s="2"/>
      <c r="U841" s="2"/>
      <c r="V841" s="2"/>
      <c r="W841" s="2"/>
      <c r="X841" s="2"/>
      <c r="Y841" s="2"/>
      <c r="Z841" s="2"/>
    </row>
    <row r="842" ht="13.5" customHeight="1">
      <c r="A842" s="2"/>
      <c r="B842" s="2"/>
      <c r="C842" s="2"/>
      <c r="D842" s="2"/>
      <c r="E842" s="2"/>
      <c r="F842" s="2"/>
      <c r="G842" s="2"/>
      <c r="H842" s="2"/>
      <c r="I842" s="2"/>
      <c r="J842" s="28"/>
      <c r="K842" s="181"/>
      <c r="L842" s="2"/>
      <c r="M842" s="2"/>
      <c r="N842" s="2"/>
      <c r="O842" s="2"/>
      <c r="P842" s="2"/>
      <c r="Q842" s="157"/>
      <c r="R842" s="157"/>
      <c r="S842" s="157"/>
      <c r="T842" s="2"/>
      <c r="U842" s="2"/>
      <c r="V842" s="2"/>
      <c r="W842" s="2"/>
      <c r="X842" s="2"/>
      <c r="Y842" s="2"/>
      <c r="Z842" s="2"/>
    </row>
    <row r="843" ht="13.5" customHeight="1">
      <c r="A843" s="2"/>
      <c r="B843" s="2"/>
      <c r="C843" s="2"/>
      <c r="D843" s="2"/>
      <c r="E843" s="2"/>
      <c r="F843" s="2"/>
      <c r="G843" s="2"/>
      <c r="H843" s="2"/>
      <c r="I843" s="2"/>
      <c r="J843" s="28"/>
      <c r="K843" s="181"/>
      <c r="L843" s="2"/>
      <c r="M843" s="2"/>
      <c r="N843" s="2"/>
      <c r="O843" s="2"/>
      <c r="P843" s="2"/>
      <c r="Q843" s="157"/>
      <c r="R843" s="157"/>
      <c r="S843" s="157"/>
      <c r="T843" s="2"/>
      <c r="U843" s="2"/>
      <c r="V843" s="2"/>
      <c r="W843" s="2"/>
      <c r="X843" s="2"/>
      <c r="Y843" s="2"/>
      <c r="Z843" s="2"/>
    </row>
    <row r="844" ht="13.5" customHeight="1">
      <c r="A844" s="2"/>
      <c r="B844" s="2"/>
      <c r="C844" s="2"/>
      <c r="D844" s="2"/>
      <c r="E844" s="2"/>
      <c r="F844" s="2"/>
      <c r="G844" s="2"/>
      <c r="H844" s="2"/>
      <c r="I844" s="2"/>
      <c r="J844" s="28"/>
      <c r="K844" s="181"/>
      <c r="L844" s="2"/>
      <c r="M844" s="2"/>
      <c r="N844" s="2"/>
      <c r="O844" s="2"/>
      <c r="P844" s="2"/>
      <c r="Q844" s="157"/>
      <c r="R844" s="157"/>
      <c r="S844" s="157"/>
      <c r="T844" s="2"/>
      <c r="U844" s="2"/>
      <c r="V844" s="2"/>
      <c r="W844" s="2"/>
      <c r="X844" s="2"/>
      <c r="Y844" s="2"/>
      <c r="Z844" s="2"/>
    </row>
    <row r="845" ht="13.5" customHeight="1">
      <c r="A845" s="2"/>
      <c r="B845" s="2"/>
      <c r="C845" s="2"/>
      <c r="D845" s="2"/>
      <c r="E845" s="2"/>
      <c r="F845" s="2"/>
      <c r="G845" s="2"/>
      <c r="H845" s="2"/>
      <c r="I845" s="2"/>
      <c r="J845" s="28"/>
      <c r="K845" s="181"/>
      <c r="L845" s="2"/>
      <c r="M845" s="2"/>
      <c r="N845" s="2"/>
      <c r="O845" s="2"/>
      <c r="P845" s="2"/>
      <c r="Q845" s="157"/>
      <c r="R845" s="157"/>
      <c r="S845" s="157"/>
      <c r="T845" s="2"/>
      <c r="U845" s="2"/>
      <c r="V845" s="2"/>
      <c r="W845" s="2"/>
      <c r="X845" s="2"/>
      <c r="Y845" s="2"/>
      <c r="Z845" s="2"/>
    </row>
    <row r="846" ht="13.5" customHeight="1">
      <c r="A846" s="2"/>
      <c r="B846" s="2"/>
      <c r="C846" s="2"/>
      <c r="D846" s="2"/>
      <c r="E846" s="2"/>
      <c r="F846" s="2"/>
      <c r="G846" s="2"/>
      <c r="H846" s="2"/>
      <c r="I846" s="2"/>
      <c r="J846" s="28"/>
      <c r="K846" s="181"/>
      <c r="L846" s="2"/>
      <c r="M846" s="2"/>
      <c r="N846" s="2"/>
      <c r="O846" s="2"/>
      <c r="P846" s="2"/>
      <c r="Q846" s="157"/>
      <c r="R846" s="157"/>
      <c r="S846" s="157"/>
      <c r="T846" s="2"/>
      <c r="U846" s="2"/>
      <c r="V846" s="2"/>
      <c r="W846" s="2"/>
      <c r="X846" s="2"/>
      <c r="Y846" s="2"/>
      <c r="Z846" s="2"/>
    </row>
    <row r="847" ht="13.5" customHeight="1">
      <c r="A847" s="2"/>
      <c r="B847" s="2"/>
      <c r="C847" s="2"/>
      <c r="D847" s="2"/>
      <c r="E847" s="2"/>
      <c r="F847" s="2"/>
      <c r="G847" s="2"/>
      <c r="H847" s="2"/>
      <c r="I847" s="2"/>
      <c r="J847" s="28"/>
      <c r="K847" s="181"/>
      <c r="L847" s="2"/>
      <c r="M847" s="2"/>
      <c r="N847" s="2"/>
      <c r="O847" s="2"/>
      <c r="P847" s="2"/>
      <c r="Q847" s="157"/>
      <c r="R847" s="157"/>
      <c r="S847" s="157"/>
      <c r="T847" s="2"/>
      <c r="U847" s="2"/>
      <c r="V847" s="2"/>
      <c r="W847" s="2"/>
      <c r="X847" s="2"/>
      <c r="Y847" s="2"/>
      <c r="Z847" s="2"/>
    </row>
    <row r="848" ht="13.5" customHeight="1">
      <c r="A848" s="2"/>
      <c r="B848" s="2"/>
      <c r="C848" s="2"/>
      <c r="D848" s="2"/>
      <c r="E848" s="2"/>
      <c r="F848" s="2"/>
      <c r="G848" s="2"/>
      <c r="H848" s="2"/>
      <c r="I848" s="2"/>
      <c r="J848" s="28"/>
      <c r="K848" s="181"/>
      <c r="L848" s="2"/>
      <c r="M848" s="2"/>
      <c r="N848" s="2"/>
      <c r="O848" s="2"/>
      <c r="P848" s="2"/>
      <c r="Q848" s="157"/>
      <c r="R848" s="157"/>
      <c r="S848" s="157"/>
      <c r="T848" s="2"/>
      <c r="U848" s="2"/>
      <c r="V848" s="2"/>
      <c r="W848" s="2"/>
      <c r="X848" s="2"/>
      <c r="Y848" s="2"/>
      <c r="Z848" s="2"/>
    </row>
    <row r="849" ht="13.5" customHeight="1">
      <c r="A849" s="2"/>
      <c r="B849" s="2"/>
      <c r="C849" s="2"/>
      <c r="D849" s="2"/>
      <c r="E849" s="2"/>
      <c r="F849" s="2"/>
      <c r="G849" s="2"/>
      <c r="H849" s="2"/>
      <c r="I849" s="2"/>
      <c r="J849" s="28"/>
      <c r="K849" s="181"/>
      <c r="L849" s="2"/>
      <c r="M849" s="2"/>
      <c r="N849" s="2"/>
      <c r="O849" s="2"/>
      <c r="P849" s="2"/>
      <c r="Q849" s="157"/>
      <c r="R849" s="157"/>
      <c r="S849" s="157"/>
      <c r="T849" s="2"/>
      <c r="U849" s="2"/>
      <c r="V849" s="2"/>
      <c r="W849" s="2"/>
      <c r="X849" s="2"/>
      <c r="Y849" s="2"/>
      <c r="Z849" s="2"/>
    </row>
    <row r="850" ht="13.5" customHeight="1">
      <c r="A850" s="2"/>
      <c r="B850" s="2"/>
      <c r="C850" s="2"/>
      <c r="D850" s="2"/>
      <c r="E850" s="2"/>
      <c r="F850" s="2"/>
      <c r="G850" s="2"/>
      <c r="H850" s="2"/>
      <c r="I850" s="2"/>
      <c r="J850" s="28"/>
      <c r="K850" s="181"/>
      <c r="L850" s="2"/>
      <c r="M850" s="2"/>
      <c r="N850" s="2"/>
      <c r="O850" s="2"/>
      <c r="P850" s="2"/>
      <c r="Q850" s="157"/>
      <c r="R850" s="157"/>
      <c r="S850" s="157"/>
      <c r="T850" s="2"/>
      <c r="U850" s="2"/>
      <c r="V850" s="2"/>
      <c r="W850" s="2"/>
      <c r="X850" s="2"/>
      <c r="Y850" s="2"/>
      <c r="Z850" s="2"/>
    </row>
    <row r="851" ht="13.5" customHeight="1">
      <c r="A851" s="2"/>
      <c r="B851" s="2"/>
      <c r="C851" s="2"/>
      <c r="D851" s="2"/>
      <c r="E851" s="2"/>
      <c r="F851" s="2"/>
      <c r="G851" s="2"/>
      <c r="H851" s="2"/>
      <c r="I851" s="2"/>
      <c r="J851" s="28"/>
      <c r="K851" s="181"/>
      <c r="L851" s="2"/>
      <c r="M851" s="2"/>
      <c r="N851" s="2"/>
      <c r="O851" s="2"/>
      <c r="P851" s="2"/>
      <c r="Q851" s="157"/>
      <c r="R851" s="157"/>
      <c r="S851" s="157"/>
      <c r="T851" s="2"/>
      <c r="U851" s="2"/>
      <c r="V851" s="2"/>
      <c r="W851" s="2"/>
      <c r="X851" s="2"/>
      <c r="Y851" s="2"/>
      <c r="Z851" s="2"/>
    </row>
    <row r="852" ht="13.5" customHeight="1">
      <c r="A852" s="2"/>
      <c r="B852" s="2"/>
      <c r="C852" s="2"/>
      <c r="D852" s="2"/>
      <c r="E852" s="2"/>
      <c r="F852" s="2"/>
      <c r="G852" s="2"/>
      <c r="H852" s="2"/>
      <c r="I852" s="2"/>
      <c r="J852" s="28"/>
      <c r="K852" s="181"/>
      <c r="L852" s="2"/>
      <c r="M852" s="2"/>
      <c r="N852" s="2"/>
      <c r="O852" s="2"/>
      <c r="P852" s="2"/>
      <c r="Q852" s="157"/>
      <c r="R852" s="157"/>
      <c r="S852" s="157"/>
      <c r="T852" s="2"/>
      <c r="U852" s="2"/>
      <c r="V852" s="2"/>
      <c r="W852" s="2"/>
      <c r="X852" s="2"/>
      <c r="Y852" s="2"/>
      <c r="Z852" s="2"/>
    </row>
    <row r="853" ht="13.5" customHeight="1">
      <c r="A853" s="2"/>
      <c r="B853" s="2"/>
      <c r="C853" s="2"/>
      <c r="D853" s="2"/>
      <c r="E853" s="2"/>
      <c r="F853" s="2"/>
      <c r="G853" s="2"/>
      <c r="H853" s="2"/>
      <c r="I853" s="2"/>
      <c r="J853" s="28"/>
      <c r="K853" s="181"/>
      <c r="L853" s="2"/>
      <c r="M853" s="2"/>
      <c r="N853" s="2"/>
      <c r="O853" s="2"/>
      <c r="P853" s="2"/>
      <c r="Q853" s="157"/>
      <c r="R853" s="157"/>
      <c r="S853" s="157"/>
      <c r="T853" s="2"/>
      <c r="U853" s="2"/>
      <c r="V853" s="2"/>
      <c r="W853" s="2"/>
      <c r="X853" s="2"/>
      <c r="Y853" s="2"/>
      <c r="Z853" s="2"/>
    </row>
    <row r="854" ht="13.5" customHeight="1">
      <c r="A854" s="2"/>
      <c r="B854" s="2"/>
      <c r="C854" s="2"/>
      <c r="D854" s="2"/>
      <c r="E854" s="2"/>
      <c r="F854" s="2"/>
      <c r="G854" s="2"/>
      <c r="H854" s="2"/>
      <c r="I854" s="2"/>
      <c r="J854" s="28"/>
      <c r="K854" s="181"/>
      <c r="L854" s="2"/>
      <c r="M854" s="2"/>
      <c r="N854" s="2"/>
      <c r="O854" s="2"/>
      <c r="P854" s="2"/>
      <c r="Q854" s="157"/>
      <c r="R854" s="157"/>
      <c r="S854" s="157"/>
      <c r="T854" s="2"/>
      <c r="U854" s="2"/>
      <c r="V854" s="2"/>
      <c r="W854" s="2"/>
      <c r="X854" s="2"/>
      <c r="Y854" s="2"/>
      <c r="Z854" s="2"/>
    </row>
    <row r="855" ht="13.5" customHeight="1">
      <c r="A855" s="2"/>
      <c r="B855" s="2"/>
      <c r="C855" s="2"/>
      <c r="D855" s="2"/>
      <c r="E855" s="2"/>
      <c r="F855" s="2"/>
      <c r="G855" s="2"/>
      <c r="H855" s="2"/>
      <c r="I855" s="2"/>
      <c r="J855" s="28"/>
      <c r="K855" s="181"/>
      <c r="L855" s="2"/>
      <c r="M855" s="2"/>
      <c r="N855" s="2"/>
      <c r="O855" s="2"/>
      <c r="P855" s="2"/>
      <c r="Q855" s="157"/>
      <c r="R855" s="157"/>
      <c r="S855" s="157"/>
      <c r="T855" s="2"/>
      <c r="U855" s="2"/>
      <c r="V855" s="2"/>
      <c r="W855" s="2"/>
      <c r="X855" s="2"/>
      <c r="Y855" s="2"/>
      <c r="Z855" s="2"/>
    </row>
    <row r="856" ht="13.5" customHeight="1">
      <c r="A856" s="2"/>
      <c r="B856" s="2"/>
      <c r="C856" s="2"/>
      <c r="D856" s="2"/>
      <c r="E856" s="2"/>
      <c r="F856" s="2"/>
      <c r="G856" s="2"/>
      <c r="H856" s="2"/>
      <c r="I856" s="2"/>
      <c r="J856" s="28"/>
      <c r="K856" s="181"/>
      <c r="L856" s="2"/>
      <c r="M856" s="2"/>
      <c r="N856" s="2"/>
      <c r="O856" s="2"/>
      <c r="P856" s="2"/>
      <c r="Q856" s="157"/>
      <c r="R856" s="157"/>
      <c r="S856" s="157"/>
      <c r="T856" s="2"/>
      <c r="U856" s="2"/>
      <c r="V856" s="2"/>
      <c r="W856" s="2"/>
      <c r="X856" s="2"/>
      <c r="Y856" s="2"/>
      <c r="Z856" s="2"/>
    </row>
    <row r="857" ht="13.5" customHeight="1">
      <c r="A857" s="2"/>
      <c r="B857" s="2"/>
      <c r="C857" s="2"/>
      <c r="D857" s="2"/>
      <c r="E857" s="2"/>
      <c r="F857" s="2"/>
      <c r="G857" s="2"/>
      <c r="H857" s="2"/>
      <c r="I857" s="2"/>
      <c r="J857" s="28"/>
      <c r="K857" s="181"/>
      <c r="L857" s="2"/>
      <c r="M857" s="2"/>
      <c r="N857" s="2"/>
      <c r="O857" s="2"/>
      <c r="P857" s="2"/>
      <c r="Q857" s="157"/>
      <c r="R857" s="157"/>
      <c r="S857" s="157"/>
      <c r="T857" s="2"/>
      <c r="U857" s="2"/>
      <c r="V857" s="2"/>
      <c r="W857" s="2"/>
      <c r="X857" s="2"/>
      <c r="Y857" s="2"/>
      <c r="Z857" s="2"/>
    </row>
    <row r="858" ht="13.5" customHeight="1">
      <c r="A858" s="2"/>
      <c r="B858" s="2"/>
      <c r="C858" s="2"/>
      <c r="D858" s="2"/>
      <c r="E858" s="2"/>
      <c r="F858" s="2"/>
      <c r="G858" s="2"/>
      <c r="H858" s="2"/>
      <c r="I858" s="2"/>
      <c r="J858" s="28"/>
      <c r="K858" s="181"/>
      <c r="L858" s="2"/>
      <c r="M858" s="2"/>
      <c r="N858" s="2"/>
      <c r="O858" s="2"/>
      <c r="P858" s="2"/>
      <c r="Q858" s="157"/>
      <c r="R858" s="157"/>
      <c r="S858" s="157"/>
      <c r="T858" s="2"/>
      <c r="U858" s="2"/>
      <c r="V858" s="2"/>
      <c r="W858" s="2"/>
      <c r="X858" s="2"/>
      <c r="Y858" s="2"/>
      <c r="Z858" s="2"/>
    </row>
    <row r="859" ht="13.5" customHeight="1">
      <c r="A859" s="2"/>
      <c r="B859" s="2"/>
      <c r="C859" s="2"/>
      <c r="D859" s="2"/>
      <c r="E859" s="2"/>
      <c r="F859" s="2"/>
      <c r="G859" s="2"/>
      <c r="H859" s="2"/>
      <c r="I859" s="2"/>
      <c r="J859" s="28"/>
      <c r="K859" s="181"/>
      <c r="L859" s="2"/>
      <c r="M859" s="2"/>
      <c r="N859" s="2"/>
      <c r="O859" s="2"/>
      <c r="P859" s="2"/>
      <c r="Q859" s="157"/>
      <c r="R859" s="157"/>
      <c r="S859" s="157"/>
      <c r="T859" s="2"/>
      <c r="U859" s="2"/>
      <c r="V859" s="2"/>
      <c r="W859" s="2"/>
      <c r="X859" s="2"/>
      <c r="Y859" s="2"/>
      <c r="Z859" s="2"/>
    </row>
    <row r="860" ht="13.5" customHeight="1">
      <c r="A860" s="2"/>
      <c r="B860" s="2"/>
      <c r="C860" s="2"/>
      <c r="D860" s="2"/>
      <c r="E860" s="2"/>
      <c r="F860" s="2"/>
      <c r="G860" s="2"/>
      <c r="H860" s="2"/>
      <c r="I860" s="2"/>
      <c r="J860" s="28"/>
      <c r="K860" s="181"/>
      <c r="L860" s="2"/>
      <c r="M860" s="2"/>
      <c r="N860" s="2"/>
      <c r="O860" s="2"/>
      <c r="P860" s="2"/>
      <c r="Q860" s="157"/>
      <c r="R860" s="157"/>
      <c r="S860" s="157"/>
      <c r="T860" s="2"/>
      <c r="U860" s="2"/>
      <c r="V860" s="2"/>
      <c r="W860" s="2"/>
      <c r="X860" s="2"/>
      <c r="Y860" s="2"/>
      <c r="Z860" s="2"/>
    </row>
    <row r="861" ht="13.5" customHeight="1">
      <c r="A861" s="2"/>
      <c r="B861" s="2"/>
      <c r="C861" s="2"/>
      <c r="D861" s="2"/>
      <c r="E861" s="2"/>
      <c r="F861" s="2"/>
      <c r="G861" s="2"/>
      <c r="H861" s="2"/>
      <c r="I861" s="2"/>
      <c r="J861" s="28"/>
      <c r="K861" s="181"/>
      <c r="L861" s="2"/>
      <c r="M861" s="2"/>
      <c r="N861" s="2"/>
      <c r="O861" s="2"/>
      <c r="P861" s="2"/>
      <c r="Q861" s="157"/>
      <c r="R861" s="157"/>
      <c r="S861" s="157"/>
      <c r="T861" s="2"/>
      <c r="U861" s="2"/>
      <c r="V861" s="2"/>
      <c r="W861" s="2"/>
      <c r="X861" s="2"/>
      <c r="Y861" s="2"/>
      <c r="Z861" s="2"/>
    </row>
    <row r="862" ht="13.5" customHeight="1">
      <c r="A862" s="2"/>
      <c r="B862" s="2"/>
      <c r="C862" s="2"/>
      <c r="D862" s="2"/>
      <c r="E862" s="2"/>
      <c r="F862" s="2"/>
      <c r="G862" s="2"/>
      <c r="H862" s="2"/>
      <c r="I862" s="2"/>
      <c r="J862" s="28"/>
      <c r="K862" s="181"/>
      <c r="L862" s="2"/>
      <c r="M862" s="2"/>
      <c r="N862" s="2"/>
      <c r="O862" s="2"/>
      <c r="P862" s="2"/>
      <c r="Q862" s="157"/>
      <c r="R862" s="157"/>
      <c r="S862" s="157"/>
      <c r="T862" s="2"/>
      <c r="U862" s="2"/>
      <c r="V862" s="2"/>
      <c r="W862" s="2"/>
      <c r="X862" s="2"/>
      <c r="Y862" s="2"/>
      <c r="Z862" s="2"/>
    </row>
    <row r="863" ht="13.5" customHeight="1">
      <c r="A863" s="2"/>
      <c r="B863" s="2"/>
      <c r="C863" s="2"/>
      <c r="D863" s="2"/>
      <c r="E863" s="2"/>
      <c r="F863" s="2"/>
      <c r="G863" s="2"/>
      <c r="H863" s="2"/>
      <c r="I863" s="2"/>
      <c r="J863" s="28"/>
      <c r="K863" s="181"/>
      <c r="L863" s="2"/>
      <c r="M863" s="2"/>
      <c r="N863" s="2"/>
      <c r="O863" s="2"/>
      <c r="P863" s="2"/>
      <c r="Q863" s="157"/>
      <c r="R863" s="157"/>
      <c r="S863" s="157"/>
      <c r="T863" s="2"/>
      <c r="U863" s="2"/>
      <c r="V863" s="2"/>
      <c r="W863" s="2"/>
      <c r="X863" s="2"/>
      <c r="Y863" s="2"/>
      <c r="Z863" s="2"/>
    </row>
    <row r="864" ht="13.5" customHeight="1">
      <c r="A864" s="2"/>
      <c r="B864" s="2"/>
      <c r="C864" s="2"/>
      <c r="D864" s="2"/>
      <c r="E864" s="2"/>
      <c r="F864" s="2"/>
      <c r="G864" s="2"/>
      <c r="H864" s="2"/>
      <c r="I864" s="2"/>
      <c r="J864" s="28"/>
      <c r="K864" s="181"/>
      <c r="L864" s="2"/>
      <c r="M864" s="2"/>
      <c r="N864" s="2"/>
      <c r="O864" s="2"/>
      <c r="P864" s="2"/>
      <c r="Q864" s="157"/>
      <c r="R864" s="157"/>
      <c r="S864" s="157"/>
      <c r="T864" s="2"/>
      <c r="U864" s="2"/>
      <c r="V864" s="2"/>
      <c r="W864" s="2"/>
      <c r="X864" s="2"/>
      <c r="Y864" s="2"/>
      <c r="Z864" s="2"/>
    </row>
    <row r="865" ht="13.5" customHeight="1">
      <c r="A865" s="2"/>
      <c r="B865" s="2"/>
      <c r="C865" s="2"/>
      <c r="D865" s="2"/>
      <c r="E865" s="2"/>
      <c r="F865" s="2"/>
      <c r="G865" s="2"/>
      <c r="H865" s="2"/>
      <c r="I865" s="2"/>
      <c r="J865" s="28"/>
      <c r="K865" s="181"/>
      <c r="L865" s="2"/>
      <c r="M865" s="2"/>
      <c r="N865" s="2"/>
      <c r="O865" s="2"/>
      <c r="P865" s="2"/>
      <c r="Q865" s="157"/>
      <c r="R865" s="157"/>
      <c r="S865" s="157"/>
      <c r="T865" s="2"/>
      <c r="U865" s="2"/>
      <c r="V865" s="2"/>
      <c r="W865" s="2"/>
      <c r="X865" s="2"/>
      <c r="Y865" s="2"/>
      <c r="Z865" s="2"/>
    </row>
    <row r="866" ht="13.5" customHeight="1">
      <c r="A866" s="2"/>
      <c r="B866" s="2"/>
      <c r="C866" s="2"/>
      <c r="D866" s="2"/>
      <c r="E866" s="2"/>
      <c r="F866" s="2"/>
      <c r="G866" s="2"/>
      <c r="H866" s="2"/>
      <c r="I866" s="2"/>
      <c r="J866" s="28"/>
      <c r="K866" s="181"/>
      <c r="L866" s="2"/>
      <c r="M866" s="2"/>
      <c r="N866" s="2"/>
      <c r="O866" s="2"/>
      <c r="P866" s="2"/>
      <c r="Q866" s="157"/>
      <c r="R866" s="157"/>
      <c r="S866" s="157"/>
      <c r="T866" s="2"/>
      <c r="U866" s="2"/>
      <c r="V866" s="2"/>
      <c r="W866" s="2"/>
      <c r="X866" s="2"/>
      <c r="Y866" s="2"/>
      <c r="Z866" s="2"/>
    </row>
    <row r="867" ht="13.5" customHeight="1">
      <c r="A867" s="2"/>
      <c r="B867" s="2"/>
      <c r="C867" s="2"/>
      <c r="D867" s="2"/>
      <c r="E867" s="2"/>
      <c r="F867" s="2"/>
      <c r="G867" s="2"/>
      <c r="H867" s="2"/>
      <c r="I867" s="2"/>
      <c r="J867" s="28"/>
      <c r="K867" s="181"/>
      <c r="L867" s="2"/>
      <c r="M867" s="2"/>
      <c r="N867" s="2"/>
      <c r="O867" s="2"/>
      <c r="P867" s="2"/>
      <c r="Q867" s="157"/>
      <c r="R867" s="157"/>
      <c r="S867" s="157"/>
      <c r="T867" s="2"/>
      <c r="U867" s="2"/>
      <c r="V867" s="2"/>
      <c r="W867" s="2"/>
      <c r="X867" s="2"/>
      <c r="Y867" s="2"/>
      <c r="Z867" s="2"/>
    </row>
    <row r="868" ht="13.5" customHeight="1">
      <c r="A868" s="2"/>
      <c r="B868" s="2"/>
      <c r="C868" s="2"/>
      <c r="D868" s="2"/>
      <c r="E868" s="2"/>
      <c r="F868" s="2"/>
      <c r="G868" s="2"/>
      <c r="H868" s="2"/>
      <c r="I868" s="2"/>
      <c r="J868" s="28"/>
      <c r="K868" s="181"/>
      <c r="L868" s="2"/>
      <c r="M868" s="2"/>
      <c r="N868" s="2"/>
      <c r="O868" s="2"/>
      <c r="P868" s="2"/>
      <c r="Q868" s="157"/>
      <c r="R868" s="157"/>
      <c r="S868" s="157"/>
      <c r="T868" s="2"/>
      <c r="U868" s="2"/>
      <c r="V868" s="2"/>
      <c r="W868" s="2"/>
      <c r="X868" s="2"/>
      <c r="Y868" s="2"/>
      <c r="Z868" s="2"/>
    </row>
    <row r="869" ht="13.5" customHeight="1">
      <c r="A869" s="2"/>
      <c r="B869" s="2"/>
      <c r="C869" s="2"/>
      <c r="D869" s="2"/>
      <c r="E869" s="2"/>
      <c r="F869" s="2"/>
      <c r="G869" s="2"/>
      <c r="H869" s="2"/>
      <c r="I869" s="2"/>
      <c r="J869" s="28"/>
      <c r="K869" s="181"/>
      <c r="L869" s="2"/>
      <c r="M869" s="2"/>
      <c r="N869" s="2"/>
      <c r="O869" s="2"/>
      <c r="P869" s="2"/>
      <c r="Q869" s="157"/>
      <c r="R869" s="157"/>
      <c r="S869" s="157"/>
      <c r="T869" s="2"/>
      <c r="U869" s="2"/>
      <c r="V869" s="2"/>
      <c r="W869" s="2"/>
      <c r="X869" s="2"/>
      <c r="Y869" s="2"/>
      <c r="Z869" s="2"/>
    </row>
    <row r="870" ht="13.5" customHeight="1">
      <c r="A870" s="2"/>
      <c r="B870" s="2"/>
      <c r="C870" s="2"/>
      <c r="D870" s="2"/>
      <c r="E870" s="2"/>
      <c r="F870" s="2"/>
      <c r="G870" s="2"/>
      <c r="H870" s="2"/>
      <c r="I870" s="2"/>
      <c r="J870" s="28"/>
      <c r="K870" s="181"/>
      <c r="L870" s="2"/>
      <c r="M870" s="2"/>
      <c r="N870" s="2"/>
      <c r="O870" s="2"/>
      <c r="P870" s="2"/>
      <c r="Q870" s="157"/>
      <c r="R870" s="157"/>
      <c r="S870" s="157"/>
      <c r="T870" s="2"/>
      <c r="U870" s="2"/>
      <c r="V870" s="2"/>
      <c r="W870" s="2"/>
      <c r="X870" s="2"/>
      <c r="Y870" s="2"/>
      <c r="Z870" s="2"/>
    </row>
    <row r="871" ht="13.5" customHeight="1">
      <c r="A871" s="2"/>
      <c r="B871" s="2"/>
      <c r="C871" s="2"/>
      <c r="D871" s="2"/>
      <c r="E871" s="2"/>
      <c r="F871" s="2"/>
      <c r="G871" s="2"/>
      <c r="H871" s="2"/>
      <c r="I871" s="2"/>
      <c r="J871" s="28"/>
      <c r="K871" s="181"/>
      <c r="L871" s="2"/>
      <c r="M871" s="2"/>
      <c r="N871" s="2"/>
      <c r="O871" s="2"/>
      <c r="P871" s="2"/>
      <c r="Q871" s="157"/>
      <c r="R871" s="157"/>
      <c r="S871" s="157"/>
      <c r="T871" s="2"/>
      <c r="U871" s="2"/>
      <c r="V871" s="2"/>
      <c r="W871" s="2"/>
      <c r="X871" s="2"/>
      <c r="Y871" s="2"/>
      <c r="Z871" s="2"/>
    </row>
    <row r="872" ht="13.5" customHeight="1">
      <c r="A872" s="2"/>
      <c r="B872" s="2"/>
      <c r="C872" s="2"/>
      <c r="D872" s="2"/>
      <c r="E872" s="2"/>
      <c r="F872" s="2"/>
      <c r="G872" s="2"/>
      <c r="H872" s="2"/>
      <c r="I872" s="2"/>
      <c r="J872" s="28"/>
      <c r="K872" s="181"/>
      <c r="L872" s="2"/>
      <c r="M872" s="2"/>
      <c r="N872" s="2"/>
      <c r="O872" s="2"/>
      <c r="P872" s="2"/>
      <c r="Q872" s="157"/>
      <c r="R872" s="157"/>
      <c r="S872" s="157"/>
      <c r="T872" s="2"/>
      <c r="U872" s="2"/>
      <c r="V872" s="2"/>
      <c r="W872" s="2"/>
      <c r="X872" s="2"/>
      <c r="Y872" s="2"/>
      <c r="Z872" s="2"/>
    </row>
    <row r="873" ht="13.5" customHeight="1">
      <c r="A873" s="2"/>
      <c r="B873" s="2"/>
      <c r="C873" s="2"/>
      <c r="D873" s="2"/>
      <c r="E873" s="2"/>
      <c r="F873" s="2"/>
      <c r="G873" s="2"/>
      <c r="H873" s="2"/>
      <c r="I873" s="2"/>
      <c r="J873" s="28"/>
      <c r="K873" s="181"/>
      <c r="L873" s="2"/>
      <c r="M873" s="2"/>
      <c r="N873" s="2"/>
      <c r="O873" s="2"/>
      <c r="P873" s="2"/>
      <c r="Q873" s="157"/>
      <c r="R873" s="157"/>
      <c r="S873" s="157"/>
      <c r="T873" s="2"/>
      <c r="U873" s="2"/>
      <c r="V873" s="2"/>
      <c r="W873" s="2"/>
      <c r="X873" s="2"/>
      <c r="Y873" s="2"/>
      <c r="Z873" s="2"/>
    </row>
    <row r="874" ht="13.5" customHeight="1">
      <c r="A874" s="2"/>
      <c r="B874" s="2"/>
      <c r="C874" s="2"/>
      <c r="D874" s="2"/>
      <c r="E874" s="2"/>
      <c r="F874" s="2"/>
      <c r="G874" s="2"/>
      <c r="H874" s="2"/>
      <c r="I874" s="2"/>
      <c r="J874" s="28"/>
      <c r="K874" s="181"/>
      <c r="L874" s="2"/>
      <c r="M874" s="2"/>
      <c r="N874" s="2"/>
      <c r="O874" s="2"/>
      <c r="P874" s="2"/>
      <c r="Q874" s="157"/>
      <c r="R874" s="157"/>
      <c r="S874" s="157"/>
      <c r="T874" s="2"/>
      <c r="U874" s="2"/>
      <c r="V874" s="2"/>
      <c r="W874" s="2"/>
      <c r="X874" s="2"/>
      <c r="Y874" s="2"/>
      <c r="Z874" s="2"/>
    </row>
    <row r="875" ht="13.5" customHeight="1">
      <c r="A875" s="2"/>
      <c r="B875" s="2"/>
      <c r="C875" s="2"/>
      <c r="D875" s="2"/>
      <c r="E875" s="2"/>
      <c r="F875" s="2"/>
      <c r="G875" s="2"/>
      <c r="H875" s="2"/>
      <c r="I875" s="2"/>
      <c r="J875" s="28"/>
      <c r="K875" s="181"/>
      <c r="L875" s="2"/>
      <c r="M875" s="2"/>
      <c r="N875" s="2"/>
      <c r="O875" s="2"/>
      <c r="P875" s="2"/>
      <c r="Q875" s="157"/>
      <c r="R875" s="157"/>
      <c r="S875" s="157"/>
      <c r="T875" s="2"/>
      <c r="U875" s="2"/>
      <c r="V875" s="2"/>
      <c r="W875" s="2"/>
      <c r="X875" s="2"/>
      <c r="Y875" s="2"/>
      <c r="Z875" s="2"/>
    </row>
    <row r="876" ht="13.5" customHeight="1">
      <c r="A876" s="2"/>
      <c r="B876" s="2"/>
      <c r="C876" s="2"/>
      <c r="D876" s="2"/>
      <c r="E876" s="2"/>
      <c r="F876" s="2"/>
      <c r="G876" s="2"/>
      <c r="H876" s="2"/>
      <c r="I876" s="2"/>
      <c r="J876" s="28"/>
      <c r="K876" s="181"/>
      <c r="L876" s="2"/>
      <c r="M876" s="2"/>
      <c r="N876" s="2"/>
      <c r="O876" s="2"/>
      <c r="P876" s="2"/>
      <c r="Q876" s="157"/>
      <c r="R876" s="157"/>
      <c r="S876" s="157"/>
      <c r="T876" s="2"/>
      <c r="U876" s="2"/>
      <c r="V876" s="2"/>
      <c r="W876" s="2"/>
      <c r="X876" s="2"/>
      <c r="Y876" s="2"/>
      <c r="Z876" s="2"/>
    </row>
    <row r="877" ht="13.5" customHeight="1">
      <c r="A877" s="2"/>
      <c r="B877" s="2"/>
      <c r="C877" s="2"/>
      <c r="D877" s="2"/>
      <c r="E877" s="2"/>
      <c r="F877" s="2"/>
      <c r="G877" s="2"/>
      <c r="H877" s="2"/>
      <c r="I877" s="2"/>
      <c r="J877" s="28"/>
      <c r="K877" s="181"/>
      <c r="L877" s="2"/>
      <c r="M877" s="2"/>
      <c r="N877" s="2"/>
      <c r="O877" s="2"/>
      <c r="P877" s="2"/>
      <c r="Q877" s="157"/>
      <c r="R877" s="157"/>
      <c r="S877" s="157"/>
      <c r="T877" s="2"/>
      <c r="U877" s="2"/>
      <c r="V877" s="2"/>
      <c r="W877" s="2"/>
      <c r="X877" s="2"/>
      <c r="Y877" s="2"/>
      <c r="Z877" s="2"/>
    </row>
    <row r="878" ht="13.5" customHeight="1">
      <c r="A878" s="2"/>
      <c r="B878" s="2"/>
      <c r="C878" s="2"/>
      <c r="D878" s="2"/>
      <c r="E878" s="2"/>
      <c r="F878" s="2"/>
      <c r="G878" s="2"/>
      <c r="H878" s="2"/>
      <c r="I878" s="2"/>
      <c r="J878" s="28"/>
      <c r="K878" s="181"/>
      <c r="L878" s="2"/>
      <c r="M878" s="2"/>
      <c r="N878" s="2"/>
      <c r="O878" s="2"/>
      <c r="P878" s="2"/>
      <c r="Q878" s="157"/>
      <c r="R878" s="157"/>
      <c r="S878" s="157"/>
      <c r="T878" s="2"/>
      <c r="U878" s="2"/>
      <c r="V878" s="2"/>
      <c r="W878" s="2"/>
      <c r="X878" s="2"/>
      <c r="Y878" s="2"/>
      <c r="Z878" s="2"/>
    </row>
    <row r="879" ht="13.5" customHeight="1">
      <c r="A879" s="2"/>
      <c r="B879" s="2"/>
      <c r="C879" s="2"/>
      <c r="D879" s="2"/>
      <c r="E879" s="2"/>
      <c r="F879" s="2"/>
      <c r="G879" s="2"/>
      <c r="H879" s="2"/>
      <c r="I879" s="2"/>
      <c r="J879" s="28"/>
      <c r="K879" s="181"/>
      <c r="L879" s="2"/>
      <c r="M879" s="2"/>
      <c r="N879" s="2"/>
      <c r="O879" s="2"/>
      <c r="P879" s="2"/>
      <c r="Q879" s="157"/>
      <c r="R879" s="157"/>
      <c r="S879" s="157"/>
      <c r="T879" s="2"/>
      <c r="U879" s="2"/>
      <c r="V879" s="2"/>
      <c r="W879" s="2"/>
      <c r="X879" s="2"/>
      <c r="Y879" s="2"/>
      <c r="Z879" s="2"/>
    </row>
    <row r="880" ht="13.5" customHeight="1">
      <c r="A880" s="2"/>
      <c r="B880" s="2"/>
      <c r="C880" s="2"/>
      <c r="D880" s="2"/>
      <c r="E880" s="2"/>
      <c r="F880" s="2"/>
      <c r="G880" s="2"/>
      <c r="H880" s="2"/>
      <c r="I880" s="2"/>
      <c r="J880" s="28"/>
      <c r="K880" s="181"/>
      <c r="L880" s="2"/>
      <c r="M880" s="2"/>
      <c r="N880" s="2"/>
      <c r="O880" s="2"/>
      <c r="P880" s="2"/>
      <c r="Q880" s="157"/>
      <c r="R880" s="157"/>
      <c r="S880" s="157"/>
      <c r="T880" s="2"/>
      <c r="U880" s="2"/>
      <c r="V880" s="2"/>
      <c r="W880" s="2"/>
      <c r="X880" s="2"/>
      <c r="Y880" s="2"/>
      <c r="Z880" s="2"/>
    </row>
    <row r="881" ht="13.5" customHeight="1">
      <c r="A881" s="2"/>
      <c r="B881" s="2"/>
      <c r="C881" s="2"/>
      <c r="D881" s="2"/>
      <c r="E881" s="2"/>
      <c r="F881" s="2"/>
      <c r="G881" s="2"/>
      <c r="H881" s="2"/>
      <c r="I881" s="2"/>
      <c r="J881" s="28"/>
      <c r="K881" s="181"/>
      <c r="L881" s="2"/>
      <c r="M881" s="2"/>
      <c r="N881" s="2"/>
      <c r="O881" s="2"/>
      <c r="P881" s="2"/>
      <c r="Q881" s="157"/>
      <c r="R881" s="157"/>
      <c r="S881" s="157"/>
      <c r="T881" s="2"/>
      <c r="U881" s="2"/>
      <c r="V881" s="2"/>
      <c r="W881" s="2"/>
      <c r="X881" s="2"/>
      <c r="Y881" s="2"/>
      <c r="Z881" s="2"/>
    </row>
    <row r="882" ht="13.5" customHeight="1">
      <c r="A882" s="2"/>
      <c r="B882" s="2"/>
      <c r="C882" s="2"/>
      <c r="D882" s="2"/>
      <c r="E882" s="2"/>
      <c r="F882" s="2"/>
      <c r="G882" s="2"/>
      <c r="H882" s="2"/>
      <c r="I882" s="2"/>
      <c r="J882" s="28"/>
      <c r="K882" s="181"/>
      <c r="L882" s="2"/>
      <c r="M882" s="2"/>
      <c r="N882" s="2"/>
      <c r="O882" s="2"/>
      <c r="P882" s="2"/>
      <c r="Q882" s="157"/>
      <c r="R882" s="157"/>
      <c r="S882" s="157"/>
      <c r="T882" s="2"/>
      <c r="U882" s="2"/>
      <c r="V882" s="2"/>
      <c r="W882" s="2"/>
      <c r="X882" s="2"/>
      <c r="Y882" s="2"/>
      <c r="Z882" s="2"/>
    </row>
    <row r="883" ht="13.5" customHeight="1">
      <c r="A883" s="2"/>
      <c r="B883" s="2"/>
      <c r="C883" s="2"/>
      <c r="D883" s="2"/>
      <c r="E883" s="2"/>
      <c r="F883" s="2"/>
      <c r="G883" s="2"/>
      <c r="H883" s="2"/>
      <c r="I883" s="2"/>
      <c r="J883" s="28"/>
      <c r="K883" s="181"/>
      <c r="L883" s="2"/>
      <c r="M883" s="2"/>
      <c r="N883" s="2"/>
      <c r="O883" s="2"/>
      <c r="P883" s="2"/>
      <c r="Q883" s="157"/>
      <c r="R883" s="157"/>
      <c r="S883" s="157"/>
      <c r="T883" s="2"/>
      <c r="U883" s="2"/>
      <c r="V883" s="2"/>
      <c r="W883" s="2"/>
      <c r="X883" s="2"/>
      <c r="Y883" s="2"/>
      <c r="Z883" s="2"/>
    </row>
    <row r="884" ht="13.5" customHeight="1">
      <c r="A884" s="2"/>
      <c r="B884" s="2"/>
      <c r="C884" s="2"/>
      <c r="D884" s="2"/>
      <c r="E884" s="2"/>
      <c r="F884" s="2"/>
      <c r="G884" s="2"/>
      <c r="H884" s="2"/>
      <c r="I884" s="2"/>
      <c r="J884" s="28"/>
      <c r="K884" s="181"/>
      <c r="L884" s="2"/>
      <c r="M884" s="2"/>
      <c r="N884" s="2"/>
      <c r="O884" s="2"/>
      <c r="P884" s="2"/>
      <c r="Q884" s="157"/>
      <c r="R884" s="157"/>
      <c r="S884" s="157"/>
      <c r="T884" s="2"/>
      <c r="U884" s="2"/>
      <c r="V884" s="2"/>
      <c r="W884" s="2"/>
      <c r="X884" s="2"/>
      <c r="Y884" s="2"/>
      <c r="Z884" s="2"/>
    </row>
    <row r="885" ht="13.5" customHeight="1">
      <c r="A885" s="2"/>
      <c r="B885" s="2"/>
      <c r="C885" s="2"/>
      <c r="D885" s="2"/>
      <c r="E885" s="2"/>
      <c r="F885" s="2"/>
      <c r="G885" s="2"/>
      <c r="H885" s="2"/>
      <c r="I885" s="2"/>
      <c r="J885" s="28"/>
      <c r="K885" s="181"/>
      <c r="L885" s="2"/>
      <c r="M885" s="2"/>
      <c r="N885" s="2"/>
      <c r="O885" s="2"/>
      <c r="P885" s="2"/>
      <c r="Q885" s="157"/>
      <c r="R885" s="157"/>
      <c r="S885" s="157"/>
      <c r="T885" s="2"/>
      <c r="U885" s="2"/>
      <c r="V885" s="2"/>
      <c r="W885" s="2"/>
      <c r="X885" s="2"/>
      <c r="Y885" s="2"/>
      <c r="Z885" s="2"/>
    </row>
    <row r="886" ht="13.5" customHeight="1">
      <c r="A886" s="2"/>
      <c r="B886" s="2"/>
      <c r="C886" s="2"/>
      <c r="D886" s="2"/>
      <c r="E886" s="2"/>
      <c r="F886" s="2"/>
      <c r="G886" s="2"/>
      <c r="H886" s="2"/>
      <c r="I886" s="2"/>
      <c r="J886" s="28"/>
      <c r="K886" s="181"/>
      <c r="L886" s="2"/>
      <c r="M886" s="2"/>
      <c r="N886" s="2"/>
      <c r="O886" s="2"/>
      <c r="P886" s="2"/>
      <c r="Q886" s="157"/>
      <c r="R886" s="157"/>
      <c r="S886" s="157"/>
      <c r="T886" s="2"/>
      <c r="U886" s="2"/>
      <c r="V886" s="2"/>
      <c r="W886" s="2"/>
      <c r="X886" s="2"/>
      <c r="Y886" s="2"/>
      <c r="Z886" s="2"/>
    </row>
    <row r="887" ht="13.5" customHeight="1">
      <c r="A887" s="2"/>
      <c r="B887" s="2"/>
      <c r="C887" s="2"/>
      <c r="D887" s="2"/>
      <c r="E887" s="2"/>
      <c r="F887" s="2"/>
      <c r="G887" s="2"/>
      <c r="H887" s="2"/>
      <c r="I887" s="2"/>
      <c r="J887" s="28"/>
      <c r="K887" s="181"/>
      <c r="L887" s="2"/>
      <c r="M887" s="2"/>
      <c r="N887" s="2"/>
      <c r="O887" s="2"/>
      <c r="P887" s="2"/>
      <c r="Q887" s="157"/>
      <c r="R887" s="157"/>
      <c r="S887" s="157"/>
      <c r="T887" s="2"/>
      <c r="U887" s="2"/>
      <c r="V887" s="2"/>
      <c r="W887" s="2"/>
      <c r="X887" s="2"/>
      <c r="Y887" s="2"/>
      <c r="Z887" s="2"/>
    </row>
    <row r="888" ht="13.5" customHeight="1">
      <c r="A888" s="2"/>
      <c r="B888" s="2"/>
      <c r="C888" s="2"/>
      <c r="D888" s="2"/>
      <c r="E888" s="2"/>
      <c r="F888" s="2"/>
      <c r="G888" s="2"/>
      <c r="H888" s="2"/>
      <c r="I888" s="2"/>
      <c r="J888" s="28"/>
      <c r="K888" s="181"/>
      <c r="L888" s="2"/>
      <c r="M888" s="2"/>
      <c r="N888" s="2"/>
      <c r="O888" s="2"/>
      <c r="P888" s="2"/>
      <c r="Q888" s="157"/>
      <c r="R888" s="157"/>
      <c r="S888" s="157"/>
      <c r="T888" s="2"/>
      <c r="U888" s="2"/>
      <c r="V888" s="2"/>
      <c r="W888" s="2"/>
      <c r="X888" s="2"/>
      <c r="Y888" s="2"/>
      <c r="Z888" s="2"/>
    </row>
    <row r="889" ht="13.5" customHeight="1">
      <c r="A889" s="2"/>
      <c r="B889" s="2"/>
      <c r="C889" s="2"/>
      <c r="D889" s="2"/>
      <c r="E889" s="2"/>
      <c r="F889" s="2"/>
      <c r="G889" s="2"/>
      <c r="H889" s="2"/>
      <c r="I889" s="2"/>
      <c r="J889" s="28"/>
      <c r="K889" s="181"/>
      <c r="L889" s="2"/>
      <c r="M889" s="2"/>
      <c r="N889" s="2"/>
      <c r="O889" s="2"/>
      <c r="P889" s="2"/>
      <c r="Q889" s="157"/>
      <c r="R889" s="157"/>
      <c r="S889" s="157"/>
      <c r="T889" s="2"/>
      <c r="U889" s="2"/>
      <c r="V889" s="2"/>
      <c r="W889" s="2"/>
      <c r="X889" s="2"/>
      <c r="Y889" s="2"/>
      <c r="Z889" s="2"/>
    </row>
    <row r="890" ht="13.5" customHeight="1">
      <c r="A890" s="2"/>
      <c r="B890" s="2"/>
      <c r="C890" s="2"/>
      <c r="D890" s="2"/>
      <c r="E890" s="2"/>
      <c r="F890" s="2"/>
      <c r="G890" s="2"/>
      <c r="H890" s="2"/>
      <c r="I890" s="2"/>
      <c r="J890" s="28"/>
      <c r="K890" s="181"/>
      <c r="L890" s="2"/>
      <c r="M890" s="2"/>
      <c r="N890" s="2"/>
      <c r="O890" s="2"/>
      <c r="P890" s="2"/>
      <c r="Q890" s="157"/>
      <c r="R890" s="157"/>
      <c r="S890" s="157"/>
      <c r="T890" s="2"/>
      <c r="U890" s="2"/>
      <c r="V890" s="2"/>
      <c r="W890" s="2"/>
      <c r="X890" s="2"/>
      <c r="Y890" s="2"/>
      <c r="Z890" s="2"/>
    </row>
    <row r="891" ht="13.5" customHeight="1">
      <c r="A891" s="2"/>
      <c r="B891" s="2"/>
      <c r="C891" s="2"/>
      <c r="D891" s="2"/>
      <c r="E891" s="2"/>
      <c r="F891" s="2"/>
      <c r="G891" s="2"/>
      <c r="H891" s="2"/>
      <c r="I891" s="2"/>
      <c r="J891" s="28"/>
      <c r="K891" s="181"/>
      <c r="L891" s="2"/>
      <c r="M891" s="2"/>
      <c r="N891" s="2"/>
      <c r="O891" s="2"/>
      <c r="P891" s="2"/>
      <c r="Q891" s="157"/>
      <c r="R891" s="157"/>
      <c r="S891" s="157"/>
      <c r="T891" s="2"/>
      <c r="U891" s="2"/>
      <c r="V891" s="2"/>
      <c r="W891" s="2"/>
      <c r="X891" s="2"/>
      <c r="Y891" s="2"/>
      <c r="Z891" s="2"/>
    </row>
    <row r="892" ht="13.5" customHeight="1">
      <c r="A892" s="2"/>
      <c r="B892" s="2"/>
      <c r="C892" s="2"/>
      <c r="D892" s="2"/>
      <c r="E892" s="2"/>
      <c r="F892" s="2"/>
      <c r="G892" s="2"/>
      <c r="H892" s="2"/>
      <c r="I892" s="2"/>
      <c r="J892" s="28"/>
      <c r="K892" s="181"/>
      <c r="L892" s="2"/>
      <c r="M892" s="2"/>
      <c r="N892" s="2"/>
      <c r="O892" s="2"/>
      <c r="P892" s="2"/>
      <c r="Q892" s="157"/>
      <c r="R892" s="157"/>
      <c r="S892" s="157"/>
      <c r="T892" s="2"/>
      <c r="U892" s="2"/>
      <c r="V892" s="2"/>
      <c r="W892" s="2"/>
      <c r="X892" s="2"/>
      <c r="Y892" s="2"/>
      <c r="Z892" s="2"/>
    </row>
    <row r="893" ht="13.5" customHeight="1">
      <c r="A893" s="2"/>
      <c r="B893" s="2"/>
      <c r="C893" s="2"/>
      <c r="D893" s="2"/>
      <c r="E893" s="2"/>
      <c r="F893" s="2"/>
      <c r="G893" s="2"/>
      <c r="H893" s="2"/>
      <c r="I893" s="2"/>
      <c r="J893" s="28"/>
      <c r="K893" s="181"/>
      <c r="L893" s="2"/>
      <c r="M893" s="2"/>
      <c r="N893" s="2"/>
      <c r="O893" s="2"/>
      <c r="P893" s="2"/>
      <c r="Q893" s="157"/>
      <c r="R893" s="157"/>
      <c r="S893" s="157"/>
      <c r="T893" s="2"/>
      <c r="U893" s="2"/>
      <c r="V893" s="2"/>
      <c r="W893" s="2"/>
      <c r="X893" s="2"/>
      <c r="Y893" s="2"/>
      <c r="Z893" s="2"/>
    </row>
    <row r="894" ht="13.5" customHeight="1">
      <c r="A894" s="2"/>
      <c r="B894" s="2"/>
      <c r="C894" s="2"/>
      <c r="D894" s="2"/>
      <c r="E894" s="2"/>
      <c r="F894" s="2"/>
      <c r="G894" s="2"/>
      <c r="H894" s="2"/>
      <c r="I894" s="2"/>
      <c r="J894" s="28"/>
      <c r="K894" s="181"/>
      <c r="L894" s="2"/>
      <c r="M894" s="2"/>
      <c r="N894" s="2"/>
      <c r="O894" s="2"/>
      <c r="P894" s="2"/>
      <c r="Q894" s="157"/>
      <c r="R894" s="157"/>
      <c r="S894" s="157"/>
      <c r="T894" s="2"/>
      <c r="U894" s="2"/>
      <c r="V894" s="2"/>
      <c r="W894" s="2"/>
      <c r="X894" s="2"/>
      <c r="Y894" s="2"/>
      <c r="Z894" s="2"/>
    </row>
    <row r="895" ht="13.5" customHeight="1">
      <c r="A895" s="2"/>
      <c r="B895" s="2"/>
      <c r="C895" s="2"/>
      <c r="D895" s="2"/>
      <c r="E895" s="2"/>
      <c r="F895" s="2"/>
      <c r="G895" s="2"/>
      <c r="H895" s="2"/>
      <c r="I895" s="2"/>
      <c r="J895" s="28"/>
      <c r="K895" s="181"/>
      <c r="L895" s="2"/>
      <c r="M895" s="2"/>
      <c r="N895" s="2"/>
      <c r="O895" s="2"/>
      <c r="P895" s="2"/>
      <c r="Q895" s="157"/>
      <c r="R895" s="157"/>
      <c r="S895" s="157"/>
      <c r="T895" s="2"/>
      <c r="U895" s="2"/>
      <c r="V895" s="2"/>
      <c r="W895" s="2"/>
      <c r="X895" s="2"/>
      <c r="Y895" s="2"/>
      <c r="Z895" s="2"/>
    </row>
    <row r="896" ht="13.5" customHeight="1">
      <c r="A896" s="2"/>
      <c r="B896" s="2"/>
      <c r="C896" s="2"/>
      <c r="D896" s="2"/>
      <c r="E896" s="2"/>
      <c r="F896" s="2"/>
      <c r="G896" s="2"/>
      <c r="H896" s="2"/>
      <c r="I896" s="2"/>
      <c r="J896" s="28"/>
      <c r="K896" s="181"/>
      <c r="L896" s="2"/>
      <c r="M896" s="2"/>
      <c r="N896" s="2"/>
      <c r="O896" s="2"/>
      <c r="P896" s="2"/>
      <c r="Q896" s="157"/>
      <c r="R896" s="157"/>
      <c r="S896" s="157"/>
      <c r="T896" s="2"/>
      <c r="U896" s="2"/>
      <c r="V896" s="2"/>
      <c r="W896" s="2"/>
      <c r="X896" s="2"/>
      <c r="Y896" s="2"/>
      <c r="Z896" s="2"/>
    </row>
    <row r="897" ht="13.5" customHeight="1">
      <c r="A897" s="2"/>
      <c r="B897" s="2"/>
      <c r="C897" s="2"/>
      <c r="D897" s="2"/>
      <c r="E897" s="2"/>
      <c r="F897" s="2"/>
      <c r="G897" s="2"/>
      <c r="H897" s="2"/>
      <c r="I897" s="2"/>
      <c r="J897" s="28"/>
      <c r="K897" s="181"/>
      <c r="L897" s="2"/>
      <c r="M897" s="2"/>
      <c r="N897" s="2"/>
      <c r="O897" s="2"/>
      <c r="P897" s="2"/>
      <c r="Q897" s="157"/>
      <c r="R897" s="157"/>
      <c r="S897" s="157"/>
      <c r="T897" s="2"/>
      <c r="U897" s="2"/>
      <c r="V897" s="2"/>
      <c r="W897" s="2"/>
      <c r="X897" s="2"/>
      <c r="Y897" s="2"/>
      <c r="Z897" s="2"/>
    </row>
    <row r="898" ht="13.5" customHeight="1">
      <c r="A898" s="2"/>
      <c r="B898" s="2"/>
      <c r="C898" s="2"/>
      <c r="D898" s="2"/>
      <c r="E898" s="2"/>
      <c r="F898" s="2"/>
      <c r="G898" s="2"/>
      <c r="H898" s="2"/>
      <c r="I898" s="2"/>
      <c r="J898" s="28"/>
      <c r="K898" s="181"/>
      <c r="L898" s="2"/>
      <c r="M898" s="2"/>
      <c r="N898" s="2"/>
      <c r="O898" s="2"/>
      <c r="P898" s="2"/>
      <c r="Q898" s="157"/>
      <c r="R898" s="157"/>
      <c r="S898" s="157"/>
      <c r="T898" s="2"/>
      <c r="U898" s="2"/>
      <c r="V898" s="2"/>
      <c r="W898" s="2"/>
      <c r="X898" s="2"/>
      <c r="Y898" s="2"/>
      <c r="Z898" s="2"/>
    </row>
    <row r="899" ht="13.5" customHeight="1">
      <c r="A899" s="2"/>
      <c r="B899" s="2"/>
      <c r="C899" s="2"/>
      <c r="D899" s="2"/>
      <c r="E899" s="2"/>
      <c r="F899" s="2"/>
      <c r="G899" s="2"/>
      <c r="H899" s="2"/>
      <c r="I899" s="2"/>
      <c r="J899" s="28"/>
      <c r="K899" s="181"/>
      <c r="L899" s="2"/>
      <c r="M899" s="2"/>
      <c r="N899" s="2"/>
      <c r="O899" s="2"/>
      <c r="P899" s="2"/>
      <c r="Q899" s="157"/>
      <c r="R899" s="157"/>
      <c r="S899" s="157"/>
      <c r="T899" s="2"/>
      <c r="U899" s="2"/>
      <c r="V899" s="2"/>
      <c r="W899" s="2"/>
      <c r="X899" s="2"/>
      <c r="Y899" s="2"/>
      <c r="Z899" s="2"/>
    </row>
    <row r="900" ht="13.5" customHeight="1">
      <c r="A900" s="2"/>
      <c r="B900" s="2"/>
      <c r="C900" s="2"/>
      <c r="D900" s="2"/>
      <c r="E900" s="2"/>
      <c r="F900" s="2"/>
      <c r="G900" s="2"/>
      <c r="H900" s="2"/>
      <c r="I900" s="2"/>
      <c r="J900" s="28"/>
      <c r="K900" s="181"/>
      <c r="L900" s="2"/>
      <c r="M900" s="2"/>
      <c r="N900" s="2"/>
      <c r="O900" s="2"/>
      <c r="P900" s="2"/>
      <c r="Q900" s="157"/>
      <c r="R900" s="157"/>
      <c r="S900" s="157"/>
      <c r="T900" s="2"/>
      <c r="U900" s="2"/>
      <c r="V900" s="2"/>
      <c r="W900" s="2"/>
      <c r="X900" s="2"/>
      <c r="Y900" s="2"/>
      <c r="Z900" s="2"/>
    </row>
    <row r="901" ht="13.5" customHeight="1">
      <c r="A901" s="2"/>
      <c r="B901" s="2"/>
      <c r="C901" s="2"/>
      <c r="D901" s="2"/>
      <c r="E901" s="2"/>
      <c r="F901" s="2"/>
      <c r="G901" s="2"/>
      <c r="H901" s="2"/>
      <c r="I901" s="2"/>
      <c r="J901" s="28"/>
      <c r="K901" s="181"/>
      <c r="L901" s="2"/>
      <c r="M901" s="2"/>
      <c r="N901" s="2"/>
      <c r="O901" s="2"/>
      <c r="P901" s="2"/>
      <c r="Q901" s="157"/>
      <c r="R901" s="157"/>
      <c r="S901" s="157"/>
      <c r="T901" s="2"/>
      <c r="U901" s="2"/>
      <c r="V901" s="2"/>
      <c r="W901" s="2"/>
      <c r="X901" s="2"/>
      <c r="Y901" s="2"/>
      <c r="Z901" s="2"/>
    </row>
    <row r="902" ht="13.5" customHeight="1">
      <c r="A902" s="2"/>
      <c r="B902" s="2"/>
      <c r="C902" s="2"/>
      <c r="D902" s="2"/>
      <c r="E902" s="2"/>
      <c r="F902" s="2"/>
      <c r="G902" s="2"/>
      <c r="H902" s="2"/>
      <c r="I902" s="2"/>
      <c r="J902" s="28"/>
      <c r="K902" s="181"/>
      <c r="L902" s="2"/>
      <c r="M902" s="2"/>
      <c r="N902" s="2"/>
      <c r="O902" s="2"/>
      <c r="P902" s="2"/>
      <c r="Q902" s="157"/>
      <c r="R902" s="157"/>
      <c r="S902" s="157"/>
      <c r="T902" s="2"/>
      <c r="U902" s="2"/>
      <c r="V902" s="2"/>
      <c r="W902" s="2"/>
      <c r="X902" s="2"/>
      <c r="Y902" s="2"/>
      <c r="Z902" s="2"/>
    </row>
    <row r="903" ht="13.5" customHeight="1">
      <c r="A903" s="2"/>
      <c r="B903" s="2"/>
      <c r="C903" s="2"/>
      <c r="D903" s="2"/>
      <c r="E903" s="2"/>
      <c r="F903" s="2"/>
      <c r="G903" s="2"/>
      <c r="H903" s="2"/>
      <c r="I903" s="2"/>
      <c r="J903" s="28"/>
      <c r="K903" s="181"/>
      <c r="L903" s="2"/>
      <c r="M903" s="2"/>
      <c r="N903" s="2"/>
      <c r="O903" s="2"/>
      <c r="P903" s="2"/>
      <c r="Q903" s="157"/>
      <c r="R903" s="157"/>
      <c r="S903" s="157"/>
      <c r="T903" s="2"/>
      <c r="U903" s="2"/>
      <c r="V903" s="2"/>
      <c r="W903" s="2"/>
      <c r="X903" s="2"/>
      <c r="Y903" s="2"/>
      <c r="Z903" s="2"/>
    </row>
    <row r="904" ht="13.5" customHeight="1">
      <c r="A904" s="2"/>
      <c r="B904" s="2"/>
      <c r="C904" s="2"/>
      <c r="D904" s="2"/>
      <c r="E904" s="2"/>
      <c r="F904" s="2"/>
      <c r="G904" s="2"/>
      <c r="H904" s="2"/>
      <c r="I904" s="2"/>
      <c r="J904" s="28"/>
      <c r="K904" s="181"/>
      <c r="L904" s="2"/>
      <c r="M904" s="2"/>
      <c r="N904" s="2"/>
      <c r="O904" s="2"/>
      <c r="P904" s="2"/>
      <c r="Q904" s="157"/>
      <c r="R904" s="157"/>
      <c r="S904" s="157"/>
      <c r="T904" s="2"/>
      <c r="U904" s="2"/>
      <c r="V904" s="2"/>
      <c r="W904" s="2"/>
      <c r="X904" s="2"/>
      <c r="Y904" s="2"/>
      <c r="Z904" s="2"/>
    </row>
    <row r="905" ht="13.5" customHeight="1">
      <c r="A905" s="2"/>
      <c r="B905" s="2"/>
      <c r="C905" s="2"/>
      <c r="D905" s="2"/>
      <c r="E905" s="2"/>
      <c r="F905" s="2"/>
      <c r="G905" s="2"/>
      <c r="H905" s="2"/>
      <c r="I905" s="2"/>
      <c r="J905" s="28"/>
      <c r="K905" s="181"/>
      <c r="L905" s="2"/>
      <c r="M905" s="2"/>
      <c r="N905" s="2"/>
      <c r="O905" s="2"/>
      <c r="P905" s="2"/>
      <c r="Q905" s="157"/>
      <c r="R905" s="157"/>
      <c r="S905" s="157"/>
      <c r="T905" s="2"/>
      <c r="U905" s="2"/>
      <c r="V905" s="2"/>
      <c r="W905" s="2"/>
      <c r="X905" s="2"/>
      <c r="Y905" s="2"/>
      <c r="Z905" s="2"/>
    </row>
    <row r="906" ht="13.5" customHeight="1">
      <c r="A906" s="2"/>
      <c r="B906" s="2"/>
      <c r="C906" s="2"/>
      <c r="D906" s="2"/>
      <c r="E906" s="2"/>
      <c r="F906" s="2"/>
      <c r="G906" s="2"/>
      <c r="H906" s="2"/>
      <c r="I906" s="2"/>
      <c r="J906" s="28"/>
      <c r="K906" s="181"/>
      <c r="L906" s="2"/>
      <c r="M906" s="2"/>
      <c r="N906" s="2"/>
      <c r="O906" s="2"/>
      <c r="P906" s="2"/>
      <c r="Q906" s="157"/>
      <c r="R906" s="157"/>
      <c r="S906" s="157"/>
      <c r="T906" s="2"/>
      <c r="U906" s="2"/>
      <c r="V906" s="2"/>
      <c r="W906" s="2"/>
      <c r="X906" s="2"/>
      <c r="Y906" s="2"/>
      <c r="Z906" s="2"/>
    </row>
    <row r="907" ht="13.5" customHeight="1">
      <c r="A907" s="2"/>
      <c r="B907" s="2"/>
      <c r="C907" s="2"/>
      <c r="D907" s="2"/>
      <c r="E907" s="2"/>
      <c r="F907" s="2"/>
      <c r="G907" s="2"/>
      <c r="H907" s="2"/>
      <c r="I907" s="2"/>
      <c r="J907" s="28"/>
      <c r="K907" s="181"/>
      <c r="L907" s="2"/>
      <c r="M907" s="2"/>
      <c r="N907" s="2"/>
      <c r="O907" s="2"/>
      <c r="P907" s="2"/>
      <c r="Q907" s="157"/>
      <c r="R907" s="157"/>
      <c r="S907" s="157"/>
      <c r="T907" s="2"/>
      <c r="U907" s="2"/>
      <c r="V907" s="2"/>
      <c r="W907" s="2"/>
      <c r="X907" s="2"/>
      <c r="Y907" s="2"/>
      <c r="Z907" s="2"/>
    </row>
    <row r="908" ht="13.5" customHeight="1">
      <c r="A908" s="2"/>
      <c r="B908" s="2"/>
      <c r="C908" s="2"/>
      <c r="D908" s="2"/>
      <c r="E908" s="2"/>
      <c r="F908" s="2"/>
      <c r="G908" s="2"/>
      <c r="H908" s="2"/>
      <c r="I908" s="2"/>
      <c r="J908" s="28"/>
      <c r="K908" s="181"/>
      <c r="L908" s="2"/>
      <c r="M908" s="2"/>
      <c r="N908" s="2"/>
      <c r="O908" s="2"/>
      <c r="P908" s="2"/>
      <c r="Q908" s="157"/>
      <c r="R908" s="157"/>
      <c r="S908" s="157"/>
      <c r="T908" s="2"/>
      <c r="U908" s="2"/>
      <c r="V908" s="2"/>
      <c r="W908" s="2"/>
      <c r="X908" s="2"/>
      <c r="Y908" s="2"/>
      <c r="Z908" s="2"/>
    </row>
    <row r="909" ht="13.5" customHeight="1">
      <c r="A909" s="2"/>
      <c r="B909" s="2"/>
      <c r="C909" s="2"/>
      <c r="D909" s="2"/>
      <c r="E909" s="2"/>
      <c r="F909" s="2"/>
      <c r="G909" s="2"/>
      <c r="H909" s="2"/>
      <c r="I909" s="2"/>
      <c r="J909" s="28"/>
      <c r="K909" s="181"/>
      <c r="L909" s="2"/>
      <c r="M909" s="2"/>
      <c r="N909" s="2"/>
      <c r="O909" s="2"/>
      <c r="P909" s="2"/>
      <c r="Q909" s="157"/>
      <c r="R909" s="157"/>
      <c r="S909" s="157"/>
      <c r="T909" s="2"/>
      <c r="U909" s="2"/>
      <c r="V909" s="2"/>
      <c r="W909" s="2"/>
      <c r="X909" s="2"/>
      <c r="Y909" s="2"/>
      <c r="Z909" s="2"/>
    </row>
    <row r="910" ht="13.5" customHeight="1">
      <c r="A910" s="2"/>
      <c r="B910" s="2"/>
      <c r="C910" s="2"/>
      <c r="D910" s="2"/>
      <c r="E910" s="2"/>
      <c r="F910" s="2"/>
      <c r="G910" s="2"/>
      <c r="H910" s="2"/>
      <c r="I910" s="2"/>
      <c r="J910" s="28"/>
      <c r="K910" s="181"/>
      <c r="L910" s="2"/>
      <c r="M910" s="2"/>
      <c r="N910" s="2"/>
      <c r="O910" s="2"/>
      <c r="P910" s="2"/>
      <c r="Q910" s="157"/>
      <c r="R910" s="157"/>
      <c r="S910" s="157"/>
      <c r="T910" s="2"/>
      <c r="U910" s="2"/>
      <c r="V910" s="2"/>
      <c r="W910" s="2"/>
      <c r="X910" s="2"/>
      <c r="Y910" s="2"/>
      <c r="Z910" s="2"/>
    </row>
    <row r="911" ht="13.5" customHeight="1">
      <c r="A911" s="2"/>
      <c r="B911" s="2"/>
      <c r="C911" s="2"/>
      <c r="D911" s="2"/>
      <c r="E911" s="2"/>
      <c r="F911" s="2"/>
      <c r="G911" s="2"/>
      <c r="H911" s="2"/>
      <c r="I911" s="2"/>
      <c r="J911" s="28"/>
      <c r="K911" s="181"/>
      <c r="L911" s="2"/>
      <c r="M911" s="2"/>
      <c r="N911" s="2"/>
      <c r="O911" s="2"/>
      <c r="P911" s="2"/>
      <c r="Q911" s="157"/>
      <c r="R911" s="157"/>
      <c r="S911" s="157"/>
      <c r="T911" s="2"/>
      <c r="U911" s="2"/>
      <c r="V911" s="2"/>
      <c r="W911" s="2"/>
      <c r="X911" s="2"/>
      <c r="Y911" s="2"/>
      <c r="Z911" s="2"/>
    </row>
    <row r="912" ht="13.5" customHeight="1">
      <c r="A912" s="2"/>
      <c r="B912" s="2"/>
      <c r="C912" s="2"/>
      <c r="D912" s="2"/>
      <c r="E912" s="2"/>
      <c r="F912" s="2"/>
      <c r="G912" s="2"/>
      <c r="H912" s="2"/>
      <c r="I912" s="2"/>
      <c r="J912" s="28"/>
      <c r="K912" s="181"/>
      <c r="L912" s="2"/>
      <c r="M912" s="2"/>
      <c r="N912" s="2"/>
      <c r="O912" s="2"/>
      <c r="P912" s="2"/>
      <c r="Q912" s="157"/>
      <c r="R912" s="157"/>
      <c r="S912" s="157"/>
      <c r="T912" s="2"/>
      <c r="U912" s="2"/>
      <c r="V912" s="2"/>
      <c r="W912" s="2"/>
      <c r="X912" s="2"/>
      <c r="Y912" s="2"/>
      <c r="Z912" s="2"/>
    </row>
    <row r="913" ht="13.5" customHeight="1">
      <c r="A913" s="2"/>
      <c r="B913" s="2"/>
      <c r="C913" s="2"/>
      <c r="D913" s="2"/>
      <c r="E913" s="2"/>
      <c r="F913" s="2"/>
      <c r="G913" s="2"/>
      <c r="H913" s="2"/>
      <c r="I913" s="2"/>
      <c r="J913" s="28"/>
      <c r="K913" s="181"/>
      <c r="L913" s="2"/>
      <c r="M913" s="2"/>
      <c r="N913" s="2"/>
      <c r="O913" s="2"/>
      <c r="P913" s="2"/>
      <c r="Q913" s="157"/>
      <c r="R913" s="157"/>
      <c r="S913" s="157"/>
      <c r="T913" s="2"/>
      <c r="U913" s="2"/>
      <c r="V913" s="2"/>
      <c r="W913" s="2"/>
      <c r="X913" s="2"/>
      <c r="Y913" s="2"/>
      <c r="Z913" s="2"/>
    </row>
    <row r="914" ht="13.5" customHeight="1">
      <c r="A914" s="2"/>
      <c r="B914" s="2"/>
      <c r="C914" s="2"/>
      <c r="D914" s="2"/>
      <c r="E914" s="2"/>
      <c r="F914" s="2"/>
      <c r="G914" s="2"/>
      <c r="H914" s="2"/>
      <c r="I914" s="2"/>
      <c r="J914" s="28"/>
      <c r="K914" s="181"/>
      <c r="L914" s="2"/>
      <c r="M914" s="2"/>
      <c r="N914" s="2"/>
      <c r="O914" s="2"/>
      <c r="P914" s="2"/>
      <c r="Q914" s="157"/>
      <c r="R914" s="157"/>
      <c r="S914" s="157"/>
      <c r="T914" s="2"/>
      <c r="U914" s="2"/>
      <c r="V914" s="2"/>
      <c r="W914" s="2"/>
      <c r="X914" s="2"/>
      <c r="Y914" s="2"/>
      <c r="Z914" s="2"/>
    </row>
    <row r="915" ht="13.5" customHeight="1">
      <c r="A915" s="2"/>
      <c r="B915" s="2"/>
      <c r="C915" s="2"/>
      <c r="D915" s="2"/>
      <c r="E915" s="2"/>
      <c r="F915" s="2"/>
      <c r="G915" s="2"/>
      <c r="H915" s="2"/>
      <c r="I915" s="2"/>
      <c r="J915" s="28"/>
      <c r="K915" s="181"/>
      <c r="L915" s="2"/>
      <c r="M915" s="2"/>
      <c r="N915" s="2"/>
      <c r="O915" s="2"/>
      <c r="P915" s="2"/>
      <c r="Q915" s="157"/>
      <c r="R915" s="157"/>
      <c r="S915" s="157"/>
      <c r="T915" s="2"/>
      <c r="U915" s="2"/>
      <c r="V915" s="2"/>
      <c r="W915" s="2"/>
      <c r="X915" s="2"/>
      <c r="Y915" s="2"/>
      <c r="Z915" s="2"/>
    </row>
    <row r="916" ht="13.5" customHeight="1">
      <c r="A916" s="2"/>
      <c r="B916" s="2"/>
      <c r="C916" s="2"/>
      <c r="D916" s="2"/>
      <c r="E916" s="2"/>
      <c r="F916" s="2"/>
      <c r="G916" s="2"/>
      <c r="H916" s="2"/>
      <c r="I916" s="2"/>
      <c r="J916" s="28"/>
      <c r="K916" s="181"/>
      <c r="L916" s="2"/>
      <c r="M916" s="2"/>
      <c r="N916" s="2"/>
      <c r="O916" s="2"/>
      <c r="P916" s="2"/>
      <c r="Q916" s="157"/>
      <c r="R916" s="157"/>
      <c r="S916" s="157"/>
      <c r="T916" s="2"/>
      <c r="U916" s="2"/>
      <c r="V916" s="2"/>
      <c r="W916" s="2"/>
      <c r="X916" s="2"/>
      <c r="Y916" s="2"/>
      <c r="Z916" s="2"/>
    </row>
    <row r="917" ht="13.5" customHeight="1">
      <c r="A917" s="2"/>
      <c r="B917" s="2"/>
      <c r="C917" s="2"/>
      <c r="D917" s="2"/>
      <c r="E917" s="2"/>
      <c r="F917" s="2"/>
      <c r="G917" s="2"/>
      <c r="H917" s="2"/>
      <c r="I917" s="2"/>
      <c r="J917" s="28"/>
      <c r="K917" s="181"/>
      <c r="L917" s="2"/>
      <c r="M917" s="2"/>
      <c r="N917" s="2"/>
      <c r="O917" s="2"/>
      <c r="P917" s="2"/>
      <c r="Q917" s="157"/>
      <c r="R917" s="157"/>
      <c r="S917" s="157"/>
      <c r="T917" s="2"/>
      <c r="U917" s="2"/>
      <c r="V917" s="2"/>
      <c r="W917" s="2"/>
      <c r="X917" s="2"/>
      <c r="Y917" s="2"/>
      <c r="Z917" s="2"/>
    </row>
    <row r="918" ht="13.5" customHeight="1">
      <c r="A918" s="2"/>
      <c r="B918" s="2"/>
      <c r="C918" s="2"/>
      <c r="D918" s="2"/>
      <c r="E918" s="2"/>
      <c r="F918" s="2"/>
      <c r="G918" s="2"/>
      <c r="H918" s="2"/>
      <c r="I918" s="2"/>
      <c r="J918" s="28"/>
      <c r="K918" s="181"/>
      <c r="L918" s="2"/>
      <c r="M918" s="2"/>
      <c r="N918" s="2"/>
      <c r="O918" s="2"/>
      <c r="P918" s="2"/>
      <c r="Q918" s="157"/>
      <c r="R918" s="157"/>
      <c r="S918" s="157"/>
      <c r="T918" s="2"/>
      <c r="U918" s="2"/>
      <c r="V918" s="2"/>
      <c r="W918" s="2"/>
      <c r="X918" s="2"/>
      <c r="Y918" s="2"/>
      <c r="Z918" s="2"/>
    </row>
    <row r="919" ht="13.5" customHeight="1">
      <c r="A919" s="2"/>
      <c r="B919" s="2"/>
      <c r="C919" s="2"/>
      <c r="D919" s="2"/>
      <c r="E919" s="2"/>
      <c r="F919" s="2"/>
      <c r="G919" s="2"/>
      <c r="H919" s="2"/>
      <c r="I919" s="2"/>
      <c r="J919" s="28"/>
      <c r="K919" s="181"/>
      <c r="L919" s="2"/>
      <c r="M919" s="2"/>
      <c r="N919" s="2"/>
      <c r="O919" s="2"/>
      <c r="P919" s="2"/>
      <c r="Q919" s="157"/>
      <c r="R919" s="157"/>
      <c r="S919" s="157"/>
      <c r="T919" s="2"/>
      <c r="U919" s="2"/>
      <c r="V919" s="2"/>
      <c r="W919" s="2"/>
      <c r="X919" s="2"/>
      <c r="Y919" s="2"/>
      <c r="Z919" s="2"/>
    </row>
    <row r="920" ht="13.5" customHeight="1">
      <c r="A920" s="2"/>
      <c r="B920" s="2"/>
      <c r="C920" s="2"/>
      <c r="D920" s="2"/>
      <c r="E920" s="2"/>
      <c r="F920" s="2"/>
      <c r="G920" s="2"/>
      <c r="H920" s="2"/>
      <c r="I920" s="2"/>
      <c r="J920" s="28"/>
      <c r="K920" s="181"/>
      <c r="L920" s="2"/>
      <c r="M920" s="2"/>
      <c r="N920" s="2"/>
      <c r="O920" s="2"/>
      <c r="P920" s="2"/>
      <c r="Q920" s="157"/>
      <c r="R920" s="157"/>
      <c r="S920" s="157"/>
      <c r="T920" s="2"/>
      <c r="U920" s="2"/>
      <c r="V920" s="2"/>
      <c r="W920" s="2"/>
      <c r="X920" s="2"/>
      <c r="Y920" s="2"/>
      <c r="Z920" s="2"/>
    </row>
    <row r="921" ht="13.5" customHeight="1">
      <c r="A921" s="2"/>
      <c r="B921" s="2"/>
      <c r="C921" s="2"/>
      <c r="D921" s="2"/>
      <c r="E921" s="2"/>
      <c r="F921" s="2"/>
      <c r="G921" s="2"/>
      <c r="H921" s="2"/>
      <c r="I921" s="2"/>
      <c r="J921" s="28"/>
      <c r="K921" s="181"/>
      <c r="L921" s="2"/>
      <c r="M921" s="2"/>
      <c r="N921" s="2"/>
      <c r="O921" s="2"/>
      <c r="P921" s="2"/>
      <c r="Q921" s="157"/>
      <c r="R921" s="157"/>
      <c r="S921" s="157"/>
      <c r="T921" s="2"/>
      <c r="U921" s="2"/>
      <c r="V921" s="2"/>
      <c r="W921" s="2"/>
      <c r="X921" s="2"/>
      <c r="Y921" s="2"/>
      <c r="Z921" s="2"/>
    </row>
    <row r="922" ht="13.5" customHeight="1">
      <c r="A922" s="2"/>
      <c r="B922" s="2"/>
      <c r="C922" s="2"/>
      <c r="D922" s="2"/>
      <c r="E922" s="2"/>
      <c r="F922" s="2"/>
      <c r="G922" s="2"/>
      <c r="H922" s="2"/>
      <c r="I922" s="2"/>
      <c r="J922" s="28"/>
      <c r="K922" s="181"/>
      <c r="L922" s="2"/>
      <c r="M922" s="2"/>
      <c r="N922" s="2"/>
      <c r="O922" s="2"/>
      <c r="P922" s="2"/>
      <c r="Q922" s="157"/>
      <c r="R922" s="157"/>
      <c r="S922" s="157"/>
      <c r="T922" s="2"/>
      <c r="U922" s="2"/>
      <c r="V922" s="2"/>
      <c r="W922" s="2"/>
      <c r="X922" s="2"/>
      <c r="Y922" s="2"/>
      <c r="Z922" s="2"/>
    </row>
    <row r="923" ht="13.5" customHeight="1">
      <c r="A923" s="2"/>
      <c r="B923" s="2"/>
      <c r="C923" s="2"/>
      <c r="D923" s="2"/>
      <c r="E923" s="2"/>
      <c r="F923" s="2"/>
      <c r="G923" s="2"/>
      <c r="H923" s="2"/>
      <c r="I923" s="2"/>
      <c r="J923" s="28"/>
      <c r="K923" s="181"/>
      <c r="L923" s="2"/>
      <c r="M923" s="2"/>
      <c r="N923" s="2"/>
      <c r="O923" s="2"/>
      <c r="P923" s="2"/>
      <c r="Q923" s="157"/>
      <c r="R923" s="157"/>
      <c r="S923" s="157"/>
      <c r="T923" s="2"/>
      <c r="U923" s="2"/>
      <c r="V923" s="2"/>
      <c r="W923" s="2"/>
      <c r="X923" s="2"/>
      <c r="Y923" s="2"/>
      <c r="Z923" s="2"/>
    </row>
    <row r="924" ht="13.5" customHeight="1">
      <c r="A924" s="2"/>
      <c r="B924" s="2"/>
      <c r="C924" s="2"/>
      <c r="D924" s="2"/>
      <c r="E924" s="2"/>
      <c r="F924" s="2"/>
      <c r="G924" s="2"/>
      <c r="H924" s="2"/>
      <c r="I924" s="2"/>
      <c r="J924" s="28"/>
      <c r="K924" s="181"/>
      <c r="L924" s="2"/>
      <c r="M924" s="2"/>
      <c r="N924" s="2"/>
      <c r="O924" s="2"/>
      <c r="P924" s="2"/>
      <c r="Q924" s="157"/>
      <c r="R924" s="157"/>
      <c r="S924" s="157"/>
      <c r="T924" s="2"/>
      <c r="U924" s="2"/>
      <c r="V924" s="2"/>
      <c r="W924" s="2"/>
      <c r="X924" s="2"/>
      <c r="Y924" s="2"/>
      <c r="Z924" s="2"/>
    </row>
    <row r="925" ht="13.5" customHeight="1">
      <c r="A925" s="2"/>
      <c r="B925" s="2"/>
      <c r="C925" s="2"/>
      <c r="D925" s="2"/>
      <c r="E925" s="2"/>
      <c r="F925" s="2"/>
      <c r="G925" s="2"/>
      <c r="H925" s="2"/>
      <c r="I925" s="2"/>
      <c r="J925" s="28"/>
      <c r="K925" s="181"/>
      <c r="L925" s="2"/>
      <c r="M925" s="2"/>
      <c r="N925" s="2"/>
      <c r="O925" s="2"/>
      <c r="P925" s="2"/>
      <c r="Q925" s="157"/>
      <c r="R925" s="157"/>
      <c r="S925" s="157"/>
      <c r="T925" s="2"/>
      <c r="U925" s="2"/>
      <c r="V925" s="2"/>
      <c r="W925" s="2"/>
      <c r="X925" s="2"/>
      <c r="Y925" s="2"/>
      <c r="Z925" s="2"/>
    </row>
    <row r="926" ht="13.5" customHeight="1">
      <c r="A926" s="2"/>
      <c r="B926" s="2"/>
      <c r="C926" s="2"/>
      <c r="D926" s="2"/>
      <c r="E926" s="2"/>
      <c r="F926" s="2"/>
      <c r="G926" s="2"/>
      <c r="H926" s="2"/>
      <c r="I926" s="2"/>
      <c r="J926" s="28"/>
      <c r="K926" s="181"/>
      <c r="L926" s="2"/>
      <c r="M926" s="2"/>
      <c r="N926" s="2"/>
      <c r="O926" s="2"/>
      <c r="P926" s="2"/>
      <c r="Q926" s="157"/>
      <c r="R926" s="157"/>
      <c r="S926" s="157"/>
      <c r="T926" s="2"/>
      <c r="U926" s="2"/>
      <c r="V926" s="2"/>
      <c r="W926" s="2"/>
      <c r="X926" s="2"/>
      <c r="Y926" s="2"/>
      <c r="Z926" s="2"/>
    </row>
    <row r="927" ht="13.5" customHeight="1">
      <c r="A927" s="2"/>
      <c r="B927" s="2"/>
      <c r="C927" s="2"/>
      <c r="D927" s="2"/>
      <c r="E927" s="2"/>
      <c r="F927" s="2"/>
      <c r="G927" s="2"/>
      <c r="H927" s="2"/>
      <c r="I927" s="2"/>
      <c r="J927" s="28"/>
      <c r="K927" s="181"/>
      <c r="L927" s="2"/>
      <c r="M927" s="2"/>
      <c r="N927" s="2"/>
      <c r="O927" s="2"/>
      <c r="P927" s="2"/>
      <c r="Q927" s="157"/>
      <c r="R927" s="157"/>
      <c r="S927" s="157"/>
      <c r="T927" s="2"/>
      <c r="U927" s="2"/>
      <c r="V927" s="2"/>
      <c r="W927" s="2"/>
      <c r="X927" s="2"/>
      <c r="Y927" s="2"/>
      <c r="Z927" s="2"/>
    </row>
    <row r="928" ht="13.5" customHeight="1">
      <c r="A928" s="2"/>
      <c r="B928" s="2"/>
      <c r="C928" s="2"/>
      <c r="D928" s="2"/>
      <c r="E928" s="2"/>
      <c r="F928" s="2"/>
      <c r="G928" s="2"/>
      <c r="H928" s="2"/>
      <c r="I928" s="2"/>
      <c r="J928" s="28"/>
      <c r="K928" s="181"/>
      <c r="L928" s="2"/>
      <c r="M928" s="2"/>
      <c r="N928" s="2"/>
      <c r="O928" s="2"/>
      <c r="P928" s="2"/>
      <c r="Q928" s="157"/>
      <c r="R928" s="157"/>
      <c r="S928" s="157"/>
      <c r="T928" s="2"/>
      <c r="U928" s="2"/>
      <c r="V928" s="2"/>
      <c r="W928" s="2"/>
      <c r="X928" s="2"/>
      <c r="Y928" s="2"/>
      <c r="Z928" s="2"/>
    </row>
    <row r="929" ht="13.5" customHeight="1">
      <c r="A929" s="2"/>
      <c r="B929" s="2"/>
      <c r="C929" s="2"/>
      <c r="D929" s="2"/>
      <c r="E929" s="2"/>
      <c r="F929" s="2"/>
      <c r="G929" s="2"/>
      <c r="H929" s="2"/>
      <c r="I929" s="2"/>
      <c r="J929" s="28"/>
      <c r="K929" s="181"/>
      <c r="L929" s="2"/>
      <c r="M929" s="2"/>
      <c r="N929" s="2"/>
      <c r="O929" s="2"/>
      <c r="P929" s="2"/>
      <c r="Q929" s="157"/>
      <c r="R929" s="157"/>
      <c r="S929" s="157"/>
      <c r="T929" s="2"/>
      <c r="U929" s="2"/>
      <c r="V929" s="2"/>
      <c r="W929" s="2"/>
      <c r="X929" s="2"/>
      <c r="Y929" s="2"/>
      <c r="Z929" s="2"/>
    </row>
    <row r="930" ht="13.5" customHeight="1">
      <c r="A930" s="2"/>
      <c r="B930" s="2"/>
      <c r="C930" s="2"/>
      <c r="D930" s="2"/>
      <c r="E930" s="2"/>
      <c r="F930" s="2"/>
      <c r="G930" s="2"/>
      <c r="H930" s="2"/>
      <c r="I930" s="2"/>
      <c r="J930" s="28"/>
      <c r="K930" s="181"/>
      <c r="L930" s="2"/>
      <c r="M930" s="2"/>
      <c r="N930" s="2"/>
      <c r="O930" s="2"/>
      <c r="P930" s="2"/>
      <c r="Q930" s="157"/>
      <c r="R930" s="157"/>
      <c r="S930" s="157"/>
      <c r="T930" s="2"/>
      <c r="U930" s="2"/>
      <c r="V930" s="2"/>
      <c r="W930" s="2"/>
      <c r="X930" s="2"/>
      <c r="Y930" s="2"/>
      <c r="Z930" s="2"/>
    </row>
    <row r="931" ht="13.5" customHeight="1">
      <c r="A931" s="2"/>
      <c r="B931" s="2"/>
      <c r="C931" s="2"/>
      <c r="D931" s="2"/>
      <c r="E931" s="2"/>
      <c r="F931" s="2"/>
      <c r="G931" s="2"/>
      <c r="H931" s="2"/>
      <c r="I931" s="2"/>
      <c r="J931" s="28"/>
      <c r="K931" s="181"/>
      <c r="L931" s="2"/>
      <c r="M931" s="2"/>
      <c r="N931" s="2"/>
      <c r="O931" s="2"/>
      <c r="P931" s="2"/>
      <c r="Q931" s="157"/>
      <c r="R931" s="157"/>
      <c r="S931" s="157"/>
      <c r="T931" s="2"/>
      <c r="U931" s="2"/>
      <c r="V931" s="2"/>
      <c r="W931" s="2"/>
      <c r="X931" s="2"/>
      <c r="Y931" s="2"/>
      <c r="Z931" s="2"/>
    </row>
    <row r="932" ht="13.5" customHeight="1">
      <c r="A932" s="2"/>
      <c r="B932" s="2"/>
      <c r="C932" s="2"/>
      <c r="D932" s="2"/>
      <c r="E932" s="2"/>
      <c r="F932" s="2"/>
      <c r="G932" s="2"/>
      <c r="H932" s="2"/>
      <c r="I932" s="2"/>
      <c r="J932" s="28"/>
      <c r="K932" s="181"/>
      <c r="L932" s="2"/>
      <c r="M932" s="2"/>
      <c r="N932" s="2"/>
      <c r="O932" s="2"/>
      <c r="P932" s="2"/>
      <c r="Q932" s="157"/>
      <c r="R932" s="157"/>
      <c r="S932" s="157"/>
      <c r="T932" s="2"/>
      <c r="U932" s="2"/>
      <c r="V932" s="2"/>
      <c r="W932" s="2"/>
      <c r="X932" s="2"/>
      <c r="Y932" s="2"/>
      <c r="Z932" s="2"/>
    </row>
    <row r="933" ht="13.5" customHeight="1">
      <c r="A933" s="2"/>
      <c r="B933" s="2"/>
      <c r="C933" s="2"/>
      <c r="D933" s="2"/>
      <c r="E933" s="2"/>
      <c r="F933" s="2"/>
      <c r="G933" s="2"/>
      <c r="H933" s="2"/>
      <c r="I933" s="2"/>
      <c r="J933" s="28"/>
      <c r="K933" s="181"/>
      <c r="L933" s="2"/>
      <c r="M933" s="2"/>
      <c r="N933" s="2"/>
      <c r="O933" s="2"/>
      <c r="P933" s="2"/>
      <c r="Q933" s="157"/>
      <c r="R933" s="157"/>
      <c r="S933" s="157"/>
      <c r="T933" s="2"/>
      <c r="U933" s="2"/>
      <c r="V933" s="2"/>
      <c r="W933" s="2"/>
      <c r="X933" s="2"/>
      <c r="Y933" s="2"/>
      <c r="Z933" s="2"/>
    </row>
    <row r="934" ht="13.5" customHeight="1">
      <c r="A934" s="2"/>
      <c r="B934" s="2"/>
      <c r="C934" s="2"/>
      <c r="D934" s="2"/>
      <c r="E934" s="2"/>
      <c r="F934" s="2"/>
      <c r="G934" s="2"/>
      <c r="H934" s="2"/>
      <c r="I934" s="2"/>
      <c r="J934" s="28"/>
      <c r="K934" s="181"/>
      <c r="L934" s="2"/>
      <c r="M934" s="2"/>
      <c r="N934" s="2"/>
      <c r="O934" s="2"/>
      <c r="P934" s="2"/>
      <c r="Q934" s="157"/>
      <c r="R934" s="157"/>
      <c r="S934" s="157"/>
      <c r="T934" s="2"/>
      <c r="U934" s="2"/>
      <c r="V934" s="2"/>
      <c r="W934" s="2"/>
      <c r="X934" s="2"/>
      <c r="Y934" s="2"/>
      <c r="Z934" s="2"/>
    </row>
    <row r="935" ht="13.5" customHeight="1">
      <c r="A935" s="2"/>
      <c r="B935" s="2"/>
      <c r="C935" s="2"/>
      <c r="D935" s="2"/>
      <c r="E935" s="2"/>
      <c r="F935" s="2"/>
      <c r="G935" s="2"/>
      <c r="H935" s="2"/>
      <c r="I935" s="2"/>
      <c r="J935" s="28"/>
      <c r="K935" s="181"/>
      <c r="L935" s="2"/>
      <c r="M935" s="2"/>
      <c r="N935" s="2"/>
      <c r="O935" s="2"/>
      <c r="P935" s="2"/>
      <c r="Q935" s="157"/>
      <c r="R935" s="157"/>
      <c r="S935" s="157"/>
      <c r="T935" s="2"/>
      <c r="U935" s="2"/>
      <c r="V935" s="2"/>
      <c r="W935" s="2"/>
      <c r="X935" s="2"/>
      <c r="Y935" s="2"/>
      <c r="Z935" s="2"/>
    </row>
    <row r="936" ht="13.5" customHeight="1">
      <c r="A936" s="2"/>
      <c r="B936" s="2"/>
      <c r="C936" s="2"/>
      <c r="D936" s="2"/>
      <c r="E936" s="2"/>
      <c r="F936" s="2"/>
      <c r="G936" s="2"/>
      <c r="H936" s="2"/>
      <c r="I936" s="2"/>
      <c r="J936" s="28"/>
      <c r="K936" s="181"/>
      <c r="L936" s="2"/>
      <c r="M936" s="2"/>
      <c r="N936" s="2"/>
      <c r="O936" s="2"/>
      <c r="P936" s="2"/>
      <c r="Q936" s="157"/>
      <c r="R936" s="157"/>
      <c r="S936" s="157"/>
      <c r="T936" s="2"/>
      <c r="U936" s="2"/>
      <c r="V936" s="2"/>
      <c r="W936" s="2"/>
      <c r="X936" s="2"/>
      <c r="Y936" s="2"/>
      <c r="Z936" s="2"/>
    </row>
    <row r="937" ht="13.5" customHeight="1">
      <c r="A937" s="2"/>
      <c r="B937" s="2"/>
      <c r="C937" s="2"/>
      <c r="D937" s="2"/>
      <c r="E937" s="2"/>
      <c r="F937" s="2"/>
      <c r="G937" s="2"/>
      <c r="H937" s="2"/>
      <c r="I937" s="2"/>
      <c r="J937" s="28"/>
      <c r="K937" s="181"/>
      <c r="L937" s="2"/>
      <c r="M937" s="2"/>
      <c r="N937" s="2"/>
      <c r="O937" s="2"/>
      <c r="P937" s="2"/>
      <c r="Q937" s="157"/>
      <c r="R937" s="157"/>
      <c r="S937" s="157"/>
      <c r="T937" s="2"/>
      <c r="U937" s="2"/>
      <c r="V937" s="2"/>
      <c r="W937" s="2"/>
      <c r="X937" s="2"/>
      <c r="Y937" s="2"/>
      <c r="Z937" s="2"/>
    </row>
    <row r="938" ht="13.5" customHeight="1">
      <c r="A938" s="2"/>
      <c r="B938" s="2"/>
      <c r="C938" s="2"/>
      <c r="D938" s="2"/>
      <c r="E938" s="2"/>
      <c r="F938" s="2"/>
      <c r="G938" s="2"/>
      <c r="H938" s="2"/>
      <c r="I938" s="2"/>
      <c r="J938" s="28"/>
      <c r="K938" s="181"/>
      <c r="L938" s="2"/>
      <c r="M938" s="2"/>
      <c r="N938" s="2"/>
      <c r="O938" s="2"/>
      <c r="P938" s="2"/>
      <c r="Q938" s="157"/>
      <c r="R938" s="157"/>
      <c r="S938" s="157"/>
      <c r="T938" s="2"/>
      <c r="U938" s="2"/>
      <c r="V938" s="2"/>
      <c r="W938" s="2"/>
      <c r="X938" s="2"/>
      <c r="Y938" s="2"/>
      <c r="Z938" s="2"/>
    </row>
    <row r="939" ht="13.5" customHeight="1">
      <c r="A939" s="2"/>
      <c r="B939" s="2"/>
      <c r="C939" s="2"/>
      <c r="D939" s="2"/>
      <c r="E939" s="2"/>
      <c r="F939" s="2"/>
      <c r="G939" s="2"/>
      <c r="H939" s="2"/>
      <c r="I939" s="2"/>
      <c r="J939" s="28"/>
      <c r="K939" s="181"/>
      <c r="L939" s="2"/>
      <c r="M939" s="2"/>
      <c r="N939" s="2"/>
      <c r="O939" s="2"/>
      <c r="P939" s="2"/>
      <c r="Q939" s="157"/>
      <c r="R939" s="157"/>
      <c r="S939" s="157"/>
      <c r="T939" s="2"/>
      <c r="U939" s="2"/>
      <c r="V939" s="2"/>
      <c r="W939" s="2"/>
      <c r="X939" s="2"/>
      <c r="Y939" s="2"/>
      <c r="Z939" s="2"/>
    </row>
    <row r="940" ht="13.5" customHeight="1">
      <c r="A940" s="2"/>
      <c r="B940" s="2"/>
      <c r="C940" s="2"/>
      <c r="D940" s="2"/>
      <c r="E940" s="2"/>
      <c r="F940" s="2"/>
      <c r="G940" s="2"/>
      <c r="H940" s="2"/>
      <c r="I940" s="2"/>
      <c r="J940" s="28"/>
      <c r="K940" s="181"/>
      <c r="L940" s="2"/>
      <c r="M940" s="2"/>
      <c r="N940" s="2"/>
      <c r="O940" s="2"/>
      <c r="P940" s="2"/>
      <c r="Q940" s="157"/>
      <c r="R940" s="157"/>
      <c r="S940" s="157"/>
      <c r="T940" s="2"/>
      <c r="U940" s="2"/>
      <c r="V940" s="2"/>
      <c r="W940" s="2"/>
      <c r="X940" s="2"/>
      <c r="Y940" s="2"/>
      <c r="Z940" s="2"/>
    </row>
    <row r="941" ht="13.5" customHeight="1">
      <c r="A941" s="2"/>
      <c r="B941" s="2"/>
      <c r="C941" s="2"/>
      <c r="D941" s="2"/>
      <c r="E941" s="2"/>
      <c r="F941" s="2"/>
      <c r="G941" s="2"/>
      <c r="H941" s="2"/>
      <c r="I941" s="2"/>
      <c r="J941" s="28"/>
      <c r="K941" s="181"/>
      <c r="L941" s="2"/>
      <c r="M941" s="2"/>
      <c r="N941" s="2"/>
      <c r="O941" s="2"/>
      <c r="P941" s="2"/>
      <c r="Q941" s="157"/>
      <c r="R941" s="157"/>
      <c r="S941" s="157"/>
      <c r="T941" s="2"/>
      <c r="U941" s="2"/>
      <c r="V941" s="2"/>
      <c r="W941" s="2"/>
      <c r="X941" s="2"/>
      <c r="Y941" s="2"/>
      <c r="Z941" s="2"/>
    </row>
    <row r="942" ht="13.5" customHeight="1">
      <c r="A942" s="2"/>
      <c r="B942" s="2"/>
      <c r="C942" s="2"/>
      <c r="D942" s="2"/>
      <c r="E942" s="2"/>
      <c r="F942" s="2"/>
      <c r="G942" s="2"/>
      <c r="H942" s="2"/>
      <c r="I942" s="2"/>
      <c r="J942" s="28"/>
      <c r="K942" s="181"/>
      <c r="L942" s="2"/>
      <c r="M942" s="2"/>
      <c r="N942" s="2"/>
      <c r="O942" s="2"/>
      <c r="P942" s="2"/>
      <c r="Q942" s="157"/>
      <c r="R942" s="157"/>
      <c r="S942" s="157"/>
      <c r="T942" s="2"/>
      <c r="U942" s="2"/>
      <c r="V942" s="2"/>
      <c r="W942" s="2"/>
      <c r="X942" s="2"/>
      <c r="Y942" s="2"/>
      <c r="Z942" s="2"/>
    </row>
    <row r="943" ht="13.5" customHeight="1">
      <c r="A943" s="2"/>
      <c r="B943" s="2"/>
      <c r="C943" s="2"/>
      <c r="D943" s="2"/>
      <c r="E943" s="2"/>
      <c r="F943" s="2"/>
      <c r="G943" s="2"/>
      <c r="H943" s="2"/>
      <c r="I943" s="2"/>
      <c r="J943" s="28"/>
      <c r="K943" s="181"/>
      <c r="L943" s="2"/>
      <c r="M943" s="2"/>
      <c r="N943" s="2"/>
      <c r="O943" s="2"/>
      <c r="P943" s="2"/>
      <c r="Q943" s="157"/>
      <c r="R943" s="157"/>
      <c r="S943" s="157"/>
      <c r="T943" s="2"/>
      <c r="U943" s="2"/>
      <c r="V943" s="2"/>
      <c r="W943" s="2"/>
      <c r="X943" s="2"/>
      <c r="Y943" s="2"/>
      <c r="Z943" s="2"/>
    </row>
    <row r="944" ht="13.5" customHeight="1">
      <c r="A944" s="2"/>
      <c r="B944" s="2"/>
      <c r="C944" s="2"/>
      <c r="D944" s="2"/>
      <c r="E944" s="2"/>
      <c r="F944" s="2"/>
      <c r="G944" s="2"/>
      <c r="H944" s="2"/>
      <c r="I944" s="2"/>
      <c r="J944" s="28"/>
      <c r="K944" s="181"/>
      <c r="L944" s="2"/>
      <c r="M944" s="2"/>
      <c r="N944" s="2"/>
      <c r="O944" s="2"/>
      <c r="P944" s="2"/>
      <c r="Q944" s="157"/>
      <c r="R944" s="157"/>
      <c r="S944" s="157"/>
      <c r="T944" s="2"/>
      <c r="U944" s="2"/>
      <c r="V944" s="2"/>
      <c r="W944" s="2"/>
      <c r="X944" s="2"/>
      <c r="Y944" s="2"/>
      <c r="Z944" s="2"/>
    </row>
    <row r="945" ht="13.5" customHeight="1">
      <c r="A945" s="2"/>
      <c r="B945" s="2"/>
      <c r="C945" s="2"/>
      <c r="D945" s="2"/>
      <c r="E945" s="2"/>
      <c r="F945" s="2"/>
      <c r="G945" s="2"/>
      <c r="H945" s="2"/>
      <c r="I945" s="2"/>
      <c r="J945" s="28"/>
      <c r="K945" s="181"/>
      <c r="L945" s="2"/>
      <c r="M945" s="2"/>
      <c r="N945" s="2"/>
      <c r="O945" s="2"/>
      <c r="P945" s="2"/>
      <c r="Q945" s="157"/>
      <c r="R945" s="157"/>
      <c r="S945" s="157"/>
      <c r="T945" s="2"/>
      <c r="U945" s="2"/>
      <c r="V945" s="2"/>
      <c r="W945" s="2"/>
      <c r="X945" s="2"/>
      <c r="Y945" s="2"/>
      <c r="Z945" s="2"/>
    </row>
    <row r="946" ht="13.5" customHeight="1">
      <c r="A946" s="2"/>
      <c r="B946" s="2"/>
      <c r="C946" s="2"/>
      <c r="D946" s="2"/>
      <c r="E946" s="2"/>
      <c r="F946" s="2"/>
      <c r="G946" s="2"/>
      <c r="H946" s="2"/>
      <c r="I946" s="2"/>
      <c r="J946" s="28"/>
      <c r="K946" s="181"/>
      <c r="L946" s="2"/>
      <c r="M946" s="2"/>
      <c r="N946" s="2"/>
      <c r="O946" s="2"/>
      <c r="P946" s="2"/>
      <c r="Q946" s="157"/>
      <c r="R946" s="157"/>
      <c r="S946" s="157"/>
      <c r="T946" s="2"/>
      <c r="U946" s="2"/>
      <c r="V946" s="2"/>
      <c r="W946" s="2"/>
      <c r="X946" s="2"/>
      <c r="Y946" s="2"/>
      <c r="Z946" s="2"/>
    </row>
    <row r="947" ht="13.5" customHeight="1">
      <c r="A947" s="2"/>
      <c r="B947" s="2"/>
      <c r="C947" s="2"/>
      <c r="D947" s="2"/>
      <c r="E947" s="2"/>
      <c r="F947" s="2"/>
      <c r="G947" s="2"/>
      <c r="H947" s="2"/>
      <c r="I947" s="2"/>
      <c r="J947" s="28"/>
      <c r="K947" s="181"/>
      <c r="L947" s="2"/>
      <c r="M947" s="2"/>
      <c r="N947" s="2"/>
      <c r="O947" s="2"/>
      <c r="P947" s="2"/>
      <c r="Q947" s="157"/>
      <c r="R947" s="157"/>
      <c r="S947" s="157"/>
      <c r="T947" s="2"/>
      <c r="U947" s="2"/>
      <c r="V947" s="2"/>
      <c r="W947" s="2"/>
      <c r="X947" s="2"/>
      <c r="Y947" s="2"/>
      <c r="Z947" s="2"/>
    </row>
    <row r="948" ht="13.5" customHeight="1">
      <c r="A948" s="2"/>
      <c r="B948" s="2"/>
      <c r="C948" s="2"/>
      <c r="D948" s="2"/>
      <c r="E948" s="2"/>
      <c r="F948" s="2"/>
      <c r="G948" s="2"/>
      <c r="H948" s="2"/>
      <c r="I948" s="2"/>
      <c r="J948" s="28"/>
      <c r="K948" s="181"/>
      <c r="L948" s="2"/>
      <c r="M948" s="2"/>
      <c r="N948" s="2"/>
      <c r="O948" s="2"/>
      <c r="P948" s="2"/>
      <c r="Q948" s="157"/>
      <c r="R948" s="157"/>
      <c r="S948" s="157"/>
      <c r="T948" s="2"/>
      <c r="U948" s="2"/>
      <c r="V948" s="2"/>
      <c r="W948" s="2"/>
      <c r="X948" s="2"/>
      <c r="Y948" s="2"/>
      <c r="Z948" s="2"/>
    </row>
    <row r="949" ht="13.5" customHeight="1">
      <c r="A949" s="2"/>
      <c r="B949" s="2"/>
      <c r="C949" s="2"/>
      <c r="D949" s="2"/>
      <c r="E949" s="2"/>
      <c r="F949" s="2"/>
      <c r="G949" s="2"/>
      <c r="H949" s="2"/>
      <c r="I949" s="2"/>
      <c r="J949" s="28"/>
      <c r="K949" s="181"/>
      <c r="L949" s="2"/>
      <c r="M949" s="2"/>
      <c r="N949" s="2"/>
      <c r="O949" s="2"/>
      <c r="P949" s="2"/>
      <c r="Q949" s="157"/>
      <c r="R949" s="157"/>
      <c r="S949" s="157"/>
      <c r="T949" s="2"/>
      <c r="U949" s="2"/>
      <c r="V949" s="2"/>
      <c r="W949" s="2"/>
      <c r="X949" s="2"/>
      <c r="Y949" s="2"/>
      <c r="Z949" s="2"/>
    </row>
    <row r="950" ht="13.5" customHeight="1">
      <c r="A950" s="2"/>
      <c r="B950" s="2"/>
      <c r="C950" s="2"/>
      <c r="D950" s="2"/>
      <c r="E950" s="2"/>
      <c r="F950" s="2"/>
      <c r="G950" s="2"/>
      <c r="H950" s="2"/>
      <c r="I950" s="2"/>
      <c r="J950" s="28"/>
      <c r="K950" s="181"/>
      <c r="L950" s="2"/>
      <c r="M950" s="2"/>
      <c r="N950" s="2"/>
      <c r="O950" s="2"/>
      <c r="P950" s="2"/>
      <c r="Q950" s="157"/>
      <c r="R950" s="157"/>
      <c r="S950" s="157"/>
      <c r="T950" s="2"/>
      <c r="U950" s="2"/>
      <c r="V950" s="2"/>
      <c r="W950" s="2"/>
      <c r="X950" s="2"/>
      <c r="Y950" s="2"/>
      <c r="Z950" s="2"/>
    </row>
    <row r="951" ht="13.5" customHeight="1">
      <c r="A951" s="2"/>
      <c r="B951" s="2"/>
      <c r="C951" s="2"/>
      <c r="D951" s="2"/>
      <c r="E951" s="2"/>
      <c r="F951" s="2"/>
      <c r="G951" s="2"/>
      <c r="H951" s="2"/>
      <c r="I951" s="2"/>
      <c r="J951" s="28"/>
      <c r="K951" s="181"/>
      <c r="L951" s="2"/>
      <c r="M951" s="2"/>
      <c r="N951" s="2"/>
      <c r="O951" s="2"/>
      <c r="P951" s="2"/>
      <c r="Q951" s="157"/>
      <c r="R951" s="157"/>
      <c r="S951" s="157"/>
      <c r="T951" s="2"/>
      <c r="U951" s="2"/>
      <c r="V951" s="2"/>
      <c r="W951" s="2"/>
      <c r="X951" s="2"/>
      <c r="Y951" s="2"/>
      <c r="Z951" s="2"/>
    </row>
    <row r="952" ht="13.5" customHeight="1">
      <c r="A952" s="2"/>
      <c r="B952" s="2"/>
      <c r="C952" s="2"/>
      <c r="D952" s="2"/>
      <c r="E952" s="2"/>
      <c r="F952" s="2"/>
      <c r="G952" s="2"/>
      <c r="H952" s="2"/>
      <c r="I952" s="2"/>
      <c r="J952" s="28"/>
      <c r="K952" s="181"/>
      <c r="L952" s="2"/>
      <c r="M952" s="2"/>
      <c r="N952" s="2"/>
      <c r="O952" s="2"/>
      <c r="P952" s="2"/>
      <c r="Q952" s="157"/>
      <c r="R952" s="157"/>
      <c r="S952" s="157"/>
      <c r="T952" s="2"/>
      <c r="U952" s="2"/>
      <c r="V952" s="2"/>
      <c r="W952" s="2"/>
      <c r="X952" s="2"/>
      <c r="Y952" s="2"/>
      <c r="Z952" s="2"/>
    </row>
    <row r="953" ht="13.5" customHeight="1">
      <c r="A953" s="2"/>
      <c r="B953" s="2"/>
      <c r="C953" s="2"/>
      <c r="D953" s="2"/>
      <c r="E953" s="2"/>
      <c r="F953" s="2"/>
      <c r="G953" s="2"/>
      <c r="H953" s="2"/>
      <c r="I953" s="2"/>
      <c r="J953" s="28"/>
      <c r="K953" s="181"/>
      <c r="L953" s="2"/>
      <c r="M953" s="2"/>
      <c r="N953" s="2"/>
      <c r="O953" s="2"/>
      <c r="P953" s="2"/>
      <c r="Q953" s="157"/>
      <c r="R953" s="157"/>
      <c r="S953" s="157"/>
      <c r="T953" s="2"/>
      <c r="U953" s="2"/>
      <c r="V953" s="2"/>
      <c r="W953" s="2"/>
      <c r="X953" s="2"/>
      <c r="Y953" s="2"/>
      <c r="Z953" s="2"/>
    </row>
    <row r="954" ht="13.5" customHeight="1">
      <c r="A954" s="2"/>
      <c r="B954" s="2"/>
      <c r="C954" s="2"/>
      <c r="D954" s="2"/>
      <c r="E954" s="2"/>
      <c r="F954" s="2"/>
      <c r="G954" s="2"/>
      <c r="H954" s="2"/>
      <c r="I954" s="2"/>
      <c r="J954" s="28"/>
      <c r="K954" s="181"/>
      <c r="L954" s="2"/>
      <c r="M954" s="2"/>
      <c r="N954" s="2"/>
      <c r="O954" s="2"/>
      <c r="P954" s="2"/>
      <c r="Q954" s="157"/>
      <c r="R954" s="157"/>
      <c r="S954" s="157"/>
      <c r="T954" s="2"/>
      <c r="U954" s="2"/>
      <c r="V954" s="2"/>
      <c r="W954" s="2"/>
      <c r="X954" s="2"/>
      <c r="Y954" s="2"/>
      <c r="Z954" s="2"/>
    </row>
    <row r="955" ht="13.5" customHeight="1">
      <c r="A955" s="2"/>
      <c r="B955" s="2"/>
      <c r="C955" s="2"/>
      <c r="D955" s="2"/>
      <c r="E955" s="2"/>
      <c r="F955" s="2"/>
      <c r="G955" s="2"/>
      <c r="H955" s="2"/>
      <c r="I955" s="2"/>
      <c r="J955" s="28"/>
      <c r="K955" s="181"/>
      <c r="L955" s="2"/>
      <c r="M955" s="2"/>
      <c r="N955" s="2"/>
      <c r="O955" s="2"/>
      <c r="P955" s="2"/>
      <c r="Q955" s="157"/>
      <c r="R955" s="157"/>
      <c r="S955" s="157"/>
      <c r="T955" s="2"/>
      <c r="U955" s="2"/>
      <c r="V955" s="2"/>
      <c r="W955" s="2"/>
      <c r="X955" s="2"/>
      <c r="Y955" s="2"/>
      <c r="Z955" s="2"/>
    </row>
    <row r="956" ht="13.5" customHeight="1">
      <c r="A956" s="2"/>
      <c r="B956" s="2"/>
      <c r="C956" s="2"/>
      <c r="D956" s="2"/>
      <c r="E956" s="2"/>
      <c r="F956" s="2"/>
      <c r="G956" s="2"/>
      <c r="H956" s="2"/>
      <c r="I956" s="2"/>
      <c r="J956" s="28"/>
      <c r="K956" s="181"/>
      <c r="L956" s="2"/>
      <c r="M956" s="2"/>
      <c r="N956" s="2"/>
      <c r="O956" s="2"/>
      <c r="P956" s="2"/>
      <c r="Q956" s="157"/>
      <c r="R956" s="157"/>
      <c r="S956" s="157"/>
      <c r="T956" s="2"/>
      <c r="U956" s="2"/>
      <c r="V956" s="2"/>
      <c r="W956" s="2"/>
      <c r="X956" s="2"/>
      <c r="Y956" s="2"/>
      <c r="Z956" s="2"/>
    </row>
    <row r="957" ht="13.5" customHeight="1">
      <c r="A957" s="2"/>
      <c r="B957" s="2"/>
      <c r="C957" s="2"/>
      <c r="D957" s="2"/>
      <c r="E957" s="2"/>
      <c r="F957" s="2"/>
      <c r="G957" s="2"/>
      <c r="H957" s="2"/>
      <c r="I957" s="2"/>
      <c r="J957" s="28"/>
      <c r="K957" s="181"/>
      <c r="L957" s="2"/>
      <c r="M957" s="2"/>
      <c r="N957" s="2"/>
      <c r="O957" s="2"/>
      <c r="P957" s="2"/>
      <c r="Q957" s="157"/>
      <c r="R957" s="157"/>
      <c r="S957" s="157"/>
      <c r="T957" s="2"/>
      <c r="U957" s="2"/>
      <c r="V957" s="2"/>
      <c r="W957" s="2"/>
      <c r="X957" s="2"/>
      <c r="Y957" s="2"/>
      <c r="Z957" s="2"/>
    </row>
    <row r="958" ht="13.5" customHeight="1">
      <c r="A958" s="2"/>
      <c r="B958" s="2"/>
      <c r="C958" s="2"/>
      <c r="D958" s="2"/>
      <c r="E958" s="2"/>
      <c r="F958" s="2"/>
      <c r="G958" s="2"/>
      <c r="H958" s="2"/>
      <c r="I958" s="2"/>
      <c r="J958" s="28"/>
      <c r="K958" s="181"/>
      <c r="L958" s="2"/>
      <c r="M958" s="2"/>
      <c r="N958" s="2"/>
      <c r="O958" s="2"/>
      <c r="P958" s="2"/>
      <c r="Q958" s="157"/>
      <c r="R958" s="157"/>
      <c r="S958" s="157"/>
      <c r="T958" s="2"/>
      <c r="U958" s="2"/>
      <c r="V958" s="2"/>
      <c r="W958" s="2"/>
      <c r="X958" s="2"/>
      <c r="Y958" s="2"/>
      <c r="Z958" s="2"/>
    </row>
    <row r="959" ht="13.5" customHeight="1">
      <c r="A959" s="2"/>
      <c r="B959" s="2"/>
      <c r="C959" s="2"/>
      <c r="D959" s="2"/>
      <c r="E959" s="2"/>
      <c r="F959" s="2"/>
      <c r="G959" s="2"/>
      <c r="H959" s="2"/>
      <c r="I959" s="2"/>
      <c r="J959" s="28"/>
      <c r="K959" s="181"/>
      <c r="L959" s="2"/>
      <c r="M959" s="2"/>
      <c r="N959" s="2"/>
      <c r="O959" s="2"/>
      <c r="P959" s="2"/>
      <c r="Q959" s="157"/>
      <c r="R959" s="157"/>
      <c r="S959" s="157"/>
      <c r="T959" s="2"/>
      <c r="U959" s="2"/>
      <c r="V959" s="2"/>
      <c r="W959" s="2"/>
      <c r="X959" s="2"/>
      <c r="Y959" s="2"/>
      <c r="Z959" s="2"/>
    </row>
    <row r="960" ht="13.5" customHeight="1">
      <c r="A960" s="2"/>
      <c r="B960" s="2"/>
      <c r="C960" s="2"/>
      <c r="D960" s="2"/>
      <c r="E960" s="2"/>
      <c r="F960" s="2"/>
      <c r="G960" s="2"/>
      <c r="H960" s="2"/>
      <c r="I960" s="2"/>
      <c r="J960" s="28"/>
      <c r="K960" s="181"/>
      <c r="L960" s="2"/>
      <c r="M960" s="2"/>
      <c r="N960" s="2"/>
      <c r="O960" s="2"/>
      <c r="P960" s="2"/>
      <c r="Q960" s="157"/>
      <c r="R960" s="157"/>
      <c r="S960" s="157"/>
      <c r="T960" s="2"/>
      <c r="U960" s="2"/>
      <c r="V960" s="2"/>
      <c r="W960" s="2"/>
      <c r="X960" s="2"/>
      <c r="Y960" s="2"/>
      <c r="Z960" s="2"/>
    </row>
    <row r="961" ht="13.5" customHeight="1">
      <c r="A961" s="2"/>
      <c r="B961" s="2"/>
      <c r="C961" s="2"/>
      <c r="D961" s="2"/>
      <c r="E961" s="2"/>
      <c r="F961" s="2"/>
      <c r="G961" s="2"/>
      <c r="H961" s="2"/>
      <c r="I961" s="2"/>
      <c r="J961" s="28"/>
      <c r="K961" s="181"/>
      <c r="L961" s="2"/>
      <c r="M961" s="2"/>
      <c r="N961" s="2"/>
      <c r="O961" s="2"/>
      <c r="P961" s="2"/>
      <c r="Q961" s="157"/>
      <c r="R961" s="157"/>
      <c r="S961" s="157"/>
      <c r="T961" s="2"/>
      <c r="U961" s="2"/>
      <c r="V961" s="2"/>
      <c r="W961" s="2"/>
      <c r="X961" s="2"/>
      <c r="Y961" s="2"/>
      <c r="Z961" s="2"/>
    </row>
    <row r="962" ht="13.5" customHeight="1">
      <c r="A962" s="2"/>
      <c r="B962" s="2"/>
      <c r="C962" s="2"/>
      <c r="D962" s="2"/>
      <c r="E962" s="2"/>
      <c r="F962" s="2"/>
      <c r="G962" s="2"/>
      <c r="H962" s="2"/>
      <c r="I962" s="2"/>
      <c r="J962" s="28"/>
      <c r="K962" s="181"/>
      <c r="L962" s="2"/>
      <c r="M962" s="2"/>
      <c r="N962" s="2"/>
      <c r="O962" s="2"/>
      <c r="P962" s="2"/>
      <c r="Q962" s="157"/>
      <c r="R962" s="157"/>
      <c r="S962" s="157"/>
      <c r="T962" s="2"/>
      <c r="U962" s="2"/>
      <c r="V962" s="2"/>
      <c r="W962" s="2"/>
      <c r="X962" s="2"/>
      <c r="Y962" s="2"/>
      <c r="Z962" s="2"/>
    </row>
    <row r="963" ht="13.5" customHeight="1">
      <c r="A963" s="2"/>
      <c r="B963" s="2"/>
      <c r="C963" s="2"/>
      <c r="D963" s="2"/>
      <c r="E963" s="2"/>
      <c r="F963" s="2"/>
      <c r="G963" s="2"/>
      <c r="H963" s="2"/>
      <c r="I963" s="2"/>
      <c r="J963" s="28"/>
      <c r="K963" s="181"/>
      <c r="L963" s="2"/>
      <c r="M963" s="2"/>
      <c r="N963" s="2"/>
      <c r="O963" s="2"/>
      <c r="P963" s="2"/>
      <c r="Q963" s="157"/>
      <c r="R963" s="157"/>
      <c r="S963" s="157"/>
      <c r="T963" s="2"/>
      <c r="U963" s="2"/>
      <c r="V963" s="2"/>
      <c r="W963" s="2"/>
      <c r="X963" s="2"/>
      <c r="Y963" s="2"/>
      <c r="Z963" s="2"/>
    </row>
    <row r="964" ht="13.5" customHeight="1">
      <c r="A964" s="2"/>
      <c r="B964" s="2"/>
      <c r="C964" s="2"/>
      <c r="D964" s="2"/>
      <c r="E964" s="2"/>
      <c r="F964" s="2"/>
      <c r="G964" s="2"/>
      <c r="H964" s="2"/>
      <c r="I964" s="2"/>
      <c r="J964" s="28"/>
      <c r="K964" s="181"/>
      <c r="L964" s="2"/>
      <c r="M964" s="2"/>
      <c r="N964" s="2"/>
      <c r="O964" s="2"/>
      <c r="P964" s="2"/>
      <c r="Q964" s="157"/>
      <c r="R964" s="157"/>
      <c r="S964" s="157"/>
      <c r="T964" s="2"/>
      <c r="U964" s="2"/>
      <c r="V964" s="2"/>
      <c r="W964" s="2"/>
      <c r="X964" s="2"/>
      <c r="Y964" s="2"/>
      <c r="Z964" s="2"/>
    </row>
    <row r="965" ht="13.5" customHeight="1">
      <c r="A965" s="2"/>
      <c r="B965" s="2"/>
      <c r="C965" s="2"/>
      <c r="D965" s="2"/>
      <c r="E965" s="2"/>
      <c r="F965" s="2"/>
      <c r="G965" s="2"/>
      <c r="H965" s="2"/>
      <c r="I965" s="2"/>
      <c r="J965" s="28"/>
      <c r="K965" s="181"/>
      <c r="L965" s="2"/>
      <c r="M965" s="2"/>
      <c r="N965" s="2"/>
      <c r="O965" s="2"/>
      <c r="P965" s="2"/>
      <c r="Q965" s="157"/>
      <c r="R965" s="157"/>
      <c r="S965" s="157"/>
      <c r="T965" s="2"/>
      <c r="U965" s="2"/>
      <c r="V965" s="2"/>
      <c r="W965" s="2"/>
      <c r="X965" s="2"/>
      <c r="Y965" s="2"/>
      <c r="Z965" s="2"/>
    </row>
    <row r="966" ht="13.5" customHeight="1">
      <c r="A966" s="2"/>
      <c r="B966" s="2"/>
      <c r="C966" s="2"/>
      <c r="D966" s="2"/>
      <c r="E966" s="2"/>
      <c r="F966" s="2"/>
      <c r="G966" s="2"/>
      <c r="H966" s="2"/>
      <c r="I966" s="2"/>
      <c r="J966" s="28"/>
      <c r="K966" s="181"/>
      <c r="L966" s="2"/>
      <c r="M966" s="2"/>
      <c r="N966" s="2"/>
      <c r="O966" s="2"/>
      <c r="P966" s="2"/>
      <c r="Q966" s="157"/>
      <c r="R966" s="157"/>
      <c r="S966" s="157"/>
      <c r="T966" s="2"/>
      <c r="U966" s="2"/>
      <c r="V966" s="2"/>
      <c r="W966" s="2"/>
      <c r="X966" s="2"/>
      <c r="Y966" s="2"/>
      <c r="Z966" s="2"/>
    </row>
    <row r="967" ht="13.5" customHeight="1">
      <c r="A967" s="2"/>
      <c r="B967" s="2"/>
      <c r="C967" s="2"/>
      <c r="D967" s="2"/>
      <c r="E967" s="2"/>
      <c r="F967" s="2"/>
      <c r="G967" s="2"/>
      <c r="H967" s="2"/>
      <c r="I967" s="2"/>
      <c r="J967" s="28"/>
      <c r="K967" s="181"/>
      <c r="L967" s="2"/>
      <c r="M967" s="2"/>
      <c r="N967" s="2"/>
      <c r="O967" s="2"/>
      <c r="P967" s="2"/>
      <c r="Q967" s="157"/>
      <c r="R967" s="157"/>
      <c r="S967" s="157"/>
      <c r="T967" s="2"/>
      <c r="U967" s="2"/>
      <c r="V967" s="2"/>
      <c r="W967" s="2"/>
      <c r="X967" s="2"/>
      <c r="Y967" s="2"/>
      <c r="Z967" s="2"/>
    </row>
    <row r="968" ht="13.5" customHeight="1">
      <c r="A968" s="2"/>
      <c r="B968" s="2"/>
      <c r="C968" s="2"/>
      <c r="D968" s="2"/>
      <c r="E968" s="2"/>
      <c r="F968" s="2"/>
      <c r="G968" s="2"/>
      <c r="H968" s="2"/>
      <c r="I968" s="2"/>
      <c r="J968" s="28"/>
      <c r="K968" s="181"/>
      <c r="L968" s="2"/>
      <c r="M968" s="2"/>
      <c r="N968" s="2"/>
      <c r="O968" s="2"/>
      <c r="P968" s="2"/>
      <c r="Q968" s="157"/>
      <c r="R968" s="157"/>
      <c r="S968" s="157"/>
      <c r="T968" s="2"/>
      <c r="U968" s="2"/>
      <c r="V968" s="2"/>
      <c r="W968" s="2"/>
      <c r="X968" s="2"/>
      <c r="Y968" s="2"/>
      <c r="Z968" s="2"/>
    </row>
    <row r="969" ht="13.5" customHeight="1">
      <c r="A969" s="2"/>
      <c r="B969" s="2"/>
      <c r="C969" s="2"/>
      <c r="D969" s="2"/>
      <c r="E969" s="2"/>
      <c r="F969" s="2"/>
      <c r="G969" s="2"/>
      <c r="H969" s="2"/>
      <c r="I969" s="2"/>
      <c r="J969" s="28"/>
      <c r="K969" s="181"/>
      <c r="L969" s="2"/>
      <c r="M969" s="2"/>
      <c r="N969" s="2"/>
      <c r="O969" s="2"/>
      <c r="P969" s="2"/>
      <c r="Q969" s="157"/>
      <c r="R969" s="157"/>
      <c r="S969" s="157"/>
      <c r="T969" s="2"/>
      <c r="U969" s="2"/>
      <c r="V969" s="2"/>
      <c r="W969" s="2"/>
      <c r="X969" s="2"/>
      <c r="Y969" s="2"/>
      <c r="Z969" s="2"/>
    </row>
    <row r="970" ht="13.5" customHeight="1">
      <c r="A970" s="2"/>
      <c r="B970" s="2"/>
      <c r="C970" s="2"/>
      <c r="D970" s="2"/>
      <c r="E970" s="2"/>
      <c r="F970" s="2"/>
      <c r="G970" s="2"/>
      <c r="H970" s="2"/>
      <c r="I970" s="2"/>
      <c r="J970" s="28"/>
      <c r="K970" s="181"/>
      <c r="L970" s="2"/>
      <c r="M970" s="2"/>
      <c r="N970" s="2"/>
      <c r="O970" s="2"/>
      <c r="P970" s="2"/>
      <c r="Q970" s="157"/>
      <c r="R970" s="157"/>
      <c r="S970" s="157"/>
      <c r="T970" s="2"/>
      <c r="U970" s="2"/>
      <c r="V970" s="2"/>
      <c r="W970" s="2"/>
      <c r="X970" s="2"/>
      <c r="Y970" s="2"/>
      <c r="Z970" s="2"/>
    </row>
    <row r="971" ht="13.5" customHeight="1">
      <c r="A971" s="2"/>
      <c r="B971" s="2"/>
      <c r="C971" s="2"/>
      <c r="D971" s="2"/>
      <c r="E971" s="2"/>
      <c r="F971" s="2"/>
      <c r="G971" s="2"/>
      <c r="H971" s="2"/>
      <c r="I971" s="2"/>
      <c r="J971" s="28"/>
      <c r="K971" s="181"/>
      <c r="L971" s="2"/>
      <c r="M971" s="2"/>
      <c r="N971" s="2"/>
      <c r="O971" s="2"/>
      <c r="P971" s="2"/>
      <c r="Q971" s="157"/>
      <c r="R971" s="157"/>
      <c r="S971" s="157"/>
      <c r="T971" s="2"/>
      <c r="U971" s="2"/>
      <c r="V971" s="2"/>
      <c r="W971" s="2"/>
      <c r="X971" s="2"/>
      <c r="Y971" s="2"/>
      <c r="Z971" s="2"/>
    </row>
    <row r="972" ht="13.5" customHeight="1">
      <c r="A972" s="2"/>
      <c r="B972" s="2"/>
      <c r="C972" s="2"/>
      <c r="D972" s="2"/>
      <c r="E972" s="2"/>
      <c r="F972" s="2"/>
      <c r="G972" s="2"/>
      <c r="H972" s="2"/>
      <c r="I972" s="2"/>
      <c r="J972" s="28"/>
      <c r="K972" s="181"/>
      <c r="L972" s="2"/>
      <c r="M972" s="2"/>
      <c r="N972" s="2"/>
      <c r="O972" s="2"/>
      <c r="P972" s="2"/>
      <c r="Q972" s="157"/>
      <c r="R972" s="157"/>
      <c r="S972" s="157"/>
      <c r="T972" s="2"/>
      <c r="U972" s="2"/>
      <c r="V972" s="2"/>
      <c r="W972" s="2"/>
      <c r="X972" s="2"/>
      <c r="Y972" s="2"/>
      <c r="Z972" s="2"/>
    </row>
    <row r="973" ht="13.5" customHeight="1">
      <c r="A973" s="2"/>
      <c r="B973" s="2"/>
      <c r="C973" s="2"/>
      <c r="D973" s="2"/>
      <c r="E973" s="2"/>
      <c r="F973" s="2"/>
      <c r="G973" s="2"/>
      <c r="H973" s="2"/>
      <c r="I973" s="2"/>
      <c r="J973" s="28"/>
      <c r="K973" s="181"/>
      <c r="L973" s="2"/>
      <c r="M973" s="2"/>
      <c r="N973" s="2"/>
      <c r="O973" s="2"/>
      <c r="P973" s="2"/>
      <c r="Q973" s="157"/>
      <c r="R973" s="157"/>
      <c r="S973" s="157"/>
      <c r="T973" s="2"/>
      <c r="U973" s="2"/>
      <c r="V973" s="2"/>
      <c r="W973" s="2"/>
      <c r="X973" s="2"/>
      <c r="Y973" s="2"/>
      <c r="Z973" s="2"/>
    </row>
    <row r="974" ht="13.5" customHeight="1">
      <c r="A974" s="2"/>
      <c r="B974" s="2"/>
      <c r="C974" s="2"/>
      <c r="D974" s="2"/>
      <c r="E974" s="2"/>
      <c r="F974" s="2"/>
      <c r="G974" s="2"/>
      <c r="H974" s="2"/>
      <c r="I974" s="2"/>
      <c r="J974" s="28"/>
      <c r="K974" s="181"/>
      <c r="L974" s="2"/>
      <c r="M974" s="2"/>
      <c r="N974" s="2"/>
      <c r="O974" s="2"/>
      <c r="P974" s="2"/>
      <c r="Q974" s="157"/>
      <c r="R974" s="157"/>
      <c r="S974" s="157"/>
      <c r="T974" s="2"/>
      <c r="U974" s="2"/>
      <c r="V974" s="2"/>
      <c r="W974" s="2"/>
      <c r="X974" s="2"/>
      <c r="Y974" s="2"/>
      <c r="Z974" s="2"/>
    </row>
    <row r="975" ht="13.5" customHeight="1">
      <c r="A975" s="2"/>
      <c r="B975" s="2"/>
      <c r="C975" s="2"/>
      <c r="D975" s="2"/>
      <c r="E975" s="2"/>
      <c r="F975" s="2"/>
      <c r="G975" s="2"/>
      <c r="H975" s="2"/>
      <c r="I975" s="2"/>
      <c r="J975" s="28"/>
      <c r="K975" s="181"/>
      <c r="L975" s="2"/>
      <c r="M975" s="2"/>
      <c r="N975" s="2"/>
      <c r="O975" s="2"/>
      <c r="P975" s="2"/>
      <c r="Q975" s="157"/>
      <c r="R975" s="157"/>
      <c r="S975" s="157"/>
      <c r="T975" s="2"/>
      <c r="U975" s="2"/>
      <c r="V975" s="2"/>
      <c r="W975" s="2"/>
      <c r="X975" s="2"/>
      <c r="Y975" s="2"/>
      <c r="Z975" s="2"/>
    </row>
    <row r="976" ht="13.5" customHeight="1">
      <c r="A976" s="2"/>
      <c r="B976" s="2"/>
      <c r="C976" s="2"/>
      <c r="D976" s="2"/>
      <c r="E976" s="2"/>
      <c r="F976" s="2"/>
      <c r="G976" s="2"/>
      <c r="H976" s="2"/>
      <c r="I976" s="2"/>
      <c r="J976" s="28"/>
      <c r="K976" s="181"/>
      <c r="L976" s="2"/>
      <c r="M976" s="2"/>
      <c r="N976" s="2"/>
      <c r="O976" s="2"/>
      <c r="P976" s="2"/>
      <c r="Q976" s="157"/>
      <c r="R976" s="157"/>
      <c r="S976" s="157"/>
      <c r="T976" s="2"/>
      <c r="U976" s="2"/>
      <c r="V976" s="2"/>
      <c r="W976" s="2"/>
      <c r="X976" s="2"/>
      <c r="Y976" s="2"/>
      <c r="Z976" s="2"/>
    </row>
    <row r="977" ht="13.5" customHeight="1">
      <c r="A977" s="2"/>
      <c r="B977" s="2"/>
      <c r="C977" s="2"/>
      <c r="D977" s="2"/>
      <c r="E977" s="2"/>
      <c r="F977" s="2"/>
      <c r="G977" s="2"/>
      <c r="H977" s="2"/>
      <c r="I977" s="2"/>
      <c r="J977" s="28"/>
      <c r="K977" s="181"/>
      <c r="L977" s="2"/>
      <c r="M977" s="2"/>
      <c r="N977" s="2"/>
      <c r="O977" s="2"/>
      <c r="P977" s="2"/>
      <c r="Q977" s="157"/>
      <c r="R977" s="157"/>
      <c r="S977" s="157"/>
      <c r="T977" s="2"/>
      <c r="U977" s="2"/>
      <c r="V977" s="2"/>
      <c r="W977" s="2"/>
      <c r="X977" s="2"/>
      <c r="Y977" s="2"/>
      <c r="Z977" s="2"/>
    </row>
    <row r="978" ht="13.5" customHeight="1">
      <c r="A978" s="2"/>
      <c r="B978" s="2"/>
      <c r="C978" s="2"/>
      <c r="D978" s="2"/>
      <c r="E978" s="2"/>
      <c r="F978" s="2"/>
      <c r="G978" s="2"/>
      <c r="H978" s="2"/>
      <c r="I978" s="2"/>
      <c r="J978" s="28"/>
      <c r="K978" s="181"/>
      <c r="L978" s="2"/>
      <c r="M978" s="2"/>
      <c r="N978" s="2"/>
      <c r="O978" s="2"/>
      <c r="P978" s="2"/>
      <c r="Q978" s="157"/>
      <c r="R978" s="157"/>
      <c r="S978" s="157"/>
      <c r="T978" s="2"/>
      <c r="U978" s="2"/>
      <c r="V978" s="2"/>
      <c r="W978" s="2"/>
      <c r="X978" s="2"/>
      <c r="Y978" s="2"/>
      <c r="Z978" s="2"/>
    </row>
    <row r="979" ht="13.5" customHeight="1">
      <c r="A979" s="2"/>
      <c r="B979" s="2"/>
      <c r="C979" s="2"/>
      <c r="D979" s="2"/>
      <c r="E979" s="2"/>
      <c r="F979" s="2"/>
      <c r="G979" s="2"/>
      <c r="H979" s="2"/>
      <c r="I979" s="2"/>
      <c r="J979" s="28"/>
      <c r="K979" s="181"/>
      <c r="L979" s="2"/>
      <c r="M979" s="2"/>
      <c r="N979" s="2"/>
      <c r="O979" s="2"/>
      <c r="P979" s="2"/>
      <c r="Q979" s="157"/>
      <c r="R979" s="157"/>
      <c r="S979" s="157"/>
      <c r="T979" s="2"/>
      <c r="U979" s="2"/>
      <c r="V979" s="2"/>
      <c r="W979" s="2"/>
      <c r="X979" s="2"/>
      <c r="Y979" s="2"/>
      <c r="Z979" s="2"/>
    </row>
    <row r="980" ht="13.5" customHeight="1">
      <c r="A980" s="2"/>
      <c r="B980" s="2"/>
      <c r="C980" s="2"/>
      <c r="D980" s="2"/>
      <c r="E980" s="2"/>
      <c r="F980" s="2"/>
      <c r="G980" s="2"/>
      <c r="H980" s="2"/>
      <c r="I980" s="2"/>
      <c r="J980" s="28"/>
      <c r="K980" s="181"/>
      <c r="L980" s="2"/>
      <c r="M980" s="2"/>
      <c r="N980" s="2"/>
      <c r="O980" s="2"/>
      <c r="P980" s="2"/>
      <c r="Q980" s="157"/>
      <c r="R980" s="157"/>
      <c r="S980" s="157"/>
      <c r="T980" s="2"/>
      <c r="U980" s="2"/>
      <c r="V980" s="2"/>
      <c r="W980" s="2"/>
      <c r="X980" s="2"/>
      <c r="Y980" s="2"/>
      <c r="Z980" s="2"/>
    </row>
    <row r="981" ht="13.5" customHeight="1">
      <c r="A981" s="2"/>
      <c r="B981" s="2"/>
      <c r="C981" s="2"/>
      <c r="D981" s="2"/>
      <c r="E981" s="2"/>
      <c r="F981" s="2"/>
      <c r="G981" s="2"/>
      <c r="H981" s="2"/>
      <c r="I981" s="2"/>
      <c r="J981" s="28"/>
      <c r="K981" s="181"/>
      <c r="L981" s="2"/>
      <c r="M981" s="2"/>
      <c r="N981" s="2"/>
      <c r="O981" s="2"/>
      <c r="P981" s="2"/>
      <c r="Q981" s="157"/>
      <c r="R981" s="157"/>
      <c r="S981" s="157"/>
      <c r="T981" s="2"/>
      <c r="U981" s="2"/>
      <c r="V981" s="2"/>
      <c r="W981" s="2"/>
      <c r="X981" s="2"/>
      <c r="Y981" s="2"/>
      <c r="Z981" s="2"/>
    </row>
    <row r="982" ht="13.5" customHeight="1">
      <c r="A982" s="2"/>
      <c r="B982" s="2"/>
      <c r="C982" s="2"/>
      <c r="D982" s="2"/>
      <c r="E982" s="2"/>
      <c r="F982" s="2"/>
      <c r="G982" s="2"/>
      <c r="H982" s="2"/>
      <c r="I982" s="2"/>
      <c r="J982" s="28"/>
      <c r="K982" s="181"/>
      <c r="L982" s="2"/>
      <c r="M982" s="2"/>
      <c r="N982" s="2"/>
      <c r="O982" s="2"/>
      <c r="P982" s="2"/>
      <c r="Q982" s="157"/>
      <c r="R982" s="157"/>
      <c r="S982" s="157"/>
      <c r="T982" s="2"/>
      <c r="U982" s="2"/>
      <c r="V982" s="2"/>
      <c r="W982" s="2"/>
      <c r="X982" s="2"/>
      <c r="Y982" s="2"/>
      <c r="Z982" s="2"/>
    </row>
    <row r="983" ht="13.5" customHeight="1">
      <c r="A983" s="2"/>
      <c r="B983" s="2"/>
      <c r="C983" s="2"/>
      <c r="D983" s="2"/>
      <c r="E983" s="2"/>
      <c r="F983" s="2"/>
      <c r="G983" s="2"/>
      <c r="H983" s="2"/>
      <c r="I983" s="2"/>
      <c r="J983" s="28"/>
      <c r="K983" s="181"/>
      <c r="L983" s="2"/>
      <c r="M983" s="2"/>
      <c r="N983" s="2"/>
      <c r="O983" s="2"/>
      <c r="P983" s="2"/>
      <c r="Q983" s="157"/>
      <c r="R983" s="157"/>
      <c r="S983" s="157"/>
      <c r="T983" s="2"/>
      <c r="U983" s="2"/>
      <c r="V983" s="2"/>
      <c r="W983" s="2"/>
      <c r="X983" s="2"/>
      <c r="Y983" s="2"/>
      <c r="Z983" s="2"/>
    </row>
    <row r="984" ht="13.5" customHeight="1">
      <c r="A984" s="2"/>
      <c r="B984" s="2"/>
      <c r="C984" s="2"/>
      <c r="D984" s="2"/>
      <c r="E984" s="2"/>
      <c r="F984" s="2"/>
      <c r="G984" s="2"/>
      <c r="H984" s="2"/>
      <c r="I984" s="2"/>
      <c r="J984" s="28"/>
      <c r="K984" s="181"/>
      <c r="L984" s="2"/>
      <c r="M984" s="2"/>
      <c r="N984" s="2"/>
      <c r="O984" s="2"/>
      <c r="P984" s="2"/>
      <c r="Q984" s="157"/>
      <c r="R984" s="157"/>
      <c r="S984" s="157"/>
      <c r="T984" s="2"/>
      <c r="U984" s="2"/>
      <c r="V984" s="2"/>
      <c r="W984" s="2"/>
      <c r="X984" s="2"/>
      <c r="Y984" s="2"/>
      <c r="Z984" s="2"/>
    </row>
    <row r="985" ht="13.5" customHeight="1">
      <c r="A985" s="2"/>
      <c r="B985" s="2"/>
      <c r="C985" s="2"/>
      <c r="D985" s="2"/>
      <c r="E985" s="2"/>
      <c r="F985" s="2"/>
      <c r="G985" s="2"/>
      <c r="H985" s="2"/>
      <c r="I985" s="2"/>
      <c r="J985" s="28"/>
      <c r="K985" s="181"/>
      <c r="L985" s="2"/>
      <c r="M985" s="2"/>
      <c r="N985" s="2"/>
      <c r="O985" s="2"/>
      <c r="P985" s="2"/>
      <c r="Q985" s="157"/>
      <c r="R985" s="157"/>
      <c r="S985" s="157"/>
      <c r="T985" s="2"/>
      <c r="U985" s="2"/>
      <c r="V985" s="2"/>
      <c r="W985" s="2"/>
      <c r="X985" s="2"/>
      <c r="Y985" s="2"/>
      <c r="Z985" s="2"/>
    </row>
    <row r="986" ht="13.5" customHeight="1">
      <c r="A986" s="2"/>
      <c r="B986" s="2"/>
      <c r="C986" s="2"/>
      <c r="D986" s="2"/>
      <c r="E986" s="2"/>
      <c r="F986" s="2"/>
      <c r="G986" s="2"/>
      <c r="H986" s="2"/>
      <c r="I986" s="2"/>
      <c r="J986" s="28"/>
      <c r="K986" s="181"/>
      <c r="L986" s="2"/>
      <c r="M986" s="2"/>
      <c r="N986" s="2"/>
      <c r="O986" s="2"/>
      <c r="P986" s="2"/>
      <c r="Q986" s="157"/>
      <c r="R986" s="157"/>
      <c r="S986" s="157"/>
      <c r="T986" s="2"/>
      <c r="U986" s="2"/>
      <c r="V986" s="2"/>
      <c r="W986" s="2"/>
      <c r="X986" s="2"/>
      <c r="Y986" s="2"/>
      <c r="Z986" s="2"/>
    </row>
    <row r="987" ht="13.5" customHeight="1">
      <c r="A987" s="2"/>
      <c r="B987" s="2"/>
      <c r="C987" s="2"/>
      <c r="D987" s="2"/>
      <c r="E987" s="2"/>
      <c r="F987" s="2"/>
      <c r="G987" s="2"/>
      <c r="H987" s="2"/>
      <c r="I987" s="2"/>
      <c r="J987" s="28"/>
      <c r="K987" s="181"/>
      <c r="L987" s="2"/>
      <c r="M987" s="2"/>
      <c r="N987" s="2"/>
      <c r="O987" s="2"/>
      <c r="P987" s="2"/>
      <c r="Q987" s="157"/>
      <c r="R987" s="157"/>
      <c r="S987" s="157"/>
      <c r="T987" s="2"/>
      <c r="U987" s="2"/>
      <c r="V987" s="2"/>
      <c r="W987" s="2"/>
      <c r="X987" s="2"/>
      <c r="Y987" s="2"/>
      <c r="Z987" s="2"/>
    </row>
    <row r="988" ht="13.5" customHeight="1">
      <c r="A988" s="2"/>
      <c r="B988" s="2"/>
      <c r="C988" s="2"/>
      <c r="D988" s="2"/>
      <c r="E988" s="2"/>
      <c r="F988" s="2"/>
      <c r="G988" s="2"/>
      <c r="H988" s="2"/>
      <c r="I988" s="2"/>
      <c r="J988" s="28"/>
      <c r="K988" s="181"/>
      <c r="L988" s="2"/>
      <c r="M988" s="2"/>
      <c r="N988" s="2"/>
      <c r="O988" s="2"/>
      <c r="P988" s="2"/>
      <c r="Q988" s="157"/>
      <c r="R988" s="157"/>
      <c r="S988" s="157"/>
      <c r="T988" s="2"/>
      <c r="U988" s="2"/>
      <c r="V988" s="2"/>
      <c r="W988" s="2"/>
      <c r="X988" s="2"/>
      <c r="Y988" s="2"/>
      <c r="Z988" s="2"/>
    </row>
    <row r="989" ht="13.5" customHeight="1">
      <c r="A989" s="2"/>
      <c r="B989" s="2"/>
      <c r="C989" s="2"/>
      <c r="D989" s="2"/>
      <c r="E989" s="2"/>
      <c r="F989" s="2"/>
      <c r="G989" s="2"/>
      <c r="H989" s="2"/>
      <c r="I989" s="2"/>
      <c r="J989" s="28"/>
      <c r="K989" s="181"/>
      <c r="L989" s="2"/>
      <c r="M989" s="2"/>
      <c r="N989" s="2"/>
      <c r="O989" s="2"/>
      <c r="P989" s="2"/>
      <c r="Q989" s="157"/>
      <c r="R989" s="157"/>
      <c r="S989" s="157"/>
      <c r="T989" s="2"/>
      <c r="U989" s="2"/>
      <c r="V989" s="2"/>
      <c r="W989" s="2"/>
      <c r="X989" s="2"/>
      <c r="Y989" s="2"/>
      <c r="Z989" s="2"/>
    </row>
    <row r="990" ht="13.5" customHeight="1">
      <c r="A990" s="2"/>
      <c r="B990" s="2"/>
      <c r="C990" s="2"/>
      <c r="D990" s="2"/>
      <c r="E990" s="2"/>
      <c r="F990" s="2"/>
      <c r="G990" s="2"/>
      <c r="H990" s="2"/>
      <c r="I990" s="2"/>
      <c r="J990" s="28"/>
      <c r="K990" s="181"/>
      <c r="L990" s="2"/>
      <c r="M990" s="2"/>
      <c r="N990" s="2"/>
      <c r="O990" s="2"/>
      <c r="P990" s="2"/>
      <c r="Q990" s="157"/>
      <c r="R990" s="157"/>
      <c r="S990" s="157"/>
      <c r="T990" s="2"/>
      <c r="U990" s="2"/>
      <c r="V990" s="2"/>
      <c r="W990" s="2"/>
      <c r="X990" s="2"/>
      <c r="Y990" s="2"/>
      <c r="Z990" s="2"/>
    </row>
    <row r="991" ht="13.5" customHeight="1">
      <c r="A991" s="2"/>
      <c r="B991" s="2"/>
      <c r="C991" s="2"/>
      <c r="D991" s="2"/>
      <c r="E991" s="2"/>
      <c r="F991" s="2"/>
      <c r="G991" s="2"/>
      <c r="H991" s="2"/>
      <c r="I991" s="2"/>
      <c r="J991" s="28"/>
      <c r="K991" s="181"/>
      <c r="L991" s="2"/>
      <c r="M991" s="2"/>
      <c r="N991" s="2"/>
      <c r="O991" s="2"/>
      <c r="P991" s="2"/>
      <c r="Q991" s="157"/>
      <c r="R991" s="157"/>
      <c r="S991" s="157"/>
      <c r="T991" s="2"/>
      <c r="U991" s="2"/>
      <c r="V991" s="2"/>
      <c r="W991" s="2"/>
      <c r="X991" s="2"/>
      <c r="Y991" s="2"/>
      <c r="Z991" s="2"/>
    </row>
    <row r="992" ht="13.5" customHeight="1">
      <c r="A992" s="2"/>
      <c r="B992" s="2"/>
      <c r="C992" s="2"/>
      <c r="D992" s="2"/>
      <c r="E992" s="2"/>
      <c r="F992" s="2"/>
      <c r="G992" s="2"/>
      <c r="H992" s="2"/>
      <c r="I992" s="2"/>
      <c r="J992" s="28"/>
      <c r="K992" s="181"/>
      <c r="L992" s="2"/>
      <c r="M992" s="2"/>
      <c r="N992" s="2"/>
      <c r="O992" s="2"/>
      <c r="P992" s="2"/>
      <c r="Q992" s="157"/>
      <c r="R992" s="157"/>
      <c r="S992" s="157"/>
      <c r="T992" s="2"/>
      <c r="U992" s="2"/>
      <c r="V992" s="2"/>
      <c r="W992" s="2"/>
      <c r="X992" s="2"/>
      <c r="Y992" s="2"/>
      <c r="Z992" s="2"/>
    </row>
    <row r="993" ht="13.5" customHeight="1">
      <c r="A993" s="2"/>
      <c r="B993" s="2"/>
      <c r="C993" s="2"/>
      <c r="D993" s="2"/>
      <c r="E993" s="2"/>
      <c r="F993" s="2"/>
      <c r="G993" s="2"/>
      <c r="H993" s="2"/>
      <c r="I993" s="2"/>
      <c r="J993" s="28"/>
      <c r="K993" s="181"/>
      <c r="L993" s="2"/>
      <c r="M993" s="2"/>
      <c r="N993" s="2"/>
      <c r="O993" s="2"/>
      <c r="P993" s="2"/>
      <c r="Q993" s="157"/>
      <c r="R993" s="157"/>
      <c r="S993" s="157"/>
      <c r="T993" s="2"/>
      <c r="U993" s="2"/>
      <c r="V993" s="2"/>
      <c r="W993" s="2"/>
      <c r="X993" s="2"/>
      <c r="Y993" s="2"/>
      <c r="Z993" s="2"/>
    </row>
    <row r="994" ht="13.5" customHeight="1">
      <c r="A994" s="2"/>
      <c r="B994" s="2"/>
      <c r="C994" s="2"/>
      <c r="D994" s="2"/>
      <c r="E994" s="2"/>
      <c r="F994" s="2"/>
      <c r="G994" s="2"/>
      <c r="H994" s="2"/>
      <c r="I994" s="2"/>
      <c r="J994" s="28"/>
      <c r="K994" s="181"/>
      <c r="L994" s="2"/>
      <c r="M994" s="2"/>
      <c r="N994" s="2"/>
      <c r="O994" s="2"/>
      <c r="P994" s="2"/>
      <c r="Q994" s="157"/>
      <c r="R994" s="157"/>
      <c r="S994" s="157"/>
      <c r="T994" s="2"/>
      <c r="U994" s="2"/>
      <c r="V994" s="2"/>
      <c r="W994" s="2"/>
      <c r="X994" s="2"/>
      <c r="Y994" s="2"/>
      <c r="Z994" s="2"/>
    </row>
    <row r="995" ht="13.5" customHeight="1">
      <c r="A995" s="2"/>
      <c r="B995" s="2"/>
      <c r="C995" s="2"/>
      <c r="D995" s="2"/>
      <c r="E995" s="2"/>
      <c r="F995" s="2"/>
      <c r="G995" s="2"/>
      <c r="H995" s="2"/>
      <c r="I995" s="2"/>
      <c r="J995" s="28"/>
      <c r="K995" s="181"/>
      <c r="L995" s="2"/>
      <c r="M995" s="2"/>
      <c r="N995" s="2"/>
      <c r="O995" s="2"/>
      <c r="P995" s="2"/>
      <c r="Q995" s="157"/>
      <c r="R995" s="157"/>
      <c r="S995" s="157"/>
      <c r="T995" s="2"/>
      <c r="U995" s="2"/>
      <c r="V995" s="2"/>
      <c r="W995" s="2"/>
      <c r="X995" s="2"/>
      <c r="Y995" s="2"/>
      <c r="Z995" s="2"/>
    </row>
    <row r="996" ht="13.5" customHeight="1">
      <c r="A996" s="2"/>
      <c r="B996" s="2"/>
      <c r="C996" s="2"/>
      <c r="D996" s="2"/>
      <c r="E996" s="2"/>
      <c r="F996" s="2"/>
      <c r="G996" s="2"/>
      <c r="H996" s="2"/>
      <c r="I996" s="2"/>
      <c r="J996" s="28"/>
      <c r="K996" s="181"/>
      <c r="L996" s="2"/>
      <c r="M996" s="2"/>
      <c r="N996" s="2"/>
      <c r="O996" s="2"/>
      <c r="P996" s="2"/>
      <c r="Q996" s="157"/>
      <c r="R996" s="157"/>
      <c r="S996" s="157"/>
      <c r="T996" s="2"/>
      <c r="U996" s="2"/>
      <c r="V996" s="2"/>
      <c r="W996" s="2"/>
      <c r="X996" s="2"/>
      <c r="Y996" s="2"/>
      <c r="Z996" s="2"/>
    </row>
    <row r="997" ht="13.5" customHeight="1">
      <c r="A997" s="2"/>
      <c r="B997" s="2"/>
      <c r="C997" s="2"/>
      <c r="D997" s="2"/>
      <c r="E997" s="2"/>
      <c r="F997" s="2"/>
      <c r="G997" s="2"/>
      <c r="H997" s="2"/>
      <c r="I997" s="2"/>
      <c r="J997" s="28"/>
      <c r="K997" s="181"/>
      <c r="L997" s="2"/>
      <c r="M997" s="2"/>
      <c r="N997" s="2"/>
      <c r="O997" s="2"/>
      <c r="P997" s="2"/>
      <c r="Q997" s="157"/>
      <c r="R997" s="157"/>
      <c r="S997" s="157"/>
      <c r="T997" s="2"/>
      <c r="U997" s="2"/>
      <c r="V997" s="2"/>
      <c r="W997" s="2"/>
      <c r="X997" s="2"/>
      <c r="Y997" s="2"/>
      <c r="Z997" s="2"/>
    </row>
    <row r="998" ht="13.5" customHeight="1">
      <c r="A998" s="2"/>
      <c r="B998" s="2"/>
      <c r="C998" s="2"/>
      <c r="D998" s="2"/>
      <c r="E998" s="2"/>
      <c r="F998" s="2"/>
      <c r="G998" s="2"/>
      <c r="H998" s="2"/>
      <c r="I998" s="2"/>
      <c r="J998" s="28"/>
      <c r="K998" s="181"/>
      <c r="L998" s="2"/>
      <c r="M998" s="2"/>
      <c r="N998" s="2"/>
      <c r="O998" s="2"/>
      <c r="P998" s="2"/>
      <c r="Q998" s="157"/>
      <c r="R998" s="157"/>
      <c r="S998" s="157"/>
      <c r="T998" s="2"/>
      <c r="U998" s="2"/>
      <c r="V998" s="2"/>
      <c r="W998" s="2"/>
      <c r="X998" s="2"/>
      <c r="Y998" s="2"/>
      <c r="Z998" s="2"/>
    </row>
    <row r="999" ht="13.5" customHeight="1">
      <c r="A999" s="2"/>
      <c r="B999" s="2"/>
      <c r="C999" s="2"/>
      <c r="D999" s="2"/>
      <c r="E999" s="2"/>
      <c r="F999" s="2"/>
      <c r="G999" s="2"/>
      <c r="H999" s="2"/>
      <c r="I999" s="2"/>
      <c r="J999" s="28"/>
      <c r="K999" s="181"/>
      <c r="L999" s="2"/>
      <c r="M999" s="2"/>
      <c r="N999" s="2"/>
      <c r="O999" s="2"/>
      <c r="P999" s="2"/>
      <c r="Q999" s="157"/>
      <c r="R999" s="157"/>
      <c r="S999" s="157"/>
      <c r="T999" s="2"/>
      <c r="U999" s="2"/>
      <c r="V999" s="2"/>
      <c r="W999" s="2"/>
      <c r="X999" s="2"/>
      <c r="Y999" s="2"/>
      <c r="Z999" s="2"/>
    </row>
    <row r="1000" ht="13.5" customHeight="1">
      <c r="A1000" s="2"/>
      <c r="B1000" s="2"/>
      <c r="C1000" s="2"/>
      <c r="D1000" s="2"/>
      <c r="E1000" s="2"/>
      <c r="F1000" s="2"/>
      <c r="G1000" s="2"/>
      <c r="H1000" s="2"/>
      <c r="I1000" s="2"/>
      <c r="J1000" s="28"/>
      <c r="K1000" s="181"/>
      <c r="L1000" s="2"/>
      <c r="M1000" s="2"/>
      <c r="N1000" s="2"/>
      <c r="O1000" s="2"/>
      <c r="P1000" s="2"/>
      <c r="Q1000" s="157"/>
      <c r="R1000" s="157"/>
      <c r="S1000" s="157"/>
      <c r="T1000" s="2"/>
      <c r="U1000" s="2"/>
      <c r="V1000" s="2"/>
      <c r="W1000" s="2"/>
      <c r="X1000" s="2"/>
      <c r="Y1000" s="2"/>
      <c r="Z1000" s="2"/>
    </row>
  </sheetData>
  <mergeCells count="48">
    <mergeCell ref="A1:T1"/>
    <mergeCell ref="A2:C2"/>
    <mergeCell ref="D2:G2"/>
    <mergeCell ref="H2:J2"/>
    <mergeCell ref="K2:O2"/>
    <mergeCell ref="P2:R2"/>
    <mergeCell ref="S2:T2"/>
    <mergeCell ref="K3:O3"/>
    <mergeCell ref="L6:L15"/>
    <mergeCell ref="L16:L22"/>
    <mergeCell ref="L23:L25"/>
    <mergeCell ref="L26:L30"/>
    <mergeCell ref="L31:L42"/>
    <mergeCell ref="L43:L52"/>
    <mergeCell ref="L53:L58"/>
    <mergeCell ref="A3:C3"/>
    <mergeCell ref="D3:G3"/>
    <mergeCell ref="H3:J3"/>
    <mergeCell ref="P3:R3"/>
    <mergeCell ref="S3:T3"/>
    <mergeCell ref="A6:A15"/>
    <mergeCell ref="D6:D15"/>
    <mergeCell ref="B6:B15"/>
    <mergeCell ref="C6:C15"/>
    <mergeCell ref="A16:A22"/>
    <mergeCell ref="B16:B22"/>
    <mergeCell ref="C16:C22"/>
    <mergeCell ref="D16:D22"/>
    <mergeCell ref="A23:A25"/>
    <mergeCell ref="D23:D25"/>
    <mergeCell ref="B31:B42"/>
    <mergeCell ref="C31:C42"/>
    <mergeCell ref="B43:B52"/>
    <mergeCell ref="C43:C52"/>
    <mergeCell ref="D43:D52"/>
    <mergeCell ref="B53:B58"/>
    <mergeCell ref="C53:C58"/>
    <mergeCell ref="D53:D58"/>
    <mergeCell ref="A31:A42"/>
    <mergeCell ref="A43:A52"/>
    <mergeCell ref="A53:A58"/>
    <mergeCell ref="B23:B25"/>
    <mergeCell ref="C23:C25"/>
    <mergeCell ref="A26:A30"/>
    <mergeCell ref="B26:B30"/>
    <mergeCell ref="C26:C30"/>
    <mergeCell ref="D26:D30"/>
    <mergeCell ref="D31:D42"/>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37.75"/>
    <col customWidth="1" min="11" max="11" width="37.25"/>
    <col customWidth="1" hidden="1" min="12" max="12" width="18.88"/>
    <col customWidth="1" hidden="1" min="13" max="13" width="30.75"/>
    <col hidden="1" min="14" max="16" width="12.63"/>
    <col customWidth="1" min="17" max="17" width="12.63"/>
    <col customWidth="1" min="18" max="19" width="15.75"/>
    <col customWidth="1" min="20" max="20" width="20.75"/>
    <col customWidth="1" min="21" max="26" width="12.63"/>
  </cols>
  <sheetData>
    <row r="1" ht="30.0" customHeight="1">
      <c r="A1" s="182" t="s">
        <v>1909</v>
      </c>
      <c r="B1" s="183"/>
      <c r="C1" s="183"/>
      <c r="D1" s="183"/>
      <c r="E1" s="183"/>
      <c r="F1" s="183"/>
      <c r="G1" s="183"/>
      <c r="H1" s="183"/>
      <c r="I1" s="183"/>
      <c r="J1" s="183"/>
      <c r="K1" s="183"/>
      <c r="L1" s="183"/>
      <c r="M1" s="183"/>
      <c r="N1" s="183"/>
      <c r="O1" s="183"/>
      <c r="P1" s="183"/>
      <c r="Q1" s="183"/>
      <c r="R1" s="183"/>
      <c r="S1" s="183"/>
      <c r="T1" s="184"/>
      <c r="U1" s="143"/>
      <c r="V1" s="143"/>
      <c r="W1" s="143"/>
      <c r="X1" s="143"/>
      <c r="Y1" s="143"/>
      <c r="Z1" s="143"/>
    </row>
    <row r="2" ht="19.5" customHeight="1">
      <c r="A2" s="35" t="s">
        <v>38</v>
      </c>
      <c r="B2" s="37"/>
      <c r="C2" s="39"/>
      <c r="D2" s="40" t="s">
        <v>47</v>
      </c>
      <c r="E2" s="37"/>
      <c r="F2" s="37"/>
      <c r="G2" s="39"/>
      <c r="H2" s="35" t="s">
        <v>50</v>
      </c>
      <c r="I2" s="37"/>
      <c r="J2" s="39"/>
      <c r="K2" s="40" t="s">
        <v>2585</v>
      </c>
      <c r="L2" s="37"/>
      <c r="M2" s="37"/>
      <c r="N2" s="37"/>
      <c r="O2" s="39"/>
      <c r="P2" s="35" t="s">
        <v>6</v>
      </c>
      <c r="Q2" s="37"/>
      <c r="R2" s="39"/>
      <c r="S2" s="40" t="s">
        <v>33</v>
      </c>
      <c r="T2" s="39"/>
      <c r="U2" s="143"/>
      <c r="V2" s="143"/>
      <c r="W2" s="143"/>
      <c r="X2" s="143"/>
      <c r="Y2" s="143"/>
      <c r="Z2" s="143"/>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143"/>
      <c r="W3" s="143"/>
      <c r="X3" s="143"/>
      <c r="Y3" s="143"/>
      <c r="Z3" s="143"/>
    </row>
    <row r="4" ht="13.5" customHeight="1">
      <c r="A4" s="49"/>
      <c r="B4" s="49"/>
      <c r="C4" s="49"/>
      <c r="D4" s="49"/>
      <c r="E4" s="49"/>
      <c r="F4" s="49"/>
      <c r="G4" s="49"/>
      <c r="H4" s="49"/>
      <c r="I4" s="49"/>
      <c r="J4" s="49"/>
      <c r="K4" s="49"/>
      <c r="L4" s="49"/>
      <c r="M4" s="49"/>
      <c r="N4" s="49"/>
      <c r="O4" s="49"/>
      <c r="P4" s="49"/>
      <c r="Q4" s="51"/>
      <c r="R4" s="51"/>
      <c r="S4" s="49"/>
      <c r="T4" s="52"/>
      <c r="U4" s="143"/>
      <c r="V4" s="143"/>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8" t="s">
        <v>82</v>
      </c>
      <c r="U5" s="143"/>
      <c r="V5" s="143"/>
      <c r="W5" s="143"/>
      <c r="X5" s="143"/>
      <c r="Y5" s="143"/>
      <c r="Z5" s="143"/>
    </row>
    <row r="6" ht="28.5" customHeight="1">
      <c r="A6" s="59" t="s">
        <v>2585</v>
      </c>
      <c r="B6" s="59" t="s">
        <v>527</v>
      </c>
      <c r="C6" s="60" t="s">
        <v>528</v>
      </c>
      <c r="D6" s="60" t="s">
        <v>2586</v>
      </c>
      <c r="E6" s="61" t="s">
        <v>2587</v>
      </c>
      <c r="F6" s="62" t="s">
        <v>2588</v>
      </c>
      <c r="G6" s="63" t="s">
        <v>2589</v>
      </c>
      <c r="H6" s="61" t="s">
        <v>88</v>
      </c>
      <c r="I6" s="61" t="s">
        <v>60</v>
      </c>
      <c r="J6" s="63" t="s">
        <v>2590</v>
      </c>
      <c r="K6" s="90"/>
      <c r="L6" s="60" t="s">
        <v>2591</v>
      </c>
      <c r="M6" s="61"/>
      <c r="N6" s="61"/>
      <c r="O6" s="61"/>
      <c r="P6" s="61"/>
      <c r="Q6" s="61" t="s">
        <v>93</v>
      </c>
      <c r="R6" s="61" t="s">
        <v>94</v>
      </c>
      <c r="S6" s="61" t="s">
        <v>94</v>
      </c>
      <c r="T6" s="66">
        <v>46246.0</v>
      </c>
      <c r="U6" s="143"/>
      <c r="V6" s="143"/>
      <c r="W6" s="143"/>
      <c r="X6" s="143"/>
      <c r="Y6" s="143"/>
      <c r="Z6" s="143"/>
    </row>
    <row r="7" ht="13.5" customHeight="1">
      <c r="A7" s="67"/>
      <c r="B7" s="67"/>
      <c r="C7" s="67"/>
      <c r="D7" s="67"/>
      <c r="E7" s="61" t="s">
        <v>2592</v>
      </c>
      <c r="F7" s="68"/>
      <c r="G7" s="63" t="s">
        <v>2593</v>
      </c>
      <c r="H7" s="61" t="s">
        <v>88</v>
      </c>
      <c r="I7" s="61" t="s">
        <v>60</v>
      </c>
      <c r="J7" s="63" t="s">
        <v>2594</v>
      </c>
      <c r="K7" s="90"/>
      <c r="L7" s="67"/>
      <c r="M7" s="61"/>
      <c r="N7" s="61"/>
      <c r="O7" s="61"/>
      <c r="P7" s="61"/>
      <c r="Q7" s="61" t="s">
        <v>93</v>
      </c>
      <c r="R7" s="61" t="s">
        <v>94</v>
      </c>
      <c r="S7" s="61" t="s">
        <v>94</v>
      </c>
      <c r="T7" s="66">
        <v>46246.0</v>
      </c>
      <c r="U7" s="143"/>
      <c r="V7" s="143"/>
      <c r="W7" s="143"/>
      <c r="X7" s="143"/>
      <c r="Y7" s="143"/>
      <c r="Z7" s="143"/>
    </row>
    <row r="8" ht="13.5" customHeight="1">
      <c r="A8" s="67"/>
      <c r="B8" s="67"/>
      <c r="C8" s="67"/>
      <c r="D8" s="67"/>
      <c r="E8" s="61" t="s">
        <v>2595</v>
      </c>
      <c r="F8" s="68"/>
      <c r="G8" s="63" t="s">
        <v>2596</v>
      </c>
      <c r="H8" s="61" t="s">
        <v>88</v>
      </c>
      <c r="I8" s="61" t="s">
        <v>60</v>
      </c>
      <c r="J8" s="63" t="s">
        <v>2597</v>
      </c>
      <c r="K8" s="90"/>
      <c r="L8" s="67"/>
      <c r="M8" s="61"/>
      <c r="N8" s="61"/>
      <c r="O8" s="61"/>
      <c r="P8" s="61"/>
      <c r="Q8" s="61" t="s">
        <v>93</v>
      </c>
      <c r="R8" s="61" t="s">
        <v>94</v>
      </c>
      <c r="S8" s="61" t="s">
        <v>94</v>
      </c>
      <c r="T8" s="66">
        <v>46246.0</v>
      </c>
      <c r="U8" s="143"/>
      <c r="V8" s="143"/>
      <c r="W8" s="143"/>
      <c r="X8" s="143"/>
      <c r="Y8" s="143"/>
      <c r="Z8" s="143"/>
    </row>
    <row r="9" ht="13.5" customHeight="1">
      <c r="A9" s="67"/>
      <c r="B9" s="67"/>
      <c r="C9" s="67"/>
      <c r="D9" s="67"/>
      <c r="E9" s="61" t="s">
        <v>2598</v>
      </c>
      <c r="F9" s="62" t="s">
        <v>2599</v>
      </c>
      <c r="G9" s="63" t="s">
        <v>2600</v>
      </c>
      <c r="H9" s="61" t="s">
        <v>88</v>
      </c>
      <c r="I9" s="61" t="s">
        <v>60</v>
      </c>
      <c r="J9" s="63" t="s">
        <v>2601</v>
      </c>
      <c r="K9" s="90"/>
      <c r="L9" s="67"/>
      <c r="M9" s="61"/>
      <c r="N9" s="61"/>
      <c r="O9" s="61"/>
      <c r="P9" s="61"/>
      <c r="Q9" s="61" t="s">
        <v>93</v>
      </c>
      <c r="R9" s="61" t="s">
        <v>94</v>
      </c>
      <c r="S9" s="61" t="s">
        <v>94</v>
      </c>
      <c r="T9" s="66">
        <v>46246.0</v>
      </c>
      <c r="U9" s="143"/>
      <c r="V9" s="143"/>
      <c r="W9" s="143"/>
      <c r="X9" s="143"/>
      <c r="Y9" s="143"/>
      <c r="Z9" s="143"/>
    </row>
    <row r="10" ht="13.5" customHeight="1">
      <c r="A10" s="67"/>
      <c r="B10" s="67"/>
      <c r="C10" s="67"/>
      <c r="D10" s="67"/>
      <c r="E10" s="61" t="s">
        <v>2602</v>
      </c>
      <c r="F10" s="68"/>
      <c r="G10" s="63" t="s">
        <v>2603</v>
      </c>
      <c r="H10" s="61" t="s">
        <v>88</v>
      </c>
      <c r="I10" s="61" t="s">
        <v>60</v>
      </c>
      <c r="J10" s="63" t="s">
        <v>2604</v>
      </c>
      <c r="K10" s="90"/>
      <c r="L10" s="67"/>
      <c r="M10" s="61"/>
      <c r="N10" s="61"/>
      <c r="O10" s="61"/>
      <c r="P10" s="61"/>
      <c r="Q10" s="61" t="s">
        <v>93</v>
      </c>
      <c r="R10" s="61" t="s">
        <v>94</v>
      </c>
      <c r="S10" s="61" t="s">
        <v>94</v>
      </c>
      <c r="T10" s="66">
        <v>46246.0</v>
      </c>
      <c r="U10" s="143"/>
      <c r="V10" s="143"/>
      <c r="W10" s="143"/>
      <c r="X10" s="143"/>
      <c r="Y10" s="143"/>
      <c r="Z10" s="143"/>
    </row>
    <row r="11" ht="13.5" customHeight="1">
      <c r="A11" s="77"/>
      <c r="B11" s="77"/>
      <c r="C11" s="77"/>
      <c r="D11" s="77"/>
      <c r="E11" s="61" t="s">
        <v>2605</v>
      </c>
      <c r="F11" s="68"/>
      <c r="G11" s="63" t="s">
        <v>2606</v>
      </c>
      <c r="H11" s="61" t="s">
        <v>88</v>
      </c>
      <c r="I11" s="61" t="s">
        <v>60</v>
      </c>
      <c r="J11" s="63" t="s">
        <v>2607</v>
      </c>
      <c r="K11" s="90"/>
      <c r="L11" s="77"/>
      <c r="M11" s="61"/>
      <c r="N11" s="61"/>
      <c r="O11" s="61"/>
      <c r="P11" s="61"/>
      <c r="Q11" s="61" t="s">
        <v>93</v>
      </c>
      <c r="R11" s="61" t="s">
        <v>94</v>
      </c>
      <c r="S11" s="61" t="s">
        <v>94</v>
      </c>
      <c r="T11" s="66">
        <v>46246.0</v>
      </c>
      <c r="U11" s="143"/>
      <c r="V11" s="143"/>
      <c r="W11" s="143"/>
      <c r="X11" s="143"/>
      <c r="Y11" s="143"/>
      <c r="Z11" s="143"/>
    </row>
    <row r="12" ht="28.5" customHeight="1">
      <c r="A12" s="78" t="s">
        <v>2585</v>
      </c>
      <c r="B12" s="78" t="s">
        <v>534</v>
      </c>
      <c r="C12" s="79" t="s">
        <v>2608</v>
      </c>
      <c r="D12" s="79" t="s">
        <v>2609</v>
      </c>
      <c r="E12" s="89" t="s">
        <v>2610</v>
      </c>
      <c r="F12" s="70" t="s">
        <v>2611</v>
      </c>
      <c r="G12" s="83" t="s">
        <v>2612</v>
      </c>
      <c r="H12" s="81" t="s">
        <v>88</v>
      </c>
      <c r="I12" s="81" t="s">
        <v>60</v>
      </c>
      <c r="J12" s="83" t="s">
        <v>2613</v>
      </c>
      <c r="K12" s="90"/>
      <c r="L12" s="79" t="s">
        <v>2614</v>
      </c>
      <c r="M12" s="81"/>
      <c r="N12" s="81"/>
      <c r="O12" s="81"/>
      <c r="P12" s="81"/>
      <c r="Q12" s="81" t="s">
        <v>93</v>
      </c>
      <c r="R12" s="81" t="s">
        <v>94</v>
      </c>
      <c r="S12" s="81" t="s">
        <v>94</v>
      </c>
      <c r="T12" s="84">
        <v>46246.0</v>
      </c>
      <c r="U12" s="143"/>
      <c r="V12" s="143"/>
      <c r="W12" s="143"/>
      <c r="X12" s="143"/>
      <c r="Y12" s="143"/>
      <c r="Z12" s="143"/>
    </row>
    <row r="13" ht="13.5" customHeight="1">
      <c r="A13" s="67"/>
      <c r="B13" s="67"/>
      <c r="C13" s="67"/>
      <c r="D13" s="67"/>
      <c r="E13" s="89" t="s">
        <v>2615</v>
      </c>
      <c r="F13" s="70" t="s">
        <v>2616</v>
      </c>
      <c r="G13" s="83" t="s">
        <v>2617</v>
      </c>
      <c r="H13" s="81" t="s">
        <v>88</v>
      </c>
      <c r="I13" s="81" t="s">
        <v>60</v>
      </c>
      <c r="J13" s="83" t="s">
        <v>2618</v>
      </c>
      <c r="K13" s="90"/>
      <c r="L13" s="67"/>
      <c r="M13" s="147"/>
      <c r="N13" s="147"/>
      <c r="O13" s="147"/>
      <c r="P13" s="147"/>
      <c r="Q13" s="147" t="s">
        <v>93</v>
      </c>
      <c r="R13" s="81" t="s">
        <v>94</v>
      </c>
      <c r="S13" s="81" t="s">
        <v>94</v>
      </c>
      <c r="T13" s="84">
        <v>46246.0</v>
      </c>
      <c r="U13" s="143"/>
      <c r="V13" s="143"/>
      <c r="W13" s="143"/>
      <c r="X13" s="143"/>
      <c r="Y13" s="143"/>
      <c r="Z13" s="143"/>
    </row>
    <row r="14" ht="13.5" customHeight="1">
      <c r="A14" s="67"/>
      <c r="B14" s="67"/>
      <c r="C14" s="67"/>
      <c r="D14" s="67"/>
      <c r="E14" s="89" t="s">
        <v>2619</v>
      </c>
      <c r="F14" s="70"/>
      <c r="G14" s="83" t="s">
        <v>2620</v>
      </c>
      <c r="H14" s="81" t="s">
        <v>88</v>
      </c>
      <c r="I14" s="81" t="s">
        <v>60</v>
      </c>
      <c r="J14" s="83" t="s">
        <v>2621</v>
      </c>
      <c r="K14" s="90"/>
      <c r="L14" s="67"/>
      <c r="M14" s="147"/>
      <c r="N14" s="147"/>
      <c r="O14" s="147"/>
      <c r="P14" s="147"/>
      <c r="Q14" s="147" t="s">
        <v>93</v>
      </c>
      <c r="R14" s="147" t="s">
        <v>94</v>
      </c>
      <c r="S14" s="147" t="s">
        <v>94</v>
      </c>
      <c r="T14" s="148">
        <v>46246.0</v>
      </c>
      <c r="U14" s="143"/>
      <c r="V14" s="143"/>
      <c r="W14" s="143"/>
      <c r="X14" s="143"/>
      <c r="Y14" s="143"/>
      <c r="Z14" s="143"/>
    </row>
    <row r="15" ht="202.5" customHeight="1">
      <c r="A15" s="77"/>
      <c r="B15" s="77"/>
      <c r="C15" s="77"/>
      <c r="D15" s="77"/>
      <c r="E15" s="89" t="s">
        <v>2622</v>
      </c>
      <c r="F15" s="70"/>
      <c r="G15" s="83" t="s">
        <v>2623</v>
      </c>
      <c r="H15" s="81" t="s">
        <v>88</v>
      </c>
      <c r="I15" s="81" t="s">
        <v>60</v>
      </c>
      <c r="J15" s="83" t="s">
        <v>2624</v>
      </c>
      <c r="K15" s="90"/>
      <c r="L15" s="77"/>
      <c r="M15" s="147"/>
      <c r="N15" s="147"/>
      <c r="O15" s="147"/>
      <c r="P15" s="147"/>
      <c r="Q15" s="147" t="s">
        <v>93</v>
      </c>
      <c r="R15" s="147" t="s">
        <v>94</v>
      </c>
      <c r="S15" s="147" t="s">
        <v>94</v>
      </c>
      <c r="T15" s="148">
        <v>46246.0</v>
      </c>
      <c r="U15" s="143"/>
      <c r="V15" s="143"/>
      <c r="W15" s="143"/>
      <c r="X15" s="143"/>
      <c r="Y15" s="143"/>
      <c r="Z15" s="143"/>
    </row>
    <row r="16" ht="28.5" customHeight="1">
      <c r="A16" s="59" t="s">
        <v>2585</v>
      </c>
      <c r="B16" s="59" t="s">
        <v>543</v>
      </c>
      <c r="C16" s="60" t="s">
        <v>544</v>
      </c>
      <c r="D16" s="60" t="s">
        <v>2625</v>
      </c>
      <c r="E16" s="61" t="s">
        <v>2626</v>
      </c>
      <c r="F16" s="62" t="s">
        <v>2627</v>
      </c>
      <c r="G16" s="63" t="s">
        <v>2628</v>
      </c>
      <c r="H16" s="61" t="s">
        <v>88</v>
      </c>
      <c r="I16" s="61" t="s">
        <v>60</v>
      </c>
      <c r="J16" s="63" t="s">
        <v>2629</v>
      </c>
      <c r="K16" s="90"/>
      <c r="L16" s="60" t="s">
        <v>2614</v>
      </c>
      <c r="M16" s="61"/>
      <c r="N16" s="61"/>
      <c r="O16" s="61"/>
      <c r="P16" s="61"/>
      <c r="Q16" s="61" t="s">
        <v>93</v>
      </c>
      <c r="R16" s="61" t="s">
        <v>94</v>
      </c>
      <c r="S16" s="61" t="s">
        <v>94</v>
      </c>
      <c r="T16" s="66">
        <v>46246.0</v>
      </c>
      <c r="U16" s="143"/>
      <c r="V16" s="143"/>
      <c r="W16" s="143"/>
      <c r="X16" s="143"/>
      <c r="Y16" s="143"/>
      <c r="Z16" s="143"/>
    </row>
    <row r="17" ht="13.5" customHeight="1">
      <c r="A17" s="67"/>
      <c r="B17" s="67"/>
      <c r="C17" s="67"/>
      <c r="D17" s="67"/>
      <c r="E17" s="61" t="s">
        <v>2630</v>
      </c>
      <c r="F17" s="62"/>
      <c r="G17" s="63" t="s">
        <v>2631</v>
      </c>
      <c r="H17" s="61" t="s">
        <v>88</v>
      </c>
      <c r="I17" s="61" t="s">
        <v>60</v>
      </c>
      <c r="J17" s="63" t="s">
        <v>2632</v>
      </c>
      <c r="K17" s="90"/>
      <c r="L17" s="67"/>
      <c r="M17" s="61"/>
      <c r="N17" s="61"/>
      <c r="O17" s="61"/>
      <c r="P17" s="61"/>
      <c r="Q17" s="61" t="s">
        <v>93</v>
      </c>
      <c r="R17" s="61" t="s">
        <v>94</v>
      </c>
      <c r="S17" s="61" t="s">
        <v>94</v>
      </c>
      <c r="T17" s="66">
        <v>46246.0</v>
      </c>
      <c r="U17" s="143"/>
      <c r="V17" s="143"/>
      <c r="W17" s="143"/>
      <c r="X17" s="143"/>
      <c r="Y17" s="143"/>
      <c r="Z17" s="143"/>
    </row>
    <row r="18" ht="13.5" customHeight="1">
      <c r="A18" s="67"/>
      <c r="B18" s="67"/>
      <c r="C18" s="67"/>
      <c r="D18" s="67"/>
      <c r="E18" s="61" t="s">
        <v>2633</v>
      </c>
      <c r="F18" s="68"/>
      <c r="G18" s="63" t="s">
        <v>2634</v>
      </c>
      <c r="H18" s="61" t="s">
        <v>88</v>
      </c>
      <c r="I18" s="61" t="s">
        <v>60</v>
      </c>
      <c r="J18" s="63" t="s">
        <v>2635</v>
      </c>
      <c r="K18" s="90"/>
      <c r="L18" s="67"/>
      <c r="M18" s="61"/>
      <c r="N18" s="61"/>
      <c r="O18" s="61"/>
      <c r="P18" s="61"/>
      <c r="Q18" s="61" t="s">
        <v>93</v>
      </c>
      <c r="R18" s="61" t="s">
        <v>94</v>
      </c>
      <c r="S18" s="61" t="s">
        <v>94</v>
      </c>
      <c r="T18" s="66">
        <v>46246.0</v>
      </c>
      <c r="U18" s="143"/>
      <c r="V18" s="143"/>
      <c r="W18" s="143"/>
      <c r="X18" s="143"/>
      <c r="Y18" s="143"/>
      <c r="Z18" s="143"/>
    </row>
    <row r="19" ht="275.25" customHeight="1">
      <c r="A19" s="77"/>
      <c r="B19" s="77"/>
      <c r="C19" s="77"/>
      <c r="D19" s="77"/>
      <c r="E19" s="61" t="s">
        <v>2636</v>
      </c>
      <c r="F19" s="68"/>
      <c r="G19" s="63" t="s">
        <v>2637</v>
      </c>
      <c r="H19" s="61" t="s">
        <v>88</v>
      </c>
      <c r="I19" s="61" t="s">
        <v>60</v>
      </c>
      <c r="J19" s="63" t="s">
        <v>2638</v>
      </c>
      <c r="K19" s="90"/>
      <c r="L19" s="77"/>
      <c r="M19" s="61"/>
      <c r="N19" s="61"/>
      <c r="O19" s="61"/>
      <c r="P19" s="61"/>
      <c r="Q19" s="61" t="s">
        <v>93</v>
      </c>
      <c r="R19" s="61" t="s">
        <v>94</v>
      </c>
      <c r="S19" s="61" t="s">
        <v>94</v>
      </c>
      <c r="T19" s="66">
        <v>46246.0</v>
      </c>
      <c r="U19" s="143"/>
      <c r="V19" s="143"/>
      <c r="W19" s="143"/>
      <c r="X19" s="143"/>
      <c r="Y19" s="143"/>
      <c r="Z19" s="143"/>
    </row>
    <row r="20" ht="28.5" customHeight="1">
      <c r="A20" s="78" t="s">
        <v>2585</v>
      </c>
      <c r="B20" s="78" t="s">
        <v>549</v>
      </c>
      <c r="C20" s="79" t="s">
        <v>550</v>
      </c>
      <c r="D20" s="79" t="s">
        <v>2639</v>
      </c>
      <c r="E20" s="89" t="s">
        <v>2640</v>
      </c>
      <c r="F20" s="70" t="s">
        <v>2641</v>
      </c>
      <c r="G20" s="83" t="s">
        <v>2642</v>
      </c>
      <c r="H20" s="81" t="s">
        <v>88</v>
      </c>
      <c r="I20" s="81" t="s">
        <v>60</v>
      </c>
      <c r="J20" s="83" t="s">
        <v>2643</v>
      </c>
      <c r="K20" s="90"/>
      <c r="L20" s="79" t="s">
        <v>2644</v>
      </c>
      <c r="M20" s="147"/>
      <c r="N20" s="147"/>
      <c r="O20" s="147"/>
      <c r="P20" s="147"/>
      <c r="Q20" s="147" t="s">
        <v>93</v>
      </c>
      <c r="R20" s="81" t="s">
        <v>94</v>
      </c>
      <c r="S20" s="81" t="s">
        <v>94</v>
      </c>
      <c r="T20" s="84">
        <v>46246.0</v>
      </c>
      <c r="U20" s="143"/>
      <c r="V20" s="143"/>
      <c r="W20" s="143"/>
      <c r="X20" s="143"/>
      <c r="Y20" s="143"/>
      <c r="Z20" s="143"/>
    </row>
    <row r="21" ht="13.5" customHeight="1">
      <c r="A21" s="67"/>
      <c r="B21" s="67"/>
      <c r="C21" s="67"/>
      <c r="D21" s="67"/>
      <c r="E21" s="89" t="s">
        <v>2645</v>
      </c>
      <c r="F21" s="70"/>
      <c r="G21" s="83" t="s">
        <v>2646</v>
      </c>
      <c r="H21" s="81" t="s">
        <v>88</v>
      </c>
      <c r="I21" s="81" t="s">
        <v>60</v>
      </c>
      <c r="J21" s="83" t="s">
        <v>2647</v>
      </c>
      <c r="K21" s="90"/>
      <c r="L21" s="67"/>
      <c r="M21" s="147"/>
      <c r="N21" s="147"/>
      <c r="O21" s="147"/>
      <c r="P21" s="147"/>
      <c r="Q21" s="147" t="s">
        <v>93</v>
      </c>
      <c r="R21" s="147" t="s">
        <v>94</v>
      </c>
      <c r="S21" s="147" t="s">
        <v>94</v>
      </c>
      <c r="T21" s="148">
        <v>46246.0</v>
      </c>
      <c r="U21" s="143"/>
      <c r="V21" s="143"/>
      <c r="W21" s="143"/>
      <c r="X21" s="143"/>
      <c r="Y21" s="143"/>
      <c r="Z21" s="143"/>
    </row>
    <row r="22" ht="13.5" customHeight="1">
      <c r="A22" s="67"/>
      <c r="B22" s="67"/>
      <c r="C22" s="67"/>
      <c r="D22" s="67"/>
      <c r="E22" s="89" t="s">
        <v>2648</v>
      </c>
      <c r="F22" s="70" t="s">
        <v>2649</v>
      </c>
      <c r="G22" s="83" t="s">
        <v>2650</v>
      </c>
      <c r="H22" s="81" t="s">
        <v>88</v>
      </c>
      <c r="I22" s="81" t="s">
        <v>60</v>
      </c>
      <c r="J22" s="83" t="s">
        <v>2651</v>
      </c>
      <c r="K22" s="90"/>
      <c r="L22" s="67"/>
      <c r="M22" s="147"/>
      <c r="N22" s="147"/>
      <c r="O22" s="147"/>
      <c r="P22" s="147"/>
      <c r="Q22" s="147" t="s">
        <v>93</v>
      </c>
      <c r="R22" s="147" t="s">
        <v>94</v>
      </c>
      <c r="S22" s="147" t="s">
        <v>94</v>
      </c>
      <c r="T22" s="148">
        <v>46246.0</v>
      </c>
      <c r="U22" s="143"/>
      <c r="V22" s="143"/>
      <c r="W22" s="143"/>
      <c r="X22" s="143"/>
      <c r="Y22" s="143"/>
      <c r="Z22" s="143"/>
    </row>
    <row r="23" ht="13.5" customHeight="1">
      <c r="A23" s="67"/>
      <c r="B23" s="67"/>
      <c r="C23" s="67"/>
      <c r="D23" s="67"/>
      <c r="E23" s="89" t="s">
        <v>2652</v>
      </c>
      <c r="F23" s="70"/>
      <c r="G23" s="83" t="s">
        <v>2653</v>
      </c>
      <c r="H23" s="81" t="s">
        <v>88</v>
      </c>
      <c r="I23" s="81" t="s">
        <v>60</v>
      </c>
      <c r="J23" s="83" t="s">
        <v>2654</v>
      </c>
      <c r="K23" s="90"/>
      <c r="L23" s="67"/>
      <c r="M23" s="147"/>
      <c r="N23" s="147"/>
      <c r="O23" s="147"/>
      <c r="P23" s="147"/>
      <c r="Q23" s="147" t="s">
        <v>93</v>
      </c>
      <c r="R23" s="147" t="s">
        <v>94</v>
      </c>
      <c r="S23" s="147" t="s">
        <v>94</v>
      </c>
      <c r="T23" s="148">
        <v>46246.0</v>
      </c>
      <c r="U23" s="143"/>
      <c r="V23" s="143"/>
      <c r="W23" s="143"/>
      <c r="X23" s="143"/>
      <c r="Y23" s="143"/>
      <c r="Z23" s="143"/>
    </row>
    <row r="24" ht="13.5" customHeight="1">
      <c r="A24" s="67"/>
      <c r="B24" s="67"/>
      <c r="C24" s="67"/>
      <c r="D24" s="67"/>
      <c r="E24" s="89" t="s">
        <v>2655</v>
      </c>
      <c r="F24" s="70"/>
      <c r="G24" s="83" t="s">
        <v>2656</v>
      </c>
      <c r="H24" s="81" t="s">
        <v>88</v>
      </c>
      <c r="I24" s="81" t="s">
        <v>60</v>
      </c>
      <c r="J24" s="83" t="s">
        <v>2657</v>
      </c>
      <c r="K24" s="90"/>
      <c r="L24" s="67"/>
      <c r="M24" s="147"/>
      <c r="N24" s="147"/>
      <c r="O24" s="147"/>
      <c r="P24" s="147"/>
      <c r="Q24" s="147" t="s">
        <v>93</v>
      </c>
      <c r="R24" s="147" t="s">
        <v>94</v>
      </c>
      <c r="S24" s="147" t="s">
        <v>94</v>
      </c>
      <c r="T24" s="148">
        <v>46246.0</v>
      </c>
      <c r="U24" s="143"/>
      <c r="V24" s="143"/>
      <c r="W24" s="143"/>
      <c r="X24" s="143"/>
      <c r="Y24" s="143"/>
      <c r="Z24" s="143"/>
    </row>
    <row r="25" ht="13.5" customHeight="1">
      <c r="A25" s="67"/>
      <c r="B25" s="67"/>
      <c r="C25" s="67"/>
      <c r="D25" s="67"/>
      <c r="E25" s="89" t="s">
        <v>2658</v>
      </c>
      <c r="F25" s="70" t="s">
        <v>2659</v>
      </c>
      <c r="G25" s="83" t="s">
        <v>2660</v>
      </c>
      <c r="H25" s="81" t="s">
        <v>88</v>
      </c>
      <c r="I25" s="81" t="s">
        <v>60</v>
      </c>
      <c r="J25" s="83" t="s">
        <v>2661</v>
      </c>
      <c r="K25" s="90"/>
      <c r="L25" s="67"/>
      <c r="M25" s="147"/>
      <c r="N25" s="147"/>
      <c r="O25" s="147"/>
      <c r="P25" s="147"/>
      <c r="Q25" s="147" t="s">
        <v>93</v>
      </c>
      <c r="R25" s="147" t="s">
        <v>94</v>
      </c>
      <c r="S25" s="147" t="s">
        <v>94</v>
      </c>
      <c r="T25" s="148">
        <v>46246.0</v>
      </c>
      <c r="U25" s="143"/>
      <c r="V25" s="143"/>
      <c r="W25" s="143"/>
      <c r="X25" s="143"/>
      <c r="Y25" s="143"/>
      <c r="Z25" s="143"/>
    </row>
    <row r="26" ht="202.5" customHeight="1">
      <c r="A26" s="67"/>
      <c r="B26" s="67"/>
      <c r="C26" s="67"/>
      <c r="D26" s="67"/>
      <c r="E26" s="89" t="s">
        <v>2662</v>
      </c>
      <c r="F26" s="70"/>
      <c r="G26" s="83" t="s">
        <v>2663</v>
      </c>
      <c r="H26" s="81" t="s">
        <v>88</v>
      </c>
      <c r="I26" s="81" t="s">
        <v>60</v>
      </c>
      <c r="J26" s="83" t="s">
        <v>2664</v>
      </c>
      <c r="K26" s="90"/>
      <c r="L26" s="67"/>
      <c r="M26" s="147"/>
      <c r="N26" s="147"/>
      <c r="O26" s="147"/>
      <c r="P26" s="147"/>
      <c r="Q26" s="147" t="s">
        <v>93</v>
      </c>
      <c r="R26" s="147" t="s">
        <v>94</v>
      </c>
      <c r="S26" s="147" t="s">
        <v>94</v>
      </c>
      <c r="T26" s="148">
        <v>46246.0</v>
      </c>
      <c r="U26" s="143"/>
      <c r="V26" s="143"/>
      <c r="W26" s="143"/>
      <c r="X26" s="143"/>
      <c r="Y26" s="143"/>
      <c r="Z26" s="143"/>
    </row>
    <row r="27" ht="13.5" customHeight="1">
      <c r="A27" s="77"/>
      <c r="B27" s="77"/>
      <c r="C27" s="77"/>
      <c r="D27" s="77"/>
      <c r="E27" s="89" t="s">
        <v>2665</v>
      </c>
      <c r="F27" s="70"/>
      <c r="G27" s="83" t="s">
        <v>2666</v>
      </c>
      <c r="H27" s="81" t="s">
        <v>88</v>
      </c>
      <c r="I27" s="81" t="s">
        <v>60</v>
      </c>
      <c r="J27" s="83" t="s">
        <v>2667</v>
      </c>
      <c r="K27" s="90"/>
      <c r="L27" s="77"/>
      <c r="M27" s="147"/>
      <c r="N27" s="147"/>
      <c r="O27" s="147"/>
      <c r="P27" s="147"/>
      <c r="Q27" s="147" t="s">
        <v>93</v>
      </c>
      <c r="R27" s="147" t="s">
        <v>94</v>
      </c>
      <c r="S27" s="147" t="s">
        <v>94</v>
      </c>
      <c r="T27" s="148">
        <v>46246.0</v>
      </c>
      <c r="U27" s="143"/>
      <c r="V27" s="143"/>
      <c r="W27" s="143"/>
      <c r="X27" s="143"/>
      <c r="Y27" s="143"/>
      <c r="Z27" s="143"/>
    </row>
    <row r="28" ht="13.5" customHeight="1">
      <c r="A28" s="89" t="s">
        <v>2585</v>
      </c>
      <c r="B28" s="93" t="s">
        <v>557</v>
      </c>
      <c r="C28" s="138" t="s">
        <v>1905</v>
      </c>
      <c r="D28" s="138" t="s">
        <v>1905</v>
      </c>
      <c r="E28" s="89" t="s">
        <v>2668</v>
      </c>
      <c r="F28" s="138" t="s">
        <v>1907</v>
      </c>
      <c r="G28" s="138" t="s">
        <v>1907</v>
      </c>
      <c r="H28" s="93" t="s">
        <v>1890</v>
      </c>
      <c r="I28" s="81" t="s">
        <v>931</v>
      </c>
      <c r="J28" s="142" t="s">
        <v>1908</v>
      </c>
      <c r="K28" s="90"/>
      <c r="L28" s="180"/>
      <c r="M28" s="180"/>
      <c r="N28" s="180"/>
      <c r="O28" s="180"/>
      <c r="P28" s="180"/>
      <c r="Q28" s="185" t="s">
        <v>93</v>
      </c>
      <c r="R28" s="185" t="s">
        <v>94</v>
      </c>
      <c r="S28" s="185" t="s">
        <v>94</v>
      </c>
      <c r="T28" s="186">
        <v>46246.0</v>
      </c>
      <c r="U28" s="28"/>
      <c r="V28" s="28"/>
      <c r="W28" s="28"/>
      <c r="X28" s="28"/>
      <c r="Y28" s="28"/>
      <c r="Z28" s="28"/>
    </row>
    <row r="29" ht="13.5" customHeight="1">
      <c r="A29" s="49"/>
      <c r="B29" s="49"/>
      <c r="C29" s="49"/>
      <c r="D29" s="49"/>
      <c r="E29" s="49"/>
      <c r="F29" s="49"/>
      <c r="G29" s="49"/>
      <c r="H29" s="49"/>
      <c r="I29" s="49"/>
      <c r="J29" s="49"/>
      <c r="K29" s="49"/>
      <c r="L29" s="49"/>
      <c r="M29" s="49"/>
      <c r="N29" s="49"/>
      <c r="O29" s="49"/>
      <c r="P29" s="49"/>
      <c r="Q29" s="51"/>
      <c r="R29" s="51"/>
      <c r="S29" s="49"/>
      <c r="T29" s="52"/>
      <c r="U29" s="143"/>
      <c r="V29" s="143"/>
      <c r="W29" s="143"/>
      <c r="X29" s="143"/>
      <c r="Y29" s="143"/>
      <c r="Z29" s="143"/>
    </row>
    <row r="30" ht="13.5" customHeight="1">
      <c r="A30" s="49"/>
      <c r="B30" s="49"/>
      <c r="C30" s="49"/>
      <c r="D30" s="49"/>
      <c r="E30" s="49"/>
      <c r="F30" s="49"/>
      <c r="G30" s="49"/>
      <c r="H30" s="49"/>
      <c r="I30" s="49"/>
      <c r="J30" s="49"/>
      <c r="K30" s="49"/>
      <c r="L30" s="49"/>
      <c r="M30" s="49"/>
      <c r="N30" s="49"/>
      <c r="O30" s="49"/>
      <c r="P30" s="49"/>
      <c r="Q30" s="51"/>
      <c r="R30" s="51"/>
      <c r="S30" s="49"/>
      <c r="T30" s="52"/>
      <c r="U30" s="143"/>
      <c r="V30" s="143"/>
      <c r="W30" s="143"/>
      <c r="X30" s="143"/>
      <c r="Y30" s="143"/>
      <c r="Z30" s="143"/>
    </row>
    <row r="31" ht="13.5" customHeight="1">
      <c r="A31" s="49"/>
      <c r="B31" s="49"/>
      <c r="C31" s="49"/>
      <c r="D31" s="49"/>
      <c r="E31" s="49"/>
      <c r="F31" s="49"/>
      <c r="G31" s="49"/>
      <c r="H31" s="49"/>
      <c r="I31" s="49"/>
      <c r="J31" s="49"/>
      <c r="K31" s="49"/>
      <c r="L31" s="49"/>
      <c r="M31" s="49"/>
      <c r="N31" s="49"/>
      <c r="O31" s="49"/>
      <c r="P31" s="49"/>
      <c r="Q31" s="51"/>
      <c r="R31" s="51"/>
      <c r="S31" s="49"/>
      <c r="T31" s="52"/>
      <c r="U31" s="143"/>
      <c r="V31" s="143"/>
      <c r="W31" s="143"/>
      <c r="X31" s="143"/>
      <c r="Y31" s="143"/>
      <c r="Z31" s="143"/>
    </row>
    <row r="32" ht="13.5" customHeight="1">
      <c r="A32" s="49"/>
      <c r="B32" s="49"/>
      <c r="C32" s="49"/>
      <c r="D32" s="49"/>
      <c r="E32" s="49"/>
      <c r="F32" s="49"/>
      <c r="G32" s="49"/>
      <c r="H32" s="49"/>
      <c r="I32" s="49"/>
      <c r="J32" s="49"/>
      <c r="K32" s="49"/>
      <c r="L32" s="49"/>
      <c r="M32" s="49"/>
      <c r="N32" s="49"/>
      <c r="O32" s="49"/>
      <c r="P32" s="49"/>
      <c r="Q32" s="51"/>
      <c r="R32" s="51"/>
      <c r="S32" s="49"/>
      <c r="T32" s="52"/>
      <c r="U32" s="143"/>
      <c r="V32" s="143"/>
      <c r="W32" s="143"/>
      <c r="X32" s="143"/>
      <c r="Y32" s="143"/>
      <c r="Z32" s="143"/>
    </row>
    <row r="33" ht="13.5" customHeight="1">
      <c r="A33" s="49"/>
      <c r="B33" s="49"/>
      <c r="C33" s="49"/>
      <c r="D33" s="49"/>
      <c r="E33" s="49"/>
      <c r="F33" s="49"/>
      <c r="G33" s="49"/>
      <c r="H33" s="49"/>
      <c r="I33" s="49"/>
      <c r="J33" s="49"/>
      <c r="K33" s="49"/>
      <c r="L33" s="49"/>
      <c r="M33" s="49"/>
      <c r="N33" s="49"/>
      <c r="O33" s="49"/>
      <c r="P33" s="49"/>
      <c r="Q33" s="51"/>
      <c r="R33" s="51"/>
      <c r="S33" s="49"/>
      <c r="T33" s="52"/>
      <c r="U33" s="143"/>
      <c r="V33" s="143"/>
      <c r="W33" s="143"/>
      <c r="X33" s="143"/>
      <c r="Y33" s="143"/>
      <c r="Z33" s="143"/>
    </row>
    <row r="34" ht="13.5" customHeight="1">
      <c r="A34" s="49"/>
      <c r="B34" s="49"/>
      <c r="C34" s="49"/>
      <c r="D34" s="49"/>
      <c r="E34" s="49"/>
      <c r="F34" s="49"/>
      <c r="G34" s="49"/>
      <c r="H34" s="49"/>
      <c r="I34" s="49"/>
      <c r="J34" s="49"/>
      <c r="K34" s="49"/>
      <c r="L34" s="49"/>
      <c r="M34" s="49"/>
      <c r="N34" s="49"/>
      <c r="O34" s="49"/>
      <c r="P34" s="49"/>
      <c r="Q34" s="51"/>
      <c r="R34" s="51"/>
      <c r="S34" s="49"/>
      <c r="T34" s="52"/>
      <c r="U34" s="143"/>
      <c r="V34" s="143"/>
      <c r="W34" s="143"/>
      <c r="X34" s="143"/>
      <c r="Y34" s="143"/>
      <c r="Z34" s="143"/>
    </row>
    <row r="35" ht="13.5" customHeight="1">
      <c r="A35" s="49"/>
      <c r="B35" s="49"/>
      <c r="C35" s="49"/>
      <c r="D35" s="49"/>
      <c r="E35" s="49"/>
      <c r="F35" s="49"/>
      <c r="G35" s="49"/>
      <c r="H35" s="49"/>
      <c r="I35" s="49"/>
      <c r="J35" s="49"/>
      <c r="K35" s="49"/>
      <c r="L35" s="49"/>
      <c r="M35" s="49"/>
      <c r="N35" s="49"/>
      <c r="O35" s="49"/>
      <c r="P35" s="49"/>
      <c r="Q35" s="51"/>
      <c r="R35" s="51"/>
      <c r="S35" s="49"/>
      <c r="T35" s="52"/>
      <c r="U35" s="143"/>
      <c r="V35" s="143"/>
      <c r="W35" s="143"/>
      <c r="X35" s="143"/>
      <c r="Y35" s="143"/>
      <c r="Z35" s="143"/>
    </row>
    <row r="36" ht="13.5" customHeight="1">
      <c r="A36" s="49"/>
      <c r="B36" s="49"/>
      <c r="C36" s="49"/>
      <c r="D36" s="49"/>
      <c r="E36" s="49"/>
      <c r="F36" s="49"/>
      <c r="G36" s="49"/>
      <c r="H36" s="49"/>
      <c r="I36" s="49"/>
      <c r="J36" s="49"/>
      <c r="K36" s="49"/>
      <c r="L36" s="49"/>
      <c r="M36" s="49"/>
      <c r="N36" s="49"/>
      <c r="O36" s="49"/>
      <c r="P36" s="49"/>
      <c r="Q36" s="51"/>
      <c r="R36" s="51"/>
      <c r="S36" s="49"/>
      <c r="T36" s="52"/>
      <c r="U36" s="143"/>
      <c r="V36" s="143"/>
      <c r="W36" s="143"/>
      <c r="X36" s="143"/>
      <c r="Y36" s="143"/>
      <c r="Z36" s="143"/>
    </row>
    <row r="37" ht="13.5" customHeight="1">
      <c r="A37" s="49"/>
      <c r="B37" s="49"/>
      <c r="C37" s="49"/>
      <c r="D37" s="49"/>
      <c r="E37" s="49"/>
      <c r="F37" s="49"/>
      <c r="G37" s="49"/>
      <c r="H37" s="49"/>
      <c r="I37" s="49"/>
      <c r="J37" s="187"/>
      <c r="K37" s="49"/>
      <c r="L37" s="49"/>
      <c r="M37" s="49"/>
      <c r="N37" s="49"/>
      <c r="O37" s="49"/>
      <c r="P37" s="49"/>
      <c r="Q37" s="51"/>
      <c r="R37" s="51"/>
      <c r="S37" s="49"/>
      <c r="T37" s="52"/>
      <c r="U37" s="143"/>
      <c r="V37" s="143"/>
      <c r="W37" s="143"/>
      <c r="X37" s="143"/>
      <c r="Y37" s="143"/>
      <c r="Z37" s="143"/>
    </row>
    <row r="38" ht="13.5" customHeight="1">
      <c r="A38" s="49"/>
      <c r="B38" s="49"/>
      <c r="C38" s="49"/>
      <c r="D38" s="49"/>
      <c r="E38" s="49"/>
      <c r="F38" s="49"/>
      <c r="G38" s="49"/>
      <c r="H38" s="49"/>
      <c r="I38" s="49"/>
      <c r="J38" s="49"/>
      <c r="K38" s="49"/>
      <c r="L38" s="49"/>
      <c r="M38" s="49"/>
      <c r="N38" s="49"/>
      <c r="O38" s="49"/>
      <c r="P38" s="49"/>
      <c r="Q38" s="51"/>
      <c r="R38" s="51"/>
      <c r="S38" s="49"/>
      <c r="T38" s="52"/>
      <c r="U38" s="143"/>
      <c r="V38" s="143"/>
      <c r="W38" s="143"/>
      <c r="X38" s="143"/>
      <c r="Y38" s="143"/>
      <c r="Z38" s="143"/>
    </row>
    <row r="39" ht="13.5" customHeight="1">
      <c r="A39" s="49"/>
      <c r="B39" s="49"/>
      <c r="C39" s="49"/>
      <c r="D39" s="49"/>
      <c r="E39" s="49"/>
      <c r="F39" s="49"/>
      <c r="G39" s="49"/>
      <c r="H39" s="49"/>
      <c r="I39" s="49"/>
      <c r="J39" s="187"/>
      <c r="K39" s="49"/>
      <c r="L39" s="49"/>
      <c r="M39" s="49"/>
      <c r="N39" s="49"/>
      <c r="O39" s="49"/>
      <c r="P39" s="49"/>
      <c r="Q39" s="51"/>
      <c r="R39" s="51"/>
      <c r="S39" s="49"/>
      <c r="T39" s="52"/>
      <c r="U39" s="143"/>
      <c r="V39" s="143"/>
      <c r="W39" s="143"/>
      <c r="X39" s="143"/>
      <c r="Y39" s="143"/>
      <c r="Z39" s="143"/>
    </row>
    <row r="40" ht="13.5" customHeight="1">
      <c r="A40" s="49"/>
      <c r="B40" s="49"/>
      <c r="C40" s="49"/>
      <c r="D40" s="49"/>
      <c r="E40" s="49"/>
      <c r="F40" s="49"/>
      <c r="G40" s="49"/>
      <c r="H40" s="49"/>
      <c r="I40" s="49"/>
      <c r="J40" s="49"/>
      <c r="K40" s="49"/>
      <c r="L40" s="49"/>
      <c r="M40" s="49"/>
      <c r="N40" s="49"/>
      <c r="O40" s="49"/>
      <c r="P40" s="49"/>
      <c r="Q40" s="51"/>
      <c r="R40" s="51"/>
      <c r="S40" s="49"/>
      <c r="T40" s="52"/>
      <c r="U40" s="143"/>
      <c r="V40" s="143"/>
      <c r="W40" s="143"/>
      <c r="X40" s="143"/>
      <c r="Y40" s="143"/>
      <c r="Z40" s="143"/>
    </row>
    <row r="41" ht="13.5" customHeight="1">
      <c r="A41" s="49"/>
      <c r="B41" s="49"/>
      <c r="C41" s="49"/>
      <c r="D41" s="49"/>
      <c r="E41" s="49"/>
      <c r="F41" s="49"/>
      <c r="G41" s="49"/>
      <c r="H41" s="49"/>
      <c r="I41" s="49"/>
      <c r="J41" s="49"/>
      <c r="K41" s="49"/>
      <c r="L41" s="49"/>
      <c r="M41" s="49"/>
      <c r="N41" s="49"/>
      <c r="O41" s="49"/>
      <c r="P41" s="49"/>
      <c r="Q41" s="51"/>
      <c r="R41" s="51"/>
      <c r="S41" s="49"/>
      <c r="T41" s="52"/>
      <c r="U41" s="143"/>
      <c r="V41" s="143"/>
      <c r="W41" s="143"/>
      <c r="X41" s="143"/>
      <c r="Y41" s="143"/>
      <c r="Z41" s="143"/>
    </row>
    <row r="42" ht="13.5" customHeight="1">
      <c r="A42" s="49"/>
      <c r="B42" s="49"/>
      <c r="C42" s="49"/>
      <c r="D42" s="49"/>
      <c r="E42" s="49"/>
      <c r="F42" s="49"/>
      <c r="G42" s="49"/>
      <c r="H42" s="49"/>
      <c r="I42" s="49"/>
      <c r="J42" s="49"/>
      <c r="K42" s="49"/>
      <c r="L42" s="49"/>
      <c r="M42" s="49"/>
      <c r="N42" s="49"/>
      <c r="O42" s="49"/>
      <c r="P42" s="49"/>
      <c r="Q42" s="51"/>
      <c r="R42" s="51"/>
      <c r="S42" s="49"/>
      <c r="T42" s="52"/>
      <c r="U42" s="143"/>
      <c r="V42" s="143"/>
      <c r="W42" s="143"/>
      <c r="X42" s="143"/>
      <c r="Y42" s="143"/>
      <c r="Z42" s="143"/>
    </row>
    <row r="43" ht="13.5" customHeight="1">
      <c r="A43" s="49"/>
      <c r="B43" s="49"/>
      <c r="C43" s="49"/>
      <c r="D43" s="49"/>
      <c r="E43" s="49"/>
      <c r="F43" s="49"/>
      <c r="G43" s="49"/>
      <c r="H43" s="49"/>
      <c r="I43" s="49"/>
      <c r="J43" s="49"/>
      <c r="K43" s="49"/>
      <c r="L43" s="49"/>
      <c r="M43" s="49"/>
      <c r="N43" s="49"/>
      <c r="O43" s="49"/>
      <c r="P43" s="49"/>
      <c r="Q43" s="51"/>
      <c r="R43" s="51"/>
      <c r="S43" s="49"/>
      <c r="T43" s="52"/>
      <c r="U43" s="143"/>
      <c r="V43" s="143"/>
      <c r="W43" s="143"/>
      <c r="X43" s="143"/>
      <c r="Y43" s="143"/>
      <c r="Z43" s="143"/>
    </row>
    <row r="44" ht="13.5" customHeight="1">
      <c r="A44" s="49"/>
      <c r="B44" s="49"/>
      <c r="C44" s="49"/>
      <c r="D44" s="49"/>
      <c r="E44" s="49"/>
      <c r="F44" s="49"/>
      <c r="G44" s="49"/>
      <c r="H44" s="49"/>
      <c r="I44" s="49"/>
      <c r="J44" s="49"/>
      <c r="K44" s="49"/>
      <c r="L44" s="49"/>
      <c r="M44" s="49"/>
      <c r="N44" s="49"/>
      <c r="O44" s="49"/>
      <c r="P44" s="49"/>
      <c r="Q44" s="51"/>
      <c r="R44" s="51"/>
      <c r="S44" s="49"/>
      <c r="T44" s="52"/>
      <c r="U44" s="143"/>
      <c r="V44" s="143"/>
      <c r="W44" s="143"/>
      <c r="X44" s="143"/>
      <c r="Y44" s="143"/>
      <c r="Z44" s="143"/>
    </row>
    <row r="45" ht="13.5" customHeight="1">
      <c r="A45" s="49"/>
      <c r="B45" s="49"/>
      <c r="C45" s="49"/>
      <c r="D45" s="49"/>
      <c r="E45" s="49"/>
      <c r="F45" s="49"/>
      <c r="G45" s="49"/>
      <c r="H45" s="49"/>
      <c r="I45" s="49"/>
      <c r="J45" s="49"/>
      <c r="K45" s="49"/>
      <c r="L45" s="49"/>
      <c r="M45" s="49"/>
      <c r="N45" s="49"/>
      <c r="O45" s="49"/>
      <c r="P45" s="49"/>
      <c r="Q45" s="51"/>
      <c r="R45" s="51"/>
      <c r="S45" s="49"/>
      <c r="T45" s="52"/>
      <c r="U45" s="143"/>
      <c r="V45" s="143"/>
      <c r="W45" s="143"/>
      <c r="X45" s="143"/>
      <c r="Y45" s="143"/>
      <c r="Z45" s="143"/>
    </row>
    <row r="46" ht="13.5" customHeight="1">
      <c r="A46" s="49"/>
      <c r="B46" s="49"/>
      <c r="C46" s="49"/>
      <c r="D46" s="49"/>
      <c r="E46" s="49"/>
      <c r="F46" s="49"/>
      <c r="G46" s="49"/>
      <c r="H46" s="49"/>
      <c r="I46" s="49"/>
      <c r="J46" s="49"/>
      <c r="K46" s="49"/>
      <c r="L46" s="49"/>
      <c r="M46" s="49"/>
      <c r="N46" s="49"/>
      <c r="O46" s="49"/>
      <c r="P46" s="49"/>
      <c r="Q46" s="51"/>
      <c r="R46" s="51"/>
      <c r="S46" s="49"/>
      <c r="T46" s="52"/>
      <c r="U46" s="143"/>
      <c r="V46" s="143"/>
      <c r="W46" s="143"/>
      <c r="X46" s="143"/>
      <c r="Y46" s="143"/>
      <c r="Z46" s="143"/>
    </row>
    <row r="47" ht="13.5" customHeight="1">
      <c r="A47" s="49"/>
      <c r="B47" s="49"/>
      <c r="C47" s="49"/>
      <c r="D47" s="49"/>
      <c r="E47" s="49"/>
      <c r="F47" s="49"/>
      <c r="G47" s="49"/>
      <c r="H47" s="49"/>
      <c r="I47" s="49"/>
      <c r="J47" s="49"/>
      <c r="K47" s="49"/>
      <c r="L47" s="49"/>
      <c r="M47" s="49"/>
      <c r="N47" s="49"/>
      <c r="O47" s="49"/>
      <c r="P47" s="49"/>
      <c r="Q47" s="51"/>
      <c r="R47" s="51"/>
      <c r="S47" s="49"/>
      <c r="T47" s="52"/>
      <c r="U47" s="143"/>
      <c r="V47" s="143"/>
      <c r="W47" s="143"/>
      <c r="X47" s="143"/>
      <c r="Y47" s="143"/>
      <c r="Z47" s="143"/>
    </row>
    <row r="48" ht="13.5" customHeight="1">
      <c r="A48" s="49"/>
      <c r="B48" s="49"/>
      <c r="C48" s="49"/>
      <c r="D48" s="49"/>
      <c r="E48" s="49"/>
      <c r="F48" s="49"/>
      <c r="G48" s="49"/>
      <c r="H48" s="49"/>
      <c r="I48" s="49"/>
      <c r="J48" s="49"/>
      <c r="K48" s="49"/>
      <c r="L48" s="49"/>
      <c r="M48" s="49"/>
      <c r="N48" s="49"/>
      <c r="O48" s="49"/>
      <c r="P48" s="49"/>
      <c r="Q48" s="51"/>
      <c r="R48" s="51"/>
      <c r="S48" s="49"/>
      <c r="T48" s="52"/>
      <c r="U48" s="143"/>
      <c r="V48" s="143"/>
      <c r="W48" s="143"/>
      <c r="X48" s="143"/>
      <c r="Y48" s="143"/>
      <c r="Z48" s="143"/>
    </row>
    <row r="49" ht="13.5" customHeight="1">
      <c r="A49" s="49"/>
      <c r="B49" s="49"/>
      <c r="C49" s="49"/>
      <c r="D49" s="49"/>
      <c r="E49" s="49"/>
      <c r="F49" s="49"/>
      <c r="G49" s="49"/>
      <c r="H49" s="49"/>
      <c r="I49" s="49"/>
      <c r="J49" s="49"/>
      <c r="K49" s="49"/>
      <c r="L49" s="49"/>
      <c r="M49" s="49"/>
      <c r="N49" s="49"/>
      <c r="O49" s="49"/>
      <c r="P49" s="49"/>
      <c r="Q49" s="51"/>
      <c r="R49" s="51"/>
      <c r="S49" s="49"/>
      <c r="T49" s="52"/>
      <c r="U49" s="143"/>
      <c r="V49" s="143"/>
      <c r="W49" s="143"/>
      <c r="X49" s="143"/>
      <c r="Y49" s="143"/>
      <c r="Z49" s="143"/>
    </row>
    <row r="50" ht="13.5" customHeight="1">
      <c r="A50" s="49"/>
      <c r="B50" s="49"/>
      <c r="C50" s="49"/>
      <c r="D50" s="49"/>
      <c r="E50" s="49"/>
      <c r="F50" s="49"/>
      <c r="G50" s="49"/>
      <c r="H50" s="49"/>
      <c r="I50" s="49"/>
      <c r="J50" s="49"/>
      <c r="K50" s="49"/>
      <c r="L50" s="49"/>
      <c r="M50" s="49"/>
      <c r="N50" s="49"/>
      <c r="O50" s="49"/>
      <c r="P50" s="49"/>
      <c r="Q50" s="51"/>
      <c r="R50" s="51"/>
      <c r="S50" s="49"/>
      <c r="T50" s="52"/>
      <c r="U50" s="143"/>
      <c r="V50" s="143"/>
      <c r="W50" s="143"/>
      <c r="X50" s="143"/>
      <c r="Y50" s="143"/>
      <c r="Z50" s="143"/>
    </row>
    <row r="51" ht="13.5" customHeight="1">
      <c r="A51" s="49"/>
      <c r="B51" s="49"/>
      <c r="C51" s="49"/>
      <c r="D51" s="49"/>
      <c r="E51" s="49"/>
      <c r="F51" s="49"/>
      <c r="G51" s="49"/>
      <c r="H51" s="49"/>
      <c r="I51" s="49"/>
      <c r="J51" s="49"/>
      <c r="K51" s="49"/>
      <c r="L51" s="49"/>
      <c r="M51" s="49"/>
      <c r="N51" s="49"/>
      <c r="O51" s="49"/>
      <c r="P51" s="49"/>
      <c r="Q51" s="51"/>
      <c r="R51" s="51"/>
      <c r="S51" s="49"/>
      <c r="T51" s="52"/>
      <c r="U51" s="143"/>
      <c r="V51" s="143"/>
      <c r="W51" s="143"/>
      <c r="X51" s="143"/>
      <c r="Y51" s="143"/>
      <c r="Z51" s="143"/>
    </row>
    <row r="52" ht="13.5" customHeight="1">
      <c r="A52" s="49"/>
      <c r="B52" s="49"/>
      <c r="C52" s="49"/>
      <c r="D52" s="49"/>
      <c r="E52" s="49"/>
      <c r="F52" s="49"/>
      <c r="G52" s="49"/>
      <c r="H52" s="49"/>
      <c r="I52" s="49"/>
      <c r="J52" s="49"/>
      <c r="K52" s="49"/>
      <c r="L52" s="49"/>
      <c r="M52" s="49"/>
      <c r="N52" s="49"/>
      <c r="O52" s="49"/>
      <c r="P52" s="49"/>
      <c r="Q52" s="51"/>
      <c r="R52" s="51"/>
      <c r="S52" s="49"/>
      <c r="T52" s="52"/>
      <c r="U52" s="143"/>
      <c r="V52" s="143"/>
      <c r="W52" s="143"/>
      <c r="X52" s="143"/>
      <c r="Y52" s="143"/>
      <c r="Z52" s="143"/>
    </row>
    <row r="53" ht="13.5" customHeight="1">
      <c r="A53" s="49"/>
      <c r="B53" s="49"/>
      <c r="C53" s="49"/>
      <c r="D53" s="49"/>
      <c r="E53" s="49"/>
      <c r="F53" s="49"/>
      <c r="G53" s="49"/>
      <c r="H53" s="49"/>
      <c r="I53" s="49"/>
      <c r="J53" s="49"/>
      <c r="K53" s="49"/>
      <c r="L53" s="49"/>
      <c r="M53" s="49"/>
      <c r="N53" s="49"/>
      <c r="O53" s="49"/>
      <c r="P53" s="49"/>
      <c r="Q53" s="51"/>
      <c r="R53" s="51"/>
      <c r="S53" s="49"/>
      <c r="T53" s="52"/>
      <c r="U53" s="143"/>
      <c r="V53" s="143"/>
      <c r="W53" s="143"/>
      <c r="X53" s="143"/>
      <c r="Y53" s="143"/>
      <c r="Z53" s="143"/>
    </row>
    <row r="54" ht="13.5" customHeight="1">
      <c r="A54" s="49"/>
      <c r="B54" s="49"/>
      <c r="C54" s="49"/>
      <c r="D54" s="49"/>
      <c r="E54" s="49"/>
      <c r="F54" s="49"/>
      <c r="G54" s="49"/>
      <c r="H54" s="49"/>
      <c r="I54" s="49"/>
      <c r="J54" s="49"/>
      <c r="K54" s="49"/>
      <c r="L54" s="49"/>
      <c r="M54" s="49"/>
      <c r="N54" s="49"/>
      <c r="O54" s="49"/>
      <c r="P54" s="49"/>
      <c r="Q54" s="51"/>
      <c r="R54" s="51"/>
      <c r="S54" s="49"/>
      <c r="T54" s="52"/>
      <c r="U54" s="143"/>
      <c r="V54" s="143"/>
      <c r="W54" s="143"/>
      <c r="X54" s="143"/>
      <c r="Y54" s="143"/>
      <c r="Z54" s="143"/>
    </row>
    <row r="55" ht="13.5" customHeight="1">
      <c r="A55" s="49"/>
      <c r="B55" s="49"/>
      <c r="C55" s="49"/>
      <c r="D55" s="49"/>
      <c r="E55" s="49"/>
      <c r="F55" s="49"/>
      <c r="G55" s="49"/>
      <c r="H55" s="49"/>
      <c r="I55" s="49"/>
      <c r="J55" s="49"/>
      <c r="K55" s="49"/>
      <c r="L55" s="49"/>
      <c r="M55" s="49"/>
      <c r="N55" s="49"/>
      <c r="O55" s="49"/>
      <c r="P55" s="49"/>
      <c r="Q55" s="51"/>
      <c r="R55" s="51"/>
      <c r="S55" s="49"/>
      <c r="T55" s="52"/>
      <c r="U55" s="143"/>
      <c r="V55" s="143"/>
      <c r="W55" s="143"/>
      <c r="X55" s="143"/>
      <c r="Y55" s="143"/>
      <c r="Z55" s="143"/>
    </row>
    <row r="56" ht="13.5" customHeight="1">
      <c r="A56" s="49"/>
      <c r="B56" s="49"/>
      <c r="C56" s="49"/>
      <c r="D56" s="49"/>
      <c r="E56" s="49"/>
      <c r="F56" s="49"/>
      <c r="G56" s="49"/>
      <c r="H56" s="49"/>
      <c r="I56" s="49"/>
      <c r="J56" s="49"/>
      <c r="K56" s="49"/>
      <c r="L56" s="49"/>
      <c r="M56" s="49"/>
      <c r="N56" s="49"/>
      <c r="O56" s="49"/>
      <c r="P56" s="49"/>
      <c r="Q56" s="51"/>
      <c r="R56" s="51"/>
      <c r="S56" s="49"/>
      <c r="T56" s="52"/>
      <c r="U56" s="143"/>
      <c r="V56" s="143"/>
      <c r="W56" s="143"/>
      <c r="X56" s="143"/>
      <c r="Y56" s="143"/>
      <c r="Z56" s="143"/>
    </row>
    <row r="57" ht="13.5" customHeight="1">
      <c r="A57" s="49"/>
      <c r="B57" s="49"/>
      <c r="C57" s="49"/>
      <c r="D57" s="49"/>
      <c r="E57" s="49"/>
      <c r="F57" s="49"/>
      <c r="G57" s="49"/>
      <c r="H57" s="49"/>
      <c r="I57" s="49"/>
      <c r="J57" s="49"/>
      <c r="K57" s="49"/>
      <c r="L57" s="49"/>
      <c r="M57" s="49"/>
      <c r="N57" s="49"/>
      <c r="O57" s="49"/>
      <c r="P57" s="49"/>
      <c r="Q57" s="51"/>
      <c r="R57" s="51"/>
      <c r="S57" s="49"/>
      <c r="T57" s="52"/>
      <c r="U57" s="143"/>
      <c r="V57" s="143"/>
      <c r="W57" s="143"/>
      <c r="X57" s="143"/>
      <c r="Y57" s="143"/>
      <c r="Z57" s="143"/>
    </row>
    <row r="58" ht="13.5" customHeight="1">
      <c r="A58" s="49"/>
      <c r="B58" s="49"/>
      <c r="C58" s="49"/>
      <c r="D58" s="49"/>
      <c r="E58" s="49"/>
      <c r="F58" s="49"/>
      <c r="G58" s="49"/>
      <c r="H58" s="49"/>
      <c r="I58" s="49"/>
      <c r="J58" s="49"/>
      <c r="K58" s="49"/>
      <c r="L58" s="49"/>
      <c r="M58" s="49"/>
      <c r="N58" s="49"/>
      <c r="O58" s="49"/>
      <c r="P58" s="49"/>
      <c r="Q58" s="51"/>
      <c r="R58" s="51"/>
      <c r="S58" s="49"/>
      <c r="T58" s="52"/>
      <c r="U58" s="143"/>
      <c r="V58" s="143"/>
      <c r="W58" s="143"/>
      <c r="X58" s="143"/>
      <c r="Y58" s="143"/>
      <c r="Z58" s="143"/>
    </row>
    <row r="59" ht="13.5" customHeight="1">
      <c r="A59" s="49"/>
      <c r="B59" s="49"/>
      <c r="C59" s="49"/>
      <c r="D59" s="49"/>
      <c r="E59" s="49"/>
      <c r="F59" s="49"/>
      <c r="G59" s="49"/>
      <c r="H59" s="49"/>
      <c r="I59" s="49"/>
      <c r="J59" s="49"/>
      <c r="K59" s="49"/>
      <c r="L59" s="49"/>
      <c r="M59" s="49"/>
      <c r="N59" s="49"/>
      <c r="O59" s="49"/>
      <c r="P59" s="49"/>
      <c r="Q59" s="51"/>
      <c r="R59" s="51"/>
      <c r="S59" s="49"/>
      <c r="T59" s="52"/>
      <c r="U59" s="143"/>
      <c r="V59" s="143"/>
      <c r="W59" s="143"/>
      <c r="X59" s="143"/>
      <c r="Y59" s="143"/>
      <c r="Z59" s="143"/>
    </row>
    <row r="60" ht="13.5" customHeight="1">
      <c r="A60" s="49"/>
      <c r="B60" s="49"/>
      <c r="C60" s="49"/>
      <c r="D60" s="49"/>
      <c r="E60" s="49"/>
      <c r="F60" s="49"/>
      <c r="G60" s="49"/>
      <c r="H60" s="49"/>
      <c r="I60" s="49"/>
      <c r="J60" s="49"/>
      <c r="K60" s="49"/>
      <c r="L60" s="49"/>
      <c r="M60" s="49"/>
      <c r="N60" s="49"/>
      <c r="O60" s="49"/>
      <c r="P60" s="49"/>
      <c r="Q60" s="51"/>
      <c r="R60" s="51"/>
      <c r="S60" s="49"/>
      <c r="T60" s="52"/>
      <c r="U60" s="143"/>
      <c r="V60" s="143"/>
      <c r="W60" s="143"/>
      <c r="X60" s="143"/>
      <c r="Y60" s="143"/>
      <c r="Z60" s="143"/>
    </row>
    <row r="61" ht="13.5" customHeight="1">
      <c r="A61" s="49"/>
      <c r="B61" s="49"/>
      <c r="C61" s="49"/>
      <c r="D61" s="49"/>
      <c r="E61" s="49"/>
      <c r="F61" s="49"/>
      <c r="G61" s="49"/>
      <c r="H61" s="49"/>
      <c r="I61" s="49"/>
      <c r="J61" s="49"/>
      <c r="K61" s="49"/>
      <c r="L61" s="49"/>
      <c r="M61" s="49"/>
      <c r="N61" s="49"/>
      <c r="O61" s="49"/>
      <c r="P61" s="49"/>
      <c r="Q61" s="51"/>
      <c r="R61" s="51"/>
      <c r="S61" s="49"/>
      <c r="T61" s="52"/>
      <c r="U61" s="143"/>
      <c r="V61" s="143"/>
      <c r="W61" s="143"/>
      <c r="X61" s="143"/>
      <c r="Y61" s="143"/>
      <c r="Z61" s="143"/>
    </row>
    <row r="62" ht="13.5" customHeight="1">
      <c r="A62" s="49"/>
      <c r="B62" s="49"/>
      <c r="C62" s="49"/>
      <c r="D62" s="49"/>
      <c r="E62" s="49"/>
      <c r="F62" s="49"/>
      <c r="G62" s="49"/>
      <c r="H62" s="49"/>
      <c r="I62" s="49"/>
      <c r="J62" s="49"/>
      <c r="K62" s="49"/>
      <c r="L62" s="49"/>
      <c r="M62" s="49"/>
      <c r="N62" s="49"/>
      <c r="O62" s="49"/>
      <c r="P62" s="49"/>
      <c r="Q62" s="51"/>
      <c r="R62" s="51"/>
      <c r="S62" s="49"/>
      <c r="T62" s="52"/>
      <c r="U62" s="143"/>
      <c r="V62" s="143"/>
      <c r="W62" s="143"/>
      <c r="X62" s="143"/>
      <c r="Y62" s="143"/>
      <c r="Z62" s="143"/>
    </row>
    <row r="63" ht="13.5" customHeight="1">
      <c r="A63" s="49"/>
      <c r="B63" s="49"/>
      <c r="C63" s="49"/>
      <c r="D63" s="49"/>
      <c r="E63" s="49"/>
      <c r="F63" s="49"/>
      <c r="G63" s="49"/>
      <c r="H63" s="49"/>
      <c r="I63" s="49"/>
      <c r="J63" s="49"/>
      <c r="K63" s="49"/>
      <c r="L63" s="49"/>
      <c r="M63" s="49"/>
      <c r="N63" s="49"/>
      <c r="O63" s="49"/>
      <c r="P63" s="49"/>
      <c r="Q63" s="51"/>
      <c r="R63" s="51"/>
      <c r="S63" s="49"/>
      <c r="T63" s="52"/>
      <c r="U63" s="143"/>
      <c r="V63" s="143"/>
      <c r="W63" s="143"/>
      <c r="X63" s="143"/>
      <c r="Y63" s="143"/>
      <c r="Z63" s="143"/>
    </row>
    <row r="64" ht="13.5" customHeight="1">
      <c r="A64" s="49"/>
      <c r="B64" s="49"/>
      <c r="C64" s="49"/>
      <c r="D64" s="49"/>
      <c r="E64" s="49"/>
      <c r="F64" s="49"/>
      <c r="G64" s="49"/>
      <c r="H64" s="49"/>
      <c r="I64" s="49"/>
      <c r="J64" s="49"/>
      <c r="K64" s="49"/>
      <c r="L64" s="49"/>
      <c r="M64" s="49"/>
      <c r="N64" s="49"/>
      <c r="O64" s="49"/>
      <c r="P64" s="49"/>
      <c r="Q64" s="51"/>
      <c r="R64" s="51"/>
      <c r="S64" s="49"/>
      <c r="T64" s="52"/>
      <c r="U64" s="143"/>
      <c r="V64" s="143"/>
      <c r="W64" s="143"/>
      <c r="X64" s="143"/>
      <c r="Y64" s="143"/>
      <c r="Z64" s="143"/>
    </row>
    <row r="65" ht="13.5" customHeight="1">
      <c r="A65" s="49"/>
      <c r="B65" s="49"/>
      <c r="C65" s="49"/>
      <c r="D65" s="49"/>
      <c r="E65" s="49"/>
      <c r="F65" s="49"/>
      <c r="G65" s="49"/>
      <c r="H65" s="49"/>
      <c r="I65" s="49"/>
      <c r="J65" s="49"/>
      <c r="K65" s="49"/>
      <c r="L65" s="49"/>
      <c r="M65" s="49"/>
      <c r="N65" s="49"/>
      <c r="O65" s="49"/>
      <c r="P65" s="49"/>
      <c r="Q65" s="51"/>
      <c r="R65" s="51"/>
      <c r="S65" s="49"/>
      <c r="T65" s="52"/>
      <c r="U65" s="143"/>
      <c r="V65" s="143"/>
      <c r="W65" s="143"/>
      <c r="X65" s="143"/>
      <c r="Y65" s="143"/>
      <c r="Z65" s="143"/>
    </row>
    <row r="66" ht="13.5" customHeight="1">
      <c r="A66" s="49"/>
      <c r="B66" s="49"/>
      <c r="C66" s="49"/>
      <c r="D66" s="49"/>
      <c r="E66" s="49"/>
      <c r="F66" s="49"/>
      <c r="G66" s="49"/>
      <c r="H66" s="49"/>
      <c r="I66" s="49"/>
      <c r="J66" s="49"/>
      <c r="K66" s="49"/>
      <c r="L66" s="49"/>
      <c r="M66" s="49"/>
      <c r="N66" s="49"/>
      <c r="O66" s="49"/>
      <c r="P66" s="49"/>
      <c r="Q66" s="51"/>
      <c r="R66" s="51"/>
      <c r="S66" s="49"/>
      <c r="T66" s="52"/>
      <c r="U66" s="143"/>
      <c r="V66" s="143"/>
      <c r="W66" s="143"/>
      <c r="X66" s="143"/>
      <c r="Y66" s="143"/>
      <c r="Z66" s="143"/>
    </row>
    <row r="67" ht="13.5" customHeight="1">
      <c r="A67" s="49"/>
      <c r="B67" s="49"/>
      <c r="C67" s="49"/>
      <c r="D67" s="49"/>
      <c r="E67" s="49"/>
      <c r="F67" s="49"/>
      <c r="G67" s="49"/>
      <c r="H67" s="49"/>
      <c r="I67" s="49"/>
      <c r="J67" s="49"/>
      <c r="K67" s="49"/>
      <c r="L67" s="49"/>
      <c r="M67" s="49"/>
      <c r="N67" s="49"/>
      <c r="O67" s="49"/>
      <c r="P67" s="49"/>
      <c r="Q67" s="51"/>
      <c r="R67" s="51"/>
      <c r="S67" s="49"/>
      <c r="T67" s="52"/>
      <c r="U67" s="143"/>
      <c r="V67" s="143"/>
      <c r="W67" s="143"/>
      <c r="X67" s="143"/>
      <c r="Y67" s="143"/>
      <c r="Z67" s="143"/>
    </row>
    <row r="68" ht="13.5" customHeight="1">
      <c r="A68" s="49"/>
      <c r="B68" s="49"/>
      <c r="C68" s="49"/>
      <c r="D68" s="49"/>
      <c r="E68" s="49"/>
      <c r="F68" s="49"/>
      <c r="G68" s="49"/>
      <c r="H68" s="49"/>
      <c r="I68" s="49"/>
      <c r="J68" s="49"/>
      <c r="K68" s="49"/>
      <c r="L68" s="49"/>
      <c r="M68" s="49"/>
      <c r="N68" s="49"/>
      <c r="O68" s="49"/>
      <c r="P68" s="49"/>
      <c r="Q68" s="51"/>
      <c r="R68" s="51"/>
      <c r="S68" s="49"/>
      <c r="T68" s="52"/>
      <c r="U68" s="143"/>
      <c r="V68" s="143"/>
      <c r="W68" s="143"/>
      <c r="X68" s="143"/>
      <c r="Y68" s="143"/>
      <c r="Z68" s="143"/>
    </row>
    <row r="69" ht="13.5" customHeight="1">
      <c r="A69" s="49"/>
      <c r="B69" s="49"/>
      <c r="C69" s="49"/>
      <c r="D69" s="49"/>
      <c r="E69" s="49"/>
      <c r="F69" s="49"/>
      <c r="G69" s="49"/>
      <c r="H69" s="49"/>
      <c r="I69" s="49"/>
      <c r="J69" s="49"/>
      <c r="K69" s="49"/>
      <c r="L69" s="49"/>
      <c r="M69" s="49"/>
      <c r="N69" s="49"/>
      <c r="O69" s="49"/>
      <c r="P69" s="49"/>
      <c r="Q69" s="51"/>
      <c r="R69" s="51"/>
      <c r="S69" s="49"/>
      <c r="T69" s="52"/>
      <c r="U69" s="143"/>
      <c r="V69" s="143"/>
      <c r="W69" s="143"/>
      <c r="X69" s="143"/>
      <c r="Y69" s="143"/>
      <c r="Z69" s="143"/>
    </row>
    <row r="70" ht="13.5" customHeight="1">
      <c r="A70" s="49"/>
      <c r="B70" s="49"/>
      <c r="C70" s="49"/>
      <c r="D70" s="49"/>
      <c r="E70" s="49"/>
      <c r="F70" s="49"/>
      <c r="G70" s="49"/>
      <c r="H70" s="49"/>
      <c r="I70" s="49"/>
      <c r="J70" s="49"/>
      <c r="K70" s="49"/>
      <c r="L70" s="49"/>
      <c r="M70" s="49"/>
      <c r="N70" s="49"/>
      <c r="O70" s="49"/>
      <c r="P70" s="49"/>
      <c r="Q70" s="51"/>
      <c r="R70" s="51"/>
      <c r="S70" s="49"/>
      <c r="T70" s="52"/>
      <c r="U70" s="143"/>
      <c r="V70" s="143"/>
      <c r="W70" s="143"/>
      <c r="X70" s="143"/>
      <c r="Y70" s="143"/>
      <c r="Z70" s="143"/>
    </row>
    <row r="71" ht="13.5" customHeight="1">
      <c r="A71" s="49"/>
      <c r="B71" s="49"/>
      <c r="C71" s="49"/>
      <c r="D71" s="49"/>
      <c r="E71" s="49"/>
      <c r="F71" s="49"/>
      <c r="G71" s="49"/>
      <c r="H71" s="49"/>
      <c r="I71" s="49"/>
      <c r="J71" s="49"/>
      <c r="K71" s="49"/>
      <c r="L71" s="49"/>
      <c r="M71" s="49"/>
      <c r="N71" s="49"/>
      <c r="O71" s="49"/>
      <c r="P71" s="49"/>
      <c r="Q71" s="51"/>
      <c r="R71" s="51"/>
      <c r="S71" s="49"/>
      <c r="T71" s="52"/>
      <c r="U71" s="143"/>
      <c r="V71" s="143"/>
      <c r="W71" s="143"/>
      <c r="X71" s="143"/>
      <c r="Y71" s="143"/>
      <c r="Z71" s="143"/>
    </row>
    <row r="72" ht="13.5" customHeight="1">
      <c r="A72" s="49"/>
      <c r="B72" s="49"/>
      <c r="C72" s="49"/>
      <c r="D72" s="49"/>
      <c r="E72" s="49"/>
      <c r="F72" s="49"/>
      <c r="G72" s="49"/>
      <c r="H72" s="49"/>
      <c r="I72" s="49"/>
      <c r="J72" s="49"/>
      <c r="K72" s="49"/>
      <c r="L72" s="49"/>
      <c r="M72" s="49"/>
      <c r="N72" s="49"/>
      <c r="O72" s="49"/>
      <c r="P72" s="49"/>
      <c r="Q72" s="51"/>
      <c r="R72" s="51"/>
      <c r="S72" s="49"/>
      <c r="T72" s="52"/>
      <c r="U72" s="143"/>
      <c r="V72" s="143"/>
      <c r="W72" s="143"/>
      <c r="X72" s="143"/>
      <c r="Y72" s="143"/>
      <c r="Z72" s="143"/>
    </row>
    <row r="73" ht="13.5" customHeight="1">
      <c r="A73" s="49"/>
      <c r="B73" s="49"/>
      <c r="C73" s="49"/>
      <c r="D73" s="49"/>
      <c r="E73" s="49"/>
      <c r="F73" s="49"/>
      <c r="G73" s="49"/>
      <c r="H73" s="49"/>
      <c r="I73" s="49"/>
      <c r="J73" s="49"/>
      <c r="K73" s="49"/>
      <c r="L73" s="49"/>
      <c r="M73" s="49"/>
      <c r="N73" s="49"/>
      <c r="O73" s="49"/>
      <c r="P73" s="49"/>
      <c r="Q73" s="51"/>
      <c r="R73" s="51"/>
      <c r="S73" s="49"/>
      <c r="T73" s="52"/>
      <c r="U73" s="143"/>
      <c r="V73" s="143"/>
      <c r="W73" s="143"/>
      <c r="X73" s="143"/>
      <c r="Y73" s="143"/>
      <c r="Z73" s="143"/>
    </row>
    <row r="74" ht="13.5" customHeight="1">
      <c r="A74" s="49"/>
      <c r="B74" s="49"/>
      <c r="C74" s="49"/>
      <c r="D74" s="49"/>
      <c r="E74" s="49"/>
      <c r="F74" s="49"/>
      <c r="G74" s="49"/>
      <c r="H74" s="49"/>
      <c r="I74" s="49"/>
      <c r="J74" s="49"/>
      <c r="K74" s="49"/>
      <c r="L74" s="49"/>
      <c r="M74" s="49"/>
      <c r="N74" s="49"/>
      <c r="O74" s="49"/>
      <c r="P74" s="49"/>
      <c r="Q74" s="51"/>
      <c r="R74" s="51"/>
      <c r="S74" s="49"/>
      <c r="T74" s="52"/>
      <c r="U74" s="143"/>
      <c r="V74" s="143"/>
      <c r="W74" s="143"/>
      <c r="X74" s="143"/>
      <c r="Y74" s="143"/>
      <c r="Z74" s="143"/>
    </row>
    <row r="75" ht="13.5" customHeight="1">
      <c r="A75" s="49"/>
      <c r="B75" s="49"/>
      <c r="C75" s="49"/>
      <c r="D75" s="49"/>
      <c r="E75" s="49"/>
      <c r="F75" s="49"/>
      <c r="G75" s="49"/>
      <c r="H75" s="49"/>
      <c r="I75" s="49"/>
      <c r="J75" s="49"/>
      <c r="K75" s="49"/>
      <c r="L75" s="49"/>
      <c r="M75" s="49"/>
      <c r="N75" s="49"/>
      <c r="O75" s="49"/>
      <c r="P75" s="49"/>
      <c r="Q75" s="51"/>
      <c r="R75" s="51"/>
      <c r="S75" s="49"/>
      <c r="T75" s="52"/>
      <c r="U75" s="143"/>
      <c r="V75" s="143"/>
      <c r="W75" s="143"/>
      <c r="X75" s="143"/>
      <c r="Y75" s="143"/>
      <c r="Z75" s="143"/>
    </row>
    <row r="76" ht="13.5" customHeight="1">
      <c r="A76" s="49"/>
      <c r="B76" s="49"/>
      <c r="C76" s="49"/>
      <c r="D76" s="49"/>
      <c r="E76" s="49"/>
      <c r="F76" s="49"/>
      <c r="G76" s="49"/>
      <c r="H76" s="49"/>
      <c r="I76" s="49"/>
      <c r="J76" s="49"/>
      <c r="K76" s="49"/>
      <c r="L76" s="49"/>
      <c r="M76" s="49"/>
      <c r="N76" s="49"/>
      <c r="O76" s="49"/>
      <c r="P76" s="49"/>
      <c r="Q76" s="51"/>
      <c r="R76" s="51"/>
      <c r="S76" s="49"/>
      <c r="T76" s="52"/>
      <c r="U76" s="143"/>
      <c r="V76" s="143"/>
      <c r="W76" s="143"/>
      <c r="X76" s="143"/>
      <c r="Y76" s="143"/>
      <c r="Z76" s="143"/>
    </row>
    <row r="77" ht="13.5" customHeight="1">
      <c r="A77" s="49"/>
      <c r="B77" s="49"/>
      <c r="C77" s="49"/>
      <c r="D77" s="49"/>
      <c r="E77" s="49"/>
      <c r="F77" s="49"/>
      <c r="G77" s="49"/>
      <c r="H77" s="49"/>
      <c r="I77" s="49"/>
      <c r="J77" s="49"/>
      <c r="K77" s="49"/>
      <c r="L77" s="49"/>
      <c r="M77" s="49"/>
      <c r="N77" s="49"/>
      <c r="O77" s="49"/>
      <c r="P77" s="49"/>
      <c r="Q77" s="51"/>
      <c r="R77" s="51"/>
      <c r="S77" s="49"/>
      <c r="T77" s="52"/>
      <c r="U77" s="143"/>
      <c r="V77" s="143"/>
      <c r="W77" s="143"/>
      <c r="X77" s="143"/>
      <c r="Y77" s="143"/>
      <c r="Z77" s="143"/>
    </row>
    <row r="78" ht="13.5" customHeight="1">
      <c r="A78" s="49"/>
      <c r="B78" s="49"/>
      <c r="C78" s="49"/>
      <c r="D78" s="49"/>
      <c r="E78" s="49"/>
      <c r="F78" s="49"/>
      <c r="G78" s="49"/>
      <c r="H78" s="49"/>
      <c r="I78" s="49"/>
      <c r="J78" s="49"/>
      <c r="K78" s="49"/>
      <c r="L78" s="49"/>
      <c r="M78" s="49"/>
      <c r="N78" s="49"/>
      <c r="O78" s="49"/>
      <c r="P78" s="49"/>
      <c r="Q78" s="51"/>
      <c r="R78" s="51"/>
      <c r="S78" s="49"/>
      <c r="T78" s="52"/>
      <c r="U78" s="143"/>
      <c r="V78" s="143"/>
      <c r="W78" s="143"/>
      <c r="X78" s="143"/>
      <c r="Y78" s="143"/>
      <c r="Z78" s="143"/>
    </row>
    <row r="79" ht="13.5" customHeight="1">
      <c r="A79" s="49"/>
      <c r="B79" s="49"/>
      <c r="C79" s="49"/>
      <c r="D79" s="49"/>
      <c r="E79" s="49"/>
      <c r="F79" s="49"/>
      <c r="G79" s="49"/>
      <c r="H79" s="49"/>
      <c r="I79" s="49"/>
      <c r="J79" s="49"/>
      <c r="K79" s="49"/>
      <c r="L79" s="49"/>
      <c r="M79" s="49"/>
      <c r="N79" s="49"/>
      <c r="O79" s="49"/>
      <c r="P79" s="49"/>
      <c r="Q79" s="51"/>
      <c r="R79" s="51"/>
      <c r="S79" s="49"/>
      <c r="T79" s="52"/>
      <c r="U79" s="143"/>
      <c r="V79" s="143"/>
      <c r="W79" s="143"/>
      <c r="X79" s="143"/>
      <c r="Y79" s="143"/>
      <c r="Z79" s="143"/>
    </row>
    <row r="80" ht="13.5" customHeight="1">
      <c r="A80" s="49"/>
      <c r="B80" s="49"/>
      <c r="C80" s="49"/>
      <c r="D80" s="49"/>
      <c r="E80" s="49"/>
      <c r="F80" s="49"/>
      <c r="G80" s="49"/>
      <c r="H80" s="49"/>
      <c r="I80" s="49"/>
      <c r="J80" s="49"/>
      <c r="K80" s="49"/>
      <c r="L80" s="49"/>
      <c r="M80" s="49"/>
      <c r="N80" s="49"/>
      <c r="O80" s="49"/>
      <c r="P80" s="49"/>
      <c r="Q80" s="51"/>
      <c r="R80" s="51"/>
      <c r="S80" s="49"/>
      <c r="T80" s="52"/>
      <c r="U80" s="143"/>
      <c r="V80" s="143"/>
      <c r="W80" s="143"/>
      <c r="X80" s="143"/>
      <c r="Y80" s="143"/>
      <c r="Z80" s="143"/>
    </row>
    <row r="81" ht="13.5" customHeight="1">
      <c r="A81" s="49"/>
      <c r="B81" s="49"/>
      <c r="C81" s="49"/>
      <c r="D81" s="49"/>
      <c r="E81" s="49"/>
      <c r="F81" s="49"/>
      <c r="G81" s="49"/>
      <c r="H81" s="49"/>
      <c r="I81" s="49"/>
      <c r="J81" s="49"/>
      <c r="K81" s="49"/>
      <c r="L81" s="49"/>
      <c r="M81" s="49"/>
      <c r="N81" s="49"/>
      <c r="O81" s="49"/>
      <c r="P81" s="49"/>
      <c r="Q81" s="51"/>
      <c r="R81" s="51"/>
      <c r="S81" s="49"/>
      <c r="T81" s="52"/>
      <c r="U81" s="143"/>
      <c r="V81" s="143"/>
      <c r="W81" s="143"/>
      <c r="X81" s="143"/>
      <c r="Y81" s="143"/>
      <c r="Z81" s="143"/>
    </row>
    <row r="82" ht="13.5" customHeight="1">
      <c r="A82" s="49"/>
      <c r="B82" s="49"/>
      <c r="C82" s="49"/>
      <c r="D82" s="49"/>
      <c r="E82" s="49"/>
      <c r="F82" s="49"/>
      <c r="G82" s="49"/>
      <c r="H82" s="49"/>
      <c r="I82" s="49"/>
      <c r="J82" s="49"/>
      <c r="K82" s="49"/>
      <c r="L82" s="49"/>
      <c r="M82" s="49"/>
      <c r="N82" s="49"/>
      <c r="O82" s="49"/>
      <c r="P82" s="49"/>
      <c r="Q82" s="51"/>
      <c r="R82" s="51"/>
      <c r="S82" s="49"/>
      <c r="T82" s="52"/>
      <c r="U82" s="143"/>
      <c r="V82" s="143"/>
      <c r="W82" s="143"/>
      <c r="X82" s="143"/>
      <c r="Y82" s="143"/>
      <c r="Z82" s="143"/>
    </row>
    <row r="83" ht="13.5" customHeight="1">
      <c r="A83" s="49"/>
      <c r="B83" s="49"/>
      <c r="C83" s="49"/>
      <c r="D83" s="49"/>
      <c r="E83" s="49"/>
      <c r="F83" s="49"/>
      <c r="G83" s="49"/>
      <c r="H83" s="49"/>
      <c r="I83" s="49"/>
      <c r="J83" s="49"/>
      <c r="K83" s="49"/>
      <c r="L83" s="49"/>
      <c r="M83" s="49"/>
      <c r="N83" s="49"/>
      <c r="O83" s="49"/>
      <c r="P83" s="49"/>
      <c r="Q83" s="51"/>
      <c r="R83" s="51"/>
      <c r="S83" s="49"/>
      <c r="T83" s="52"/>
      <c r="U83" s="143"/>
      <c r="V83" s="143"/>
      <c r="W83" s="143"/>
      <c r="X83" s="143"/>
      <c r="Y83" s="143"/>
      <c r="Z83" s="143"/>
    </row>
    <row r="84" ht="13.5" customHeight="1">
      <c r="A84" s="49"/>
      <c r="B84" s="49"/>
      <c r="C84" s="49"/>
      <c r="D84" s="49"/>
      <c r="E84" s="49"/>
      <c r="F84" s="49"/>
      <c r="G84" s="49"/>
      <c r="H84" s="49"/>
      <c r="I84" s="49"/>
      <c r="J84" s="49"/>
      <c r="K84" s="49"/>
      <c r="L84" s="49"/>
      <c r="M84" s="49"/>
      <c r="N84" s="49"/>
      <c r="O84" s="49"/>
      <c r="P84" s="49"/>
      <c r="Q84" s="51"/>
      <c r="R84" s="51"/>
      <c r="S84" s="49"/>
      <c r="T84" s="52"/>
      <c r="U84" s="143"/>
      <c r="V84" s="143"/>
      <c r="W84" s="143"/>
      <c r="X84" s="143"/>
      <c r="Y84" s="143"/>
      <c r="Z84" s="143"/>
    </row>
    <row r="85" ht="13.5" customHeight="1">
      <c r="A85" s="49"/>
      <c r="B85" s="49"/>
      <c r="C85" s="49"/>
      <c r="D85" s="49"/>
      <c r="E85" s="49"/>
      <c r="F85" s="49"/>
      <c r="G85" s="49"/>
      <c r="H85" s="49"/>
      <c r="I85" s="49"/>
      <c r="J85" s="49"/>
      <c r="K85" s="49"/>
      <c r="L85" s="49"/>
      <c r="M85" s="49"/>
      <c r="N85" s="49"/>
      <c r="O85" s="49"/>
      <c r="P85" s="49"/>
      <c r="Q85" s="51"/>
      <c r="R85" s="51"/>
      <c r="S85" s="49"/>
      <c r="T85" s="52"/>
      <c r="U85" s="143"/>
      <c r="V85" s="143"/>
      <c r="W85" s="143"/>
      <c r="X85" s="143"/>
      <c r="Y85" s="143"/>
      <c r="Z85" s="143"/>
    </row>
    <row r="86" ht="13.5" customHeight="1">
      <c r="A86" s="49"/>
      <c r="B86" s="49"/>
      <c r="C86" s="49"/>
      <c r="D86" s="49"/>
      <c r="E86" s="49"/>
      <c r="F86" s="49"/>
      <c r="G86" s="49"/>
      <c r="H86" s="49"/>
      <c r="I86" s="49"/>
      <c r="J86" s="49"/>
      <c r="K86" s="49"/>
      <c r="L86" s="49"/>
      <c r="M86" s="49"/>
      <c r="N86" s="49"/>
      <c r="O86" s="49"/>
      <c r="P86" s="49"/>
      <c r="Q86" s="51"/>
      <c r="R86" s="51"/>
      <c r="S86" s="49"/>
      <c r="T86" s="52"/>
      <c r="U86" s="143"/>
      <c r="V86" s="143"/>
      <c r="W86" s="143"/>
      <c r="X86" s="143"/>
      <c r="Y86" s="143"/>
      <c r="Z86" s="143"/>
    </row>
    <row r="87" ht="13.5" customHeight="1">
      <c r="A87" s="49"/>
      <c r="B87" s="49"/>
      <c r="C87" s="49"/>
      <c r="D87" s="49"/>
      <c r="E87" s="49"/>
      <c r="F87" s="49"/>
      <c r="G87" s="49"/>
      <c r="H87" s="49"/>
      <c r="I87" s="49"/>
      <c r="J87" s="49"/>
      <c r="K87" s="49"/>
      <c r="L87" s="49"/>
      <c r="M87" s="49"/>
      <c r="N87" s="49"/>
      <c r="O87" s="49"/>
      <c r="P87" s="49"/>
      <c r="Q87" s="51"/>
      <c r="R87" s="51"/>
      <c r="S87" s="49"/>
      <c r="T87" s="52"/>
      <c r="U87" s="143"/>
      <c r="V87" s="143"/>
      <c r="W87" s="143"/>
      <c r="X87" s="143"/>
      <c r="Y87" s="143"/>
      <c r="Z87" s="143"/>
    </row>
    <row r="88" ht="13.5" customHeight="1">
      <c r="A88" s="49"/>
      <c r="B88" s="49"/>
      <c r="C88" s="49"/>
      <c r="D88" s="49"/>
      <c r="E88" s="49"/>
      <c r="F88" s="49"/>
      <c r="G88" s="49"/>
      <c r="H88" s="49"/>
      <c r="I88" s="49"/>
      <c r="J88" s="49"/>
      <c r="K88" s="49"/>
      <c r="L88" s="49"/>
      <c r="M88" s="49"/>
      <c r="N88" s="49"/>
      <c r="O88" s="49"/>
      <c r="P88" s="49"/>
      <c r="Q88" s="51"/>
      <c r="R88" s="51"/>
      <c r="S88" s="49"/>
      <c r="T88" s="52"/>
      <c r="U88" s="143"/>
      <c r="V88" s="143"/>
      <c r="W88" s="143"/>
      <c r="X88" s="143"/>
      <c r="Y88" s="143"/>
      <c r="Z88" s="143"/>
    </row>
    <row r="89" ht="13.5" customHeight="1">
      <c r="A89" s="49"/>
      <c r="B89" s="49"/>
      <c r="C89" s="49"/>
      <c r="D89" s="49"/>
      <c r="E89" s="49"/>
      <c r="F89" s="49"/>
      <c r="G89" s="49"/>
      <c r="H89" s="49"/>
      <c r="I89" s="49"/>
      <c r="J89" s="49"/>
      <c r="K89" s="49"/>
      <c r="L89" s="49"/>
      <c r="M89" s="49"/>
      <c r="N89" s="49"/>
      <c r="O89" s="49"/>
      <c r="P89" s="49"/>
      <c r="Q89" s="51"/>
      <c r="R89" s="51"/>
      <c r="S89" s="49"/>
      <c r="T89" s="52"/>
      <c r="U89" s="143"/>
      <c r="V89" s="143"/>
      <c r="W89" s="143"/>
      <c r="X89" s="143"/>
      <c r="Y89" s="143"/>
      <c r="Z89" s="143"/>
    </row>
    <row r="90" ht="13.5" customHeight="1">
      <c r="A90" s="49"/>
      <c r="B90" s="49"/>
      <c r="C90" s="49"/>
      <c r="D90" s="49"/>
      <c r="E90" s="49"/>
      <c r="F90" s="49"/>
      <c r="G90" s="49"/>
      <c r="H90" s="49"/>
      <c r="I90" s="49"/>
      <c r="J90" s="49"/>
      <c r="K90" s="49"/>
      <c r="L90" s="49"/>
      <c r="M90" s="49"/>
      <c r="N90" s="49"/>
      <c r="O90" s="49"/>
      <c r="P90" s="49"/>
      <c r="Q90" s="51"/>
      <c r="R90" s="51"/>
      <c r="S90" s="49"/>
      <c r="T90" s="52"/>
      <c r="U90" s="143"/>
      <c r="V90" s="143"/>
      <c r="W90" s="143"/>
      <c r="X90" s="143"/>
      <c r="Y90" s="143"/>
      <c r="Z90" s="143"/>
    </row>
    <row r="91" ht="13.5" customHeight="1">
      <c r="A91" s="49"/>
      <c r="B91" s="49"/>
      <c r="C91" s="49"/>
      <c r="D91" s="49"/>
      <c r="E91" s="49"/>
      <c r="F91" s="49"/>
      <c r="G91" s="49"/>
      <c r="H91" s="49"/>
      <c r="I91" s="49"/>
      <c r="J91" s="49"/>
      <c r="K91" s="49"/>
      <c r="L91" s="49"/>
      <c r="M91" s="49"/>
      <c r="N91" s="49"/>
      <c r="O91" s="49"/>
      <c r="P91" s="49"/>
      <c r="Q91" s="51"/>
      <c r="R91" s="51"/>
      <c r="S91" s="49"/>
      <c r="T91" s="52"/>
      <c r="U91" s="143"/>
      <c r="V91" s="143"/>
      <c r="W91" s="143"/>
      <c r="X91" s="143"/>
      <c r="Y91" s="143"/>
      <c r="Z91" s="143"/>
    </row>
    <row r="92" ht="13.5" customHeight="1">
      <c r="A92" s="49"/>
      <c r="B92" s="49"/>
      <c r="C92" s="49"/>
      <c r="D92" s="49"/>
      <c r="E92" s="49"/>
      <c r="F92" s="49"/>
      <c r="G92" s="49"/>
      <c r="H92" s="49"/>
      <c r="I92" s="49"/>
      <c r="J92" s="49"/>
      <c r="K92" s="49"/>
      <c r="L92" s="49"/>
      <c r="M92" s="49"/>
      <c r="N92" s="49"/>
      <c r="O92" s="49"/>
      <c r="P92" s="49"/>
      <c r="Q92" s="51"/>
      <c r="R92" s="51"/>
      <c r="S92" s="49"/>
      <c r="T92" s="52"/>
      <c r="U92" s="143"/>
      <c r="V92" s="143"/>
      <c r="W92" s="143"/>
      <c r="X92" s="143"/>
      <c r="Y92" s="143"/>
      <c r="Z92" s="143"/>
    </row>
    <row r="93" ht="13.5" customHeight="1">
      <c r="A93" s="49"/>
      <c r="B93" s="49"/>
      <c r="C93" s="49"/>
      <c r="D93" s="49"/>
      <c r="E93" s="49"/>
      <c r="F93" s="49"/>
      <c r="G93" s="49"/>
      <c r="H93" s="49"/>
      <c r="I93" s="49"/>
      <c r="J93" s="49"/>
      <c r="K93" s="49"/>
      <c r="L93" s="49"/>
      <c r="M93" s="49"/>
      <c r="N93" s="49"/>
      <c r="O93" s="49"/>
      <c r="P93" s="49"/>
      <c r="Q93" s="51"/>
      <c r="R93" s="51"/>
      <c r="S93" s="49"/>
      <c r="T93" s="52"/>
      <c r="U93" s="143"/>
      <c r="V93" s="143"/>
      <c r="W93" s="143"/>
      <c r="X93" s="143"/>
      <c r="Y93" s="143"/>
      <c r="Z93" s="143"/>
    </row>
    <row r="94" ht="13.5" customHeight="1">
      <c r="A94" s="49"/>
      <c r="B94" s="49"/>
      <c r="C94" s="49"/>
      <c r="D94" s="49"/>
      <c r="E94" s="49"/>
      <c r="F94" s="49"/>
      <c r="G94" s="49"/>
      <c r="H94" s="49"/>
      <c r="I94" s="49"/>
      <c r="J94" s="49"/>
      <c r="K94" s="49"/>
      <c r="L94" s="49"/>
      <c r="M94" s="49"/>
      <c r="N94" s="49"/>
      <c r="O94" s="49"/>
      <c r="P94" s="49"/>
      <c r="Q94" s="51"/>
      <c r="R94" s="51"/>
      <c r="S94" s="49"/>
      <c r="T94" s="52"/>
      <c r="U94" s="143"/>
      <c r="V94" s="143"/>
      <c r="W94" s="143"/>
      <c r="X94" s="143"/>
      <c r="Y94" s="143"/>
      <c r="Z94" s="143"/>
    </row>
    <row r="95" ht="13.5" customHeight="1">
      <c r="A95" s="49"/>
      <c r="B95" s="49"/>
      <c r="C95" s="49"/>
      <c r="D95" s="49"/>
      <c r="E95" s="49"/>
      <c r="F95" s="49"/>
      <c r="G95" s="49"/>
      <c r="H95" s="49"/>
      <c r="I95" s="49"/>
      <c r="J95" s="49"/>
      <c r="K95" s="49"/>
      <c r="L95" s="49"/>
      <c r="M95" s="49"/>
      <c r="N95" s="49"/>
      <c r="O95" s="49"/>
      <c r="P95" s="49"/>
      <c r="Q95" s="51"/>
      <c r="R95" s="51"/>
      <c r="S95" s="49"/>
      <c r="T95" s="52"/>
      <c r="U95" s="143"/>
      <c r="V95" s="143"/>
      <c r="W95" s="143"/>
      <c r="X95" s="143"/>
      <c r="Y95" s="143"/>
      <c r="Z95" s="143"/>
    </row>
    <row r="96" ht="13.5" customHeight="1">
      <c r="A96" s="49"/>
      <c r="B96" s="49"/>
      <c r="C96" s="49"/>
      <c r="D96" s="49"/>
      <c r="E96" s="49"/>
      <c r="F96" s="49"/>
      <c r="G96" s="49"/>
      <c r="H96" s="49"/>
      <c r="I96" s="49"/>
      <c r="J96" s="49"/>
      <c r="K96" s="49"/>
      <c r="L96" s="49"/>
      <c r="M96" s="49"/>
      <c r="N96" s="49"/>
      <c r="O96" s="49"/>
      <c r="P96" s="49"/>
      <c r="Q96" s="51"/>
      <c r="R96" s="51"/>
      <c r="S96" s="49"/>
      <c r="T96" s="52"/>
      <c r="U96" s="143"/>
      <c r="V96" s="143"/>
      <c r="W96" s="143"/>
      <c r="X96" s="143"/>
      <c r="Y96" s="143"/>
      <c r="Z96" s="143"/>
    </row>
    <row r="97" ht="13.5" customHeight="1">
      <c r="A97" s="49"/>
      <c r="B97" s="49"/>
      <c r="C97" s="49"/>
      <c r="D97" s="49"/>
      <c r="E97" s="49"/>
      <c r="F97" s="49"/>
      <c r="G97" s="49"/>
      <c r="H97" s="49"/>
      <c r="I97" s="49"/>
      <c r="J97" s="49"/>
      <c r="K97" s="49"/>
      <c r="L97" s="49"/>
      <c r="M97" s="49"/>
      <c r="N97" s="49"/>
      <c r="O97" s="49"/>
      <c r="P97" s="49"/>
      <c r="Q97" s="51"/>
      <c r="R97" s="51"/>
      <c r="S97" s="49"/>
      <c r="T97" s="52"/>
      <c r="U97" s="143"/>
      <c r="V97" s="143"/>
      <c r="W97" s="143"/>
      <c r="X97" s="143"/>
      <c r="Y97" s="143"/>
      <c r="Z97" s="143"/>
    </row>
    <row r="98" ht="13.5" customHeight="1">
      <c r="A98" s="49"/>
      <c r="B98" s="49"/>
      <c r="C98" s="49"/>
      <c r="D98" s="49"/>
      <c r="E98" s="49"/>
      <c r="F98" s="49"/>
      <c r="G98" s="49"/>
      <c r="H98" s="49"/>
      <c r="I98" s="49"/>
      <c r="J98" s="49"/>
      <c r="K98" s="49"/>
      <c r="L98" s="49"/>
      <c r="M98" s="49"/>
      <c r="N98" s="49"/>
      <c r="O98" s="49"/>
      <c r="P98" s="49"/>
      <c r="Q98" s="51"/>
      <c r="R98" s="51"/>
      <c r="S98" s="49"/>
      <c r="T98" s="52"/>
      <c r="U98" s="143"/>
      <c r="V98" s="143"/>
      <c r="W98" s="143"/>
      <c r="X98" s="143"/>
      <c r="Y98" s="143"/>
      <c r="Z98" s="143"/>
    </row>
    <row r="99" ht="13.5" customHeight="1">
      <c r="A99" s="49"/>
      <c r="B99" s="49"/>
      <c r="C99" s="49"/>
      <c r="D99" s="49"/>
      <c r="E99" s="49"/>
      <c r="F99" s="49"/>
      <c r="G99" s="49"/>
      <c r="H99" s="49"/>
      <c r="I99" s="49"/>
      <c r="J99" s="49"/>
      <c r="K99" s="49"/>
      <c r="L99" s="49"/>
      <c r="M99" s="49"/>
      <c r="N99" s="49"/>
      <c r="O99" s="49"/>
      <c r="P99" s="49"/>
      <c r="Q99" s="51"/>
      <c r="R99" s="51"/>
      <c r="S99" s="49"/>
      <c r="T99" s="52"/>
      <c r="U99" s="143"/>
      <c r="V99" s="143"/>
      <c r="W99" s="143"/>
      <c r="X99" s="143"/>
      <c r="Y99" s="143"/>
      <c r="Z99" s="143"/>
    </row>
    <row r="100" ht="13.5" customHeight="1">
      <c r="A100" s="49"/>
      <c r="B100" s="49"/>
      <c r="C100" s="49"/>
      <c r="D100" s="49"/>
      <c r="E100" s="49"/>
      <c r="F100" s="49"/>
      <c r="G100" s="49"/>
      <c r="H100" s="49"/>
      <c r="I100" s="49"/>
      <c r="J100" s="49"/>
      <c r="K100" s="49"/>
      <c r="L100" s="49"/>
      <c r="M100" s="49"/>
      <c r="N100" s="49"/>
      <c r="O100" s="49"/>
      <c r="P100" s="49"/>
      <c r="Q100" s="51"/>
      <c r="R100" s="51"/>
      <c r="S100" s="49"/>
      <c r="T100" s="52"/>
      <c r="U100" s="143"/>
      <c r="V100" s="143"/>
      <c r="W100" s="143"/>
      <c r="X100" s="143"/>
      <c r="Y100" s="143"/>
      <c r="Z100" s="143"/>
    </row>
    <row r="101" ht="13.5" customHeight="1">
      <c r="A101" s="49"/>
      <c r="B101" s="49"/>
      <c r="C101" s="49"/>
      <c r="D101" s="49"/>
      <c r="E101" s="49"/>
      <c r="F101" s="49"/>
      <c r="G101" s="49"/>
      <c r="H101" s="49"/>
      <c r="I101" s="49"/>
      <c r="J101" s="49"/>
      <c r="K101" s="49"/>
      <c r="L101" s="49"/>
      <c r="M101" s="49"/>
      <c r="N101" s="49"/>
      <c r="O101" s="49"/>
      <c r="P101" s="49"/>
      <c r="Q101" s="51"/>
      <c r="R101" s="51"/>
      <c r="S101" s="49"/>
      <c r="T101" s="52"/>
      <c r="U101" s="143"/>
      <c r="V101" s="143"/>
      <c r="W101" s="143"/>
      <c r="X101" s="143"/>
      <c r="Y101" s="143"/>
      <c r="Z101" s="143"/>
    </row>
    <row r="102" ht="13.5" customHeight="1">
      <c r="A102" s="49"/>
      <c r="B102" s="49"/>
      <c r="C102" s="49"/>
      <c r="D102" s="49"/>
      <c r="E102" s="49"/>
      <c r="F102" s="49"/>
      <c r="G102" s="49"/>
      <c r="H102" s="49"/>
      <c r="I102" s="49"/>
      <c r="J102" s="49"/>
      <c r="K102" s="49"/>
      <c r="L102" s="49"/>
      <c r="M102" s="49"/>
      <c r="N102" s="49"/>
      <c r="O102" s="49"/>
      <c r="P102" s="49"/>
      <c r="Q102" s="51"/>
      <c r="R102" s="51"/>
      <c r="S102" s="49"/>
      <c r="T102" s="52"/>
      <c r="U102" s="143"/>
      <c r="V102" s="143"/>
      <c r="W102" s="143"/>
      <c r="X102" s="143"/>
      <c r="Y102" s="143"/>
      <c r="Z102" s="143"/>
    </row>
    <row r="103" ht="13.5" customHeight="1">
      <c r="A103" s="49"/>
      <c r="B103" s="49"/>
      <c r="C103" s="49"/>
      <c r="D103" s="49"/>
      <c r="E103" s="49"/>
      <c r="F103" s="49"/>
      <c r="G103" s="49"/>
      <c r="H103" s="49"/>
      <c r="I103" s="49"/>
      <c r="J103" s="49"/>
      <c r="K103" s="49"/>
      <c r="L103" s="49"/>
      <c r="M103" s="49"/>
      <c r="N103" s="49"/>
      <c r="O103" s="49"/>
      <c r="P103" s="49"/>
      <c r="Q103" s="51"/>
      <c r="R103" s="51"/>
      <c r="S103" s="49"/>
      <c r="T103" s="52"/>
      <c r="U103" s="143"/>
      <c r="V103" s="143"/>
      <c r="W103" s="143"/>
      <c r="X103" s="143"/>
      <c r="Y103" s="143"/>
      <c r="Z103" s="143"/>
    </row>
    <row r="104" ht="13.5" customHeight="1">
      <c r="A104" s="49"/>
      <c r="B104" s="49"/>
      <c r="C104" s="49"/>
      <c r="D104" s="49"/>
      <c r="E104" s="49"/>
      <c r="F104" s="49"/>
      <c r="G104" s="49"/>
      <c r="H104" s="49"/>
      <c r="I104" s="49"/>
      <c r="J104" s="49"/>
      <c r="K104" s="49"/>
      <c r="L104" s="49"/>
      <c r="M104" s="49"/>
      <c r="N104" s="49"/>
      <c r="O104" s="49"/>
      <c r="P104" s="49"/>
      <c r="Q104" s="51"/>
      <c r="R104" s="51"/>
      <c r="S104" s="49"/>
      <c r="T104" s="52"/>
      <c r="U104" s="143"/>
      <c r="V104" s="143"/>
      <c r="W104" s="143"/>
      <c r="X104" s="143"/>
      <c r="Y104" s="143"/>
      <c r="Z104" s="143"/>
    </row>
    <row r="105" ht="13.5" customHeight="1">
      <c r="A105" s="49"/>
      <c r="B105" s="49"/>
      <c r="C105" s="49"/>
      <c r="D105" s="49"/>
      <c r="E105" s="49"/>
      <c r="F105" s="49"/>
      <c r="G105" s="49"/>
      <c r="H105" s="49"/>
      <c r="I105" s="49"/>
      <c r="J105" s="49"/>
      <c r="K105" s="49"/>
      <c r="L105" s="49"/>
      <c r="M105" s="49"/>
      <c r="N105" s="49"/>
      <c r="O105" s="49"/>
      <c r="P105" s="49"/>
      <c r="Q105" s="51"/>
      <c r="R105" s="51"/>
      <c r="S105" s="49"/>
      <c r="T105" s="52"/>
      <c r="U105" s="143"/>
      <c r="V105" s="143"/>
      <c r="W105" s="143"/>
      <c r="X105" s="143"/>
      <c r="Y105" s="143"/>
      <c r="Z105" s="143"/>
    </row>
    <row r="106" ht="13.5" customHeight="1">
      <c r="A106" s="49"/>
      <c r="B106" s="49"/>
      <c r="C106" s="49"/>
      <c r="D106" s="49"/>
      <c r="E106" s="49"/>
      <c r="F106" s="49"/>
      <c r="G106" s="49"/>
      <c r="H106" s="49"/>
      <c r="I106" s="49"/>
      <c r="J106" s="49"/>
      <c r="K106" s="49"/>
      <c r="L106" s="49"/>
      <c r="M106" s="49"/>
      <c r="N106" s="49"/>
      <c r="O106" s="49"/>
      <c r="P106" s="49"/>
      <c r="Q106" s="51"/>
      <c r="R106" s="51"/>
      <c r="S106" s="49"/>
      <c r="T106" s="52"/>
      <c r="U106" s="143"/>
      <c r="V106" s="143"/>
      <c r="W106" s="143"/>
      <c r="X106" s="143"/>
      <c r="Y106" s="143"/>
      <c r="Z106" s="143"/>
    </row>
    <row r="107" ht="13.5" customHeight="1">
      <c r="A107" s="49"/>
      <c r="B107" s="49"/>
      <c r="C107" s="49"/>
      <c r="D107" s="49"/>
      <c r="E107" s="49"/>
      <c r="F107" s="49"/>
      <c r="G107" s="49"/>
      <c r="H107" s="49"/>
      <c r="I107" s="49"/>
      <c r="J107" s="49"/>
      <c r="K107" s="49"/>
      <c r="L107" s="49"/>
      <c r="M107" s="49"/>
      <c r="N107" s="49"/>
      <c r="O107" s="49"/>
      <c r="P107" s="49"/>
      <c r="Q107" s="51"/>
      <c r="R107" s="51"/>
      <c r="S107" s="49"/>
      <c r="T107" s="52"/>
      <c r="U107" s="143"/>
      <c r="V107" s="143"/>
      <c r="W107" s="143"/>
      <c r="X107" s="143"/>
      <c r="Y107" s="143"/>
      <c r="Z107" s="143"/>
    </row>
    <row r="108" ht="13.5" customHeight="1">
      <c r="A108" s="49"/>
      <c r="B108" s="49"/>
      <c r="C108" s="49"/>
      <c r="D108" s="49"/>
      <c r="E108" s="49"/>
      <c r="F108" s="49"/>
      <c r="G108" s="49"/>
      <c r="H108" s="49"/>
      <c r="I108" s="49"/>
      <c r="J108" s="49"/>
      <c r="K108" s="49"/>
      <c r="L108" s="49"/>
      <c r="M108" s="49"/>
      <c r="N108" s="49"/>
      <c r="O108" s="49"/>
      <c r="P108" s="49"/>
      <c r="Q108" s="51"/>
      <c r="R108" s="51"/>
      <c r="S108" s="49"/>
      <c r="T108" s="52"/>
      <c r="U108" s="143"/>
      <c r="V108" s="143"/>
      <c r="W108" s="143"/>
      <c r="X108" s="143"/>
      <c r="Y108" s="143"/>
      <c r="Z108" s="143"/>
    </row>
    <row r="109" ht="13.5" customHeight="1">
      <c r="A109" s="49"/>
      <c r="B109" s="49"/>
      <c r="C109" s="49"/>
      <c r="D109" s="49"/>
      <c r="E109" s="49"/>
      <c r="F109" s="49"/>
      <c r="G109" s="49"/>
      <c r="H109" s="49"/>
      <c r="I109" s="49"/>
      <c r="J109" s="49"/>
      <c r="K109" s="49"/>
      <c r="L109" s="49"/>
      <c r="M109" s="49"/>
      <c r="N109" s="49"/>
      <c r="O109" s="49"/>
      <c r="P109" s="49"/>
      <c r="Q109" s="51"/>
      <c r="R109" s="51"/>
      <c r="S109" s="49"/>
      <c r="T109" s="52"/>
      <c r="U109" s="143"/>
      <c r="V109" s="143"/>
      <c r="W109" s="143"/>
      <c r="X109" s="143"/>
      <c r="Y109" s="143"/>
      <c r="Z109" s="143"/>
    </row>
    <row r="110" ht="13.5" customHeight="1">
      <c r="A110" s="49"/>
      <c r="B110" s="49"/>
      <c r="C110" s="49"/>
      <c r="D110" s="49"/>
      <c r="E110" s="49"/>
      <c r="F110" s="49"/>
      <c r="G110" s="49"/>
      <c r="H110" s="49"/>
      <c r="I110" s="49"/>
      <c r="J110" s="49"/>
      <c r="K110" s="49"/>
      <c r="L110" s="49"/>
      <c r="M110" s="49"/>
      <c r="N110" s="49"/>
      <c r="O110" s="49"/>
      <c r="P110" s="49"/>
      <c r="Q110" s="51"/>
      <c r="R110" s="51"/>
      <c r="S110" s="49"/>
      <c r="T110" s="52"/>
      <c r="U110" s="143"/>
      <c r="V110" s="143"/>
      <c r="W110" s="143"/>
      <c r="X110" s="143"/>
      <c r="Y110" s="143"/>
      <c r="Z110" s="143"/>
    </row>
    <row r="111" ht="13.5" customHeight="1">
      <c r="A111" s="49"/>
      <c r="B111" s="49"/>
      <c r="C111" s="49"/>
      <c r="D111" s="49"/>
      <c r="E111" s="49"/>
      <c r="F111" s="49"/>
      <c r="G111" s="49"/>
      <c r="H111" s="49"/>
      <c r="I111" s="49"/>
      <c r="J111" s="49"/>
      <c r="K111" s="49"/>
      <c r="L111" s="49"/>
      <c r="M111" s="49"/>
      <c r="N111" s="49"/>
      <c r="O111" s="49"/>
      <c r="P111" s="49"/>
      <c r="Q111" s="51"/>
      <c r="R111" s="51"/>
      <c r="S111" s="49"/>
      <c r="T111" s="52"/>
      <c r="U111" s="143"/>
      <c r="V111" s="143"/>
      <c r="W111" s="143"/>
      <c r="X111" s="143"/>
      <c r="Y111" s="143"/>
      <c r="Z111" s="143"/>
    </row>
    <row r="112" ht="13.5" customHeight="1">
      <c r="A112" s="49"/>
      <c r="B112" s="49"/>
      <c r="C112" s="49"/>
      <c r="D112" s="49"/>
      <c r="E112" s="49"/>
      <c r="F112" s="49"/>
      <c r="G112" s="49"/>
      <c r="H112" s="49"/>
      <c r="I112" s="49"/>
      <c r="J112" s="49"/>
      <c r="K112" s="49"/>
      <c r="L112" s="49"/>
      <c r="M112" s="49"/>
      <c r="N112" s="49"/>
      <c r="O112" s="49"/>
      <c r="P112" s="49"/>
      <c r="Q112" s="51"/>
      <c r="R112" s="51"/>
      <c r="S112" s="49"/>
      <c r="T112" s="52"/>
      <c r="U112" s="143"/>
      <c r="V112" s="143"/>
      <c r="W112" s="143"/>
      <c r="X112" s="143"/>
      <c r="Y112" s="143"/>
      <c r="Z112" s="143"/>
    </row>
    <row r="113" ht="13.5" customHeight="1">
      <c r="A113" s="49"/>
      <c r="B113" s="49"/>
      <c r="C113" s="49"/>
      <c r="D113" s="49"/>
      <c r="E113" s="49"/>
      <c r="F113" s="49"/>
      <c r="G113" s="49"/>
      <c r="H113" s="49"/>
      <c r="I113" s="49"/>
      <c r="J113" s="49"/>
      <c r="K113" s="49"/>
      <c r="L113" s="49"/>
      <c r="M113" s="49"/>
      <c r="N113" s="49"/>
      <c r="O113" s="49"/>
      <c r="P113" s="49"/>
      <c r="Q113" s="51"/>
      <c r="R113" s="51"/>
      <c r="S113" s="49"/>
      <c r="T113" s="52"/>
      <c r="U113" s="143"/>
      <c r="V113" s="143"/>
      <c r="W113" s="143"/>
      <c r="X113" s="143"/>
      <c r="Y113" s="143"/>
      <c r="Z113" s="143"/>
    </row>
    <row r="114" ht="13.5" customHeight="1">
      <c r="A114" s="49"/>
      <c r="B114" s="49"/>
      <c r="C114" s="49"/>
      <c r="D114" s="49"/>
      <c r="E114" s="49"/>
      <c r="F114" s="49"/>
      <c r="G114" s="49"/>
      <c r="H114" s="49"/>
      <c r="I114" s="49"/>
      <c r="J114" s="49"/>
      <c r="K114" s="49"/>
      <c r="L114" s="49"/>
      <c r="M114" s="49"/>
      <c r="N114" s="49"/>
      <c r="O114" s="49"/>
      <c r="P114" s="49"/>
      <c r="Q114" s="51"/>
      <c r="R114" s="51"/>
      <c r="S114" s="49"/>
      <c r="T114" s="52"/>
      <c r="U114" s="143"/>
      <c r="V114" s="143"/>
      <c r="W114" s="143"/>
      <c r="X114" s="143"/>
      <c r="Y114" s="143"/>
      <c r="Z114" s="143"/>
    </row>
    <row r="115" ht="13.5" customHeight="1">
      <c r="A115" s="49"/>
      <c r="B115" s="49"/>
      <c r="C115" s="49"/>
      <c r="D115" s="49"/>
      <c r="E115" s="49"/>
      <c r="F115" s="49"/>
      <c r="G115" s="49"/>
      <c r="H115" s="49"/>
      <c r="I115" s="49"/>
      <c r="J115" s="49"/>
      <c r="K115" s="49"/>
      <c r="L115" s="49"/>
      <c r="M115" s="49"/>
      <c r="N115" s="49"/>
      <c r="O115" s="49"/>
      <c r="P115" s="49"/>
      <c r="Q115" s="51"/>
      <c r="R115" s="51"/>
      <c r="S115" s="49"/>
      <c r="T115" s="52"/>
      <c r="U115" s="143"/>
      <c r="V115" s="143"/>
      <c r="W115" s="143"/>
      <c r="X115" s="143"/>
      <c r="Y115" s="143"/>
      <c r="Z115" s="143"/>
    </row>
    <row r="116" ht="13.5" customHeight="1">
      <c r="A116" s="49"/>
      <c r="B116" s="49"/>
      <c r="C116" s="49"/>
      <c r="D116" s="49"/>
      <c r="E116" s="49"/>
      <c r="F116" s="49"/>
      <c r="G116" s="49"/>
      <c r="H116" s="49"/>
      <c r="I116" s="49"/>
      <c r="J116" s="49"/>
      <c r="K116" s="49"/>
      <c r="L116" s="49"/>
      <c r="M116" s="49"/>
      <c r="N116" s="49"/>
      <c r="O116" s="49"/>
      <c r="P116" s="49"/>
      <c r="Q116" s="51"/>
      <c r="R116" s="51"/>
      <c r="S116" s="49"/>
      <c r="T116" s="52"/>
      <c r="U116" s="143"/>
      <c r="V116" s="143"/>
      <c r="W116" s="143"/>
      <c r="X116" s="143"/>
      <c r="Y116" s="143"/>
      <c r="Z116" s="143"/>
    </row>
    <row r="117" ht="13.5" customHeight="1">
      <c r="A117" s="49"/>
      <c r="B117" s="49"/>
      <c r="C117" s="49"/>
      <c r="D117" s="49"/>
      <c r="E117" s="49"/>
      <c r="F117" s="49"/>
      <c r="G117" s="49"/>
      <c r="H117" s="49"/>
      <c r="I117" s="49"/>
      <c r="J117" s="49"/>
      <c r="K117" s="49"/>
      <c r="L117" s="49"/>
      <c r="M117" s="49"/>
      <c r="N117" s="49"/>
      <c r="O117" s="49"/>
      <c r="P117" s="49"/>
      <c r="Q117" s="51"/>
      <c r="R117" s="51"/>
      <c r="S117" s="49"/>
      <c r="T117" s="52"/>
      <c r="U117" s="143"/>
      <c r="V117" s="143"/>
      <c r="W117" s="143"/>
      <c r="X117" s="143"/>
      <c r="Y117" s="143"/>
      <c r="Z117" s="143"/>
    </row>
    <row r="118" ht="13.5" customHeight="1">
      <c r="A118" s="49"/>
      <c r="B118" s="49"/>
      <c r="C118" s="49"/>
      <c r="D118" s="49"/>
      <c r="E118" s="49"/>
      <c r="F118" s="49"/>
      <c r="G118" s="49"/>
      <c r="H118" s="49"/>
      <c r="I118" s="49"/>
      <c r="J118" s="49"/>
      <c r="K118" s="49"/>
      <c r="L118" s="49"/>
      <c r="M118" s="49"/>
      <c r="N118" s="49"/>
      <c r="O118" s="49"/>
      <c r="P118" s="49"/>
      <c r="Q118" s="51"/>
      <c r="R118" s="51"/>
      <c r="S118" s="49"/>
      <c r="T118" s="52"/>
      <c r="U118" s="143"/>
      <c r="V118" s="143"/>
      <c r="W118" s="143"/>
      <c r="X118" s="143"/>
      <c r="Y118" s="143"/>
      <c r="Z118" s="143"/>
    </row>
    <row r="119" ht="13.5" customHeight="1">
      <c r="A119" s="49"/>
      <c r="B119" s="49"/>
      <c r="C119" s="49"/>
      <c r="D119" s="49"/>
      <c r="E119" s="49"/>
      <c r="F119" s="49"/>
      <c r="G119" s="49"/>
      <c r="H119" s="49"/>
      <c r="I119" s="49"/>
      <c r="J119" s="49"/>
      <c r="K119" s="49"/>
      <c r="L119" s="49"/>
      <c r="M119" s="49"/>
      <c r="N119" s="49"/>
      <c r="O119" s="49"/>
      <c r="P119" s="49"/>
      <c r="Q119" s="51"/>
      <c r="R119" s="51"/>
      <c r="S119" s="49"/>
      <c r="T119" s="52"/>
      <c r="U119" s="143"/>
      <c r="V119" s="143"/>
      <c r="W119" s="143"/>
      <c r="X119" s="143"/>
      <c r="Y119" s="143"/>
      <c r="Z119" s="143"/>
    </row>
    <row r="120" ht="13.5" customHeight="1">
      <c r="A120" s="49"/>
      <c r="B120" s="49"/>
      <c r="C120" s="49"/>
      <c r="D120" s="49"/>
      <c r="E120" s="49"/>
      <c r="F120" s="49"/>
      <c r="G120" s="49"/>
      <c r="H120" s="49"/>
      <c r="I120" s="49"/>
      <c r="J120" s="49"/>
      <c r="K120" s="49"/>
      <c r="L120" s="49"/>
      <c r="M120" s="49"/>
      <c r="N120" s="49"/>
      <c r="O120" s="49"/>
      <c r="P120" s="49"/>
      <c r="Q120" s="51"/>
      <c r="R120" s="51"/>
      <c r="S120" s="49"/>
      <c r="T120" s="52"/>
      <c r="U120" s="143"/>
      <c r="V120" s="143"/>
      <c r="W120" s="143"/>
      <c r="X120" s="143"/>
      <c r="Y120" s="143"/>
      <c r="Z120" s="143"/>
    </row>
    <row r="121" ht="13.5" customHeight="1">
      <c r="A121" s="49"/>
      <c r="B121" s="49"/>
      <c r="C121" s="49"/>
      <c r="D121" s="49"/>
      <c r="E121" s="49"/>
      <c r="F121" s="49"/>
      <c r="G121" s="49"/>
      <c r="H121" s="49"/>
      <c r="I121" s="49"/>
      <c r="J121" s="49"/>
      <c r="K121" s="49"/>
      <c r="L121" s="49"/>
      <c r="M121" s="49"/>
      <c r="N121" s="49"/>
      <c r="O121" s="49"/>
      <c r="P121" s="49"/>
      <c r="Q121" s="51"/>
      <c r="R121" s="51"/>
      <c r="S121" s="49"/>
      <c r="T121" s="52"/>
      <c r="U121" s="143"/>
      <c r="V121" s="143"/>
      <c r="W121" s="143"/>
      <c r="X121" s="143"/>
      <c r="Y121" s="143"/>
      <c r="Z121" s="143"/>
    </row>
    <row r="122" ht="13.5" customHeight="1">
      <c r="A122" s="49"/>
      <c r="B122" s="49"/>
      <c r="C122" s="49"/>
      <c r="D122" s="49"/>
      <c r="E122" s="49"/>
      <c r="F122" s="49"/>
      <c r="G122" s="49"/>
      <c r="H122" s="49"/>
      <c r="I122" s="49"/>
      <c r="J122" s="49"/>
      <c r="K122" s="49"/>
      <c r="L122" s="49"/>
      <c r="M122" s="49"/>
      <c r="N122" s="49"/>
      <c r="O122" s="49"/>
      <c r="P122" s="49"/>
      <c r="Q122" s="51"/>
      <c r="R122" s="51"/>
      <c r="S122" s="49"/>
      <c r="T122" s="52"/>
      <c r="U122" s="143"/>
      <c r="V122" s="143"/>
      <c r="W122" s="143"/>
      <c r="X122" s="143"/>
      <c r="Y122" s="143"/>
      <c r="Z122" s="143"/>
    </row>
    <row r="123" ht="13.5" customHeight="1">
      <c r="A123" s="49"/>
      <c r="B123" s="49"/>
      <c r="C123" s="49"/>
      <c r="D123" s="49"/>
      <c r="E123" s="49"/>
      <c r="F123" s="49"/>
      <c r="G123" s="49"/>
      <c r="H123" s="49"/>
      <c r="I123" s="49"/>
      <c r="J123" s="49"/>
      <c r="K123" s="49"/>
      <c r="L123" s="49"/>
      <c r="M123" s="49"/>
      <c r="N123" s="49"/>
      <c r="O123" s="49"/>
      <c r="P123" s="49"/>
      <c r="Q123" s="51"/>
      <c r="R123" s="51"/>
      <c r="S123" s="49"/>
      <c r="T123" s="52"/>
      <c r="U123" s="143"/>
      <c r="V123" s="143"/>
      <c r="W123" s="143"/>
      <c r="X123" s="143"/>
      <c r="Y123" s="143"/>
      <c r="Z123" s="143"/>
    </row>
    <row r="124" ht="13.5" customHeight="1">
      <c r="A124" s="49"/>
      <c r="B124" s="49"/>
      <c r="C124" s="49"/>
      <c r="D124" s="49"/>
      <c r="E124" s="49"/>
      <c r="F124" s="49"/>
      <c r="G124" s="49"/>
      <c r="H124" s="49"/>
      <c r="I124" s="49"/>
      <c r="J124" s="49"/>
      <c r="K124" s="49"/>
      <c r="L124" s="49"/>
      <c r="M124" s="49"/>
      <c r="N124" s="49"/>
      <c r="O124" s="49"/>
      <c r="P124" s="49"/>
      <c r="Q124" s="51"/>
      <c r="R124" s="51"/>
      <c r="S124" s="49"/>
      <c r="T124" s="52"/>
      <c r="U124" s="143"/>
      <c r="V124" s="143"/>
      <c r="W124" s="143"/>
      <c r="X124" s="143"/>
      <c r="Y124" s="143"/>
      <c r="Z124" s="143"/>
    </row>
    <row r="125" ht="13.5" customHeight="1">
      <c r="A125" s="49"/>
      <c r="B125" s="49"/>
      <c r="C125" s="49"/>
      <c r="D125" s="49"/>
      <c r="E125" s="49"/>
      <c r="F125" s="49"/>
      <c r="G125" s="49"/>
      <c r="H125" s="49"/>
      <c r="I125" s="49"/>
      <c r="J125" s="49"/>
      <c r="K125" s="49"/>
      <c r="L125" s="49"/>
      <c r="M125" s="49"/>
      <c r="N125" s="49"/>
      <c r="O125" s="49"/>
      <c r="P125" s="49"/>
      <c r="Q125" s="51"/>
      <c r="R125" s="51"/>
      <c r="S125" s="49"/>
      <c r="T125" s="52"/>
      <c r="U125" s="143"/>
      <c r="V125" s="143"/>
      <c r="W125" s="143"/>
      <c r="X125" s="143"/>
      <c r="Y125" s="143"/>
      <c r="Z125" s="143"/>
    </row>
    <row r="126" ht="13.5" customHeight="1">
      <c r="A126" s="49"/>
      <c r="B126" s="49"/>
      <c r="C126" s="49"/>
      <c r="D126" s="49"/>
      <c r="E126" s="49"/>
      <c r="F126" s="49"/>
      <c r="G126" s="49"/>
      <c r="H126" s="49"/>
      <c r="I126" s="49"/>
      <c r="J126" s="49"/>
      <c r="K126" s="49"/>
      <c r="L126" s="49"/>
      <c r="M126" s="49"/>
      <c r="N126" s="49"/>
      <c r="O126" s="49"/>
      <c r="P126" s="49"/>
      <c r="Q126" s="51"/>
      <c r="R126" s="51"/>
      <c r="S126" s="49"/>
      <c r="T126" s="52"/>
      <c r="U126" s="143"/>
      <c r="V126" s="143"/>
      <c r="W126" s="143"/>
      <c r="X126" s="143"/>
      <c r="Y126" s="143"/>
      <c r="Z126" s="143"/>
    </row>
    <row r="127" ht="13.5" customHeight="1">
      <c r="A127" s="49"/>
      <c r="B127" s="49"/>
      <c r="C127" s="49"/>
      <c r="D127" s="49"/>
      <c r="E127" s="49"/>
      <c r="F127" s="49"/>
      <c r="G127" s="49"/>
      <c r="H127" s="49"/>
      <c r="I127" s="49"/>
      <c r="J127" s="49"/>
      <c r="K127" s="49"/>
      <c r="L127" s="49"/>
      <c r="M127" s="49"/>
      <c r="N127" s="49"/>
      <c r="O127" s="49"/>
      <c r="P127" s="49"/>
      <c r="Q127" s="51"/>
      <c r="R127" s="51"/>
      <c r="S127" s="49"/>
      <c r="T127" s="52"/>
      <c r="U127" s="143"/>
      <c r="V127" s="143"/>
      <c r="W127" s="143"/>
      <c r="X127" s="143"/>
      <c r="Y127" s="143"/>
      <c r="Z127" s="143"/>
    </row>
    <row r="128" ht="13.5" customHeight="1">
      <c r="A128" s="49"/>
      <c r="B128" s="49"/>
      <c r="C128" s="49"/>
      <c r="D128" s="49"/>
      <c r="E128" s="49"/>
      <c r="F128" s="49"/>
      <c r="G128" s="49"/>
      <c r="H128" s="49"/>
      <c r="I128" s="49"/>
      <c r="J128" s="49"/>
      <c r="K128" s="49"/>
      <c r="L128" s="49"/>
      <c r="M128" s="49"/>
      <c r="N128" s="49"/>
      <c r="O128" s="49"/>
      <c r="P128" s="49"/>
      <c r="Q128" s="51"/>
      <c r="R128" s="51"/>
      <c r="S128" s="49"/>
      <c r="T128" s="52"/>
      <c r="U128" s="143"/>
      <c r="V128" s="143"/>
      <c r="W128" s="143"/>
      <c r="X128" s="143"/>
      <c r="Y128" s="143"/>
      <c r="Z128" s="143"/>
    </row>
    <row r="129" ht="13.5" customHeight="1">
      <c r="A129" s="49"/>
      <c r="B129" s="49"/>
      <c r="C129" s="49"/>
      <c r="D129" s="49"/>
      <c r="E129" s="49"/>
      <c r="F129" s="49"/>
      <c r="G129" s="49"/>
      <c r="H129" s="49"/>
      <c r="I129" s="49"/>
      <c r="J129" s="49"/>
      <c r="K129" s="49"/>
      <c r="L129" s="49"/>
      <c r="M129" s="49"/>
      <c r="N129" s="49"/>
      <c r="O129" s="49"/>
      <c r="P129" s="49"/>
      <c r="Q129" s="51"/>
      <c r="R129" s="51"/>
      <c r="S129" s="49"/>
      <c r="T129" s="52"/>
      <c r="U129" s="143"/>
      <c r="V129" s="143"/>
      <c r="W129" s="143"/>
      <c r="X129" s="143"/>
      <c r="Y129" s="143"/>
      <c r="Z129" s="143"/>
    </row>
    <row r="130" ht="13.5" customHeight="1">
      <c r="A130" s="49"/>
      <c r="B130" s="49"/>
      <c r="C130" s="49"/>
      <c r="D130" s="49"/>
      <c r="E130" s="49"/>
      <c r="F130" s="49"/>
      <c r="G130" s="49"/>
      <c r="H130" s="49"/>
      <c r="I130" s="49"/>
      <c r="J130" s="49"/>
      <c r="K130" s="49"/>
      <c r="L130" s="49"/>
      <c r="M130" s="49"/>
      <c r="N130" s="49"/>
      <c r="O130" s="49"/>
      <c r="P130" s="49"/>
      <c r="Q130" s="51"/>
      <c r="R130" s="51"/>
      <c r="S130" s="49"/>
      <c r="T130" s="52"/>
      <c r="U130" s="143"/>
      <c r="V130" s="143"/>
      <c r="W130" s="143"/>
      <c r="X130" s="143"/>
      <c r="Y130" s="143"/>
      <c r="Z130" s="143"/>
    </row>
    <row r="131" ht="13.5" customHeight="1">
      <c r="A131" s="49"/>
      <c r="B131" s="49"/>
      <c r="C131" s="49"/>
      <c r="D131" s="49"/>
      <c r="E131" s="49"/>
      <c r="F131" s="49"/>
      <c r="G131" s="49"/>
      <c r="H131" s="49"/>
      <c r="I131" s="49"/>
      <c r="J131" s="49"/>
      <c r="K131" s="49"/>
      <c r="L131" s="49"/>
      <c r="M131" s="49"/>
      <c r="N131" s="49"/>
      <c r="O131" s="49"/>
      <c r="P131" s="49"/>
      <c r="Q131" s="51"/>
      <c r="R131" s="51"/>
      <c r="S131" s="49"/>
      <c r="T131" s="52"/>
      <c r="U131" s="143"/>
      <c r="V131" s="143"/>
      <c r="W131" s="143"/>
      <c r="X131" s="143"/>
      <c r="Y131" s="143"/>
      <c r="Z131" s="143"/>
    </row>
    <row r="132" ht="13.5" customHeight="1">
      <c r="A132" s="49"/>
      <c r="B132" s="49"/>
      <c r="C132" s="49"/>
      <c r="D132" s="49"/>
      <c r="E132" s="49"/>
      <c r="F132" s="49"/>
      <c r="G132" s="49"/>
      <c r="H132" s="49"/>
      <c r="I132" s="49"/>
      <c r="J132" s="49"/>
      <c r="K132" s="49"/>
      <c r="L132" s="49"/>
      <c r="M132" s="49"/>
      <c r="N132" s="49"/>
      <c r="O132" s="49"/>
      <c r="P132" s="49"/>
      <c r="Q132" s="51"/>
      <c r="R132" s="51"/>
      <c r="S132" s="49"/>
      <c r="T132" s="52"/>
      <c r="U132" s="143"/>
      <c r="V132" s="143"/>
      <c r="W132" s="143"/>
      <c r="X132" s="143"/>
      <c r="Y132" s="143"/>
      <c r="Z132" s="143"/>
    </row>
    <row r="133" ht="13.5" customHeight="1">
      <c r="A133" s="49"/>
      <c r="B133" s="49"/>
      <c r="C133" s="49"/>
      <c r="D133" s="49"/>
      <c r="E133" s="49"/>
      <c r="F133" s="49"/>
      <c r="G133" s="49"/>
      <c r="H133" s="49"/>
      <c r="I133" s="49"/>
      <c r="J133" s="49"/>
      <c r="K133" s="49"/>
      <c r="L133" s="49"/>
      <c r="M133" s="49"/>
      <c r="N133" s="49"/>
      <c r="O133" s="49"/>
      <c r="P133" s="49"/>
      <c r="Q133" s="51"/>
      <c r="R133" s="51"/>
      <c r="S133" s="49"/>
      <c r="T133" s="52"/>
      <c r="U133" s="143"/>
      <c r="V133" s="143"/>
      <c r="W133" s="143"/>
      <c r="X133" s="143"/>
      <c r="Y133" s="143"/>
      <c r="Z133" s="143"/>
    </row>
    <row r="134" ht="13.5" customHeight="1">
      <c r="A134" s="49"/>
      <c r="B134" s="49"/>
      <c r="C134" s="49"/>
      <c r="D134" s="49"/>
      <c r="E134" s="49"/>
      <c r="F134" s="49"/>
      <c r="G134" s="49"/>
      <c r="H134" s="49"/>
      <c r="I134" s="49"/>
      <c r="J134" s="49"/>
      <c r="K134" s="49"/>
      <c r="L134" s="49"/>
      <c r="M134" s="49"/>
      <c r="N134" s="49"/>
      <c r="O134" s="49"/>
      <c r="P134" s="49"/>
      <c r="Q134" s="51"/>
      <c r="R134" s="51"/>
      <c r="S134" s="49"/>
      <c r="T134" s="52"/>
      <c r="U134" s="143"/>
      <c r="V134" s="143"/>
      <c r="W134" s="143"/>
      <c r="X134" s="143"/>
      <c r="Y134" s="143"/>
      <c r="Z134" s="143"/>
    </row>
    <row r="135" ht="13.5" customHeight="1">
      <c r="A135" s="143"/>
      <c r="B135" s="143"/>
      <c r="C135" s="143"/>
      <c r="D135" s="143"/>
      <c r="E135" s="143"/>
      <c r="F135" s="143"/>
      <c r="G135" s="143"/>
      <c r="H135" s="143"/>
      <c r="I135" s="143"/>
      <c r="J135" s="143"/>
      <c r="K135" s="143"/>
      <c r="L135" s="143"/>
      <c r="M135" s="143"/>
      <c r="N135" s="143"/>
      <c r="O135" s="143"/>
      <c r="P135" s="143"/>
      <c r="Q135" s="159"/>
      <c r="R135" s="159"/>
      <c r="S135" s="143"/>
      <c r="T135" s="160"/>
      <c r="U135" s="143"/>
      <c r="V135" s="143"/>
      <c r="W135" s="143"/>
      <c r="X135" s="143"/>
      <c r="Y135" s="143"/>
      <c r="Z135" s="143"/>
    </row>
    <row r="136" ht="13.5" customHeight="1">
      <c r="A136" s="143"/>
      <c r="B136" s="143"/>
      <c r="C136" s="143"/>
      <c r="D136" s="143"/>
      <c r="E136" s="143"/>
      <c r="F136" s="143"/>
      <c r="G136" s="143"/>
      <c r="H136" s="143"/>
      <c r="I136" s="143"/>
      <c r="J136" s="143"/>
      <c r="K136" s="143"/>
      <c r="L136" s="143"/>
      <c r="M136" s="143"/>
      <c r="N136" s="143"/>
      <c r="O136" s="143"/>
      <c r="P136" s="143"/>
      <c r="Q136" s="159"/>
      <c r="R136" s="159"/>
      <c r="S136" s="143"/>
      <c r="T136" s="160"/>
      <c r="U136" s="143"/>
      <c r="V136" s="143"/>
      <c r="W136" s="143"/>
      <c r="X136" s="143"/>
      <c r="Y136" s="143"/>
      <c r="Z136" s="143"/>
    </row>
    <row r="137" ht="13.5" customHeight="1">
      <c r="A137" s="143"/>
      <c r="B137" s="143"/>
      <c r="C137" s="143"/>
      <c r="D137" s="143"/>
      <c r="E137" s="143"/>
      <c r="F137" s="143"/>
      <c r="G137" s="143"/>
      <c r="H137" s="143"/>
      <c r="I137" s="143"/>
      <c r="J137" s="143"/>
      <c r="K137" s="143"/>
      <c r="L137" s="143"/>
      <c r="M137" s="143"/>
      <c r="N137" s="143"/>
      <c r="O137" s="143"/>
      <c r="P137" s="143"/>
      <c r="Q137" s="159"/>
      <c r="R137" s="159"/>
      <c r="S137" s="143"/>
      <c r="T137" s="160"/>
      <c r="U137" s="143"/>
      <c r="V137" s="143"/>
      <c r="W137" s="143"/>
      <c r="X137" s="143"/>
      <c r="Y137" s="143"/>
      <c r="Z137" s="143"/>
    </row>
    <row r="138" ht="13.5" customHeight="1">
      <c r="A138" s="143"/>
      <c r="B138" s="143"/>
      <c r="C138" s="143"/>
      <c r="D138" s="143"/>
      <c r="E138" s="143"/>
      <c r="F138" s="143"/>
      <c r="G138" s="143"/>
      <c r="H138" s="143"/>
      <c r="I138" s="143"/>
      <c r="J138" s="143"/>
      <c r="K138" s="143"/>
      <c r="L138" s="143"/>
      <c r="M138" s="143"/>
      <c r="N138" s="143"/>
      <c r="O138" s="143"/>
      <c r="P138" s="143"/>
      <c r="Q138" s="159"/>
      <c r="R138" s="159"/>
      <c r="S138" s="143"/>
      <c r="T138" s="160"/>
      <c r="U138" s="143"/>
      <c r="V138" s="143"/>
      <c r="W138" s="143"/>
      <c r="X138" s="143"/>
      <c r="Y138" s="143"/>
      <c r="Z138" s="143"/>
    </row>
    <row r="139" ht="13.5" customHeight="1">
      <c r="A139" s="143"/>
      <c r="B139" s="143"/>
      <c r="C139" s="143"/>
      <c r="D139" s="143"/>
      <c r="E139" s="143"/>
      <c r="F139" s="143"/>
      <c r="G139" s="143"/>
      <c r="H139" s="143"/>
      <c r="I139" s="143"/>
      <c r="J139" s="143"/>
      <c r="K139" s="143"/>
      <c r="L139" s="143"/>
      <c r="M139" s="143"/>
      <c r="N139" s="143"/>
      <c r="O139" s="143"/>
      <c r="P139" s="143"/>
      <c r="Q139" s="159"/>
      <c r="R139" s="159"/>
      <c r="S139" s="143"/>
      <c r="T139" s="160"/>
      <c r="U139" s="143"/>
      <c r="V139" s="143"/>
      <c r="W139" s="143"/>
      <c r="X139" s="143"/>
      <c r="Y139" s="143"/>
      <c r="Z139" s="143"/>
    </row>
    <row r="140" ht="13.5" customHeight="1">
      <c r="A140" s="143"/>
      <c r="B140" s="143"/>
      <c r="C140" s="143"/>
      <c r="D140" s="143"/>
      <c r="E140" s="143"/>
      <c r="F140" s="143"/>
      <c r="G140" s="143"/>
      <c r="H140" s="143"/>
      <c r="I140" s="143"/>
      <c r="J140" s="143"/>
      <c r="K140" s="143"/>
      <c r="L140" s="143"/>
      <c r="M140" s="143"/>
      <c r="N140" s="143"/>
      <c r="O140" s="143"/>
      <c r="P140" s="143"/>
      <c r="Q140" s="159"/>
      <c r="R140" s="159"/>
      <c r="S140" s="143"/>
      <c r="T140" s="160"/>
      <c r="U140" s="143"/>
      <c r="V140" s="143"/>
      <c r="W140" s="143"/>
      <c r="X140" s="143"/>
      <c r="Y140" s="143"/>
      <c r="Z140" s="143"/>
    </row>
    <row r="141" ht="13.5" customHeight="1">
      <c r="A141" s="143"/>
      <c r="B141" s="143"/>
      <c r="C141" s="143"/>
      <c r="D141" s="143"/>
      <c r="E141" s="143"/>
      <c r="F141" s="143"/>
      <c r="G141" s="143"/>
      <c r="H141" s="143"/>
      <c r="I141" s="143"/>
      <c r="J141" s="143"/>
      <c r="K141" s="143"/>
      <c r="L141" s="143"/>
      <c r="M141" s="143"/>
      <c r="N141" s="143"/>
      <c r="O141" s="143"/>
      <c r="P141" s="143"/>
      <c r="Q141" s="159"/>
      <c r="R141" s="159"/>
      <c r="S141" s="143"/>
      <c r="T141" s="160"/>
      <c r="U141" s="143"/>
      <c r="V141" s="143"/>
      <c r="W141" s="143"/>
      <c r="X141" s="143"/>
      <c r="Y141" s="143"/>
      <c r="Z141" s="143"/>
    </row>
    <row r="142" ht="13.5" customHeight="1">
      <c r="A142" s="143"/>
      <c r="B142" s="143"/>
      <c r="C142" s="143"/>
      <c r="D142" s="143"/>
      <c r="E142" s="143"/>
      <c r="F142" s="143"/>
      <c r="G142" s="143"/>
      <c r="H142" s="143"/>
      <c r="I142" s="143"/>
      <c r="J142" s="143"/>
      <c r="K142" s="143"/>
      <c r="L142" s="143"/>
      <c r="M142" s="143"/>
      <c r="N142" s="143"/>
      <c r="O142" s="143"/>
      <c r="P142" s="143"/>
      <c r="Q142" s="159"/>
      <c r="R142" s="159"/>
      <c r="S142" s="143"/>
      <c r="T142" s="160"/>
      <c r="U142" s="143"/>
      <c r="V142" s="143"/>
      <c r="W142" s="143"/>
      <c r="X142" s="143"/>
      <c r="Y142" s="143"/>
      <c r="Z142" s="143"/>
    </row>
    <row r="143" ht="13.5" customHeight="1">
      <c r="A143" s="143"/>
      <c r="B143" s="143"/>
      <c r="C143" s="143"/>
      <c r="D143" s="143"/>
      <c r="E143" s="143"/>
      <c r="F143" s="143"/>
      <c r="G143" s="143"/>
      <c r="H143" s="143"/>
      <c r="I143" s="143"/>
      <c r="J143" s="143"/>
      <c r="K143" s="143"/>
      <c r="L143" s="143"/>
      <c r="M143" s="143"/>
      <c r="N143" s="143"/>
      <c r="O143" s="143"/>
      <c r="P143" s="143"/>
      <c r="Q143" s="159"/>
      <c r="R143" s="159"/>
      <c r="S143" s="143"/>
      <c r="T143" s="160"/>
      <c r="U143" s="143"/>
      <c r="V143" s="143"/>
      <c r="W143" s="143"/>
      <c r="X143" s="143"/>
      <c r="Y143" s="143"/>
      <c r="Z143" s="143"/>
    </row>
    <row r="144" ht="13.5" customHeight="1">
      <c r="A144" s="143"/>
      <c r="B144" s="143"/>
      <c r="C144" s="143"/>
      <c r="D144" s="143"/>
      <c r="E144" s="143"/>
      <c r="F144" s="143"/>
      <c r="G144" s="143"/>
      <c r="H144" s="143"/>
      <c r="I144" s="143"/>
      <c r="J144" s="143"/>
      <c r="K144" s="143"/>
      <c r="L144" s="143"/>
      <c r="M144" s="143"/>
      <c r="N144" s="143"/>
      <c r="O144" s="143"/>
      <c r="P144" s="143"/>
      <c r="Q144" s="159"/>
      <c r="R144" s="159"/>
      <c r="S144" s="143"/>
      <c r="T144" s="160"/>
      <c r="U144" s="143"/>
      <c r="V144" s="143"/>
      <c r="W144" s="143"/>
      <c r="X144" s="143"/>
      <c r="Y144" s="143"/>
      <c r="Z144" s="143"/>
    </row>
    <row r="145" ht="13.5" customHeight="1">
      <c r="A145" s="143"/>
      <c r="B145" s="143"/>
      <c r="C145" s="143"/>
      <c r="D145" s="143"/>
      <c r="E145" s="143"/>
      <c r="F145" s="143"/>
      <c r="G145" s="143"/>
      <c r="H145" s="143"/>
      <c r="I145" s="143"/>
      <c r="J145" s="143"/>
      <c r="K145" s="143"/>
      <c r="L145" s="143"/>
      <c r="M145" s="143"/>
      <c r="N145" s="143"/>
      <c r="O145" s="143"/>
      <c r="P145" s="143"/>
      <c r="Q145" s="159"/>
      <c r="R145" s="159"/>
      <c r="S145" s="143"/>
      <c r="T145" s="160"/>
      <c r="U145" s="143"/>
      <c r="V145" s="143"/>
      <c r="W145" s="143"/>
      <c r="X145" s="143"/>
      <c r="Y145" s="143"/>
      <c r="Z145" s="143"/>
    </row>
    <row r="146" ht="13.5" customHeight="1">
      <c r="A146" s="143"/>
      <c r="B146" s="143"/>
      <c r="C146" s="143"/>
      <c r="D146" s="143"/>
      <c r="E146" s="143"/>
      <c r="F146" s="143"/>
      <c r="G146" s="143"/>
      <c r="H146" s="143"/>
      <c r="I146" s="143"/>
      <c r="J146" s="143"/>
      <c r="K146" s="143"/>
      <c r="L146" s="143"/>
      <c r="M146" s="143"/>
      <c r="N146" s="143"/>
      <c r="O146" s="143"/>
      <c r="P146" s="143"/>
      <c r="Q146" s="159"/>
      <c r="R146" s="159"/>
      <c r="S146" s="143"/>
      <c r="T146" s="160"/>
      <c r="U146" s="143"/>
      <c r="V146" s="143"/>
      <c r="W146" s="143"/>
      <c r="X146" s="143"/>
      <c r="Y146" s="143"/>
      <c r="Z146" s="143"/>
    </row>
    <row r="147" ht="13.5" customHeight="1">
      <c r="A147" s="143"/>
      <c r="B147" s="143"/>
      <c r="C147" s="143"/>
      <c r="D147" s="143"/>
      <c r="E147" s="143"/>
      <c r="F147" s="143"/>
      <c r="G147" s="143"/>
      <c r="H147" s="143"/>
      <c r="I147" s="143"/>
      <c r="J147" s="143"/>
      <c r="K147" s="143"/>
      <c r="L147" s="143"/>
      <c r="M147" s="143"/>
      <c r="N147" s="143"/>
      <c r="O147" s="143"/>
      <c r="P147" s="143"/>
      <c r="Q147" s="159"/>
      <c r="R147" s="159"/>
      <c r="S147" s="143"/>
      <c r="T147" s="160"/>
      <c r="U147" s="143"/>
      <c r="V147" s="143"/>
      <c r="W147" s="143"/>
      <c r="X147" s="143"/>
      <c r="Y147" s="143"/>
      <c r="Z147" s="143"/>
    </row>
    <row r="148" ht="13.5" customHeight="1">
      <c r="A148" s="143"/>
      <c r="B148" s="143"/>
      <c r="C148" s="143"/>
      <c r="D148" s="143"/>
      <c r="E148" s="143"/>
      <c r="F148" s="143"/>
      <c r="G148" s="143"/>
      <c r="H148" s="143"/>
      <c r="I148" s="143"/>
      <c r="J148" s="143"/>
      <c r="K148" s="143"/>
      <c r="L148" s="143"/>
      <c r="M148" s="143"/>
      <c r="N148" s="143"/>
      <c r="O148" s="143"/>
      <c r="P148" s="143"/>
      <c r="Q148" s="159"/>
      <c r="R148" s="159"/>
      <c r="S148" s="143"/>
      <c r="T148" s="160"/>
      <c r="U148" s="143"/>
      <c r="V148" s="143"/>
      <c r="W148" s="143"/>
      <c r="X148" s="143"/>
      <c r="Y148" s="143"/>
      <c r="Z148" s="143"/>
    </row>
    <row r="149" ht="13.5" customHeight="1">
      <c r="A149" s="143"/>
      <c r="B149" s="143"/>
      <c r="C149" s="143"/>
      <c r="D149" s="143"/>
      <c r="E149" s="143"/>
      <c r="F149" s="143"/>
      <c r="G149" s="143"/>
      <c r="H149" s="143"/>
      <c r="I149" s="143"/>
      <c r="J149" s="143"/>
      <c r="K149" s="143"/>
      <c r="L149" s="143"/>
      <c r="M149" s="143"/>
      <c r="N149" s="143"/>
      <c r="O149" s="143"/>
      <c r="P149" s="143"/>
      <c r="Q149" s="159"/>
      <c r="R149" s="159"/>
      <c r="S149" s="143"/>
      <c r="T149" s="160"/>
      <c r="U149" s="143"/>
      <c r="V149" s="143"/>
      <c r="W149" s="143"/>
      <c r="X149" s="143"/>
      <c r="Y149" s="143"/>
      <c r="Z149" s="143"/>
    </row>
    <row r="150" ht="13.5" customHeight="1">
      <c r="A150" s="143"/>
      <c r="B150" s="143"/>
      <c r="C150" s="143"/>
      <c r="D150" s="143"/>
      <c r="E150" s="143"/>
      <c r="F150" s="143"/>
      <c r="G150" s="143"/>
      <c r="H150" s="143"/>
      <c r="I150" s="143"/>
      <c r="J150" s="143"/>
      <c r="K150" s="143"/>
      <c r="L150" s="143"/>
      <c r="M150" s="143"/>
      <c r="N150" s="143"/>
      <c r="O150" s="143"/>
      <c r="P150" s="143"/>
      <c r="Q150" s="159"/>
      <c r="R150" s="159"/>
      <c r="S150" s="143"/>
      <c r="T150" s="160"/>
      <c r="U150" s="143"/>
      <c r="V150" s="143"/>
      <c r="W150" s="143"/>
      <c r="X150" s="143"/>
      <c r="Y150" s="143"/>
      <c r="Z150" s="143"/>
    </row>
    <row r="151" ht="13.5" customHeight="1">
      <c r="A151" s="143"/>
      <c r="B151" s="143"/>
      <c r="C151" s="143"/>
      <c r="D151" s="143"/>
      <c r="E151" s="143"/>
      <c r="F151" s="143"/>
      <c r="G151" s="143"/>
      <c r="H151" s="143"/>
      <c r="I151" s="143"/>
      <c r="J151" s="143"/>
      <c r="K151" s="143"/>
      <c r="L151" s="143"/>
      <c r="M151" s="143"/>
      <c r="N151" s="143"/>
      <c r="O151" s="143"/>
      <c r="P151" s="143"/>
      <c r="Q151" s="159"/>
      <c r="R151" s="159"/>
      <c r="S151" s="143"/>
      <c r="T151" s="160"/>
      <c r="U151" s="143"/>
      <c r="V151" s="143"/>
      <c r="W151" s="143"/>
      <c r="X151" s="143"/>
      <c r="Y151" s="143"/>
      <c r="Z151" s="143"/>
    </row>
    <row r="152" ht="13.5" customHeight="1">
      <c r="A152" s="143"/>
      <c r="B152" s="143"/>
      <c r="C152" s="143"/>
      <c r="D152" s="143"/>
      <c r="E152" s="143"/>
      <c r="F152" s="143"/>
      <c r="G152" s="143"/>
      <c r="H152" s="143"/>
      <c r="I152" s="143"/>
      <c r="J152" s="143"/>
      <c r="K152" s="143"/>
      <c r="L152" s="143"/>
      <c r="M152" s="143"/>
      <c r="N152" s="143"/>
      <c r="O152" s="143"/>
      <c r="P152" s="143"/>
      <c r="Q152" s="159"/>
      <c r="R152" s="159"/>
      <c r="S152" s="143"/>
      <c r="T152" s="160"/>
      <c r="U152" s="143"/>
      <c r="V152" s="143"/>
      <c r="W152" s="143"/>
      <c r="X152" s="143"/>
      <c r="Y152" s="143"/>
      <c r="Z152" s="143"/>
    </row>
    <row r="153" ht="13.5" customHeight="1">
      <c r="A153" s="143"/>
      <c r="B153" s="143"/>
      <c r="C153" s="143"/>
      <c r="D153" s="143"/>
      <c r="E153" s="143"/>
      <c r="F153" s="143"/>
      <c r="G153" s="143"/>
      <c r="H153" s="143"/>
      <c r="I153" s="143"/>
      <c r="J153" s="143"/>
      <c r="K153" s="143"/>
      <c r="L153" s="143"/>
      <c r="M153" s="143"/>
      <c r="N153" s="143"/>
      <c r="O153" s="143"/>
      <c r="P153" s="143"/>
      <c r="Q153" s="159"/>
      <c r="R153" s="159"/>
      <c r="S153" s="143"/>
      <c r="T153" s="160"/>
      <c r="U153" s="143"/>
      <c r="V153" s="143"/>
      <c r="W153" s="143"/>
      <c r="X153" s="143"/>
      <c r="Y153" s="143"/>
      <c r="Z153" s="143"/>
    </row>
    <row r="154" ht="13.5" customHeight="1">
      <c r="A154" s="143"/>
      <c r="B154" s="143"/>
      <c r="C154" s="143"/>
      <c r="D154" s="143"/>
      <c r="E154" s="143"/>
      <c r="F154" s="143"/>
      <c r="G154" s="143"/>
      <c r="H154" s="143"/>
      <c r="I154" s="143"/>
      <c r="J154" s="143"/>
      <c r="K154" s="143"/>
      <c r="L154" s="143"/>
      <c r="M154" s="143"/>
      <c r="N154" s="143"/>
      <c r="O154" s="143"/>
      <c r="P154" s="143"/>
      <c r="Q154" s="159"/>
      <c r="R154" s="159"/>
      <c r="S154" s="143"/>
      <c r="T154" s="160"/>
      <c r="U154" s="143"/>
      <c r="V154" s="143"/>
      <c r="W154" s="143"/>
      <c r="X154" s="143"/>
      <c r="Y154" s="143"/>
      <c r="Z154" s="143"/>
    </row>
    <row r="155" ht="13.5" customHeight="1">
      <c r="A155" s="143"/>
      <c r="B155" s="143"/>
      <c r="C155" s="143"/>
      <c r="D155" s="143"/>
      <c r="E155" s="143"/>
      <c r="F155" s="143"/>
      <c r="G155" s="143"/>
      <c r="H155" s="143"/>
      <c r="I155" s="143"/>
      <c r="J155" s="143"/>
      <c r="K155" s="143"/>
      <c r="L155" s="143"/>
      <c r="M155" s="143"/>
      <c r="N155" s="143"/>
      <c r="O155" s="143"/>
      <c r="P155" s="143"/>
      <c r="Q155" s="159"/>
      <c r="R155" s="159"/>
      <c r="S155" s="143"/>
      <c r="T155" s="160"/>
      <c r="U155" s="143"/>
      <c r="V155" s="143"/>
      <c r="W155" s="143"/>
      <c r="X155" s="143"/>
      <c r="Y155" s="143"/>
      <c r="Z155" s="143"/>
    </row>
    <row r="156" ht="13.5" customHeight="1">
      <c r="A156" s="143"/>
      <c r="B156" s="143"/>
      <c r="C156" s="143"/>
      <c r="D156" s="143"/>
      <c r="E156" s="143"/>
      <c r="F156" s="143"/>
      <c r="G156" s="143"/>
      <c r="H156" s="143"/>
      <c r="I156" s="143"/>
      <c r="J156" s="143"/>
      <c r="K156" s="143"/>
      <c r="L156" s="143"/>
      <c r="M156" s="143"/>
      <c r="N156" s="143"/>
      <c r="O156" s="143"/>
      <c r="P156" s="143"/>
      <c r="Q156" s="159"/>
      <c r="R156" s="159"/>
      <c r="S156" s="143"/>
      <c r="T156" s="160"/>
      <c r="U156" s="143"/>
      <c r="V156" s="143"/>
      <c r="W156" s="143"/>
      <c r="X156" s="143"/>
      <c r="Y156" s="143"/>
      <c r="Z156" s="143"/>
    </row>
    <row r="157" ht="13.5" customHeight="1">
      <c r="A157" s="143"/>
      <c r="B157" s="143"/>
      <c r="C157" s="143"/>
      <c r="D157" s="143"/>
      <c r="E157" s="143"/>
      <c r="F157" s="143"/>
      <c r="G157" s="143"/>
      <c r="H157" s="143"/>
      <c r="I157" s="143"/>
      <c r="J157" s="143"/>
      <c r="K157" s="143"/>
      <c r="L157" s="143"/>
      <c r="M157" s="143"/>
      <c r="N157" s="143"/>
      <c r="O157" s="143"/>
      <c r="P157" s="143"/>
      <c r="Q157" s="159"/>
      <c r="R157" s="159"/>
      <c r="S157" s="143"/>
      <c r="T157" s="160"/>
      <c r="U157" s="143"/>
      <c r="V157" s="143"/>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59"/>
      <c r="R158" s="159"/>
      <c r="S158" s="143"/>
      <c r="T158" s="160"/>
      <c r="U158" s="143"/>
      <c r="V158" s="143"/>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59"/>
      <c r="R159" s="159"/>
      <c r="S159" s="143"/>
      <c r="T159" s="160"/>
      <c r="U159" s="143"/>
      <c r="V159" s="143"/>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59"/>
      <c r="R160" s="159"/>
      <c r="S160" s="143"/>
      <c r="T160" s="160"/>
      <c r="U160" s="143"/>
      <c r="V160" s="143"/>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59"/>
      <c r="R161" s="159"/>
      <c r="S161" s="143"/>
      <c r="T161" s="160"/>
      <c r="U161" s="143"/>
      <c r="V161" s="143"/>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59"/>
      <c r="R162" s="159"/>
      <c r="S162" s="143"/>
      <c r="T162" s="160"/>
      <c r="U162" s="143"/>
      <c r="V162" s="143"/>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59"/>
      <c r="R163" s="159"/>
      <c r="S163" s="143"/>
      <c r="T163" s="160"/>
      <c r="U163" s="143"/>
      <c r="V163" s="143"/>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59"/>
      <c r="R164" s="159"/>
      <c r="S164" s="143"/>
      <c r="T164" s="160"/>
      <c r="U164" s="143"/>
      <c r="V164" s="143"/>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59"/>
      <c r="R165" s="159"/>
      <c r="S165" s="143"/>
      <c r="T165" s="160"/>
      <c r="U165" s="143"/>
      <c r="V165" s="143"/>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59"/>
      <c r="R166" s="159"/>
      <c r="S166" s="143"/>
      <c r="T166" s="160"/>
      <c r="U166" s="143"/>
      <c r="V166" s="143"/>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59"/>
      <c r="R167" s="159"/>
      <c r="S167" s="143"/>
      <c r="T167" s="160"/>
      <c r="U167" s="143"/>
      <c r="V167" s="143"/>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59"/>
      <c r="R168" s="159"/>
      <c r="S168" s="143"/>
      <c r="T168" s="160"/>
      <c r="U168" s="143"/>
      <c r="V168" s="143"/>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59"/>
      <c r="R169" s="159"/>
      <c r="S169" s="143"/>
      <c r="T169" s="160"/>
      <c r="U169" s="143"/>
      <c r="V169" s="143"/>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59"/>
      <c r="R170" s="159"/>
      <c r="S170" s="143"/>
      <c r="T170" s="160"/>
      <c r="U170" s="143"/>
      <c r="V170" s="143"/>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59"/>
      <c r="R171" s="159"/>
      <c r="S171" s="143"/>
      <c r="T171" s="160"/>
      <c r="U171" s="143"/>
      <c r="V171" s="143"/>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59"/>
      <c r="R172" s="159"/>
      <c r="S172" s="143"/>
      <c r="T172" s="160"/>
      <c r="U172" s="143"/>
      <c r="V172" s="143"/>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59"/>
      <c r="R173" s="159"/>
      <c r="S173" s="143"/>
      <c r="T173" s="160"/>
      <c r="U173" s="143"/>
      <c r="V173" s="143"/>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59"/>
      <c r="R174" s="159"/>
      <c r="S174" s="143"/>
      <c r="T174" s="160"/>
      <c r="U174" s="143"/>
      <c r="V174" s="143"/>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59"/>
      <c r="R175" s="159"/>
      <c r="S175" s="143"/>
      <c r="T175" s="160"/>
      <c r="U175" s="143"/>
      <c r="V175" s="143"/>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59"/>
      <c r="R176" s="159"/>
      <c r="S176" s="143"/>
      <c r="T176" s="160"/>
      <c r="U176" s="143"/>
      <c r="V176" s="143"/>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59"/>
      <c r="R177" s="159"/>
      <c r="S177" s="143"/>
      <c r="T177" s="160"/>
      <c r="U177" s="143"/>
      <c r="V177" s="143"/>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59"/>
      <c r="R178" s="159"/>
      <c r="S178" s="143"/>
      <c r="T178" s="160"/>
      <c r="U178" s="143"/>
      <c r="V178" s="143"/>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59"/>
      <c r="R179" s="159"/>
      <c r="S179" s="143"/>
      <c r="T179" s="160"/>
      <c r="U179" s="143"/>
      <c r="V179" s="143"/>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59"/>
      <c r="R180" s="159"/>
      <c r="S180" s="143"/>
      <c r="T180" s="160"/>
      <c r="U180" s="143"/>
      <c r="V180" s="143"/>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59"/>
      <c r="R181" s="159"/>
      <c r="S181" s="143"/>
      <c r="T181" s="160"/>
      <c r="U181" s="143"/>
      <c r="V181" s="143"/>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59"/>
      <c r="R182" s="159"/>
      <c r="S182" s="143"/>
      <c r="T182" s="160"/>
      <c r="U182" s="143"/>
      <c r="V182" s="143"/>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59"/>
      <c r="R183" s="159"/>
      <c r="S183" s="143"/>
      <c r="T183" s="160"/>
      <c r="U183" s="143"/>
      <c r="V183" s="143"/>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59"/>
      <c r="R184" s="159"/>
      <c r="S184" s="143"/>
      <c r="T184" s="160"/>
      <c r="U184" s="143"/>
      <c r="V184" s="143"/>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59"/>
      <c r="R185" s="159"/>
      <c r="S185" s="143"/>
      <c r="T185" s="160"/>
      <c r="U185" s="143"/>
      <c r="V185" s="143"/>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59"/>
      <c r="R186" s="159"/>
      <c r="S186" s="143"/>
      <c r="T186" s="160"/>
      <c r="U186" s="143"/>
      <c r="V186" s="143"/>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59"/>
      <c r="R187" s="159"/>
      <c r="S187" s="143"/>
      <c r="T187" s="160"/>
      <c r="U187" s="143"/>
      <c r="V187" s="143"/>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59"/>
      <c r="R188" s="159"/>
      <c r="S188" s="143"/>
      <c r="T188" s="160"/>
      <c r="U188" s="143"/>
      <c r="V188" s="143"/>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59"/>
      <c r="R189" s="159"/>
      <c r="S189" s="143"/>
      <c r="T189" s="160"/>
      <c r="U189" s="143"/>
      <c r="V189" s="143"/>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59"/>
      <c r="R190" s="159"/>
      <c r="S190" s="143"/>
      <c r="T190" s="160"/>
      <c r="U190" s="143"/>
      <c r="V190" s="143"/>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59"/>
      <c r="R191" s="159"/>
      <c r="S191" s="143"/>
      <c r="T191" s="160"/>
      <c r="U191" s="143"/>
      <c r="V191" s="143"/>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59"/>
      <c r="R192" s="159"/>
      <c r="S192" s="143"/>
      <c r="T192" s="160"/>
      <c r="U192" s="143"/>
      <c r="V192" s="143"/>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59"/>
      <c r="R193" s="159"/>
      <c r="S193" s="143"/>
      <c r="T193" s="160"/>
      <c r="U193" s="143"/>
      <c r="V193" s="143"/>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59"/>
      <c r="R194" s="159"/>
      <c r="S194" s="143"/>
      <c r="T194" s="160"/>
      <c r="U194" s="143"/>
      <c r="V194" s="143"/>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59"/>
      <c r="R195" s="159"/>
      <c r="S195" s="143"/>
      <c r="T195" s="160"/>
      <c r="U195" s="143"/>
      <c r="V195" s="143"/>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59"/>
      <c r="R196" s="159"/>
      <c r="S196" s="143"/>
      <c r="T196" s="160"/>
      <c r="U196" s="143"/>
      <c r="V196" s="143"/>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59"/>
      <c r="R197" s="159"/>
      <c r="S197" s="143"/>
      <c r="T197" s="160"/>
      <c r="U197" s="143"/>
      <c r="V197" s="143"/>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59"/>
      <c r="R198" s="159"/>
      <c r="S198" s="143"/>
      <c r="T198" s="160"/>
      <c r="U198" s="143"/>
      <c r="V198" s="143"/>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59"/>
      <c r="R199" s="159"/>
      <c r="S199" s="143"/>
      <c r="T199" s="160"/>
      <c r="U199" s="143"/>
      <c r="V199" s="143"/>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59"/>
      <c r="R200" s="159"/>
      <c r="S200" s="143"/>
      <c r="T200" s="160"/>
      <c r="U200" s="143"/>
      <c r="V200" s="143"/>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59"/>
      <c r="R201" s="159"/>
      <c r="S201" s="143"/>
      <c r="T201" s="160"/>
      <c r="U201" s="143"/>
      <c r="V201" s="143"/>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59"/>
      <c r="R202" s="159"/>
      <c r="S202" s="143"/>
      <c r="T202" s="160"/>
      <c r="U202" s="143"/>
      <c r="V202" s="143"/>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59"/>
      <c r="R203" s="159"/>
      <c r="S203" s="143"/>
      <c r="T203" s="160"/>
      <c r="U203" s="143"/>
      <c r="V203" s="143"/>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59"/>
      <c r="R204" s="159"/>
      <c r="S204" s="143"/>
      <c r="T204" s="160"/>
      <c r="U204" s="143"/>
      <c r="V204" s="143"/>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59"/>
      <c r="R205" s="159"/>
      <c r="S205" s="143"/>
      <c r="T205" s="160"/>
      <c r="U205" s="143"/>
      <c r="V205" s="143"/>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59"/>
      <c r="R206" s="159"/>
      <c r="S206" s="143"/>
      <c r="T206" s="160"/>
      <c r="U206" s="143"/>
      <c r="V206" s="143"/>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59"/>
      <c r="R207" s="159"/>
      <c r="S207" s="143"/>
      <c r="T207" s="160"/>
      <c r="U207" s="143"/>
      <c r="V207" s="143"/>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59"/>
      <c r="R208" s="159"/>
      <c r="S208" s="143"/>
      <c r="T208" s="160"/>
      <c r="U208" s="143"/>
      <c r="V208" s="143"/>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59"/>
      <c r="R209" s="159"/>
      <c r="S209" s="143"/>
      <c r="T209" s="160"/>
      <c r="U209" s="143"/>
      <c r="V209" s="143"/>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59"/>
      <c r="R210" s="159"/>
      <c r="S210" s="143"/>
      <c r="T210" s="160"/>
      <c r="U210" s="143"/>
      <c r="V210" s="143"/>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59"/>
      <c r="R211" s="159"/>
      <c r="S211" s="143"/>
      <c r="T211" s="160"/>
      <c r="U211" s="143"/>
      <c r="V211" s="143"/>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59"/>
      <c r="R212" s="159"/>
      <c r="S212" s="143"/>
      <c r="T212" s="160"/>
      <c r="U212" s="143"/>
      <c r="V212" s="143"/>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59"/>
      <c r="R213" s="159"/>
      <c r="S213" s="143"/>
      <c r="T213" s="160"/>
      <c r="U213" s="143"/>
      <c r="V213" s="143"/>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59"/>
      <c r="R214" s="159"/>
      <c r="S214" s="143"/>
      <c r="T214" s="160"/>
      <c r="U214" s="143"/>
      <c r="V214" s="143"/>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59"/>
      <c r="R215" s="159"/>
      <c r="S215" s="143"/>
      <c r="T215" s="160"/>
      <c r="U215" s="143"/>
      <c r="V215" s="143"/>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59"/>
      <c r="R216" s="159"/>
      <c r="S216" s="143"/>
      <c r="T216" s="160"/>
      <c r="U216" s="143"/>
      <c r="V216" s="143"/>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59"/>
      <c r="R217" s="159"/>
      <c r="S217" s="143"/>
      <c r="T217" s="160"/>
      <c r="U217" s="143"/>
      <c r="V217" s="143"/>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59"/>
      <c r="R218" s="159"/>
      <c r="S218" s="143"/>
      <c r="T218" s="160"/>
      <c r="U218" s="143"/>
      <c r="V218" s="143"/>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59"/>
      <c r="R219" s="159"/>
      <c r="S219" s="143"/>
      <c r="T219" s="160"/>
      <c r="U219" s="143"/>
      <c r="V219" s="143"/>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59"/>
      <c r="R220" s="159"/>
      <c r="S220" s="143"/>
      <c r="T220" s="160"/>
      <c r="U220" s="143"/>
      <c r="V220" s="143"/>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59"/>
      <c r="R221" s="159"/>
      <c r="S221" s="143"/>
      <c r="T221" s="160"/>
      <c r="U221" s="143"/>
      <c r="V221" s="143"/>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59"/>
      <c r="R222" s="159"/>
      <c r="S222" s="143"/>
      <c r="T222" s="160"/>
      <c r="U222" s="143"/>
      <c r="V222" s="143"/>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59"/>
      <c r="R223" s="159"/>
      <c r="S223" s="143"/>
      <c r="T223" s="160"/>
      <c r="U223" s="143"/>
      <c r="V223" s="143"/>
      <c r="W223" s="143"/>
      <c r="X223" s="143"/>
      <c r="Y223" s="143"/>
      <c r="Z223" s="143"/>
    </row>
    <row r="224" ht="13.5" customHeight="1">
      <c r="A224" s="143"/>
      <c r="B224" s="143"/>
      <c r="C224" s="143"/>
      <c r="D224" s="143"/>
      <c r="E224" s="143"/>
      <c r="F224" s="143"/>
      <c r="G224" s="143"/>
      <c r="H224" s="143"/>
      <c r="I224" s="143"/>
      <c r="J224" s="143"/>
      <c r="K224" s="143"/>
      <c r="L224" s="143"/>
      <c r="M224" s="143"/>
      <c r="N224" s="143"/>
      <c r="O224" s="143"/>
      <c r="P224" s="143"/>
      <c r="Q224" s="159"/>
      <c r="R224" s="159"/>
      <c r="S224" s="143"/>
      <c r="T224" s="160"/>
      <c r="U224" s="143"/>
      <c r="V224" s="143"/>
      <c r="W224" s="143"/>
      <c r="X224" s="143"/>
      <c r="Y224" s="143"/>
      <c r="Z224" s="143"/>
    </row>
    <row r="225" ht="13.5" customHeight="1">
      <c r="A225" s="143"/>
      <c r="B225" s="143"/>
      <c r="C225" s="143"/>
      <c r="D225" s="143"/>
      <c r="E225" s="143"/>
      <c r="F225" s="143"/>
      <c r="G225" s="143"/>
      <c r="H225" s="143"/>
      <c r="I225" s="143"/>
      <c r="J225" s="143"/>
      <c r="K225" s="143"/>
      <c r="L225" s="143"/>
      <c r="M225" s="143"/>
      <c r="N225" s="143"/>
      <c r="O225" s="143"/>
      <c r="P225" s="143"/>
      <c r="Q225" s="159"/>
      <c r="R225" s="159"/>
      <c r="S225" s="143"/>
      <c r="T225" s="160"/>
      <c r="U225" s="143"/>
      <c r="V225" s="143"/>
      <c r="W225" s="143"/>
      <c r="X225" s="143"/>
      <c r="Y225" s="143"/>
      <c r="Z225" s="143"/>
    </row>
    <row r="226" ht="13.5" customHeight="1">
      <c r="A226" s="143"/>
      <c r="B226" s="143"/>
      <c r="C226" s="143"/>
      <c r="D226" s="143"/>
      <c r="E226" s="143"/>
      <c r="F226" s="143"/>
      <c r="G226" s="143"/>
      <c r="H226" s="143"/>
      <c r="I226" s="143"/>
      <c r="J226" s="143"/>
      <c r="K226" s="143"/>
      <c r="L226" s="143"/>
      <c r="M226" s="143"/>
      <c r="N226" s="143"/>
      <c r="O226" s="143"/>
      <c r="P226" s="143"/>
      <c r="Q226" s="159"/>
      <c r="R226" s="159"/>
      <c r="S226" s="143"/>
      <c r="T226" s="160"/>
      <c r="U226" s="143"/>
      <c r="V226" s="143"/>
      <c r="W226" s="143"/>
      <c r="X226" s="143"/>
      <c r="Y226" s="143"/>
      <c r="Z226" s="143"/>
    </row>
    <row r="227" ht="13.5" customHeight="1">
      <c r="A227" s="143"/>
      <c r="B227" s="143"/>
      <c r="C227" s="143"/>
      <c r="D227" s="143"/>
      <c r="E227" s="143"/>
      <c r="F227" s="143"/>
      <c r="G227" s="143"/>
      <c r="H227" s="143"/>
      <c r="I227" s="143"/>
      <c r="J227" s="143"/>
      <c r="K227" s="143"/>
      <c r="L227" s="143"/>
      <c r="M227" s="143"/>
      <c r="N227" s="143"/>
      <c r="O227" s="143"/>
      <c r="P227" s="143"/>
      <c r="Q227" s="159"/>
      <c r="R227" s="159"/>
      <c r="S227" s="143"/>
      <c r="T227" s="160"/>
      <c r="U227" s="143"/>
      <c r="V227" s="143"/>
      <c r="W227" s="143"/>
      <c r="X227" s="143"/>
      <c r="Y227" s="143"/>
      <c r="Z227" s="143"/>
    </row>
    <row r="228" ht="13.5" customHeight="1">
      <c r="A228" s="143"/>
      <c r="B228" s="143"/>
      <c r="C228" s="143"/>
      <c r="D228" s="143"/>
      <c r="E228" s="143"/>
      <c r="F228" s="143"/>
      <c r="G228" s="143"/>
      <c r="H228" s="143"/>
      <c r="I228" s="143"/>
      <c r="J228" s="143"/>
      <c r="K228" s="143"/>
      <c r="L228" s="143"/>
      <c r="M228" s="143"/>
      <c r="N228" s="143"/>
      <c r="O228" s="143"/>
      <c r="P228" s="143"/>
      <c r="Q228" s="159"/>
      <c r="R228" s="159"/>
      <c r="S228" s="143"/>
      <c r="T228" s="160"/>
      <c r="U228" s="143"/>
      <c r="V228" s="143"/>
      <c r="W228" s="143"/>
      <c r="X228" s="143"/>
      <c r="Y228" s="143"/>
      <c r="Z228" s="143"/>
    </row>
    <row r="229" ht="13.5" customHeight="1">
      <c r="A229" s="2"/>
      <c r="B229" s="2"/>
      <c r="C229" s="2"/>
      <c r="D229" s="2"/>
      <c r="E229" s="2"/>
      <c r="F229" s="2"/>
      <c r="G229" s="2"/>
      <c r="H229" s="2"/>
      <c r="I229" s="2"/>
      <c r="J229" s="2"/>
      <c r="K229" s="181"/>
      <c r="L229" s="2"/>
      <c r="M229" s="2"/>
      <c r="N229" s="2"/>
      <c r="O229" s="2"/>
      <c r="P229" s="2"/>
      <c r="Q229" s="157"/>
      <c r="R229" s="157"/>
      <c r="S229" s="2"/>
      <c r="T229" s="158"/>
      <c r="U229" s="2"/>
      <c r="V229" s="2"/>
      <c r="W229" s="2"/>
      <c r="X229" s="2"/>
      <c r="Y229" s="2"/>
      <c r="Z229" s="2"/>
    </row>
    <row r="230" ht="13.5" customHeight="1">
      <c r="A230" s="2"/>
      <c r="B230" s="2"/>
      <c r="C230" s="2"/>
      <c r="D230" s="2"/>
      <c r="E230" s="2"/>
      <c r="F230" s="2"/>
      <c r="G230" s="2"/>
      <c r="H230" s="2"/>
      <c r="I230" s="2"/>
      <c r="J230" s="2"/>
      <c r="K230" s="181"/>
      <c r="L230" s="2"/>
      <c r="M230" s="2"/>
      <c r="N230" s="2"/>
      <c r="O230" s="2"/>
      <c r="P230" s="2"/>
      <c r="Q230" s="157"/>
      <c r="R230" s="157"/>
      <c r="S230" s="2"/>
      <c r="T230" s="158"/>
      <c r="U230" s="2"/>
      <c r="V230" s="2"/>
      <c r="W230" s="2"/>
      <c r="X230" s="2"/>
      <c r="Y230" s="2"/>
      <c r="Z230" s="2"/>
    </row>
    <row r="231" ht="13.5" customHeight="1">
      <c r="A231" s="2"/>
      <c r="B231" s="2"/>
      <c r="C231" s="2"/>
      <c r="D231" s="2"/>
      <c r="E231" s="2"/>
      <c r="F231" s="2"/>
      <c r="G231" s="2"/>
      <c r="H231" s="2"/>
      <c r="I231" s="2"/>
      <c r="J231" s="2"/>
      <c r="K231" s="181"/>
      <c r="L231" s="2"/>
      <c r="M231" s="2"/>
      <c r="N231" s="2"/>
      <c r="O231" s="2"/>
      <c r="P231" s="2"/>
      <c r="Q231" s="157"/>
      <c r="R231" s="157"/>
      <c r="S231" s="2"/>
      <c r="T231" s="158"/>
      <c r="U231" s="2"/>
      <c r="V231" s="2"/>
      <c r="W231" s="2"/>
      <c r="X231" s="2"/>
      <c r="Y231" s="2"/>
      <c r="Z231" s="2"/>
    </row>
    <row r="232" ht="13.5" customHeight="1">
      <c r="A232" s="2"/>
      <c r="B232" s="2"/>
      <c r="C232" s="2"/>
      <c r="D232" s="2"/>
      <c r="E232" s="2"/>
      <c r="F232" s="2"/>
      <c r="G232" s="2"/>
      <c r="H232" s="2"/>
      <c r="I232" s="2"/>
      <c r="J232" s="2"/>
      <c r="K232" s="181"/>
      <c r="L232" s="2"/>
      <c r="M232" s="2"/>
      <c r="N232" s="2"/>
      <c r="O232" s="2"/>
      <c r="P232" s="2"/>
      <c r="Q232" s="157"/>
      <c r="R232" s="157"/>
      <c r="S232" s="2"/>
      <c r="T232" s="158"/>
      <c r="U232" s="2"/>
      <c r="V232" s="2"/>
      <c r="W232" s="2"/>
      <c r="X232" s="2"/>
      <c r="Y232" s="2"/>
      <c r="Z232" s="2"/>
    </row>
    <row r="233" ht="13.5" customHeight="1">
      <c r="A233" s="2"/>
      <c r="B233" s="2"/>
      <c r="C233" s="2"/>
      <c r="D233" s="2"/>
      <c r="E233" s="2"/>
      <c r="F233" s="2"/>
      <c r="G233" s="2"/>
      <c r="H233" s="2"/>
      <c r="I233" s="2"/>
      <c r="J233" s="2"/>
      <c r="K233" s="181"/>
      <c r="L233" s="2"/>
      <c r="M233" s="2"/>
      <c r="N233" s="2"/>
      <c r="O233" s="2"/>
      <c r="P233" s="2"/>
      <c r="Q233" s="157"/>
      <c r="R233" s="157"/>
      <c r="S233" s="2"/>
      <c r="T233" s="158"/>
      <c r="U233" s="2"/>
      <c r="V233" s="2"/>
      <c r="W233" s="2"/>
      <c r="X233" s="2"/>
      <c r="Y233" s="2"/>
      <c r="Z233" s="2"/>
    </row>
    <row r="234" ht="13.5" customHeight="1">
      <c r="A234" s="2"/>
      <c r="B234" s="2"/>
      <c r="C234" s="2"/>
      <c r="D234" s="2"/>
      <c r="E234" s="2"/>
      <c r="F234" s="2"/>
      <c r="G234" s="2"/>
      <c r="H234" s="2"/>
      <c r="I234" s="2"/>
      <c r="J234" s="2"/>
      <c r="K234" s="181"/>
      <c r="L234" s="2"/>
      <c r="M234" s="2"/>
      <c r="N234" s="2"/>
      <c r="O234" s="2"/>
      <c r="P234" s="2"/>
      <c r="Q234" s="157"/>
      <c r="R234" s="157"/>
      <c r="S234" s="2"/>
      <c r="T234" s="158"/>
      <c r="U234" s="2"/>
      <c r="V234" s="2"/>
      <c r="W234" s="2"/>
      <c r="X234" s="2"/>
      <c r="Y234" s="2"/>
      <c r="Z234" s="2"/>
    </row>
    <row r="235" ht="13.5" customHeight="1">
      <c r="A235" s="2"/>
      <c r="B235" s="2"/>
      <c r="C235" s="2"/>
      <c r="D235" s="2"/>
      <c r="E235" s="2"/>
      <c r="F235" s="2"/>
      <c r="G235" s="2"/>
      <c r="H235" s="2"/>
      <c r="I235" s="2"/>
      <c r="J235" s="2"/>
      <c r="K235" s="181"/>
      <c r="L235" s="2"/>
      <c r="M235" s="2"/>
      <c r="N235" s="2"/>
      <c r="O235" s="2"/>
      <c r="P235" s="2"/>
      <c r="Q235" s="157"/>
      <c r="R235" s="157"/>
      <c r="S235" s="2"/>
      <c r="T235" s="158"/>
      <c r="U235" s="2"/>
      <c r="V235" s="2"/>
      <c r="W235" s="2"/>
      <c r="X235" s="2"/>
      <c r="Y235" s="2"/>
      <c r="Z235" s="2"/>
    </row>
    <row r="236" ht="13.5" customHeight="1">
      <c r="A236" s="2"/>
      <c r="B236" s="2"/>
      <c r="C236" s="2"/>
      <c r="D236" s="2"/>
      <c r="E236" s="2"/>
      <c r="F236" s="2"/>
      <c r="G236" s="2"/>
      <c r="H236" s="2"/>
      <c r="I236" s="2"/>
      <c r="J236" s="2"/>
      <c r="K236" s="181"/>
      <c r="L236" s="2"/>
      <c r="M236" s="2"/>
      <c r="N236" s="2"/>
      <c r="O236" s="2"/>
      <c r="P236" s="2"/>
      <c r="Q236" s="157"/>
      <c r="R236" s="157"/>
      <c r="S236" s="2"/>
      <c r="T236" s="158"/>
      <c r="U236" s="2"/>
      <c r="V236" s="2"/>
      <c r="W236" s="2"/>
      <c r="X236" s="2"/>
      <c r="Y236" s="2"/>
      <c r="Z236" s="2"/>
    </row>
    <row r="237" ht="13.5" customHeight="1">
      <c r="A237" s="2"/>
      <c r="B237" s="2"/>
      <c r="C237" s="2"/>
      <c r="D237" s="2"/>
      <c r="E237" s="2"/>
      <c r="F237" s="2"/>
      <c r="G237" s="2"/>
      <c r="H237" s="2"/>
      <c r="I237" s="2"/>
      <c r="J237" s="2"/>
      <c r="K237" s="181"/>
      <c r="L237" s="2"/>
      <c r="M237" s="2"/>
      <c r="N237" s="2"/>
      <c r="O237" s="2"/>
      <c r="P237" s="2"/>
      <c r="Q237" s="157"/>
      <c r="R237" s="157"/>
      <c r="S237" s="2"/>
      <c r="T237" s="158"/>
      <c r="U237" s="2"/>
      <c r="V237" s="2"/>
      <c r="W237" s="2"/>
      <c r="X237" s="2"/>
      <c r="Y237" s="2"/>
      <c r="Z237" s="2"/>
    </row>
    <row r="238" ht="13.5" customHeight="1">
      <c r="A238" s="2"/>
      <c r="B238" s="2"/>
      <c r="C238" s="2"/>
      <c r="D238" s="2"/>
      <c r="E238" s="2"/>
      <c r="F238" s="2"/>
      <c r="G238" s="2"/>
      <c r="H238" s="2"/>
      <c r="I238" s="2"/>
      <c r="J238" s="2"/>
      <c r="K238" s="181"/>
      <c r="L238" s="2"/>
      <c r="M238" s="2"/>
      <c r="N238" s="2"/>
      <c r="O238" s="2"/>
      <c r="P238" s="2"/>
      <c r="Q238" s="157"/>
      <c r="R238" s="157"/>
      <c r="S238" s="2"/>
      <c r="T238" s="158"/>
      <c r="U238" s="2"/>
      <c r="V238" s="2"/>
      <c r="W238" s="2"/>
      <c r="X238" s="2"/>
      <c r="Y238" s="2"/>
      <c r="Z238" s="2"/>
    </row>
    <row r="239" ht="13.5" customHeight="1">
      <c r="A239" s="2"/>
      <c r="B239" s="2"/>
      <c r="C239" s="2"/>
      <c r="D239" s="2"/>
      <c r="E239" s="2"/>
      <c r="F239" s="2"/>
      <c r="G239" s="2"/>
      <c r="H239" s="2"/>
      <c r="I239" s="2"/>
      <c r="J239" s="2"/>
      <c r="K239" s="181"/>
      <c r="L239" s="2"/>
      <c r="M239" s="2"/>
      <c r="N239" s="2"/>
      <c r="O239" s="2"/>
      <c r="P239" s="2"/>
      <c r="Q239" s="157"/>
      <c r="R239" s="157"/>
      <c r="S239" s="2"/>
      <c r="T239" s="158"/>
      <c r="U239" s="2"/>
      <c r="V239" s="2"/>
      <c r="W239" s="2"/>
      <c r="X239" s="2"/>
      <c r="Y239" s="2"/>
      <c r="Z239" s="2"/>
    </row>
    <row r="240" ht="13.5" customHeight="1">
      <c r="A240" s="2"/>
      <c r="B240" s="2"/>
      <c r="C240" s="2"/>
      <c r="D240" s="2"/>
      <c r="E240" s="2"/>
      <c r="F240" s="2"/>
      <c r="G240" s="2"/>
      <c r="H240" s="2"/>
      <c r="I240" s="2"/>
      <c r="J240" s="2"/>
      <c r="K240" s="181"/>
      <c r="L240" s="2"/>
      <c r="M240" s="2"/>
      <c r="N240" s="2"/>
      <c r="O240" s="2"/>
      <c r="P240" s="2"/>
      <c r="Q240" s="157"/>
      <c r="R240" s="157"/>
      <c r="S240" s="2"/>
      <c r="T240" s="158"/>
      <c r="U240" s="2"/>
      <c r="V240" s="2"/>
      <c r="W240" s="2"/>
      <c r="X240" s="2"/>
      <c r="Y240" s="2"/>
      <c r="Z240" s="2"/>
    </row>
    <row r="241" ht="13.5" customHeight="1">
      <c r="A241" s="2"/>
      <c r="B241" s="2"/>
      <c r="C241" s="2"/>
      <c r="D241" s="2"/>
      <c r="E241" s="2"/>
      <c r="F241" s="2"/>
      <c r="G241" s="2"/>
      <c r="H241" s="2"/>
      <c r="I241" s="2"/>
      <c r="J241" s="2"/>
      <c r="K241" s="181"/>
      <c r="L241" s="2"/>
      <c r="M241" s="2"/>
      <c r="N241" s="2"/>
      <c r="O241" s="2"/>
      <c r="P241" s="2"/>
      <c r="Q241" s="157"/>
      <c r="R241" s="157"/>
      <c r="S241" s="2"/>
      <c r="T241" s="158"/>
      <c r="U241" s="2"/>
      <c r="V241" s="2"/>
      <c r="W241" s="2"/>
      <c r="X241" s="2"/>
      <c r="Y241" s="2"/>
      <c r="Z241" s="2"/>
    </row>
    <row r="242" ht="13.5" customHeight="1">
      <c r="A242" s="2"/>
      <c r="B242" s="2"/>
      <c r="C242" s="2"/>
      <c r="D242" s="2"/>
      <c r="E242" s="2"/>
      <c r="F242" s="2"/>
      <c r="G242" s="2"/>
      <c r="H242" s="2"/>
      <c r="I242" s="2"/>
      <c r="J242" s="2"/>
      <c r="K242" s="181"/>
      <c r="L242" s="2"/>
      <c r="M242" s="2"/>
      <c r="N242" s="2"/>
      <c r="O242" s="2"/>
      <c r="P242" s="2"/>
      <c r="Q242" s="157"/>
      <c r="R242" s="157"/>
      <c r="S242" s="2"/>
      <c r="T242" s="158"/>
      <c r="U242" s="2"/>
      <c r="V242" s="2"/>
      <c r="W242" s="2"/>
      <c r="X242" s="2"/>
      <c r="Y242" s="2"/>
      <c r="Z242" s="2"/>
    </row>
    <row r="243" ht="13.5" customHeight="1">
      <c r="A243" s="2"/>
      <c r="B243" s="2"/>
      <c r="C243" s="2"/>
      <c r="D243" s="2"/>
      <c r="E243" s="2"/>
      <c r="F243" s="2"/>
      <c r="G243" s="2"/>
      <c r="H243" s="2"/>
      <c r="I243" s="2"/>
      <c r="J243" s="2"/>
      <c r="K243" s="181"/>
      <c r="L243" s="2"/>
      <c r="M243" s="2"/>
      <c r="N243" s="2"/>
      <c r="O243" s="2"/>
      <c r="P243" s="2"/>
      <c r="Q243" s="157"/>
      <c r="R243" s="157"/>
      <c r="S243" s="2"/>
      <c r="T243" s="158"/>
      <c r="U243" s="2"/>
      <c r="V243" s="2"/>
      <c r="W243" s="2"/>
      <c r="X243" s="2"/>
      <c r="Y243" s="2"/>
      <c r="Z243" s="2"/>
    </row>
    <row r="244" ht="13.5" customHeight="1">
      <c r="A244" s="2"/>
      <c r="B244" s="2"/>
      <c r="C244" s="2"/>
      <c r="D244" s="2"/>
      <c r="E244" s="2"/>
      <c r="F244" s="2"/>
      <c r="G244" s="2"/>
      <c r="H244" s="2"/>
      <c r="I244" s="2"/>
      <c r="J244" s="2"/>
      <c r="K244" s="181"/>
      <c r="L244" s="2"/>
      <c r="M244" s="2"/>
      <c r="N244" s="2"/>
      <c r="O244" s="2"/>
      <c r="P244" s="2"/>
      <c r="Q244" s="157"/>
      <c r="R244" s="157"/>
      <c r="S244" s="2"/>
      <c r="T244" s="158"/>
      <c r="U244" s="2"/>
      <c r="V244" s="2"/>
      <c r="W244" s="2"/>
      <c r="X244" s="2"/>
      <c r="Y244" s="2"/>
      <c r="Z244" s="2"/>
    </row>
    <row r="245" ht="13.5" customHeight="1">
      <c r="A245" s="2"/>
      <c r="B245" s="2"/>
      <c r="C245" s="2"/>
      <c r="D245" s="2"/>
      <c r="E245" s="2"/>
      <c r="F245" s="2"/>
      <c r="G245" s="2"/>
      <c r="H245" s="2"/>
      <c r="I245" s="2"/>
      <c r="J245" s="2"/>
      <c r="K245" s="181"/>
      <c r="L245" s="2"/>
      <c r="M245" s="2"/>
      <c r="N245" s="2"/>
      <c r="O245" s="2"/>
      <c r="P245" s="2"/>
      <c r="Q245" s="157"/>
      <c r="R245" s="157"/>
      <c r="S245" s="2"/>
      <c r="T245" s="158"/>
      <c r="U245" s="2"/>
      <c r="V245" s="2"/>
      <c r="W245" s="2"/>
      <c r="X245" s="2"/>
      <c r="Y245" s="2"/>
      <c r="Z245" s="2"/>
    </row>
    <row r="246" ht="13.5" customHeight="1">
      <c r="A246" s="2"/>
      <c r="B246" s="2"/>
      <c r="C246" s="2"/>
      <c r="D246" s="2"/>
      <c r="E246" s="2"/>
      <c r="F246" s="2"/>
      <c r="G246" s="2"/>
      <c r="H246" s="2"/>
      <c r="I246" s="2"/>
      <c r="J246" s="2"/>
      <c r="K246" s="181"/>
      <c r="L246" s="2"/>
      <c r="M246" s="2"/>
      <c r="N246" s="2"/>
      <c r="O246" s="2"/>
      <c r="P246" s="2"/>
      <c r="Q246" s="157"/>
      <c r="R246" s="157"/>
      <c r="S246" s="2"/>
      <c r="T246" s="158"/>
      <c r="U246" s="2"/>
      <c r="V246" s="2"/>
      <c r="W246" s="2"/>
      <c r="X246" s="2"/>
      <c r="Y246" s="2"/>
      <c r="Z246" s="2"/>
    </row>
    <row r="247" ht="13.5" customHeight="1">
      <c r="A247" s="2"/>
      <c r="B247" s="2"/>
      <c r="C247" s="2"/>
      <c r="D247" s="2"/>
      <c r="E247" s="2"/>
      <c r="F247" s="2"/>
      <c r="G247" s="2"/>
      <c r="H247" s="2"/>
      <c r="I247" s="2"/>
      <c r="J247" s="2"/>
      <c r="K247" s="181"/>
      <c r="L247" s="2"/>
      <c r="M247" s="2"/>
      <c r="N247" s="2"/>
      <c r="O247" s="2"/>
      <c r="P247" s="2"/>
      <c r="Q247" s="157"/>
      <c r="R247" s="157"/>
      <c r="S247" s="2"/>
      <c r="T247" s="158"/>
      <c r="U247" s="2"/>
      <c r="V247" s="2"/>
      <c r="W247" s="2"/>
      <c r="X247" s="2"/>
      <c r="Y247" s="2"/>
      <c r="Z247" s="2"/>
    </row>
    <row r="248" ht="13.5" customHeight="1">
      <c r="A248" s="2"/>
      <c r="B248" s="2"/>
      <c r="C248" s="2"/>
      <c r="D248" s="2"/>
      <c r="E248" s="2"/>
      <c r="F248" s="2"/>
      <c r="G248" s="2"/>
      <c r="H248" s="2"/>
      <c r="I248" s="2"/>
      <c r="J248" s="2"/>
      <c r="K248" s="181"/>
      <c r="L248" s="2"/>
      <c r="M248" s="2"/>
      <c r="N248" s="2"/>
      <c r="O248" s="2"/>
      <c r="P248" s="2"/>
      <c r="Q248" s="157"/>
      <c r="R248" s="157"/>
      <c r="S248" s="2"/>
      <c r="T248" s="158"/>
      <c r="U248" s="2"/>
      <c r="V248" s="2"/>
      <c r="W248" s="2"/>
      <c r="X248" s="2"/>
      <c r="Y248" s="2"/>
      <c r="Z248" s="2"/>
    </row>
    <row r="249" ht="13.5" customHeight="1">
      <c r="A249" s="2"/>
      <c r="B249" s="2"/>
      <c r="C249" s="2"/>
      <c r="D249" s="2"/>
      <c r="E249" s="2"/>
      <c r="F249" s="2"/>
      <c r="G249" s="2"/>
      <c r="H249" s="2"/>
      <c r="I249" s="2"/>
      <c r="J249" s="2"/>
      <c r="K249" s="181"/>
      <c r="L249" s="2"/>
      <c r="M249" s="2"/>
      <c r="N249" s="2"/>
      <c r="O249" s="2"/>
      <c r="P249" s="2"/>
      <c r="Q249" s="157"/>
      <c r="R249" s="157"/>
      <c r="S249" s="2"/>
      <c r="T249" s="158"/>
      <c r="U249" s="2"/>
      <c r="V249" s="2"/>
      <c r="W249" s="2"/>
      <c r="X249" s="2"/>
      <c r="Y249" s="2"/>
      <c r="Z249" s="2"/>
    </row>
    <row r="250" ht="13.5" customHeight="1">
      <c r="A250" s="2"/>
      <c r="B250" s="2"/>
      <c r="C250" s="2"/>
      <c r="D250" s="2"/>
      <c r="E250" s="2"/>
      <c r="F250" s="2"/>
      <c r="G250" s="2"/>
      <c r="H250" s="2"/>
      <c r="I250" s="2"/>
      <c r="J250" s="2"/>
      <c r="K250" s="181"/>
      <c r="L250" s="2"/>
      <c r="M250" s="2"/>
      <c r="N250" s="2"/>
      <c r="O250" s="2"/>
      <c r="P250" s="2"/>
      <c r="Q250" s="157"/>
      <c r="R250" s="157"/>
      <c r="S250" s="2"/>
      <c r="T250" s="158"/>
      <c r="U250" s="2"/>
      <c r="V250" s="2"/>
      <c r="W250" s="2"/>
      <c r="X250" s="2"/>
      <c r="Y250" s="2"/>
      <c r="Z250" s="2"/>
    </row>
    <row r="251" ht="13.5" customHeight="1">
      <c r="A251" s="2"/>
      <c r="B251" s="2"/>
      <c r="C251" s="2"/>
      <c r="D251" s="2"/>
      <c r="E251" s="2"/>
      <c r="F251" s="2"/>
      <c r="G251" s="2"/>
      <c r="H251" s="2"/>
      <c r="I251" s="2"/>
      <c r="J251" s="2"/>
      <c r="K251" s="181"/>
      <c r="L251" s="2"/>
      <c r="M251" s="2"/>
      <c r="N251" s="2"/>
      <c r="O251" s="2"/>
      <c r="P251" s="2"/>
      <c r="Q251" s="157"/>
      <c r="R251" s="157"/>
      <c r="S251" s="2"/>
      <c r="T251" s="158"/>
      <c r="U251" s="2"/>
      <c r="V251" s="2"/>
      <c r="W251" s="2"/>
      <c r="X251" s="2"/>
      <c r="Y251" s="2"/>
      <c r="Z251" s="2"/>
    </row>
    <row r="252" ht="13.5" customHeight="1">
      <c r="A252" s="2"/>
      <c r="B252" s="2"/>
      <c r="C252" s="2"/>
      <c r="D252" s="2"/>
      <c r="E252" s="2"/>
      <c r="F252" s="2"/>
      <c r="G252" s="2"/>
      <c r="H252" s="2"/>
      <c r="I252" s="2"/>
      <c r="J252" s="2"/>
      <c r="K252" s="181"/>
      <c r="L252" s="2"/>
      <c r="M252" s="2"/>
      <c r="N252" s="2"/>
      <c r="O252" s="2"/>
      <c r="P252" s="2"/>
      <c r="Q252" s="157"/>
      <c r="R252" s="157"/>
      <c r="S252" s="2"/>
      <c r="T252" s="158"/>
      <c r="U252" s="2"/>
      <c r="V252" s="2"/>
      <c r="W252" s="2"/>
      <c r="X252" s="2"/>
      <c r="Y252" s="2"/>
      <c r="Z252" s="2"/>
    </row>
    <row r="253" ht="13.5" customHeight="1">
      <c r="A253" s="2"/>
      <c r="B253" s="2"/>
      <c r="C253" s="2"/>
      <c r="D253" s="2"/>
      <c r="E253" s="2"/>
      <c r="F253" s="2"/>
      <c r="G253" s="2"/>
      <c r="H253" s="2"/>
      <c r="I253" s="2"/>
      <c r="J253" s="2"/>
      <c r="K253" s="181"/>
      <c r="L253" s="2"/>
      <c r="M253" s="2"/>
      <c r="N253" s="2"/>
      <c r="O253" s="2"/>
      <c r="P253" s="2"/>
      <c r="Q253" s="157"/>
      <c r="R253" s="157"/>
      <c r="S253" s="2"/>
      <c r="T253" s="158"/>
      <c r="U253" s="2"/>
      <c r="V253" s="2"/>
      <c r="W253" s="2"/>
      <c r="X253" s="2"/>
      <c r="Y253" s="2"/>
      <c r="Z253" s="2"/>
    </row>
    <row r="254" ht="13.5" customHeight="1">
      <c r="A254" s="2"/>
      <c r="B254" s="2"/>
      <c r="C254" s="2"/>
      <c r="D254" s="2"/>
      <c r="E254" s="2"/>
      <c r="F254" s="2"/>
      <c r="G254" s="2"/>
      <c r="H254" s="2"/>
      <c r="I254" s="2"/>
      <c r="J254" s="2"/>
      <c r="K254" s="181"/>
      <c r="L254" s="2"/>
      <c r="M254" s="2"/>
      <c r="N254" s="2"/>
      <c r="O254" s="2"/>
      <c r="P254" s="2"/>
      <c r="Q254" s="157"/>
      <c r="R254" s="157"/>
      <c r="S254" s="2"/>
      <c r="T254" s="158"/>
      <c r="U254" s="2"/>
      <c r="V254" s="2"/>
      <c r="W254" s="2"/>
      <c r="X254" s="2"/>
      <c r="Y254" s="2"/>
      <c r="Z254" s="2"/>
    </row>
    <row r="255" ht="13.5" customHeight="1">
      <c r="A255" s="2"/>
      <c r="B255" s="2"/>
      <c r="C255" s="2"/>
      <c r="D255" s="2"/>
      <c r="E255" s="2"/>
      <c r="F255" s="2"/>
      <c r="G255" s="2"/>
      <c r="H255" s="2"/>
      <c r="I255" s="2"/>
      <c r="J255" s="2"/>
      <c r="K255" s="181"/>
      <c r="L255" s="2"/>
      <c r="M255" s="2"/>
      <c r="N255" s="2"/>
      <c r="O255" s="2"/>
      <c r="P255" s="2"/>
      <c r="Q255" s="157"/>
      <c r="R255" s="157"/>
      <c r="S255" s="2"/>
      <c r="T255" s="158"/>
      <c r="U255" s="2"/>
      <c r="V255" s="2"/>
      <c r="W255" s="2"/>
      <c r="X255" s="2"/>
      <c r="Y255" s="2"/>
      <c r="Z255" s="2"/>
    </row>
    <row r="256" ht="13.5" customHeight="1">
      <c r="A256" s="2"/>
      <c r="B256" s="2"/>
      <c r="C256" s="2"/>
      <c r="D256" s="2"/>
      <c r="E256" s="2"/>
      <c r="F256" s="2"/>
      <c r="G256" s="2"/>
      <c r="H256" s="2"/>
      <c r="I256" s="2"/>
      <c r="J256" s="2"/>
      <c r="K256" s="181"/>
      <c r="L256" s="2"/>
      <c r="M256" s="2"/>
      <c r="N256" s="2"/>
      <c r="O256" s="2"/>
      <c r="P256" s="2"/>
      <c r="Q256" s="157"/>
      <c r="R256" s="157"/>
      <c r="S256" s="2"/>
      <c r="T256" s="158"/>
      <c r="U256" s="2"/>
      <c r="V256" s="2"/>
      <c r="W256" s="2"/>
      <c r="X256" s="2"/>
      <c r="Y256" s="2"/>
      <c r="Z256" s="2"/>
    </row>
    <row r="257" ht="13.5" customHeight="1">
      <c r="A257" s="2"/>
      <c r="B257" s="2"/>
      <c r="C257" s="2"/>
      <c r="D257" s="2"/>
      <c r="E257" s="2"/>
      <c r="F257" s="2"/>
      <c r="G257" s="2"/>
      <c r="H257" s="2"/>
      <c r="I257" s="2"/>
      <c r="J257" s="2"/>
      <c r="K257" s="181"/>
      <c r="L257" s="2"/>
      <c r="M257" s="2"/>
      <c r="N257" s="2"/>
      <c r="O257" s="2"/>
      <c r="P257" s="2"/>
      <c r="Q257" s="157"/>
      <c r="R257" s="157"/>
      <c r="S257" s="2"/>
      <c r="T257" s="158"/>
      <c r="U257" s="2"/>
      <c r="V257" s="2"/>
      <c r="W257" s="2"/>
      <c r="X257" s="2"/>
      <c r="Y257" s="2"/>
      <c r="Z257" s="2"/>
    </row>
    <row r="258" ht="13.5" customHeight="1">
      <c r="A258" s="2"/>
      <c r="B258" s="2"/>
      <c r="C258" s="2"/>
      <c r="D258" s="2"/>
      <c r="E258" s="2"/>
      <c r="F258" s="2"/>
      <c r="G258" s="2"/>
      <c r="H258" s="2"/>
      <c r="I258" s="2"/>
      <c r="J258" s="2"/>
      <c r="K258" s="181"/>
      <c r="L258" s="2"/>
      <c r="M258" s="2"/>
      <c r="N258" s="2"/>
      <c r="O258" s="2"/>
      <c r="P258" s="2"/>
      <c r="Q258" s="157"/>
      <c r="R258" s="157"/>
      <c r="S258" s="2"/>
      <c r="T258" s="158"/>
      <c r="U258" s="2"/>
      <c r="V258" s="2"/>
      <c r="W258" s="2"/>
      <c r="X258" s="2"/>
      <c r="Y258" s="2"/>
      <c r="Z258" s="2"/>
    </row>
    <row r="259" ht="13.5" customHeight="1">
      <c r="A259" s="2"/>
      <c r="B259" s="2"/>
      <c r="C259" s="2"/>
      <c r="D259" s="2"/>
      <c r="E259" s="2"/>
      <c r="F259" s="2"/>
      <c r="G259" s="2"/>
      <c r="H259" s="2"/>
      <c r="I259" s="2"/>
      <c r="J259" s="2"/>
      <c r="K259" s="181"/>
      <c r="L259" s="2"/>
      <c r="M259" s="2"/>
      <c r="N259" s="2"/>
      <c r="O259" s="2"/>
      <c r="P259" s="2"/>
      <c r="Q259" s="157"/>
      <c r="R259" s="157"/>
      <c r="S259" s="2"/>
      <c r="T259" s="158"/>
      <c r="U259" s="2"/>
      <c r="V259" s="2"/>
      <c r="W259" s="2"/>
      <c r="X259" s="2"/>
      <c r="Y259" s="2"/>
      <c r="Z259" s="2"/>
    </row>
    <row r="260" ht="13.5" customHeight="1">
      <c r="A260" s="2"/>
      <c r="B260" s="2"/>
      <c r="C260" s="2"/>
      <c r="D260" s="2"/>
      <c r="E260" s="2"/>
      <c r="F260" s="2"/>
      <c r="G260" s="2"/>
      <c r="H260" s="2"/>
      <c r="I260" s="2"/>
      <c r="J260" s="2"/>
      <c r="K260" s="181"/>
      <c r="L260" s="2"/>
      <c r="M260" s="2"/>
      <c r="N260" s="2"/>
      <c r="O260" s="2"/>
      <c r="P260" s="2"/>
      <c r="Q260" s="157"/>
      <c r="R260" s="157"/>
      <c r="S260" s="2"/>
      <c r="T260" s="158"/>
      <c r="U260" s="2"/>
      <c r="V260" s="2"/>
      <c r="W260" s="2"/>
      <c r="X260" s="2"/>
      <c r="Y260" s="2"/>
      <c r="Z260" s="2"/>
    </row>
    <row r="261" ht="13.5" customHeight="1">
      <c r="A261" s="2"/>
      <c r="B261" s="2"/>
      <c r="C261" s="2"/>
      <c r="D261" s="2"/>
      <c r="E261" s="2"/>
      <c r="F261" s="2"/>
      <c r="G261" s="2"/>
      <c r="H261" s="2"/>
      <c r="I261" s="2"/>
      <c r="J261" s="2"/>
      <c r="K261" s="181"/>
      <c r="L261" s="2"/>
      <c r="M261" s="2"/>
      <c r="N261" s="2"/>
      <c r="O261" s="2"/>
      <c r="P261" s="2"/>
      <c r="Q261" s="157"/>
      <c r="R261" s="157"/>
      <c r="S261" s="2"/>
      <c r="T261" s="158"/>
      <c r="U261" s="2"/>
      <c r="V261" s="2"/>
      <c r="W261" s="2"/>
      <c r="X261" s="2"/>
      <c r="Y261" s="2"/>
      <c r="Z261" s="2"/>
    </row>
    <row r="262" ht="13.5" customHeight="1">
      <c r="A262" s="2"/>
      <c r="B262" s="2"/>
      <c r="C262" s="2"/>
      <c r="D262" s="2"/>
      <c r="E262" s="2"/>
      <c r="F262" s="2"/>
      <c r="G262" s="2"/>
      <c r="H262" s="2"/>
      <c r="I262" s="2"/>
      <c r="J262" s="2"/>
      <c r="K262" s="181"/>
      <c r="L262" s="2"/>
      <c r="M262" s="2"/>
      <c r="N262" s="2"/>
      <c r="O262" s="2"/>
      <c r="P262" s="2"/>
      <c r="Q262" s="157"/>
      <c r="R262" s="157"/>
      <c r="S262" s="2"/>
      <c r="T262" s="158"/>
      <c r="U262" s="2"/>
      <c r="V262" s="2"/>
      <c r="W262" s="2"/>
      <c r="X262" s="2"/>
      <c r="Y262" s="2"/>
      <c r="Z262" s="2"/>
    </row>
    <row r="263" ht="13.5" customHeight="1">
      <c r="A263" s="2"/>
      <c r="B263" s="2"/>
      <c r="C263" s="2"/>
      <c r="D263" s="2"/>
      <c r="E263" s="2"/>
      <c r="F263" s="2"/>
      <c r="G263" s="2"/>
      <c r="H263" s="2"/>
      <c r="I263" s="2"/>
      <c r="J263" s="2"/>
      <c r="K263" s="181"/>
      <c r="L263" s="2"/>
      <c r="M263" s="2"/>
      <c r="N263" s="2"/>
      <c r="O263" s="2"/>
      <c r="P263" s="2"/>
      <c r="Q263" s="157"/>
      <c r="R263" s="157"/>
      <c r="S263" s="2"/>
      <c r="T263" s="158"/>
      <c r="U263" s="2"/>
      <c r="V263" s="2"/>
      <c r="W263" s="2"/>
      <c r="X263" s="2"/>
      <c r="Y263" s="2"/>
      <c r="Z263" s="2"/>
    </row>
    <row r="264" ht="13.5" customHeight="1">
      <c r="A264" s="2"/>
      <c r="B264" s="2"/>
      <c r="C264" s="2"/>
      <c r="D264" s="2"/>
      <c r="E264" s="2"/>
      <c r="F264" s="2"/>
      <c r="G264" s="2"/>
      <c r="H264" s="2"/>
      <c r="I264" s="2"/>
      <c r="J264" s="2"/>
      <c r="K264" s="181"/>
      <c r="L264" s="2"/>
      <c r="M264" s="2"/>
      <c r="N264" s="2"/>
      <c r="O264" s="2"/>
      <c r="P264" s="2"/>
      <c r="Q264" s="157"/>
      <c r="R264" s="157"/>
      <c r="S264" s="2"/>
      <c r="T264" s="158"/>
      <c r="U264" s="2"/>
      <c r="V264" s="2"/>
      <c r="W264" s="2"/>
      <c r="X264" s="2"/>
      <c r="Y264" s="2"/>
      <c r="Z264" s="2"/>
    </row>
    <row r="265" ht="13.5" customHeight="1">
      <c r="A265" s="2"/>
      <c r="B265" s="2"/>
      <c r="C265" s="2"/>
      <c r="D265" s="2"/>
      <c r="E265" s="2"/>
      <c r="F265" s="2"/>
      <c r="G265" s="2"/>
      <c r="H265" s="2"/>
      <c r="I265" s="2"/>
      <c r="J265" s="2"/>
      <c r="K265" s="181"/>
      <c r="L265" s="2"/>
      <c r="M265" s="2"/>
      <c r="N265" s="2"/>
      <c r="O265" s="2"/>
      <c r="P265" s="2"/>
      <c r="Q265" s="157"/>
      <c r="R265" s="157"/>
      <c r="S265" s="2"/>
      <c r="T265" s="158"/>
      <c r="U265" s="2"/>
      <c r="V265" s="2"/>
      <c r="W265" s="2"/>
      <c r="X265" s="2"/>
      <c r="Y265" s="2"/>
      <c r="Z265" s="2"/>
    </row>
    <row r="266" ht="13.5" customHeight="1">
      <c r="A266" s="2"/>
      <c r="B266" s="2"/>
      <c r="C266" s="2"/>
      <c r="D266" s="2"/>
      <c r="E266" s="2"/>
      <c r="F266" s="2"/>
      <c r="G266" s="2"/>
      <c r="H266" s="2"/>
      <c r="I266" s="2"/>
      <c r="J266" s="2"/>
      <c r="K266" s="181"/>
      <c r="L266" s="2"/>
      <c r="M266" s="2"/>
      <c r="N266" s="2"/>
      <c r="O266" s="2"/>
      <c r="P266" s="2"/>
      <c r="Q266" s="157"/>
      <c r="R266" s="157"/>
      <c r="S266" s="2"/>
      <c r="T266" s="158"/>
      <c r="U266" s="2"/>
      <c r="V266" s="2"/>
      <c r="W266" s="2"/>
      <c r="X266" s="2"/>
      <c r="Y266" s="2"/>
      <c r="Z266" s="2"/>
    </row>
    <row r="267" ht="13.5" customHeight="1">
      <c r="A267" s="2"/>
      <c r="B267" s="2"/>
      <c r="C267" s="2"/>
      <c r="D267" s="2"/>
      <c r="E267" s="2"/>
      <c r="F267" s="2"/>
      <c r="G267" s="2"/>
      <c r="H267" s="2"/>
      <c r="I267" s="2"/>
      <c r="J267" s="2"/>
      <c r="K267" s="181"/>
      <c r="L267" s="2"/>
      <c r="M267" s="2"/>
      <c r="N267" s="2"/>
      <c r="O267" s="2"/>
      <c r="P267" s="2"/>
      <c r="Q267" s="157"/>
      <c r="R267" s="157"/>
      <c r="S267" s="2"/>
      <c r="T267" s="158"/>
      <c r="U267" s="2"/>
      <c r="V267" s="2"/>
      <c r="W267" s="2"/>
      <c r="X267" s="2"/>
      <c r="Y267" s="2"/>
      <c r="Z267" s="2"/>
    </row>
    <row r="268" ht="13.5" customHeight="1">
      <c r="A268" s="2"/>
      <c r="B268" s="2"/>
      <c r="C268" s="2"/>
      <c r="D268" s="2"/>
      <c r="E268" s="2"/>
      <c r="F268" s="2"/>
      <c r="G268" s="2"/>
      <c r="H268" s="2"/>
      <c r="I268" s="2"/>
      <c r="J268" s="2"/>
      <c r="K268" s="181"/>
      <c r="L268" s="2"/>
      <c r="M268" s="2"/>
      <c r="N268" s="2"/>
      <c r="O268" s="2"/>
      <c r="P268" s="2"/>
      <c r="Q268" s="157"/>
      <c r="R268" s="157"/>
      <c r="S268" s="2"/>
      <c r="T268" s="158"/>
      <c r="U268" s="2"/>
      <c r="V268" s="2"/>
      <c r="W268" s="2"/>
      <c r="X268" s="2"/>
      <c r="Y268" s="2"/>
      <c r="Z268" s="2"/>
    </row>
    <row r="269" ht="13.5" customHeight="1">
      <c r="A269" s="2"/>
      <c r="B269" s="2"/>
      <c r="C269" s="2"/>
      <c r="D269" s="2"/>
      <c r="E269" s="2"/>
      <c r="F269" s="2"/>
      <c r="G269" s="2"/>
      <c r="H269" s="2"/>
      <c r="I269" s="2"/>
      <c r="J269" s="2"/>
      <c r="K269" s="181"/>
      <c r="L269" s="2"/>
      <c r="M269" s="2"/>
      <c r="N269" s="2"/>
      <c r="O269" s="2"/>
      <c r="P269" s="2"/>
      <c r="Q269" s="157"/>
      <c r="R269" s="157"/>
      <c r="S269" s="2"/>
      <c r="T269" s="158"/>
      <c r="U269" s="2"/>
      <c r="V269" s="2"/>
      <c r="W269" s="2"/>
      <c r="X269" s="2"/>
      <c r="Y269" s="2"/>
      <c r="Z269" s="2"/>
    </row>
    <row r="270" ht="13.5" customHeight="1">
      <c r="A270" s="2"/>
      <c r="B270" s="2"/>
      <c r="C270" s="2"/>
      <c r="D270" s="2"/>
      <c r="E270" s="2"/>
      <c r="F270" s="2"/>
      <c r="G270" s="2"/>
      <c r="H270" s="2"/>
      <c r="I270" s="2"/>
      <c r="J270" s="2"/>
      <c r="K270" s="181"/>
      <c r="L270" s="2"/>
      <c r="M270" s="2"/>
      <c r="N270" s="2"/>
      <c r="O270" s="2"/>
      <c r="P270" s="2"/>
      <c r="Q270" s="157"/>
      <c r="R270" s="157"/>
      <c r="S270" s="2"/>
      <c r="T270" s="158"/>
      <c r="U270" s="2"/>
      <c r="V270" s="2"/>
      <c r="W270" s="2"/>
      <c r="X270" s="2"/>
      <c r="Y270" s="2"/>
      <c r="Z270" s="2"/>
    </row>
    <row r="271" ht="13.5" customHeight="1">
      <c r="A271" s="2"/>
      <c r="B271" s="2"/>
      <c r="C271" s="2"/>
      <c r="D271" s="2"/>
      <c r="E271" s="2"/>
      <c r="F271" s="2"/>
      <c r="G271" s="2"/>
      <c r="H271" s="2"/>
      <c r="I271" s="2"/>
      <c r="J271" s="2"/>
      <c r="K271" s="181"/>
      <c r="L271" s="2"/>
      <c r="M271" s="2"/>
      <c r="N271" s="2"/>
      <c r="O271" s="2"/>
      <c r="P271" s="2"/>
      <c r="Q271" s="157"/>
      <c r="R271" s="157"/>
      <c r="S271" s="2"/>
      <c r="T271" s="158"/>
      <c r="U271" s="2"/>
      <c r="V271" s="2"/>
      <c r="W271" s="2"/>
      <c r="X271" s="2"/>
      <c r="Y271" s="2"/>
      <c r="Z271" s="2"/>
    </row>
    <row r="272" ht="13.5" customHeight="1">
      <c r="A272" s="2"/>
      <c r="B272" s="2"/>
      <c r="C272" s="2"/>
      <c r="D272" s="2"/>
      <c r="E272" s="2"/>
      <c r="F272" s="2"/>
      <c r="G272" s="2"/>
      <c r="H272" s="2"/>
      <c r="I272" s="2"/>
      <c r="J272" s="2"/>
      <c r="K272" s="181"/>
      <c r="L272" s="2"/>
      <c r="M272" s="2"/>
      <c r="N272" s="2"/>
      <c r="O272" s="2"/>
      <c r="P272" s="2"/>
      <c r="Q272" s="157"/>
      <c r="R272" s="157"/>
      <c r="S272" s="2"/>
      <c r="T272" s="158"/>
      <c r="U272" s="2"/>
      <c r="V272" s="2"/>
      <c r="W272" s="2"/>
      <c r="X272" s="2"/>
      <c r="Y272" s="2"/>
      <c r="Z272" s="2"/>
    </row>
    <row r="273" ht="13.5" customHeight="1">
      <c r="A273" s="2"/>
      <c r="B273" s="2"/>
      <c r="C273" s="2"/>
      <c r="D273" s="2"/>
      <c r="E273" s="2"/>
      <c r="F273" s="2"/>
      <c r="G273" s="2"/>
      <c r="H273" s="2"/>
      <c r="I273" s="2"/>
      <c r="J273" s="2"/>
      <c r="K273" s="181"/>
      <c r="L273" s="2"/>
      <c r="M273" s="2"/>
      <c r="N273" s="2"/>
      <c r="O273" s="2"/>
      <c r="P273" s="2"/>
      <c r="Q273" s="157"/>
      <c r="R273" s="157"/>
      <c r="S273" s="2"/>
      <c r="T273" s="158"/>
      <c r="U273" s="2"/>
      <c r="V273" s="2"/>
      <c r="W273" s="2"/>
      <c r="X273" s="2"/>
      <c r="Y273" s="2"/>
      <c r="Z273" s="2"/>
    </row>
    <row r="274" ht="13.5" customHeight="1">
      <c r="A274" s="2"/>
      <c r="B274" s="2"/>
      <c r="C274" s="2"/>
      <c r="D274" s="2"/>
      <c r="E274" s="2"/>
      <c r="F274" s="2"/>
      <c r="G274" s="2"/>
      <c r="H274" s="2"/>
      <c r="I274" s="2"/>
      <c r="J274" s="2"/>
      <c r="K274" s="181"/>
      <c r="L274" s="2"/>
      <c r="M274" s="2"/>
      <c r="N274" s="2"/>
      <c r="O274" s="2"/>
      <c r="P274" s="2"/>
      <c r="Q274" s="157"/>
      <c r="R274" s="157"/>
      <c r="S274" s="2"/>
      <c r="T274" s="158"/>
      <c r="U274" s="2"/>
      <c r="V274" s="2"/>
      <c r="W274" s="2"/>
      <c r="X274" s="2"/>
      <c r="Y274" s="2"/>
      <c r="Z274" s="2"/>
    </row>
    <row r="275" ht="13.5" customHeight="1">
      <c r="A275" s="2"/>
      <c r="B275" s="2"/>
      <c r="C275" s="2"/>
      <c r="D275" s="2"/>
      <c r="E275" s="2"/>
      <c r="F275" s="2"/>
      <c r="G275" s="2"/>
      <c r="H275" s="2"/>
      <c r="I275" s="2"/>
      <c r="J275" s="2"/>
      <c r="K275" s="181"/>
      <c r="L275" s="2"/>
      <c r="M275" s="2"/>
      <c r="N275" s="2"/>
      <c r="O275" s="2"/>
      <c r="P275" s="2"/>
      <c r="Q275" s="157"/>
      <c r="R275" s="157"/>
      <c r="S275" s="2"/>
      <c r="T275" s="158"/>
      <c r="U275" s="2"/>
      <c r="V275" s="2"/>
      <c r="W275" s="2"/>
      <c r="X275" s="2"/>
      <c r="Y275" s="2"/>
      <c r="Z275" s="2"/>
    </row>
    <row r="276" ht="13.5" customHeight="1">
      <c r="A276" s="2"/>
      <c r="B276" s="2"/>
      <c r="C276" s="2"/>
      <c r="D276" s="2"/>
      <c r="E276" s="2"/>
      <c r="F276" s="2"/>
      <c r="G276" s="2"/>
      <c r="H276" s="2"/>
      <c r="I276" s="2"/>
      <c r="J276" s="2"/>
      <c r="K276" s="181"/>
      <c r="L276" s="2"/>
      <c r="M276" s="2"/>
      <c r="N276" s="2"/>
      <c r="O276" s="2"/>
      <c r="P276" s="2"/>
      <c r="Q276" s="157"/>
      <c r="R276" s="157"/>
      <c r="S276" s="2"/>
      <c r="T276" s="158"/>
      <c r="U276" s="2"/>
      <c r="V276" s="2"/>
      <c r="W276" s="2"/>
      <c r="X276" s="2"/>
      <c r="Y276" s="2"/>
      <c r="Z276" s="2"/>
    </row>
    <row r="277" ht="13.5" customHeight="1">
      <c r="A277" s="2"/>
      <c r="B277" s="2"/>
      <c r="C277" s="2"/>
      <c r="D277" s="2"/>
      <c r="E277" s="2"/>
      <c r="F277" s="2"/>
      <c r="G277" s="2"/>
      <c r="H277" s="2"/>
      <c r="I277" s="2"/>
      <c r="J277" s="2"/>
      <c r="K277" s="181"/>
      <c r="L277" s="2"/>
      <c r="M277" s="2"/>
      <c r="N277" s="2"/>
      <c r="O277" s="2"/>
      <c r="P277" s="2"/>
      <c r="Q277" s="157"/>
      <c r="R277" s="157"/>
      <c r="S277" s="2"/>
      <c r="T277" s="158"/>
      <c r="U277" s="2"/>
      <c r="V277" s="2"/>
      <c r="W277" s="2"/>
      <c r="X277" s="2"/>
      <c r="Y277" s="2"/>
      <c r="Z277" s="2"/>
    </row>
    <row r="278" ht="13.5" customHeight="1">
      <c r="A278" s="2"/>
      <c r="B278" s="2"/>
      <c r="C278" s="2"/>
      <c r="D278" s="2"/>
      <c r="E278" s="2"/>
      <c r="F278" s="2"/>
      <c r="G278" s="2"/>
      <c r="H278" s="2"/>
      <c r="I278" s="2"/>
      <c r="J278" s="2"/>
      <c r="K278" s="181"/>
      <c r="L278" s="2"/>
      <c r="M278" s="2"/>
      <c r="N278" s="2"/>
      <c r="O278" s="2"/>
      <c r="P278" s="2"/>
      <c r="Q278" s="157"/>
      <c r="R278" s="157"/>
      <c r="S278" s="2"/>
      <c r="T278" s="158"/>
      <c r="U278" s="2"/>
      <c r="V278" s="2"/>
      <c r="W278" s="2"/>
      <c r="X278" s="2"/>
      <c r="Y278" s="2"/>
      <c r="Z278" s="2"/>
    </row>
    <row r="279" ht="13.5" customHeight="1">
      <c r="A279" s="2"/>
      <c r="B279" s="2"/>
      <c r="C279" s="2"/>
      <c r="D279" s="2"/>
      <c r="E279" s="2"/>
      <c r="F279" s="2"/>
      <c r="G279" s="2"/>
      <c r="H279" s="2"/>
      <c r="I279" s="2"/>
      <c r="J279" s="2"/>
      <c r="K279" s="181"/>
      <c r="L279" s="2"/>
      <c r="M279" s="2"/>
      <c r="N279" s="2"/>
      <c r="O279" s="2"/>
      <c r="P279" s="2"/>
      <c r="Q279" s="157"/>
      <c r="R279" s="157"/>
      <c r="S279" s="2"/>
      <c r="T279" s="158"/>
      <c r="U279" s="2"/>
      <c r="V279" s="2"/>
      <c r="W279" s="2"/>
      <c r="X279" s="2"/>
      <c r="Y279" s="2"/>
      <c r="Z279" s="2"/>
    </row>
    <row r="280" ht="13.5" customHeight="1">
      <c r="A280" s="2"/>
      <c r="B280" s="2"/>
      <c r="C280" s="2"/>
      <c r="D280" s="2"/>
      <c r="E280" s="2"/>
      <c r="F280" s="2"/>
      <c r="G280" s="2"/>
      <c r="H280" s="2"/>
      <c r="I280" s="2"/>
      <c r="J280" s="2"/>
      <c r="K280" s="181"/>
      <c r="L280" s="2"/>
      <c r="M280" s="2"/>
      <c r="N280" s="2"/>
      <c r="O280" s="2"/>
      <c r="P280" s="2"/>
      <c r="Q280" s="157"/>
      <c r="R280" s="157"/>
      <c r="S280" s="2"/>
      <c r="T280" s="158"/>
      <c r="U280" s="2"/>
      <c r="V280" s="2"/>
      <c r="W280" s="2"/>
      <c r="X280" s="2"/>
      <c r="Y280" s="2"/>
      <c r="Z280" s="2"/>
    </row>
    <row r="281" ht="13.5" customHeight="1">
      <c r="A281" s="2"/>
      <c r="B281" s="2"/>
      <c r="C281" s="2"/>
      <c r="D281" s="2"/>
      <c r="E281" s="2"/>
      <c r="F281" s="2"/>
      <c r="G281" s="2"/>
      <c r="H281" s="2"/>
      <c r="I281" s="2"/>
      <c r="J281" s="2"/>
      <c r="K281" s="181"/>
      <c r="L281" s="2"/>
      <c r="M281" s="2"/>
      <c r="N281" s="2"/>
      <c r="O281" s="2"/>
      <c r="P281" s="2"/>
      <c r="Q281" s="157"/>
      <c r="R281" s="157"/>
      <c r="S281" s="2"/>
      <c r="T281" s="158"/>
      <c r="U281" s="2"/>
      <c r="V281" s="2"/>
      <c r="W281" s="2"/>
      <c r="X281" s="2"/>
      <c r="Y281" s="2"/>
      <c r="Z281" s="2"/>
    </row>
    <row r="282" ht="13.5" customHeight="1">
      <c r="A282" s="2"/>
      <c r="B282" s="2"/>
      <c r="C282" s="2"/>
      <c r="D282" s="2"/>
      <c r="E282" s="2"/>
      <c r="F282" s="2"/>
      <c r="G282" s="2"/>
      <c r="H282" s="2"/>
      <c r="I282" s="2"/>
      <c r="J282" s="2"/>
      <c r="K282" s="181"/>
      <c r="L282" s="2"/>
      <c r="M282" s="2"/>
      <c r="N282" s="2"/>
      <c r="O282" s="2"/>
      <c r="P282" s="2"/>
      <c r="Q282" s="157"/>
      <c r="R282" s="157"/>
      <c r="S282" s="2"/>
      <c r="T282" s="158"/>
      <c r="U282" s="2"/>
      <c r="V282" s="2"/>
      <c r="W282" s="2"/>
      <c r="X282" s="2"/>
      <c r="Y282" s="2"/>
      <c r="Z282" s="2"/>
    </row>
    <row r="283" ht="13.5" customHeight="1">
      <c r="A283" s="2"/>
      <c r="B283" s="2"/>
      <c r="C283" s="2"/>
      <c r="D283" s="2"/>
      <c r="E283" s="2"/>
      <c r="F283" s="2"/>
      <c r="G283" s="2"/>
      <c r="H283" s="2"/>
      <c r="I283" s="2"/>
      <c r="J283" s="2"/>
      <c r="K283" s="181"/>
      <c r="L283" s="2"/>
      <c r="M283" s="2"/>
      <c r="N283" s="2"/>
      <c r="O283" s="2"/>
      <c r="P283" s="2"/>
      <c r="Q283" s="157"/>
      <c r="R283" s="157"/>
      <c r="S283" s="2"/>
      <c r="T283" s="158"/>
      <c r="U283" s="2"/>
      <c r="V283" s="2"/>
      <c r="W283" s="2"/>
      <c r="X283" s="2"/>
      <c r="Y283" s="2"/>
      <c r="Z283" s="2"/>
    </row>
    <row r="284" ht="13.5" customHeight="1">
      <c r="A284" s="2"/>
      <c r="B284" s="2"/>
      <c r="C284" s="2"/>
      <c r="D284" s="2"/>
      <c r="E284" s="2"/>
      <c r="F284" s="2"/>
      <c r="G284" s="2"/>
      <c r="H284" s="2"/>
      <c r="I284" s="2"/>
      <c r="J284" s="2"/>
      <c r="K284" s="181"/>
      <c r="L284" s="2"/>
      <c r="M284" s="2"/>
      <c r="N284" s="2"/>
      <c r="O284" s="2"/>
      <c r="P284" s="2"/>
      <c r="Q284" s="157"/>
      <c r="R284" s="157"/>
      <c r="S284" s="2"/>
      <c r="T284" s="158"/>
      <c r="U284" s="2"/>
      <c r="V284" s="2"/>
      <c r="W284" s="2"/>
      <c r="X284" s="2"/>
      <c r="Y284" s="2"/>
      <c r="Z284" s="2"/>
    </row>
    <row r="285" ht="13.5" customHeight="1">
      <c r="A285" s="2"/>
      <c r="B285" s="2"/>
      <c r="C285" s="2"/>
      <c r="D285" s="2"/>
      <c r="E285" s="2"/>
      <c r="F285" s="2"/>
      <c r="G285" s="2"/>
      <c r="H285" s="2"/>
      <c r="I285" s="2"/>
      <c r="J285" s="2"/>
      <c r="K285" s="181"/>
      <c r="L285" s="2"/>
      <c r="M285" s="2"/>
      <c r="N285" s="2"/>
      <c r="O285" s="2"/>
      <c r="P285" s="2"/>
      <c r="Q285" s="157"/>
      <c r="R285" s="157"/>
      <c r="S285" s="2"/>
      <c r="T285" s="158"/>
      <c r="U285" s="2"/>
      <c r="V285" s="2"/>
      <c r="W285" s="2"/>
      <c r="X285" s="2"/>
      <c r="Y285" s="2"/>
      <c r="Z285" s="2"/>
    </row>
    <row r="286" ht="13.5" customHeight="1">
      <c r="A286" s="2"/>
      <c r="B286" s="2"/>
      <c r="C286" s="2"/>
      <c r="D286" s="2"/>
      <c r="E286" s="2"/>
      <c r="F286" s="2"/>
      <c r="G286" s="2"/>
      <c r="H286" s="2"/>
      <c r="I286" s="2"/>
      <c r="J286" s="2"/>
      <c r="K286" s="181"/>
      <c r="L286" s="2"/>
      <c r="M286" s="2"/>
      <c r="N286" s="2"/>
      <c r="O286" s="2"/>
      <c r="P286" s="2"/>
      <c r="Q286" s="157"/>
      <c r="R286" s="157"/>
      <c r="S286" s="2"/>
      <c r="T286" s="158"/>
      <c r="U286" s="2"/>
      <c r="V286" s="2"/>
      <c r="W286" s="2"/>
      <c r="X286" s="2"/>
      <c r="Y286" s="2"/>
      <c r="Z286" s="2"/>
    </row>
    <row r="287" ht="13.5" customHeight="1">
      <c r="A287" s="2"/>
      <c r="B287" s="2"/>
      <c r="C287" s="2"/>
      <c r="D287" s="2"/>
      <c r="E287" s="2"/>
      <c r="F287" s="2"/>
      <c r="G287" s="2"/>
      <c r="H287" s="2"/>
      <c r="I287" s="2"/>
      <c r="J287" s="2"/>
      <c r="K287" s="181"/>
      <c r="L287" s="2"/>
      <c r="M287" s="2"/>
      <c r="N287" s="2"/>
      <c r="O287" s="2"/>
      <c r="P287" s="2"/>
      <c r="Q287" s="157"/>
      <c r="R287" s="157"/>
      <c r="S287" s="2"/>
      <c r="T287" s="158"/>
      <c r="U287" s="2"/>
      <c r="V287" s="2"/>
      <c r="W287" s="2"/>
      <c r="X287" s="2"/>
      <c r="Y287" s="2"/>
      <c r="Z287" s="2"/>
    </row>
    <row r="288" ht="13.5" customHeight="1">
      <c r="A288" s="2"/>
      <c r="B288" s="2"/>
      <c r="C288" s="2"/>
      <c r="D288" s="2"/>
      <c r="E288" s="2"/>
      <c r="F288" s="2"/>
      <c r="G288" s="2"/>
      <c r="H288" s="2"/>
      <c r="I288" s="2"/>
      <c r="J288" s="2"/>
      <c r="K288" s="181"/>
      <c r="L288" s="2"/>
      <c r="M288" s="2"/>
      <c r="N288" s="2"/>
      <c r="O288" s="2"/>
      <c r="P288" s="2"/>
      <c r="Q288" s="157"/>
      <c r="R288" s="157"/>
      <c r="S288" s="2"/>
      <c r="T288" s="158"/>
      <c r="U288" s="2"/>
      <c r="V288" s="2"/>
      <c r="W288" s="2"/>
      <c r="X288" s="2"/>
      <c r="Y288" s="2"/>
      <c r="Z288" s="2"/>
    </row>
    <row r="289" ht="13.5" customHeight="1">
      <c r="A289" s="2"/>
      <c r="B289" s="2"/>
      <c r="C289" s="2"/>
      <c r="D289" s="2"/>
      <c r="E289" s="2"/>
      <c r="F289" s="2"/>
      <c r="G289" s="2"/>
      <c r="H289" s="2"/>
      <c r="I289" s="2"/>
      <c r="J289" s="2"/>
      <c r="K289" s="181"/>
      <c r="L289" s="2"/>
      <c r="M289" s="2"/>
      <c r="N289" s="2"/>
      <c r="O289" s="2"/>
      <c r="P289" s="2"/>
      <c r="Q289" s="157"/>
      <c r="R289" s="157"/>
      <c r="S289" s="2"/>
      <c r="T289" s="158"/>
      <c r="U289" s="2"/>
      <c r="V289" s="2"/>
      <c r="W289" s="2"/>
      <c r="X289" s="2"/>
      <c r="Y289" s="2"/>
      <c r="Z289" s="2"/>
    </row>
    <row r="290" ht="13.5" customHeight="1">
      <c r="A290" s="2"/>
      <c r="B290" s="2"/>
      <c r="C290" s="2"/>
      <c r="D290" s="2"/>
      <c r="E290" s="2"/>
      <c r="F290" s="2"/>
      <c r="G290" s="2"/>
      <c r="H290" s="2"/>
      <c r="I290" s="2"/>
      <c r="J290" s="2"/>
      <c r="K290" s="181"/>
      <c r="L290" s="2"/>
      <c r="M290" s="2"/>
      <c r="N290" s="2"/>
      <c r="O290" s="2"/>
      <c r="P290" s="2"/>
      <c r="Q290" s="157"/>
      <c r="R290" s="157"/>
      <c r="S290" s="2"/>
      <c r="T290" s="158"/>
      <c r="U290" s="2"/>
      <c r="V290" s="2"/>
      <c r="W290" s="2"/>
      <c r="X290" s="2"/>
      <c r="Y290" s="2"/>
      <c r="Z290" s="2"/>
    </row>
    <row r="291" ht="13.5" customHeight="1">
      <c r="A291" s="2"/>
      <c r="B291" s="2"/>
      <c r="C291" s="2"/>
      <c r="D291" s="2"/>
      <c r="E291" s="2"/>
      <c r="F291" s="2"/>
      <c r="G291" s="2"/>
      <c r="H291" s="2"/>
      <c r="I291" s="2"/>
      <c r="J291" s="2"/>
      <c r="K291" s="181"/>
      <c r="L291" s="2"/>
      <c r="M291" s="2"/>
      <c r="N291" s="2"/>
      <c r="O291" s="2"/>
      <c r="P291" s="2"/>
      <c r="Q291" s="157"/>
      <c r="R291" s="157"/>
      <c r="S291" s="2"/>
      <c r="T291" s="158"/>
      <c r="U291" s="2"/>
      <c r="V291" s="2"/>
      <c r="W291" s="2"/>
      <c r="X291" s="2"/>
      <c r="Y291" s="2"/>
      <c r="Z291" s="2"/>
    </row>
    <row r="292" ht="13.5" customHeight="1">
      <c r="A292" s="2"/>
      <c r="B292" s="2"/>
      <c r="C292" s="2"/>
      <c r="D292" s="2"/>
      <c r="E292" s="2"/>
      <c r="F292" s="2"/>
      <c r="G292" s="2"/>
      <c r="H292" s="2"/>
      <c r="I292" s="2"/>
      <c r="J292" s="2"/>
      <c r="K292" s="181"/>
      <c r="L292" s="2"/>
      <c r="M292" s="2"/>
      <c r="N292" s="2"/>
      <c r="O292" s="2"/>
      <c r="P292" s="2"/>
      <c r="Q292" s="157"/>
      <c r="R292" s="157"/>
      <c r="S292" s="2"/>
      <c r="T292" s="158"/>
      <c r="U292" s="2"/>
      <c r="V292" s="2"/>
      <c r="W292" s="2"/>
      <c r="X292" s="2"/>
      <c r="Y292" s="2"/>
      <c r="Z292" s="2"/>
    </row>
    <row r="293" ht="13.5" customHeight="1">
      <c r="A293" s="2"/>
      <c r="B293" s="2"/>
      <c r="C293" s="2"/>
      <c r="D293" s="2"/>
      <c r="E293" s="2"/>
      <c r="F293" s="2"/>
      <c r="G293" s="2"/>
      <c r="H293" s="2"/>
      <c r="I293" s="2"/>
      <c r="J293" s="2"/>
      <c r="K293" s="181"/>
      <c r="L293" s="2"/>
      <c r="M293" s="2"/>
      <c r="N293" s="2"/>
      <c r="O293" s="2"/>
      <c r="P293" s="2"/>
      <c r="Q293" s="157"/>
      <c r="R293" s="157"/>
      <c r="S293" s="2"/>
      <c r="T293" s="158"/>
      <c r="U293" s="2"/>
      <c r="V293" s="2"/>
      <c r="W293" s="2"/>
      <c r="X293" s="2"/>
      <c r="Y293" s="2"/>
      <c r="Z293" s="2"/>
    </row>
    <row r="294" ht="13.5" customHeight="1">
      <c r="A294" s="2"/>
      <c r="B294" s="2"/>
      <c r="C294" s="2"/>
      <c r="D294" s="2"/>
      <c r="E294" s="2"/>
      <c r="F294" s="2"/>
      <c r="G294" s="2"/>
      <c r="H294" s="2"/>
      <c r="I294" s="2"/>
      <c r="J294" s="2"/>
      <c r="K294" s="181"/>
      <c r="L294" s="2"/>
      <c r="M294" s="2"/>
      <c r="N294" s="2"/>
      <c r="O294" s="2"/>
      <c r="P294" s="2"/>
      <c r="Q294" s="157"/>
      <c r="R294" s="157"/>
      <c r="S294" s="2"/>
      <c r="T294" s="158"/>
      <c r="U294" s="2"/>
      <c r="V294" s="2"/>
      <c r="W294" s="2"/>
      <c r="X294" s="2"/>
      <c r="Y294" s="2"/>
      <c r="Z294" s="2"/>
    </row>
    <row r="295" ht="13.5" customHeight="1">
      <c r="A295" s="2"/>
      <c r="B295" s="2"/>
      <c r="C295" s="2"/>
      <c r="D295" s="2"/>
      <c r="E295" s="2"/>
      <c r="F295" s="2"/>
      <c r="G295" s="2"/>
      <c r="H295" s="2"/>
      <c r="I295" s="2"/>
      <c r="J295" s="2"/>
      <c r="K295" s="181"/>
      <c r="L295" s="2"/>
      <c r="M295" s="2"/>
      <c r="N295" s="2"/>
      <c r="O295" s="2"/>
      <c r="P295" s="2"/>
      <c r="Q295" s="157"/>
      <c r="R295" s="157"/>
      <c r="S295" s="2"/>
      <c r="T295" s="158"/>
      <c r="U295" s="2"/>
      <c r="V295" s="2"/>
      <c r="W295" s="2"/>
      <c r="X295" s="2"/>
      <c r="Y295" s="2"/>
      <c r="Z295" s="2"/>
    </row>
    <row r="296" ht="13.5" customHeight="1">
      <c r="A296" s="2"/>
      <c r="B296" s="2"/>
      <c r="C296" s="2"/>
      <c r="D296" s="2"/>
      <c r="E296" s="2"/>
      <c r="F296" s="2"/>
      <c r="G296" s="2"/>
      <c r="H296" s="2"/>
      <c r="I296" s="2"/>
      <c r="J296" s="2"/>
      <c r="K296" s="181"/>
      <c r="L296" s="2"/>
      <c r="M296" s="2"/>
      <c r="N296" s="2"/>
      <c r="O296" s="2"/>
      <c r="P296" s="2"/>
      <c r="Q296" s="157"/>
      <c r="R296" s="157"/>
      <c r="S296" s="2"/>
      <c r="T296" s="158"/>
      <c r="U296" s="2"/>
      <c r="V296" s="2"/>
      <c r="W296" s="2"/>
      <c r="X296" s="2"/>
      <c r="Y296" s="2"/>
      <c r="Z296" s="2"/>
    </row>
    <row r="297" ht="13.5" customHeight="1">
      <c r="A297" s="2"/>
      <c r="B297" s="2"/>
      <c r="C297" s="2"/>
      <c r="D297" s="2"/>
      <c r="E297" s="2"/>
      <c r="F297" s="2"/>
      <c r="G297" s="2"/>
      <c r="H297" s="2"/>
      <c r="I297" s="2"/>
      <c r="J297" s="2"/>
      <c r="K297" s="181"/>
      <c r="L297" s="2"/>
      <c r="M297" s="2"/>
      <c r="N297" s="2"/>
      <c r="O297" s="2"/>
      <c r="P297" s="2"/>
      <c r="Q297" s="157"/>
      <c r="R297" s="157"/>
      <c r="S297" s="2"/>
      <c r="T297" s="158"/>
      <c r="U297" s="2"/>
      <c r="V297" s="2"/>
      <c r="W297" s="2"/>
      <c r="X297" s="2"/>
      <c r="Y297" s="2"/>
      <c r="Z297" s="2"/>
    </row>
    <row r="298" ht="13.5" customHeight="1">
      <c r="A298" s="2"/>
      <c r="B298" s="2"/>
      <c r="C298" s="2"/>
      <c r="D298" s="2"/>
      <c r="E298" s="2"/>
      <c r="F298" s="2"/>
      <c r="G298" s="2"/>
      <c r="H298" s="2"/>
      <c r="I298" s="2"/>
      <c r="J298" s="2"/>
      <c r="K298" s="181"/>
      <c r="L298" s="2"/>
      <c r="M298" s="2"/>
      <c r="N298" s="2"/>
      <c r="O298" s="2"/>
      <c r="P298" s="2"/>
      <c r="Q298" s="157"/>
      <c r="R298" s="157"/>
      <c r="S298" s="2"/>
      <c r="T298" s="158"/>
      <c r="U298" s="2"/>
      <c r="V298" s="2"/>
      <c r="W298" s="2"/>
      <c r="X298" s="2"/>
      <c r="Y298" s="2"/>
      <c r="Z298" s="2"/>
    </row>
    <row r="299" ht="13.5" customHeight="1">
      <c r="A299" s="2"/>
      <c r="B299" s="2"/>
      <c r="C299" s="2"/>
      <c r="D299" s="2"/>
      <c r="E299" s="2"/>
      <c r="F299" s="2"/>
      <c r="G299" s="2"/>
      <c r="H299" s="2"/>
      <c r="I299" s="2"/>
      <c r="J299" s="2"/>
      <c r="K299" s="181"/>
      <c r="L299" s="2"/>
      <c r="M299" s="2"/>
      <c r="N299" s="2"/>
      <c r="O299" s="2"/>
      <c r="P299" s="2"/>
      <c r="Q299" s="157"/>
      <c r="R299" s="157"/>
      <c r="S299" s="2"/>
      <c r="T299" s="158"/>
      <c r="U299" s="2"/>
      <c r="V299" s="2"/>
      <c r="W299" s="2"/>
      <c r="X299" s="2"/>
      <c r="Y299" s="2"/>
      <c r="Z299" s="2"/>
    </row>
    <row r="300" ht="13.5" customHeight="1">
      <c r="A300" s="2"/>
      <c r="B300" s="2"/>
      <c r="C300" s="2"/>
      <c r="D300" s="2"/>
      <c r="E300" s="2"/>
      <c r="F300" s="2"/>
      <c r="G300" s="2"/>
      <c r="H300" s="2"/>
      <c r="I300" s="2"/>
      <c r="J300" s="2"/>
      <c r="K300" s="181"/>
      <c r="L300" s="2"/>
      <c r="M300" s="2"/>
      <c r="N300" s="2"/>
      <c r="O300" s="2"/>
      <c r="P300" s="2"/>
      <c r="Q300" s="157"/>
      <c r="R300" s="157"/>
      <c r="S300" s="2"/>
      <c r="T300" s="158"/>
      <c r="U300" s="2"/>
      <c r="V300" s="2"/>
      <c r="W300" s="2"/>
      <c r="X300" s="2"/>
      <c r="Y300" s="2"/>
      <c r="Z300" s="2"/>
    </row>
    <row r="301" ht="13.5" customHeight="1">
      <c r="A301" s="2"/>
      <c r="B301" s="2"/>
      <c r="C301" s="2"/>
      <c r="D301" s="2"/>
      <c r="E301" s="2"/>
      <c r="F301" s="2"/>
      <c r="G301" s="2"/>
      <c r="H301" s="2"/>
      <c r="I301" s="2"/>
      <c r="J301" s="2"/>
      <c r="K301" s="181"/>
      <c r="L301" s="2"/>
      <c r="M301" s="2"/>
      <c r="N301" s="2"/>
      <c r="O301" s="2"/>
      <c r="P301" s="2"/>
      <c r="Q301" s="157"/>
      <c r="R301" s="157"/>
      <c r="S301" s="2"/>
      <c r="T301" s="158"/>
      <c r="U301" s="2"/>
      <c r="V301" s="2"/>
      <c r="W301" s="2"/>
      <c r="X301" s="2"/>
      <c r="Y301" s="2"/>
      <c r="Z301" s="2"/>
    </row>
    <row r="302" ht="13.5" customHeight="1">
      <c r="A302" s="2"/>
      <c r="B302" s="2"/>
      <c r="C302" s="2"/>
      <c r="D302" s="2"/>
      <c r="E302" s="2"/>
      <c r="F302" s="2"/>
      <c r="G302" s="2"/>
      <c r="H302" s="2"/>
      <c r="I302" s="2"/>
      <c r="J302" s="2"/>
      <c r="K302" s="181"/>
      <c r="L302" s="2"/>
      <c r="M302" s="2"/>
      <c r="N302" s="2"/>
      <c r="O302" s="2"/>
      <c r="P302" s="2"/>
      <c r="Q302" s="157"/>
      <c r="R302" s="157"/>
      <c r="S302" s="2"/>
      <c r="T302" s="158"/>
      <c r="U302" s="2"/>
      <c r="V302" s="2"/>
      <c r="W302" s="2"/>
      <c r="X302" s="2"/>
      <c r="Y302" s="2"/>
      <c r="Z302" s="2"/>
    </row>
    <row r="303" ht="13.5" customHeight="1">
      <c r="A303" s="2"/>
      <c r="B303" s="2"/>
      <c r="C303" s="2"/>
      <c r="D303" s="2"/>
      <c r="E303" s="2"/>
      <c r="F303" s="2"/>
      <c r="G303" s="2"/>
      <c r="H303" s="2"/>
      <c r="I303" s="2"/>
      <c r="J303" s="2"/>
      <c r="K303" s="181"/>
      <c r="L303" s="2"/>
      <c r="M303" s="2"/>
      <c r="N303" s="2"/>
      <c r="O303" s="2"/>
      <c r="P303" s="2"/>
      <c r="Q303" s="157"/>
      <c r="R303" s="157"/>
      <c r="S303" s="2"/>
      <c r="T303" s="158"/>
      <c r="U303" s="2"/>
      <c r="V303" s="2"/>
      <c r="W303" s="2"/>
      <c r="X303" s="2"/>
      <c r="Y303" s="2"/>
      <c r="Z303" s="2"/>
    </row>
    <row r="304" ht="13.5" customHeight="1">
      <c r="A304" s="2"/>
      <c r="B304" s="2"/>
      <c r="C304" s="2"/>
      <c r="D304" s="2"/>
      <c r="E304" s="2"/>
      <c r="F304" s="2"/>
      <c r="G304" s="2"/>
      <c r="H304" s="2"/>
      <c r="I304" s="2"/>
      <c r="J304" s="2"/>
      <c r="K304" s="181"/>
      <c r="L304" s="2"/>
      <c r="M304" s="2"/>
      <c r="N304" s="2"/>
      <c r="O304" s="2"/>
      <c r="P304" s="2"/>
      <c r="Q304" s="157"/>
      <c r="R304" s="157"/>
      <c r="S304" s="2"/>
      <c r="T304" s="158"/>
      <c r="U304" s="2"/>
      <c r="V304" s="2"/>
      <c r="W304" s="2"/>
      <c r="X304" s="2"/>
      <c r="Y304" s="2"/>
      <c r="Z304" s="2"/>
    </row>
    <row r="305" ht="13.5" customHeight="1">
      <c r="A305" s="2"/>
      <c r="B305" s="2"/>
      <c r="C305" s="2"/>
      <c r="D305" s="2"/>
      <c r="E305" s="2"/>
      <c r="F305" s="2"/>
      <c r="G305" s="2"/>
      <c r="H305" s="2"/>
      <c r="I305" s="2"/>
      <c r="J305" s="2"/>
      <c r="K305" s="181"/>
      <c r="L305" s="2"/>
      <c r="M305" s="2"/>
      <c r="N305" s="2"/>
      <c r="O305" s="2"/>
      <c r="P305" s="2"/>
      <c r="Q305" s="157"/>
      <c r="R305" s="157"/>
      <c r="S305" s="2"/>
      <c r="T305" s="158"/>
      <c r="U305" s="2"/>
      <c r="V305" s="2"/>
      <c r="W305" s="2"/>
      <c r="X305" s="2"/>
      <c r="Y305" s="2"/>
      <c r="Z305" s="2"/>
    </row>
    <row r="306" ht="13.5" customHeight="1">
      <c r="A306" s="2"/>
      <c r="B306" s="2"/>
      <c r="C306" s="2"/>
      <c r="D306" s="2"/>
      <c r="E306" s="2"/>
      <c r="F306" s="2"/>
      <c r="G306" s="2"/>
      <c r="H306" s="2"/>
      <c r="I306" s="2"/>
      <c r="J306" s="2"/>
      <c r="K306" s="181"/>
      <c r="L306" s="2"/>
      <c r="M306" s="2"/>
      <c r="N306" s="2"/>
      <c r="O306" s="2"/>
      <c r="P306" s="2"/>
      <c r="Q306" s="157"/>
      <c r="R306" s="157"/>
      <c r="S306" s="2"/>
      <c r="T306" s="158"/>
      <c r="U306" s="2"/>
      <c r="V306" s="2"/>
      <c r="W306" s="2"/>
      <c r="X306" s="2"/>
      <c r="Y306" s="2"/>
      <c r="Z306" s="2"/>
    </row>
    <row r="307" ht="13.5" customHeight="1">
      <c r="A307" s="2"/>
      <c r="B307" s="2"/>
      <c r="C307" s="2"/>
      <c r="D307" s="2"/>
      <c r="E307" s="2"/>
      <c r="F307" s="2"/>
      <c r="G307" s="2"/>
      <c r="H307" s="2"/>
      <c r="I307" s="2"/>
      <c r="J307" s="2"/>
      <c r="K307" s="181"/>
      <c r="L307" s="2"/>
      <c r="M307" s="2"/>
      <c r="N307" s="2"/>
      <c r="O307" s="2"/>
      <c r="P307" s="2"/>
      <c r="Q307" s="157"/>
      <c r="R307" s="157"/>
      <c r="S307" s="2"/>
      <c r="T307" s="158"/>
      <c r="U307" s="2"/>
      <c r="V307" s="2"/>
      <c r="W307" s="2"/>
      <c r="X307" s="2"/>
      <c r="Y307" s="2"/>
      <c r="Z307" s="2"/>
    </row>
    <row r="308" ht="13.5" customHeight="1">
      <c r="A308" s="2"/>
      <c r="B308" s="2"/>
      <c r="C308" s="2"/>
      <c r="D308" s="2"/>
      <c r="E308" s="2"/>
      <c r="F308" s="2"/>
      <c r="G308" s="2"/>
      <c r="H308" s="2"/>
      <c r="I308" s="2"/>
      <c r="J308" s="2"/>
      <c r="K308" s="181"/>
      <c r="L308" s="2"/>
      <c r="M308" s="2"/>
      <c r="N308" s="2"/>
      <c r="O308" s="2"/>
      <c r="P308" s="2"/>
      <c r="Q308" s="157"/>
      <c r="R308" s="157"/>
      <c r="S308" s="2"/>
      <c r="T308" s="158"/>
      <c r="U308" s="2"/>
      <c r="V308" s="2"/>
      <c r="W308" s="2"/>
      <c r="X308" s="2"/>
      <c r="Y308" s="2"/>
      <c r="Z308" s="2"/>
    </row>
    <row r="309" ht="13.5" customHeight="1">
      <c r="A309" s="2"/>
      <c r="B309" s="2"/>
      <c r="C309" s="2"/>
      <c r="D309" s="2"/>
      <c r="E309" s="2"/>
      <c r="F309" s="2"/>
      <c r="G309" s="2"/>
      <c r="H309" s="2"/>
      <c r="I309" s="2"/>
      <c r="J309" s="2"/>
      <c r="K309" s="181"/>
      <c r="L309" s="2"/>
      <c r="M309" s="2"/>
      <c r="N309" s="2"/>
      <c r="O309" s="2"/>
      <c r="P309" s="2"/>
      <c r="Q309" s="157"/>
      <c r="R309" s="157"/>
      <c r="S309" s="2"/>
      <c r="T309" s="158"/>
      <c r="U309" s="2"/>
      <c r="V309" s="2"/>
      <c r="W309" s="2"/>
      <c r="X309" s="2"/>
      <c r="Y309" s="2"/>
      <c r="Z309" s="2"/>
    </row>
    <row r="310" ht="13.5" customHeight="1">
      <c r="A310" s="2"/>
      <c r="B310" s="2"/>
      <c r="C310" s="2"/>
      <c r="D310" s="2"/>
      <c r="E310" s="2"/>
      <c r="F310" s="2"/>
      <c r="G310" s="2"/>
      <c r="H310" s="2"/>
      <c r="I310" s="2"/>
      <c r="J310" s="2"/>
      <c r="K310" s="181"/>
      <c r="L310" s="2"/>
      <c r="M310" s="2"/>
      <c r="N310" s="2"/>
      <c r="O310" s="2"/>
      <c r="P310" s="2"/>
      <c r="Q310" s="157"/>
      <c r="R310" s="157"/>
      <c r="S310" s="2"/>
      <c r="T310" s="158"/>
      <c r="U310" s="2"/>
      <c r="V310" s="2"/>
      <c r="W310" s="2"/>
      <c r="X310" s="2"/>
      <c r="Y310" s="2"/>
      <c r="Z310" s="2"/>
    </row>
    <row r="311" ht="13.5" customHeight="1">
      <c r="A311" s="2"/>
      <c r="B311" s="2"/>
      <c r="C311" s="2"/>
      <c r="D311" s="2"/>
      <c r="E311" s="2"/>
      <c r="F311" s="2"/>
      <c r="G311" s="2"/>
      <c r="H311" s="2"/>
      <c r="I311" s="2"/>
      <c r="J311" s="2"/>
      <c r="K311" s="181"/>
      <c r="L311" s="2"/>
      <c r="M311" s="2"/>
      <c r="N311" s="2"/>
      <c r="O311" s="2"/>
      <c r="P311" s="2"/>
      <c r="Q311" s="157"/>
      <c r="R311" s="157"/>
      <c r="S311" s="2"/>
      <c r="T311" s="158"/>
      <c r="U311" s="2"/>
      <c r="V311" s="2"/>
      <c r="W311" s="2"/>
      <c r="X311" s="2"/>
      <c r="Y311" s="2"/>
      <c r="Z311" s="2"/>
    </row>
    <row r="312" ht="13.5" customHeight="1">
      <c r="A312" s="2"/>
      <c r="B312" s="2"/>
      <c r="C312" s="2"/>
      <c r="D312" s="2"/>
      <c r="E312" s="2"/>
      <c r="F312" s="2"/>
      <c r="G312" s="2"/>
      <c r="H312" s="2"/>
      <c r="I312" s="2"/>
      <c r="J312" s="2"/>
      <c r="K312" s="181"/>
      <c r="L312" s="2"/>
      <c r="M312" s="2"/>
      <c r="N312" s="2"/>
      <c r="O312" s="2"/>
      <c r="P312" s="2"/>
      <c r="Q312" s="157"/>
      <c r="R312" s="157"/>
      <c r="S312" s="2"/>
      <c r="T312" s="158"/>
      <c r="U312" s="2"/>
      <c r="V312" s="2"/>
      <c r="W312" s="2"/>
      <c r="X312" s="2"/>
      <c r="Y312" s="2"/>
      <c r="Z312" s="2"/>
    </row>
    <row r="313" ht="13.5" customHeight="1">
      <c r="A313" s="2"/>
      <c r="B313" s="2"/>
      <c r="C313" s="2"/>
      <c r="D313" s="2"/>
      <c r="E313" s="2"/>
      <c r="F313" s="2"/>
      <c r="G313" s="2"/>
      <c r="H313" s="2"/>
      <c r="I313" s="2"/>
      <c r="J313" s="2"/>
      <c r="K313" s="181"/>
      <c r="L313" s="2"/>
      <c r="M313" s="2"/>
      <c r="N313" s="2"/>
      <c r="O313" s="2"/>
      <c r="P313" s="2"/>
      <c r="Q313" s="157"/>
      <c r="R313" s="157"/>
      <c r="S313" s="2"/>
      <c r="T313" s="158"/>
      <c r="U313" s="2"/>
      <c r="V313" s="2"/>
      <c r="W313" s="2"/>
      <c r="X313" s="2"/>
      <c r="Y313" s="2"/>
      <c r="Z313" s="2"/>
    </row>
    <row r="314" ht="13.5" customHeight="1">
      <c r="A314" s="2"/>
      <c r="B314" s="2"/>
      <c r="C314" s="2"/>
      <c r="D314" s="2"/>
      <c r="E314" s="2"/>
      <c r="F314" s="2"/>
      <c r="G314" s="2"/>
      <c r="H314" s="2"/>
      <c r="I314" s="2"/>
      <c r="J314" s="2"/>
      <c r="K314" s="181"/>
      <c r="L314" s="2"/>
      <c r="M314" s="2"/>
      <c r="N314" s="2"/>
      <c r="O314" s="2"/>
      <c r="P314" s="2"/>
      <c r="Q314" s="157"/>
      <c r="R314" s="157"/>
      <c r="S314" s="2"/>
      <c r="T314" s="158"/>
      <c r="U314" s="2"/>
      <c r="V314" s="2"/>
      <c r="W314" s="2"/>
      <c r="X314" s="2"/>
      <c r="Y314" s="2"/>
      <c r="Z314" s="2"/>
    </row>
    <row r="315" ht="13.5" customHeight="1">
      <c r="A315" s="2"/>
      <c r="B315" s="2"/>
      <c r="C315" s="2"/>
      <c r="D315" s="2"/>
      <c r="E315" s="2"/>
      <c r="F315" s="2"/>
      <c r="G315" s="2"/>
      <c r="H315" s="2"/>
      <c r="I315" s="2"/>
      <c r="J315" s="2"/>
      <c r="K315" s="181"/>
      <c r="L315" s="2"/>
      <c r="M315" s="2"/>
      <c r="N315" s="2"/>
      <c r="O315" s="2"/>
      <c r="P315" s="2"/>
      <c r="Q315" s="157"/>
      <c r="R315" s="157"/>
      <c r="S315" s="2"/>
      <c r="T315" s="158"/>
      <c r="U315" s="2"/>
      <c r="V315" s="2"/>
      <c r="W315" s="2"/>
      <c r="X315" s="2"/>
      <c r="Y315" s="2"/>
      <c r="Z315" s="2"/>
    </row>
    <row r="316" ht="13.5" customHeight="1">
      <c r="A316" s="2"/>
      <c r="B316" s="2"/>
      <c r="C316" s="2"/>
      <c r="D316" s="2"/>
      <c r="E316" s="2"/>
      <c r="F316" s="2"/>
      <c r="G316" s="2"/>
      <c r="H316" s="2"/>
      <c r="I316" s="2"/>
      <c r="J316" s="2"/>
      <c r="K316" s="181"/>
      <c r="L316" s="2"/>
      <c r="M316" s="2"/>
      <c r="N316" s="2"/>
      <c r="O316" s="2"/>
      <c r="P316" s="2"/>
      <c r="Q316" s="157"/>
      <c r="R316" s="157"/>
      <c r="S316" s="2"/>
      <c r="T316" s="158"/>
      <c r="U316" s="2"/>
      <c r="V316" s="2"/>
      <c r="W316" s="2"/>
      <c r="X316" s="2"/>
      <c r="Y316" s="2"/>
      <c r="Z316" s="2"/>
    </row>
    <row r="317" ht="13.5" customHeight="1">
      <c r="A317" s="2"/>
      <c r="B317" s="2"/>
      <c r="C317" s="2"/>
      <c r="D317" s="2"/>
      <c r="E317" s="2"/>
      <c r="F317" s="2"/>
      <c r="G317" s="2"/>
      <c r="H317" s="2"/>
      <c r="I317" s="2"/>
      <c r="J317" s="2"/>
      <c r="K317" s="181"/>
      <c r="L317" s="2"/>
      <c r="M317" s="2"/>
      <c r="N317" s="2"/>
      <c r="O317" s="2"/>
      <c r="P317" s="2"/>
      <c r="Q317" s="157"/>
      <c r="R317" s="157"/>
      <c r="S317" s="2"/>
      <c r="T317" s="158"/>
      <c r="U317" s="2"/>
      <c r="V317" s="2"/>
      <c r="W317" s="2"/>
      <c r="X317" s="2"/>
      <c r="Y317" s="2"/>
      <c r="Z317" s="2"/>
    </row>
    <row r="318" ht="13.5" customHeight="1">
      <c r="A318" s="2"/>
      <c r="B318" s="2"/>
      <c r="C318" s="2"/>
      <c r="D318" s="2"/>
      <c r="E318" s="2"/>
      <c r="F318" s="2"/>
      <c r="G318" s="2"/>
      <c r="H318" s="2"/>
      <c r="I318" s="2"/>
      <c r="J318" s="2"/>
      <c r="K318" s="181"/>
      <c r="L318" s="2"/>
      <c r="M318" s="2"/>
      <c r="N318" s="2"/>
      <c r="O318" s="2"/>
      <c r="P318" s="2"/>
      <c r="Q318" s="157"/>
      <c r="R318" s="157"/>
      <c r="S318" s="2"/>
      <c r="T318" s="158"/>
      <c r="U318" s="2"/>
      <c r="V318" s="2"/>
      <c r="W318" s="2"/>
      <c r="X318" s="2"/>
      <c r="Y318" s="2"/>
      <c r="Z318" s="2"/>
    </row>
    <row r="319" ht="13.5" customHeight="1">
      <c r="A319" s="2"/>
      <c r="B319" s="2"/>
      <c r="C319" s="2"/>
      <c r="D319" s="2"/>
      <c r="E319" s="2"/>
      <c r="F319" s="2"/>
      <c r="G319" s="2"/>
      <c r="H319" s="2"/>
      <c r="I319" s="2"/>
      <c r="J319" s="2"/>
      <c r="K319" s="181"/>
      <c r="L319" s="2"/>
      <c r="M319" s="2"/>
      <c r="N319" s="2"/>
      <c r="O319" s="2"/>
      <c r="P319" s="2"/>
      <c r="Q319" s="157"/>
      <c r="R319" s="157"/>
      <c r="S319" s="2"/>
      <c r="T319" s="158"/>
      <c r="U319" s="2"/>
      <c r="V319" s="2"/>
      <c r="W319" s="2"/>
      <c r="X319" s="2"/>
      <c r="Y319" s="2"/>
      <c r="Z319" s="2"/>
    </row>
    <row r="320" ht="13.5" customHeight="1">
      <c r="A320" s="2"/>
      <c r="B320" s="2"/>
      <c r="C320" s="2"/>
      <c r="D320" s="2"/>
      <c r="E320" s="2"/>
      <c r="F320" s="2"/>
      <c r="G320" s="2"/>
      <c r="H320" s="2"/>
      <c r="I320" s="2"/>
      <c r="J320" s="2"/>
      <c r="K320" s="181"/>
      <c r="L320" s="2"/>
      <c r="M320" s="2"/>
      <c r="N320" s="2"/>
      <c r="O320" s="2"/>
      <c r="P320" s="2"/>
      <c r="Q320" s="157"/>
      <c r="R320" s="157"/>
      <c r="S320" s="2"/>
      <c r="T320" s="158"/>
      <c r="U320" s="2"/>
      <c r="V320" s="2"/>
      <c r="W320" s="2"/>
      <c r="X320" s="2"/>
      <c r="Y320" s="2"/>
      <c r="Z320" s="2"/>
    </row>
    <row r="321" ht="13.5" customHeight="1">
      <c r="A321" s="2"/>
      <c r="B321" s="2"/>
      <c r="C321" s="2"/>
      <c r="D321" s="2"/>
      <c r="E321" s="2"/>
      <c r="F321" s="2"/>
      <c r="G321" s="2"/>
      <c r="H321" s="2"/>
      <c r="I321" s="2"/>
      <c r="J321" s="2"/>
      <c r="K321" s="181"/>
      <c r="L321" s="2"/>
      <c r="M321" s="2"/>
      <c r="N321" s="2"/>
      <c r="O321" s="2"/>
      <c r="P321" s="2"/>
      <c r="Q321" s="157"/>
      <c r="R321" s="157"/>
      <c r="S321" s="2"/>
      <c r="T321" s="158"/>
      <c r="U321" s="2"/>
      <c r="V321" s="2"/>
      <c r="W321" s="2"/>
      <c r="X321" s="2"/>
      <c r="Y321" s="2"/>
      <c r="Z321" s="2"/>
    </row>
    <row r="322" ht="13.5" customHeight="1">
      <c r="A322" s="2"/>
      <c r="B322" s="2"/>
      <c r="C322" s="2"/>
      <c r="D322" s="2"/>
      <c r="E322" s="2"/>
      <c r="F322" s="2"/>
      <c r="G322" s="2"/>
      <c r="H322" s="2"/>
      <c r="I322" s="2"/>
      <c r="J322" s="2"/>
      <c r="K322" s="181"/>
      <c r="L322" s="2"/>
      <c r="M322" s="2"/>
      <c r="N322" s="2"/>
      <c r="O322" s="2"/>
      <c r="P322" s="2"/>
      <c r="Q322" s="157"/>
      <c r="R322" s="157"/>
      <c r="S322" s="2"/>
      <c r="T322" s="158"/>
      <c r="U322" s="2"/>
      <c r="V322" s="2"/>
      <c r="W322" s="2"/>
      <c r="X322" s="2"/>
      <c r="Y322" s="2"/>
      <c r="Z322" s="2"/>
    </row>
    <row r="323" ht="13.5" customHeight="1">
      <c r="A323" s="2"/>
      <c r="B323" s="2"/>
      <c r="C323" s="2"/>
      <c r="D323" s="2"/>
      <c r="E323" s="2"/>
      <c r="F323" s="2"/>
      <c r="G323" s="2"/>
      <c r="H323" s="2"/>
      <c r="I323" s="2"/>
      <c r="J323" s="2"/>
      <c r="K323" s="181"/>
      <c r="L323" s="2"/>
      <c r="M323" s="2"/>
      <c r="N323" s="2"/>
      <c r="O323" s="2"/>
      <c r="P323" s="2"/>
      <c r="Q323" s="157"/>
      <c r="R323" s="157"/>
      <c r="S323" s="2"/>
      <c r="T323" s="158"/>
      <c r="U323" s="2"/>
      <c r="V323" s="2"/>
      <c r="W323" s="2"/>
      <c r="X323" s="2"/>
      <c r="Y323" s="2"/>
      <c r="Z323" s="2"/>
    </row>
    <row r="324" ht="13.5" customHeight="1">
      <c r="A324" s="2"/>
      <c r="B324" s="2"/>
      <c r="C324" s="2"/>
      <c r="D324" s="2"/>
      <c r="E324" s="2"/>
      <c r="F324" s="2"/>
      <c r="G324" s="2"/>
      <c r="H324" s="2"/>
      <c r="I324" s="2"/>
      <c r="J324" s="2"/>
      <c r="K324" s="181"/>
      <c r="L324" s="2"/>
      <c r="M324" s="2"/>
      <c r="N324" s="2"/>
      <c r="O324" s="2"/>
      <c r="P324" s="2"/>
      <c r="Q324" s="157"/>
      <c r="R324" s="157"/>
      <c r="S324" s="2"/>
      <c r="T324" s="158"/>
      <c r="U324" s="2"/>
      <c r="V324" s="2"/>
      <c r="W324" s="2"/>
      <c r="X324" s="2"/>
      <c r="Y324" s="2"/>
      <c r="Z324" s="2"/>
    </row>
    <row r="325" ht="13.5" customHeight="1">
      <c r="A325" s="2"/>
      <c r="B325" s="2"/>
      <c r="C325" s="2"/>
      <c r="D325" s="2"/>
      <c r="E325" s="2"/>
      <c r="F325" s="2"/>
      <c r="G325" s="2"/>
      <c r="H325" s="2"/>
      <c r="I325" s="2"/>
      <c r="J325" s="2"/>
      <c r="K325" s="181"/>
      <c r="L325" s="2"/>
      <c r="M325" s="2"/>
      <c r="N325" s="2"/>
      <c r="O325" s="2"/>
      <c r="P325" s="2"/>
      <c r="Q325" s="157"/>
      <c r="R325" s="157"/>
      <c r="S325" s="2"/>
      <c r="T325" s="158"/>
      <c r="U325" s="2"/>
      <c r="V325" s="2"/>
      <c r="W325" s="2"/>
      <c r="X325" s="2"/>
      <c r="Y325" s="2"/>
      <c r="Z325" s="2"/>
    </row>
    <row r="326" ht="13.5" customHeight="1">
      <c r="A326" s="2"/>
      <c r="B326" s="2"/>
      <c r="C326" s="2"/>
      <c r="D326" s="2"/>
      <c r="E326" s="2"/>
      <c r="F326" s="2"/>
      <c r="G326" s="2"/>
      <c r="H326" s="2"/>
      <c r="I326" s="2"/>
      <c r="J326" s="2"/>
      <c r="K326" s="181"/>
      <c r="L326" s="2"/>
      <c r="M326" s="2"/>
      <c r="N326" s="2"/>
      <c r="O326" s="2"/>
      <c r="P326" s="2"/>
      <c r="Q326" s="157"/>
      <c r="R326" s="157"/>
      <c r="S326" s="2"/>
      <c r="T326" s="158"/>
      <c r="U326" s="2"/>
      <c r="V326" s="2"/>
      <c r="W326" s="2"/>
      <c r="X326" s="2"/>
      <c r="Y326" s="2"/>
      <c r="Z326" s="2"/>
    </row>
    <row r="327" ht="13.5" customHeight="1">
      <c r="A327" s="2"/>
      <c r="B327" s="2"/>
      <c r="C327" s="2"/>
      <c r="D327" s="2"/>
      <c r="E327" s="2"/>
      <c r="F327" s="2"/>
      <c r="G327" s="2"/>
      <c r="H327" s="2"/>
      <c r="I327" s="2"/>
      <c r="J327" s="2"/>
      <c r="K327" s="181"/>
      <c r="L327" s="2"/>
      <c r="M327" s="2"/>
      <c r="N327" s="2"/>
      <c r="O327" s="2"/>
      <c r="P327" s="2"/>
      <c r="Q327" s="157"/>
      <c r="R327" s="157"/>
      <c r="S327" s="2"/>
      <c r="T327" s="158"/>
      <c r="U327" s="2"/>
      <c r="V327" s="2"/>
      <c r="W327" s="2"/>
      <c r="X327" s="2"/>
      <c r="Y327" s="2"/>
      <c r="Z327" s="2"/>
    </row>
    <row r="328" ht="13.5" customHeight="1">
      <c r="A328" s="2"/>
      <c r="B328" s="2"/>
      <c r="C328" s="2"/>
      <c r="D328" s="2"/>
      <c r="E328" s="2"/>
      <c r="F328" s="2"/>
      <c r="G328" s="2"/>
      <c r="H328" s="2"/>
      <c r="I328" s="2"/>
      <c r="J328" s="2"/>
      <c r="K328" s="181"/>
      <c r="L328" s="2"/>
      <c r="M328" s="2"/>
      <c r="N328" s="2"/>
      <c r="O328" s="2"/>
      <c r="P328" s="2"/>
      <c r="Q328" s="157"/>
      <c r="R328" s="157"/>
      <c r="S328" s="2"/>
      <c r="T328" s="158"/>
      <c r="U328" s="2"/>
      <c r="V328" s="2"/>
      <c r="W328" s="2"/>
      <c r="X328" s="2"/>
      <c r="Y328" s="2"/>
      <c r="Z328" s="2"/>
    </row>
    <row r="329" ht="13.5" customHeight="1">
      <c r="A329" s="2"/>
      <c r="B329" s="2"/>
      <c r="C329" s="2"/>
      <c r="D329" s="2"/>
      <c r="E329" s="2"/>
      <c r="F329" s="2"/>
      <c r="G329" s="2"/>
      <c r="H329" s="2"/>
      <c r="I329" s="2"/>
      <c r="J329" s="2"/>
      <c r="K329" s="181"/>
      <c r="L329" s="2"/>
      <c r="M329" s="2"/>
      <c r="N329" s="2"/>
      <c r="O329" s="2"/>
      <c r="P329" s="2"/>
      <c r="Q329" s="157"/>
      <c r="R329" s="157"/>
      <c r="S329" s="2"/>
      <c r="T329" s="158"/>
      <c r="U329" s="2"/>
      <c r="V329" s="2"/>
      <c r="W329" s="2"/>
      <c r="X329" s="2"/>
      <c r="Y329" s="2"/>
      <c r="Z329" s="2"/>
    </row>
    <row r="330" ht="13.5" customHeight="1">
      <c r="A330" s="2"/>
      <c r="B330" s="2"/>
      <c r="C330" s="2"/>
      <c r="D330" s="2"/>
      <c r="E330" s="2"/>
      <c r="F330" s="2"/>
      <c r="G330" s="2"/>
      <c r="H330" s="2"/>
      <c r="I330" s="2"/>
      <c r="J330" s="2"/>
      <c r="K330" s="181"/>
      <c r="L330" s="2"/>
      <c r="M330" s="2"/>
      <c r="N330" s="2"/>
      <c r="O330" s="2"/>
      <c r="P330" s="2"/>
      <c r="Q330" s="157"/>
      <c r="R330" s="157"/>
      <c r="S330" s="2"/>
      <c r="T330" s="158"/>
      <c r="U330" s="2"/>
      <c r="V330" s="2"/>
      <c r="W330" s="2"/>
      <c r="X330" s="2"/>
      <c r="Y330" s="2"/>
      <c r="Z330" s="2"/>
    </row>
    <row r="331" ht="13.5" customHeight="1">
      <c r="A331" s="2"/>
      <c r="B331" s="2"/>
      <c r="C331" s="2"/>
      <c r="D331" s="2"/>
      <c r="E331" s="2"/>
      <c r="F331" s="2"/>
      <c r="G331" s="2"/>
      <c r="H331" s="2"/>
      <c r="I331" s="2"/>
      <c r="J331" s="2"/>
      <c r="K331" s="181"/>
      <c r="L331" s="2"/>
      <c r="M331" s="2"/>
      <c r="N331" s="2"/>
      <c r="O331" s="2"/>
      <c r="P331" s="2"/>
      <c r="Q331" s="157"/>
      <c r="R331" s="157"/>
      <c r="S331" s="2"/>
      <c r="T331" s="158"/>
      <c r="U331" s="2"/>
      <c r="V331" s="2"/>
      <c r="W331" s="2"/>
      <c r="X331" s="2"/>
      <c r="Y331" s="2"/>
      <c r="Z331" s="2"/>
    </row>
    <row r="332" ht="13.5" customHeight="1">
      <c r="A332" s="2"/>
      <c r="B332" s="2"/>
      <c r="C332" s="2"/>
      <c r="D332" s="2"/>
      <c r="E332" s="2"/>
      <c r="F332" s="2"/>
      <c r="G332" s="2"/>
      <c r="H332" s="2"/>
      <c r="I332" s="2"/>
      <c r="J332" s="2"/>
      <c r="K332" s="181"/>
      <c r="L332" s="2"/>
      <c r="M332" s="2"/>
      <c r="N332" s="2"/>
      <c r="O332" s="2"/>
      <c r="P332" s="2"/>
      <c r="Q332" s="157"/>
      <c r="R332" s="157"/>
      <c r="S332" s="2"/>
      <c r="T332" s="158"/>
      <c r="U332" s="2"/>
      <c r="V332" s="2"/>
      <c r="W332" s="2"/>
      <c r="X332" s="2"/>
      <c r="Y332" s="2"/>
      <c r="Z332" s="2"/>
    </row>
    <row r="333" ht="13.5" customHeight="1">
      <c r="A333" s="2"/>
      <c r="B333" s="2"/>
      <c r="C333" s="2"/>
      <c r="D333" s="2"/>
      <c r="E333" s="2"/>
      <c r="F333" s="2"/>
      <c r="G333" s="2"/>
      <c r="H333" s="2"/>
      <c r="I333" s="2"/>
      <c r="J333" s="2"/>
      <c r="K333" s="181"/>
      <c r="L333" s="2"/>
      <c r="M333" s="2"/>
      <c r="N333" s="2"/>
      <c r="O333" s="2"/>
      <c r="P333" s="2"/>
      <c r="Q333" s="157"/>
      <c r="R333" s="157"/>
      <c r="S333" s="2"/>
      <c r="T333" s="158"/>
      <c r="U333" s="2"/>
      <c r="V333" s="2"/>
      <c r="W333" s="2"/>
      <c r="X333" s="2"/>
      <c r="Y333" s="2"/>
      <c r="Z333" s="2"/>
    </row>
    <row r="334" ht="13.5" customHeight="1">
      <c r="A334" s="2"/>
      <c r="B334" s="2"/>
      <c r="C334" s="2"/>
      <c r="D334" s="2"/>
      <c r="E334" s="2"/>
      <c r="F334" s="2"/>
      <c r="G334" s="2"/>
      <c r="H334" s="2"/>
      <c r="I334" s="2"/>
      <c r="J334" s="2"/>
      <c r="K334" s="181"/>
      <c r="L334" s="2"/>
      <c r="M334" s="2"/>
      <c r="N334" s="2"/>
      <c r="O334" s="2"/>
      <c r="P334" s="2"/>
      <c r="Q334" s="157"/>
      <c r="R334" s="157"/>
      <c r="S334" s="2"/>
      <c r="T334" s="158"/>
      <c r="U334" s="2"/>
      <c r="V334" s="2"/>
      <c r="W334" s="2"/>
      <c r="X334" s="2"/>
      <c r="Y334" s="2"/>
      <c r="Z334" s="2"/>
    </row>
    <row r="335" ht="13.5" customHeight="1">
      <c r="A335" s="2"/>
      <c r="B335" s="2"/>
      <c r="C335" s="2"/>
      <c r="D335" s="2"/>
      <c r="E335" s="2"/>
      <c r="F335" s="2"/>
      <c r="G335" s="2"/>
      <c r="H335" s="2"/>
      <c r="I335" s="2"/>
      <c r="J335" s="2"/>
      <c r="K335" s="181"/>
      <c r="L335" s="2"/>
      <c r="M335" s="2"/>
      <c r="N335" s="2"/>
      <c r="O335" s="2"/>
      <c r="P335" s="2"/>
      <c r="Q335" s="157"/>
      <c r="R335" s="157"/>
      <c r="S335" s="2"/>
      <c r="T335" s="158"/>
      <c r="U335" s="2"/>
      <c r="V335" s="2"/>
      <c r="W335" s="2"/>
      <c r="X335" s="2"/>
      <c r="Y335" s="2"/>
      <c r="Z335" s="2"/>
    </row>
    <row r="336" ht="13.5" customHeight="1">
      <c r="A336" s="2"/>
      <c r="B336" s="2"/>
      <c r="C336" s="2"/>
      <c r="D336" s="2"/>
      <c r="E336" s="2"/>
      <c r="F336" s="2"/>
      <c r="G336" s="2"/>
      <c r="H336" s="2"/>
      <c r="I336" s="2"/>
      <c r="J336" s="2"/>
      <c r="K336" s="181"/>
      <c r="L336" s="2"/>
      <c r="M336" s="2"/>
      <c r="N336" s="2"/>
      <c r="O336" s="2"/>
      <c r="P336" s="2"/>
      <c r="Q336" s="157"/>
      <c r="R336" s="157"/>
      <c r="S336" s="2"/>
      <c r="T336" s="158"/>
      <c r="U336" s="2"/>
      <c r="V336" s="2"/>
      <c r="W336" s="2"/>
      <c r="X336" s="2"/>
      <c r="Y336" s="2"/>
      <c r="Z336" s="2"/>
    </row>
    <row r="337" ht="13.5" customHeight="1">
      <c r="A337" s="2"/>
      <c r="B337" s="2"/>
      <c r="C337" s="2"/>
      <c r="D337" s="2"/>
      <c r="E337" s="2"/>
      <c r="F337" s="2"/>
      <c r="G337" s="2"/>
      <c r="H337" s="2"/>
      <c r="I337" s="2"/>
      <c r="J337" s="2"/>
      <c r="K337" s="181"/>
      <c r="L337" s="2"/>
      <c r="M337" s="2"/>
      <c r="N337" s="2"/>
      <c r="O337" s="2"/>
      <c r="P337" s="2"/>
      <c r="Q337" s="157"/>
      <c r="R337" s="157"/>
      <c r="S337" s="2"/>
      <c r="T337" s="158"/>
      <c r="U337" s="2"/>
      <c r="V337" s="2"/>
      <c r="W337" s="2"/>
      <c r="X337" s="2"/>
      <c r="Y337" s="2"/>
      <c r="Z337" s="2"/>
    </row>
    <row r="338" ht="13.5" customHeight="1">
      <c r="A338" s="2"/>
      <c r="B338" s="2"/>
      <c r="C338" s="2"/>
      <c r="D338" s="2"/>
      <c r="E338" s="2"/>
      <c r="F338" s="2"/>
      <c r="G338" s="2"/>
      <c r="H338" s="2"/>
      <c r="I338" s="2"/>
      <c r="J338" s="2"/>
      <c r="K338" s="181"/>
      <c r="L338" s="2"/>
      <c r="M338" s="2"/>
      <c r="N338" s="2"/>
      <c r="O338" s="2"/>
      <c r="P338" s="2"/>
      <c r="Q338" s="157"/>
      <c r="R338" s="157"/>
      <c r="S338" s="2"/>
      <c r="T338" s="158"/>
      <c r="U338" s="2"/>
      <c r="V338" s="2"/>
      <c r="W338" s="2"/>
      <c r="X338" s="2"/>
      <c r="Y338" s="2"/>
      <c r="Z338" s="2"/>
    </row>
    <row r="339" ht="13.5" customHeight="1">
      <c r="A339" s="2"/>
      <c r="B339" s="2"/>
      <c r="C339" s="2"/>
      <c r="D339" s="2"/>
      <c r="E339" s="2"/>
      <c r="F339" s="2"/>
      <c r="G339" s="2"/>
      <c r="H339" s="2"/>
      <c r="I339" s="2"/>
      <c r="J339" s="2"/>
      <c r="K339" s="181"/>
      <c r="L339" s="2"/>
      <c r="M339" s="2"/>
      <c r="N339" s="2"/>
      <c r="O339" s="2"/>
      <c r="P339" s="2"/>
      <c r="Q339" s="157"/>
      <c r="R339" s="157"/>
      <c r="S339" s="2"/>
      <c r="T339" s="158"/>
      <c r="U339" s="2"/>
      <c r="V339" s="2"/>
      <c r="W339" s="2"/>
      <c r="X339" s="2"/>
      <c r="Y339" s="2"/>
      <c r="Z339" s="2"/>
    </row>
    <row r="340" ht="13.5" customHeight="1">
      <c r="A340" s="2"/>
      <c r="B340" s="2"/>
      <c r="C340" s="2"/>
      <c r="D340" s="2"/>
      <c r="E340" s="2"/>
      <c r="F340" s="2"/>
      <c r="G340" s="2"/>
      <c r="H340" s="2"/>
      <c r="I340" s="2"/>
      <c r="J340" s="2"/>
      <c r="K340" s="181"/>
      <c r="L340" s="2"/>
      <c r="M340" s="2"/>
      <c r="N340" s="2"/>
      <c r="O340" s="2"/>
      <c r="P340" s="2"/>
      <c r="Q340" s="157"/>
      <c r="R340" s="157"/>
      <c r="S340" s="2"/>
      <c r="T340" s="158"/>
      <c r="U340" s="2"/>
      <c r="V340" s="2"/>
      <c r="W340" s="2"/>
      <c r="X340" s="2"/>
      <c r="Y340" s="2"/>
      <c r="Z340" s="2"/>
    </row>
    <row r="341" ht="13.5" customHeight="1">
      <c r="A341" s="2"/>
      <c r="B341" s="2"/>
      <c r="C341" s="2"/>
      <c r="D341" s="2"/>
      <c r="E341" s="2"/>
      <c r="F341" s="2"/>
      <c r="G341" s="2"/>
      <c r="H341" s="2"/>
      <c r="I341" s="2"/>
      <c r="J341" s="2"/>
      <c r="K341" s="181"/>
      <c r="L341" s="2"/>
      <c r="M341" s="2"/>
      <c r="N341" s="2"/>
      <c r="O341" s="2"/>
      <c r="P341" s="2"/>
      <c r="Q341" s="157"/>
      <c r="R341" s="157"/>
      <c r="S341" s="2"/>
      <c r="T341" s="158"/>
      <c r="U341" s="2"/>
      <c r="V341" s="2"/>
      <c r="W341" s="2"/>
      <c r="X341" s="2"/>
      <c r="Y341" s="2"/>
      <c r="Z341" s="2"/>
    </row>
    <row r="342" ht="13.5" customHeight="1">
      <c r="A342" s="2"/>
      <c r="B342" s="2"/>
      <c r="C342" s="2"/>
      <c r="D342" s="2"/>
      <c r="E342" s="2"/>
      <c r="F342" s="2"/>
      <c r="G342" s="2"/>
      <c r="H342" s="2"/>
      <c r="I342" s="2"/>
      <c r="J342" s="2"/>
      <c r="K342" s="181"/>
      <c r="L342" s="2"/>
      <c r="M342" s="2"/>
      <c r="N342" s="2"/>
      <c r="O342" s="2"/>
      <c r="P342" s="2"/>
      <c r="Q342" s="157"/>
      <c r="R342" s="157"/>
      <c r="S342" s="2"/>
      <c r="T342" s="158"/>
      <c r="U342" s="2"/>
      <c r="V342" s="2"/>
      <c r="W342" s="2"/>
      <c r="X342" s="2"/>
      <c r="Y342" s="2"/>
      <c r="Z342" s="2"/>
    </row>
    <row r="343" ht="13.5" customHeight="1">
      <c r="A343" s="2"/>
      <c r="B343" s="2"/>
      <c r="C343" s="2"/>
      <c r="D343" s="2"/>
      <c r="E343" s="2"/>
      <c r="F343" s="2"/>
      <c r="G343" s="2"/>
      <c r="H343" s="2"/>
      <c r="I343" s="2"/>
      <c r="J343" s="2"/>
      <c r="K343" s="181"/>
      <c r="L343" s="2"/>
      <c r="M343" s="2"/>
      <c r="N343" s="2"/>
      <c r="O343" s="2"/>
      <c r="P343" s="2"/>
      <c r="Q343" s="157"/>
      <c r="R343" s="157"/>
      <c r="S343" s="2"/>
      <c r="T343" s="158"/>
      <c r="U343" s="2"/>
      <c r="V343" s="2"/>
      <c r="W343" s="2"/>
      <c r="X343" s="2"/>
      <c r="Y343" s="2"/>
      <c r="Z343" s="2"/>
    </row>
    <row r="344" ht="13.5" customHeight="1">
      <c r="A344" s="2"/>
      <c r="B344" s="2"/>
      <c r="C344" s="2"/>
      <c r="D344" s="2"/>
      <c r="E344" s="2"/>
      <c r="F344" s="2"/>
      <c r="G344" s="2"/>
      <c r="H344" s="2"/>
      <c r="I344" s="2"/>
      <c r="J344" s="2"/>
      <c r="K344" s="181"/>
      <c r="L344" s="2"/>
      <c r="M344" s="2"/>
      <c r="N344" s="2"/>
      <c r="O344" s="2"/>
      <c r="P344" s="2"/>
      <c r="Q344" s="157"/>
      <c r="R344" s="157"/>
      <c r="S344" s="2"/>
      <c r="T344" s="158"/>
      <c r="U344" s="2"/>
      <c r="V344" s="2"/>
      <c r="W344" s="2"/>
      <c r="X344" s="2"/>
      <c r="Y344" s="2"/>
      <c r="Z344" s="2"/>
    </row>
    <row r="345" ht="13.5" customHeight="1">
      <c r="A345" s="2"/>
      <c r="B345" s="2"/>
      <c r="C345" s="2"/>
      <c r="D345" s="2"/>
      <c r="E345" s="2"/>
      <c r="F345" s="2"/>
      <c r="G345" s="2"/>
      <c r="H345" s="2"/>
      <c r="I345" s="2"/>
      <c r="J345" s="2"/>
      <c r="K345" s="181"/>
      <c r="L345" s="2"/>
      <c r="M345" s="2"/>
      <c r="N345" s="2"/>
      <c r="O345" s="2"/>
      <c r="P345" s="2"/>
      <c r="Q345" s="157"/>
      <c r="R345" s="157"/>
      <c r="S345" s="2"/>
      <c r="T345" s="158"/>
      <c r="U345" s="2"/>
      <c r="V345" s="2"/>
      <c r="W345" s="2"/>
      <c r="X345" s="2"/>
      <c r="Y345" s="2"/>
      <c r="Z345" s="2"/>
    </row>
    <row r="346" ht="13.5" customHeight="1">
      <c r="A346" s="2"/>
      <c r="B346" s="2"/>
      <c r="C346" s="2"/>
      <c r="D346" s="2"/>
      <c r="E346" s="2"/>
      <c r="F346" s="2"/>
      <c r="G346" s="2"/>
      <c r="H346" s="2"/>
      <c r="I346" s="2"/>
      <c r="J346" s="2"/>
      <c r="K346" s="181"/>
      <c r="L346" s="2"/>
      <c r="M346" s="2"/>
      <c r="N346" s="2"/>
      <c r="O346" s="2"/>
      <c r="P346" s="2"/>
      <c r="Q346" s="157"/>
      <c r="R346" s="157"/>
      <c r="S346" s="2"/>
      <c r="T346" s="158"/>
      <c r="U346" s="2"/>
      <c r="V346" s="2"/>
      <c r="W346" s="2"/>
      <c r="X346" s="2"/>
      <c r="Y346" s="2"/>
      <c r="Z346" s="2"/>
    </row>
    <row r="347" ht="13.5" customHeight="1">
      <c r="A347" s="2"/>
      <c r="B347" s="2"/>
      <c r="C347" s="2"/>
      <c r="D347" s="2"/>
      <c r="E347" s="2"/>
      <c r="F347" s="2"/>
      <c r="G347" s="2"/>
      <c r="H347" s="2"/>
      <c r="I347" s="2"/>
      <c r="J347" s="2"/>
      <c r="K347" s="181"/>
      <c r="L347" s="2"/>
      <c r="M347" s="2"/>
      <c r="N347" s="2"/>
      <c r="O347" s="2"/>
      <c r="P347" s="2"/>
      <c r="Q347" s="157"/>
      <c r="R347" s="157"/>
      <c r="S347" s="2"/>
      <c r="T347" s="158"/>
      <c r="U347" s="2"/>
      <c r="V347" s="2"/>
      <c r="W347" s="2"/>
      <c r="X347" s="2"/>
      <c r="Y347" s="2"/>
      <c r="Z347" s="2"/>
    </row>
    <row r="348" ht="13.5" customHeight="1">
      <c r="A348" s="2"/>
      <c r="B348" s="2"/>
      <c r="C348" s="2"/>
      <c r="D348" s="2"/>
      <c r="E348" s="2"/>
      <c r="F348" s="2"/>
      <c r="G348" s="2"/>
      <c r="H348" s="2"/>
      <c r="I348" s="2"/>
      <c r="J348" s="2"/>
      <c r="K348" s="181"/>
      <c r="L348" s="2"/>
      <c r="M348" s="2"/>
      <c r="N348" s="2"/>
      <c r="O348" s="2"/>
      <c r="P348" s="2"/>
      <c r="Q348" s="157"/>
      <c r="R348" s="157"/>
      <c r="S348" s="2"/>
      <c r="T348" s="158"/>
      <c r="U348" s="2"/>
      <c r="V348" s="2"/>
      <c r="W348" s="2"/>
      <c r="X348" s="2"/>
      <c r="Y348" s="2"/>
      <c r="Z348" s="2"/>
    </row>
    <row r="349" ht="13.5" customHeight="1">
      <c r="A349" s="2"/>
      <c r="B349" s="2"/>
      <c r="C349" s="2"/>
      <c r="D349" s="2"/>
      <c r="E349" s="2"/>
      <c r="F349" s="2"/>
      <c r="G349" s="2"/>
      <c r="H349" s="2"/>
      <c r="I349" s="2"/>
      <c r="J349" s="2"/>
      <c r="K349" s="181"/>
      <c r="L349" s="2"/>
      <c r="M349" s="2"/>
      <c r="N349" s="2"/>
      <c r="O349" s="2"/>
      <c r="P349" s="2"/>
      <c r="Q349" s="157"/>
      <c r="R349" s="157"/>
      <c r="S349" s="2"/>
      <c r="T349" s="158"/>
      <c r="U349" s="2"/>
      <c r="V349" s="2"/>
      <c r="W349" s="2"/>
      <c r="X349" s="2"/>
      <c r="Y349" s="2"/>
      <c r="Z349" s="2"/>
    </row>
    <row r="350" ht="13.5" customHeight="1">
      <c r="A350" s="2"/>
      <c r="B350" s="2"/>
      <c r="C350" s="2"/>
      <c r="D350" s="2"/>
      <c r="E350" s="2"/>
      <c r="F350" s="2"/>
      <c r="G350" s="2"/>
      <c r="H350" s="2"/>
      <c r="I350" s="2"/>
      <c r="J350" s="2"/>
      <c r="K350" s="181"/>
      <c r="L350" s="2"/>
      <c r="M350" s="2"/>
      <c r="N350" s="2"/>
      <c r="O350" s="2"/>
      <c r="P350" s="2"/>
      <c r="Q350" s="157"/>
      <c r="R350" s="157"/>
      <c r="S350" s="2"/>
      <c r="T350" s="158"/>
      <c r="U350" s="2"/>
      <c r="V350" s="2"/>
      <c r="W350" s="2"/>
      <c r="X350" s="2"/>
      <c r="Y350" s="2"/>
      <c r="Z350" s="2"/>
    </row>
    <row r="351" ht="13.5" customHeight="1">
      <c r="A351" s="2"/>
      <c r="B351" s="2"/>
      <c r="C351" s="2"/>
      <c r="D351" s="2"/>
      <c r="E351" s="2"/>
      <c r="F351" s="2"/>
      <c r="G351" s="2"/>
      <c r="H351" s="2"/>
      <c r="I351" s="2"/>
      <c r="J351" s="2"/>
      <c r="K351" s="181"/>
      <c r="L351" s="2"/>
      <c r="M351" s="2"/>
      <c r="N351" s="2"/>
      <c r="O351" s="2"/>
      <c r="P351" s="2"/>
      <c r="Q351" s="157"/>
      <c r="R351" s="157"/>
      <c r="S351" s="2"/>
      <c r="T351" s="158"/>
      <c r="U351" s="2"/>
      <c r="V351" s="2"/>
      <c r="W351" s="2"/>
      <c r="X351" s="2"/>
      <c r="Y351" s="2"/>
      <c r="Z351" s="2"/>
    </row>
    <row r="352" ht="13.5" customHeight="1">
      <c r="A352" s="2"/>
      <c r="B352" s="2"/>
      <c r="C352" s="2"/>
      <c r="D352" s="2"/>
      <c r="E352" s="2"/>
      <c r="F352" s="2"/>
      <c r="G352" s="2"/>
      <c r="H352" s="2"/>
      <c r="I352" s="2"/>
      <c r="J352" s="2"/>
      <c r="K352" s="181"/>
      <c r="L352" s="2"/>
      <c r="M352" s="2"/>
      <c r="N352" s="2"/>
      <c r="O352" s="2"/>
      <c r="P352" s="2"/>
      <c r="Q352" s="157"/>
      <c r="R352" s="157"/>
      <c r="S352" s="2"/>
      <c r="T352" s="158"/>
      <c r="U352" s="2"/>
      <c r="V352" s="2"/>
      <c r="W352" s="2"/>
      <c r="X352" s="2"/>
      <c r="Y352" s="2"/>
      <c r="Z352" s="2"/>
    </row>
    <row r="353" ht="13.5" customHeight="1">
      <c r="A353" s="2"/>
      <c r="B353" s="2"/>
      <c r="C353" s="2"/>
      <c r="D353" s="2"/>
      <c r="E353" s="2"/>
      <c r="F353" s="2"/>
      <c r="G353" s="2"/>
      <c r="H353" s="2"/>
      <c r="I353" s="2"/>
      <c r="J353" s="2"/>
      <c r="K353" s="181"/>
      <c r="L353" s="2"/>
      <c r="M353" s="2"/>
      <c r="N353" s="2"/>
      <c r="O353" s="2"/>
      <c r="P353" s="2"/>
      <c r="Q353" s="157"/>
      <c r="R353" s="157"/>
      <c r="S353" s="2"/>
      <c r="T353" s="158"/>
      <c r="U353" s="2"/>
      <c r="V353" s="2"/>
      <c r="W353" s="2"/>
      <c r="X353" s="2"/>
      <c r="Y353" s="2"/>
      <c r="Z353" s="2"/>
    </row>
    <row r="354" ht="13.5" customHeight="1">
      <c r="A354" s="2"/>
      <c r="B354" s="2"/>
      <c r="C354" s="2"/>
      <c r="D354" s="2"/>
      <c r="E354" s="2"/>
      <c r="F354" s="2"/>
      <c r="G354" s="2"/>
      <c r="H354" s="2"/>
      <c r="I354" s="2"/>
      <c r="J354" s="2"/>
      <c r="K354" s="181"/>
      <c r="L354" s="2"/>
      <c r="M354" s="2"/>
      <c r="N354" s="2"/>
      <c r="O354" s="2"/>
      <c r="P354" s="2"/>
      <c r="Q354" s="157"/>
      <c r="R354" s="157"/>
      <c r="S354" s="2"/>
      <c r="T354" s="158"/>
      <c r="U354" s="2"/>
      <c r="V354" s="2"/>
      <c r="W354" s="2"/>
      <c r="X354" s="2"/>
      <c r="Y354" s="2"/>
      <c r="Z354" s="2"/>
    </row>
    <row r="355" ht="13.5" customHeight="1">
      <c r="A355" s="2"/>
      <c r="B355" s="2"/>
      <c r="C355" s="2"/>
      <c r="D355" s="2"/>
      <c r="E355" s="2"/>
      <c r="F355" s="2"/>
      <c r="G355" s="2"/>
      <c r="H355" s="2"/>
      <c r="I355" s="2"/>
      <c r="J355" s="2"/>
      <c r="K355" s="181"/>
      <c r="L355" s="2"/>
      <c r="M355" s="2"/>
      <c r="N355" s="2"/>
      <c r="O355" s="2"/>
      <c r="P355" s="2"/>
      <c r="Q355" s="157"/>
      <c r="R355" s="157"/>
      <c r="S355" s="2"/>
      <c r="T355" s="158"/>
      <c r="U355" s="2"/>
      <c r="V355" s="2"/>
      <c r="W355" s="2"/>
      <c r="X355" s="2"/>
      <c r="Y355" s="2"/>
      <c r="Z355" s="2"/>
    </row>
    <row r="356" ht="13.5" customHeight="1">
      <c r="A356" s="2"/>
      <c r="B356" s="2"/>
      <c r="C356" s="2"/>
      <c r="D356" s="2"/>
      <c r="E356" s="2"/>
      <c r="F356" s="2"/>
      <c r="G356" s="2"/>
      <c r="H356" s="2"/>
      <c r="I356" s="2"/>
      <c r="J356" s="2"/>
      <c r="K356" s="181"/>
      <c r="L356" s="2"/>
      <c r="M356" s="2"/>
      <c r="N356" s="2"/>
      <c r="O356" s="2"/>
      <c r="P356" s="2"/>
      <c r="Q356" s="157"/>
      <c r="R356" s="157"/>
      <c r="S356" s="2"/>
      <c r="T356" s="158"/>
      <c r="U356" s="2"/>
      <c r="V356" s="2"/>
      <c r="W356" s="2"/>
      <c r="X356" s="2"/>
      <c r="Y356" s="2"/>
      <c r="Z356" s="2"/>
    </row>
    <row r="357" ht="13.5" customHeight="1">
      <c r="A357" s="2"/>
      <c r="B357" s="2"/>
      <c r="C357" s="2"/>
      <c r="D357" s="2"/>
      <c r="E357" s="2"/>
      <c r="F357" s="2"/>
      <c r="G357" s="2"/>
      <c r="H357" s="2"/>
      <c r="I357" s="2"/>
      <c r="J357" s="2"/>
      <c r="K357" s="181"/>
      <c r="L357" s="2"/>
      <c r="M357" s="2"/>
      <c r="N357" s="2"/>
      <c r="O357" s="2"/>
      <c r="P357" s="2"/>
      <c r="Q357" s="157"/>
      <c r="R357" s="157"/>
      <c r="S357" s="2"/>
      <c r="T357" s="158"/>
      <c r="U357" s="2"/>
      <c r="V357" s="2"/>
      <c r="W357" s="2"/>
      <c r="X357" s="2"/>
      <c r="Y357" s="2"/>
      <c r="Z357" s="2"/>
    </row>
    <row r="358" ht="13.5" customHeight="1">
      <c r="A358" s="2"/>
      <c r="B358" s="2"/>
      <c r="C358" s="2"/>
      <c r="D358" s="2"/>
      <c r="E358" s="2"/>
      <c r="F358" s="2"/>
      <c r="G358" s="2"/>
      <c r="H358" s="2"/>
      <c r="I358" s="2"/>
      <c r="J358" s="2"/>
      <c r="K358" s="181"/>
      <c r="L358" s="2"/>
      <c r="M358" s="2"/>
      <c r="N358" s="2"/>
      <c r="O358" s="2"/>
      <c r="P358" s="2"/>
      <c r="Q358" s="157"/>
      <c r="R358" s="157"/>
      <c r="S358" s="2"/>
      <c r="T358" s="158"/>
      <c r="U358" s="2"/>
      <c r="V358" s="2"/>
      <c r="W358" s="2"/>
      <c r="X358" s="2"/>
      <c r="Y358" s="2"/>
      <c r="Z358" s="2"/>
    </row>
    <row r="359" ht="13.5" customHeight="1">
      <c r="A359" s="2"/>
      <c r="B359" s="2"/>
      <c r="C359" s="2"/>
      <c r="D359" s="2"/>
      <c r="E359" s="2"/>
      <c r="F359" s="2"/>
      <c r="G359" s="2"/>
      <c r="H359" s="2"/>
      <c r="I359" s="2"/>
      <c r="J359" s="2"/>
      <c r="K359" s="181"/>
      <c r="L359" s="2"/>
      <c r="M359" s="2"/>
      <c r="N359" s="2"/>
      <c r="O359" s="2"/>
      <c r="P359" s="2"/>
      <c r="Q359" s="157"/>
      <c r="R359" s="157"/>
      <c r="S359" s="2"/>
      <c r="T359" s="158"/>
      <c r="U359" s="2"/>
      <c r="V359" s="2"/>
      <c r="W359" s="2"/>
      <c r="X359" s="2"/>
      <c r="Y359" s="2"/>
      <c r="Z359" s="2"/>
    </row>
    <row r="360" ht="13.5" customHeight="1">
      <c r="A360" s="2"/>
      <c r="B360" s="2"/>
      <c r="C360" s="2"/>
      <c r="D360" s="2"/>
      <c r="E360" s="2"/>
      <c r="F360" s="2"/>
      <c r="G360" s="2"/>
      <c r="H360" s="2"/>
      <c r="I360" s="2"/>
      <c r="J360" s="2"/>
      <c r="K360" s="181"/>
      <c r="L360" s="2"/>
      <c r="M360" s="2"/>
      <c r="N360" s="2"/>
      <c r="O360" s="2"/>
      <c r="P360" s="2"/>
      <c r="Q360" s="157"/>
      <c r="R360" s="157"/>
      <c r="S360" s="2"/>
      <c r="T360" s="158"/>
      <c r="U360" s="2"/>
      <c r="V360" s="2"/>
      <c r="W360" s="2"/>
      <c r="X360" s="2"/>
      <c r="Y360" s="2"/>
      <c r="Z360" s="2"/>
    </row>
    <row r="361" ht="13.5" customHeight="1">
      <c r="A361" s="2"/>
      <c r="B361" s="2"/>
      <c r="C361" s="2"/>
      <c r="D361" s="2"/>
      <c r="E361" s="2"/>
      <c r="F361" s="2"/>
      <c r="G361" s="2"/>
      <c r="H361" s="2"/>
      <c r="I361" s="2"/>
      <c r="J361" s="2"/>
      <c r="K361" s="181"/>
      <c r="L361" s="2"/>
      <c r="M361" s="2"/>
      <c r="N361" s="2"/>
      <c r="O361" s="2"/>
      <c r="P361" s="2"/>
      <c r="Q361" s="157"/>
      <c r="R361" s="157"/>
      <c r="S361" s="2"/>
      <c r="T361" s="158"/>
      <c r="U361" s="2"/>
      <c r="V361" s="2"/>
      <c r="W361" s="2"/>
      <c r="X361" s="2"/>
      <c r="Y361" s="2"/>
      <c r="Z361" s="2"/>
    </row>
    <row r="362" ht="13.5" customHeight="1">
      <c r="A362" s="2"/>
      <c r="B362" s="2"/>
      <c r="C362" s="2"/>
      <c r="D362" s="2"/>
      <c r="E362" s="2"/>
      <c r="F362" s="2"/>
      <c r="G362" s="2"/>
      <c r="H362" s="2"/>
      <c r="I362" s="2"/>
      <c r="J362" s="2"/>
      <c r="K362" s="181"/>
      <c r="L362" s="2"/>
      <c r="M362" s="2"/>
      <c r="N362" s="2"/>
      <c r="O362" s="2"/>
      <c r="P362" s="2"/>
      <c r="Q362" s="157"/>
      <c r="R362" s="157"/>
      <c r="S362" s="2"/>
      <c r="T362" s="158"/>
      <c r="U362" s="2"/>
      <c r="V362" s="2"/>
      <c r="W362" s="2"/>
      <c r="X362" s="2"/>
      <c r="Y362" s="2"/>
      <c r="Z362" s="2"/>
    </row>
    <row r="363" ht="13.5" customHeight="1">
      <c r="A363" s="2"/>
      <c r="B363" s="2"/>
      <c r="C363" s="2"/>
      <c r="D363" s="2"/>
      <c r="E363" s="2"/>
      <c r="F363" s="2"/>
      <c r="G363" s="2"/>
      <c r="H363" s="2"/>
      <c r="I363" s="2"/>
      <c r="J363" s="2"/>
      <c r="K363" s="181"/>
      <c r="L363" s="2"/>
      <c r="M363" s="2"/>
      <c r="N363" s="2"/>
      <c r="O363" s="2"/>
      <c r="P363" s="2"/>
      <c r="Q363" s="157"/>
      <c r="R363" s="157"/>
      <c r="S363" s="2"/>
      <c r="T363" s="158"/>
      <c r="U363" s="2"/>
      <c r="V363" s="2"/>
      <c r="W363" s="2"/>
      <c r="X363" s="2"/>
      <c r="Y363" s="2"/>
      <c r="Z363" s="2"/>
    </row>
    <row r="364" ht="13.5" customHeight="1">
      <c r="A364" s="2"/>
      <c r="B364" s="2"/>
      <c r="C364" s="2"/>
      <c r="D364" s="2"/>
      <c r="E364" s="2"/>
      <c r="F364" s="2"/>
      <c r="G364" s="2"/>
      <c r="H364" s="2"/>
      <c r="I364" s="2"/>
      <c r="J364" s="2"/>
      <c r="K364" s="181"/>
      <c r="L364" s="2"/>
      <c r="M364" s="2"/>
      <c r="N364" s="2"/>
      <c r="O364" s="2"/>
      <c r="P364" s="2"/>
      <c r="Q364" s="157"/>
      <c r="R364" s="157"/>
      <c r="S364" s="2"/>
      <c r="T364" s="158"/>
      <c r="U364" s="2"/>
      <c r="V364" s="2"/>
      <c r="W364" s="2"/>
      <c r="X364" s="2"/>
      <c r="Y364" s="2"/>
      <c r="Z364" s="2"/>
    </row>
    <row r="365" ht="13.5" customHeight="1">
      <c r="A365" s="2"/>
      <c r="B365" s="2"/>
      <c r="C365" s="2"/>
      <c r="D365" s="2"/>
      <c r="E365" s="2"/>
      <c r="F365" s="2"/>
      <c r="G365" s="2"/>
      <c r="H365" s="2"/>
      <c r="I365" s="2"/>
      <c r="J365" s="2"/>
      <c r="K365" s="181"/>
      <c r="L365" s="2"/>
      <c r="M365" s="2"/>
      <c r="N365" s="2"/>
      <c r="O365" s="2"/>
      <c r="P365" s="2"/>
      <c r="Q365" s="157"/>
      <c r="R365" s="157"/>
      <c r="S365" s="2"/>
      <c r="T365" s="158"/>
      <c r="U365" s="2"/>
      <c r="V365" s="2"/>
      <c r="W365" s="2"/>
      <c r="X365" s="2"/>
      <c r="Y365" s="2"/>
      <c r="Z365" s="2"/>
    </row>
    <row r="366" ht="13.5" customHeight="1">
      <c r="A366" s="2"/>
      <c r="B366" s="2"/>
      <c r="C366" s="2"/>
      <c r="D366" s="2"/>
      <c r="E366" s="2"/>
      <c r="F366" s="2"/>
      <c r="G366" s="2"/>
      <c r="H366" s="2"/>
      <c r="I366" s="2"/>
      <c r="J366" s="2"/>
      <c r="K366" s="181"/>
      <c r="L366" s="2"/>
      <c r="M366" s="2"/>
      <c r="N366" s="2"/>
      <c r="O366" s="2"/>
      <c r="P366" s="2"/>
      <c r="Q366" s="157"/>
      <c r="R366" s="157"/>
      <c r="S366" s="2"/>
      <c r="T366" s="158"/>
      <c r="U366" s="2"/>
      <c r="V366" s="2"/>
      <c r="W366" s="2"/>
      <c r="X366" s="2"/>
      <c r="Y366" s="2"/>
      <c r="Z366" s="2"/>
    </row>
    <row r="367" ht="13.5" customHeight="1">
      <c r="A367" s="2"/>
      <c r="B367" s="2"/>
      <c r="C367" s="2"/>
      <c r="D367" s="2"/>
      <c r="E367" s="2"/>
      <c r="F367" s="2"/>
      <c r="G367" s="2"/>
      <c r="H367" s="2"/>
      <c r="I367" s="2"/>
      <c r="J367" s="2"/>
      <c r="K367" s="181"/>
      <c r="L367" s="2"/>
      <c r="M367" s="2"/>
      <c r="N367" s="2"/>
      <c r="O367" s="2"/>
      <c r="P367" s="2"/>
      <c r="Q367" s="157"/>
      <c r="R367" s="157"/>
      <c r="S367" s="2"/>
      <c r="T367" s="158"/>
      <c r="U367" s="2"/>
      <c r="V367" s="2"/>
      <c r="W367" s="2"/>
      <c r="X367" s="2"/>
      <c r="Y367" s="2"/>
      <c r="Z367" s="2"/>
    </row>
    <row r="368" ht="13.5" customHeight="1">
      <c r="A368" s="2"/>
      <c r="B368" s="2"/>
      <c r="C368" s="2"/>
      <c r="D368" s="2"/>
      <c r="E368" s="2"/>
      <c r="F368" s="2"/>
      <c r="G368" s="2"/>
      <c r="H368" s="2"/>
      <c r="I368" s="2"/>
      <c r="J368" s="2"/>
      <c r="K368" s="181"/>
      <c r="L368" s="2"/>
      <c r="M368" s="2"/>
      <c r="N368" s="2"/>
      <c r="O368" s="2"/>
      <c r="P368" s="2"/>
      <c r="Q368" s="157"/>
      <c r="R368" s="157"/>
      <c r="S368" s="2"/>
      <c r="T368" s="158"/>
      <c r="U368" s="2"/>
      <c r="V368" s="2"/>
      <c r="W368" s="2"/>
      <c r="X368" s="2"/>
      <c r="Y368" s="2"/>
      <c r="Z368" s="2"/>
    </row>
    <row r="369" ht="13.5" customHeight="1">
      <c r="A369" s="2"/>
      <c r="B369" s="2"/>
      <c r="C369" s="2"/>
      <c r="D369" s="2"/>
      <c r="E369" s="2"/>
      <c r="F369" s="2"/>
      <c r="G369" s="2"/>
      <c r="H369" s="2"/>
      <c r="I369" s="2"/>
      <c r="J369" s="2"/>
      <c r="K369" s="181"/>
      <c r="L369" s="2"/>
      <c r="M369" s="2"/>
      <c r="N369" s="2"/>
      <c r="O369" s="2"/>
      <c r="P369" s="2"/>
      <c r="Q369" s="157"/>
      <c r="R369" s="157"/>
      <c r="S369" s="2"/>
      <c r="T369" s="158"/>
      <c r="U369" s="2"/>
      <c r="V369" s="2"/>
      <c r="W369" s="2"/>
      <c r="X369" s="2"/>
      <c r="Y369" s="2"/>
      <c r="Z369" s="2"/>
    </row>
    <row r="370" ht="13.5" customHeight="1">
      <c r="A370" s="2"/>
      <c r="B370" s="2"/>
      <c r="C370" s="2"/>
      <c r="D370" s="2"/>
      <c r="E370" s="2"/>
      <c r="F370" s="2"/>
      <c r="G370" s="2"/>
      <c r="H370" s="2"/>
      <c r="I370" s="2"/>
      <c r="J370" s="2"/>
      <c r="K370" s="181"/>
      <c r="L370" s="2"/>
      <c r="M370" s="2"/>
      <c r="N370" s="2"/>
      <c r="O370" s="2"/>
      <c r="P370" s="2"/>
      <c r="Q370" s="157"/>
      <c r="R370" s="157"/>
      <c r="S370" s="2"/>
      <c r="T370" s="158"/>
      <c r="U370" s="2"/>
      <c r="V370" s="2"/>
      <c r="W370" s="2"/>
      <c r="X370" s="2"/>
      <c r="Y370" s="2"/>
      <c r="Z370" s="2"/>
    </row>
    <row r="371" ht="13.5" customHeight="1">
      <c r="A371" s="2"/>
      <c r="B371" s="2"/>
      <c r="C371" s="2"/>
      <c r="D371" s="2"/>
      <c r="E371" s="2"/>
      <c r="F371" s="2"/>
      <c r="G371" s="2"/>
      <c r="H371" s="2"/>
      <c r="I371" s="2"/>
      <c r="J371" s="2"/>
      <c r="K371" s="181"/>
      <c r="L371" s="2"/>
      <c r="M371" s="2"/>
      <c r="N371" s="2"/>
      <c r="O371" s="2"/>
      <c r="P371" s="2"/>
      <c r="Q371" s="157"/>
      <c r="R371" s="157"/>
      <c r="S371" s="2"/>
      <c r="T371" s="158"/>
      <c r="U371" s="2"/>
      <c r="V371" s="2"/>
      <c r="W371" s="2"/>
      <c r="X371" s="2"/>
      <c r="Y371" s="2"/>
      <c r="Z371" s="2"/>
    </row>
    <row r="372" ht="13.5" customHeight="1">
      <c r="A372" s="2"/>
      <c r="B372" s="2"/>
      <c r="C372" s="2"/>
      <c r="D372" s="2"/>
      <c r="E372" s="2"/>
      <c r="F372" s="2"/>
      <c r="G372" s="2"/>
      <c r="H372" s="2"/>
      <c r="I372" s="2"/>
      <c r="J372" s="2"/>
      <c r="K372" s="181"/>
      <c r="L372" s="2"/>
      <c r="M372" s="2"/>
      <c r="N372" s="2"/>
      <c r="O372" s="2"/>
      <c r="P372" s="2"/>
      <c r="Q372" s="157"/>
      <c r="R372" s="157"/>
      <c r="S372" s="2"/>
      <c r="T372" s="158"/>
      <c r="U372" s="2"/>
      <c r="V372" s="2"/>
      <c r="W372" s="2"/>
      <c r="X372" s="2"/>
      <c r="Y372" s="2"/>
      <c r="Z372" s="2"/>
    </row>
    <row r="373" ht="13.5" customHeight="1">
      <c r="A373" s="2"/>
      <c r="B373" s="2"/>
      <c r="C373" s="2"/>
      <c r="D373" s="2"/>
      <c r="E373" s="2"/>
      <c r="F373" s="2"/>
      <c r="G373" s="2"/>
      <c r="H373" s="2"/>
      <c r="I373" s="2"/>
      <c r="J373" s="2"/>
      <c r="K373" s="181"/>
      <c r="L373" s="2"/>
      <c r="M373" s="2"/>
      <c r="N373" s="2"/>
      <c r="O373" s="2"/>
      <c r="P373" s="2"/>
      <c r="Q373" s="157"/>
      <c r="R373" s="157"/>
      <c r="S373" s="2"/>
      <c r="T373" s="158"/>
      <c r="U373" s="2"/>
      <c r="V373" s="2"/>
      <c r="W373" s="2"/>
      <c r="X373" s="2"/>
      <c r="Y373" s="2"/>
      <c r="Z373" s="2"/>
    </row>
    <row r="374" ht="13.5" customHeight="1">
      <c r="A374" s="2"/>
      <c r="B374" s="2"/>
      <c r="C374" s="2"/>
      <c r="D374" s="2"/>
      <c r="E374" s="2"/>
      <c r="F374" s="2"/>
      <c r="G374" s="2"/>
      <c r="H374" s="2"/>
      <c r="I374" s="2"/>
      <c r="J374" s="2"/>
      <c r="K374" s="181"/>
      <c r="L374" s="2"/>
      <c r="M374" s="2"/>
      <c r="N374" s="2"/>
      <c r="O374" s="2"/>
      <c r="P374" s="2"/>
      <c r="Q374" s="157"/>
      <c r="R374" s="157"/>
      <c r="S374" s="2"/>
      <c r="T374" s="158"/>
      <c r="U374" s="2"/>
      <c r="V374" s="2"/>
      <c r="W374" s="2"/>
      <c r="X374" s="2"/>
      <c r="Y374" s="2"/>
      <c r="Z374" s="2"/>
    </row>
    <row r="375" ht="13.5" customHeight="1">
      <c r="A375" s="2"/>
      <c r="B375" s="2"/>
      <c r="C375" s="2"/>
      <c r="D375" s="2"/>
      <c r="E375" s="2"/>
      <c r="F375" s="2"/>
      <c r="G375" s="2"/>
      <c r="H375" s="2"/>
      <c r="I375" s="2"/>
      <c r="J375" s="2"/>
      <c r="K375" s="181"/>
      <c r="L375" s="2"/>
      <c r="M375" s="2"/>
      <c r="N375" s="2"/>
      <c r="O375" s="2"/>
      <c r="P375" s="2"/>
      <c r="Q375" s="157"/>
      <c r="R375" s="157"/>
      <c r="S375" s="2"/>
      <c r="T375" s="158"/>
      <c r="U375" s="2"/>
      <c r="V375" s="2"/>
      <c r="W375" s="2"/>
      <c r="X375" s="2"/>
      <c r="Y375" s="2"/>
      <c r="Z375" s="2"/>
    </row>
    <row r="376" ht="13.5" customHeight="1">
      <c r="A376" s="2"/>
      <c r="B376" s="2"/>
      <c r="C376" s="2"/>
      <c r="D376" s="2"/>
      <c r="E376" s="2"/>
      <c r="F376" s="2"/>
      <c r="G376" s="2"/>
      <c r="H376" s="2"/>
      <c r="I376" s="2"/>
      <c r="J376" s="2"/>
      <c r="K376" s="181"/>
      <c r="L376" s="2"/>
      <c r="M376" s="2"/>
      <c r="N376" s="2"/>
      <c r="O376" s="2"/>
      <c r="P376" s="2"/>
      <c r="Q376" s="157"/>
      <c r="R376" s="157"/>
      <c r="S376" s="2"/>
      <c r="T376" s="158"/>
      <c r="U376" s="2"/>
      <c r="V376" s="2"/>
      <c r="W376" s="2"/>
      <c r="X376" s="2"/>
      <c r="Y376" s="2"/>
      <c r="Z376" s="2"/>
    </row>
    <row r="377" ht="13.5" customHeight="1">
      <c r="A377" s="2"/>
      <c r="B377" s="2"/>
      <c r="C377" s="2"/>
      <c r="D377" s="2"/>
      <c r="E377" s="2"/>
      <c r="F377" s="2"/>
      <c r="G377" s="2"/>
      <c r="H377" s="2"/>
      <c r="I377" s="2"/>
      <c r="J377" s="2"/>
      <c r="K377" s="181"/>
      <c r="L377" s="2"/>
      <c r="M377" s="2"/>
      <c r="N377" s="2"/>
      <c r="O377" s="2"/>
      <c r="P377" s="2"/>
      <c r="Q377" s="157"/>
      <c r="R377" s="157"/>
      <c r="S377" s="2"/>
      <c r="T377" s="158"/>
      <c r="U377" s="2"/>
      <c r="V377" s="2"/>
      <c r="W377" s="2"/>
      <c r="X377" s="2"/>
      <c r="Y377" s="2"/>
      <c r="Z377" s="2"/>
    </row>
    <row r="378" ht="13.5" customHeight="1">
      <c r="A378" s="2"/>
      <c r="B378" s="2"/>
      <c r="C378" s="2"/>
      <c r="D378" s="2"/>
      <c r="E378" s="2"/>
      <c r="F378" s="2"/>
      <c r="G378" s="2"/>
      <c r="H378" s="2"/>
      <c r="I378" s="2"/>
      <c r="J378" s="2"/>
      <c r="K378" s="181"/>
      <c r="L378" s="2"/>
      <c r="M378" s="2"/>
      <c r="N378" s="2"/>
      <c r="O378" s="2"/>
      <c r="P378" s="2"/>
      <c r="Q378" s="157"/>
      <c r="R378" s="157"/>
      <c r="S378" s="2"/>
      <c r="T378" s="158"/>
      <c r="U378" s="2"/>
      <c r="V378" s="2"/>
      <c r="W378" s="2"/>
      <c r="X378" s="2"/>
      <c r="Y378" s="2"/>
      <c r="Z378" s="2"/>
    </row>
    <row r="379" ht="13.5" customHeight="1">
      <c r="A379" s="2"/>
      <c r="B379" s="2"/>
      <c r="C379" s="2"/>
      <c r="D379" s="2"/>
      <c r="E379" s="2"/>
      <c r="F379" s="2"/>
      <c r="G379" s="2"/>
      <c r="H379" s="2"/>
      <c r="I379" s="2"/>
      <c r="J379" s="2"/>
      <c r="K379" s="181"/>
      <c r="L379" s="2"/>
      <c r="M379" s="2"/>
      <c r="N379" s="2"/>
      <c r="O379" s="2"/>
      <c r="P379" s="2"/>
      <c r="Q379" s="157"/>
      <c r="R379" s="157"/>
      <c r="S379" s="2"/>
      <c r="T379" s="158"/>
      <c r="U379" s="2"/>
      <c r="V379" s="2"/>
      <c r="W379" s="2"/>
      <c r="X379" s="2"/>
      <c r="Y379" s="2"/>
      <c r="Z379" s="2"/>
    </row>
    <row r="380" ht="13.5" customHeight="1">
      <c r="A380" s="2"/>
      <c r="B380" s="2"/>
      <c r="C380" s="2"/>
      <c r="D380" s="2"/>
      <c r="E380" s="2"/>
      <c r="F380" s="2"/>
      <c r="G380" s="2"/>
      <c r="H380" s="2"/>
      <c r="I380" s="2"/>
      <c r="J380" s="2"/>
      <c r="K380" s="181"/>
      <c r="L380" s="2"/>
      <c r="M380" s="2"/>
      <c r="N380" s="2"/>
      <c r="O380" s="2"/>
      <c r="P380" s="2"/>
      <c r="Q380" s="157"/>
      <c r="R380" s="157"/>
      <c r="S380" s="2"/>
      <c r="T380" s="158"/>
      <c r="U380" s="2"/>
      <c r="V380" s="2"/>
      <c r="W380" s="2"/>
      <c r="X380" s="2"/>
      <c r="Y380" s="2"/>
      <c r="Z380" s="2"/>
    </row>
    <row r="381" ht="13.5" customHeight="1">
      <c r="A381" s="2"/>
      <c r="B381" s="2"/>
      <c r="C381" s="2"/>
      <c r="D381" s="2"/>
      <c r="E381" s="2"/>
      <c r="F381" s="2"/>
      <c r="G381" s="2"/>
      <c r="H381" s="2"/>
      <c r="I381" s="2"/>
      <c r="J381" s="2"/>
      <c r="K381" s="181"/>
      <c r="L381" s="2"/>
      <c r="M381" s="2"/>
      <c r="N381" s="2"/>
      <c r="O381" s="2"/>
      <c r="P381" s="2"/>
      <c r="Q381" s="157"/>
      <c r="R381" s="157"/>
      <c r="S381" s="2"/>
      <c r="T381" s="158"/>
      <c r="U381" s="2"/>
      <c r="V381" s="2"/>
      <c r="W381" s="2"/>
      <c r="X381" s="2"/>
      <c r="Y381" s="2"/>
      <c r="Z381" s="2"/>
    </row>
    <row r="382" ht="13.5" customHeight="1">
      <c r="A382" s="2"/>
      <c r="B382" s="2"/>
      <c r="C382" s="2"/>
      <c r="D382" s="2"/>
      <c r="E382" s="2"/>
      <c r="F382" s="2"/>
      <c r="G382" s="2"/>
      <c r="H382" s="2"/>
      <c r="I382" s="2"/>
      <c r="J382" s="2"/>
      <c r="K382" s="181"/>
      <c r="L382" s="2"/>
      <c r="M382" s="2"/>
      <c r="N382" s="2"/>
      <c r="O382" s="2"/>
      <c r="P382" s="2"/>
      <c r="Q382" s="157"/>
      <c r="R382" s="157"/>
      <c r="S382" s="2"/>
      <c r="T382" s="158"/>
      <c r="U382" s="2"/>
      <c r="V382" s="2"/>
      <c r="W382" s="2"/>
      <c r="X382" s="2"/>
      <c r="Y382" s="2"/>
      <c r="Z382" s="2"/>
    </row>
    <row r="383" ht="13.5" customHeight="1">
      <c r="A383" s="2"/>
      <c r="B383" s="2"/>
      <c r="C383" s="2"/>
      <c r="D383" s="2"/>
      <c r="E383" s="2"/>
      <c r="F383" s="2"/>
      <c r="G383" s="2"/>
      <c r="H383" s="2"/>
      <c r="I383" s="2"/>
      <c r="J383" s="2"/>
      <c r="K383" s="181"/>
      <c r="L383" s="2"/>
      <c r="M383" s="2"/>
      <c r="N383" s="2"/>
      <c r="O383" s="2"/>
      <c r="P383" s="2"/>
      <c r="Q383" s="157"/>
      <c r="R383" s="157"/>
      <c r="S383" s="2"/>
      <c r="T383" s="158"/>
      <c r="U383" s="2"/>
      <c r="V383" s="2"/>
      <c r="W383" s="2"/>
      <c r="X383" s="2"/>
      <c r="Y383" s="2"/>
      <c r="Z383" s="2"/>
    </row>
    <row r="384" ht="13.5" customHeight="1">
      <c r="A384" s="2"/>
      <c r="B384" s="2"/>
      <c r="C384" s="2"/>
      <c r="D384" s="2"/>
      <c r="E384" s="2"/>
      <c r="F384" s="2"/>
      <c r="G384" s="2"/>
      <c r="H384" s="2"/>
      <c r="I384" s="2"/>
      <c r="J384" s="2"/>
      <c r="K384" s="181"/>
      <c r="L384" s="2"/>
      <c r="M384" s="2"/>
      <c r="N384" s="2"/>
      <c r="O384" s="2"/>
      <c r="P384" s="2"/>
      <c r="Q384" s="157"/>
      <c r="R384" s="157"/>
      <c r="S384" s="2"/>
      <c r="T384" s="158"/>
      <c r="U384" s="2"/>
      <c r="V384" s="2"/>
      <c r="W384" s="2"/>
      <c r="X384" s="2"/>
      <c r="Y384" s="2"/>
      <c r="Z384" s="2"/>
    </row>
    <row r="385" ht="13.5" customHeight="1">
      <c r="A385" s="2"/>
      <c r="B385" s="2"/>
      <c r="C385" s="2"/>
      <c r="D385" s="2"/>
      <c r="E385" s="2"/>
      <c r="F385" s="2"/>
      <c r="G385" s="2"/>
      <c r="H385" s="2"/>
      <c r="I385" s="2"/>
      <c r="J385" s="2"/>
      <c r="K385" s="181"/>
      <c r="L385" s="2"/>
      <c r="M385" s="2"/>
      <c r="N385" s="2"/>
      <c r="O385" s="2"/>
      <c r="P385" s="2"/>
      <c r="Q385" s="157"/>
      <c r="R385" s="157"/>
      <c r="S385" s="2"/>
      <c r="T385" s="158"/>
      <c r="U385" s="2"/>
      <c r="V385" s="2"/>
      <c r="W385" s="2"/>
      <c r="X385" s="2"/>
      <c r="Y385" s="2"/>
      <c r="Z385" s="2"/>
    </row>
    <row r="386" ht="13.5" customHeight="1">
      <c r="A386" s="2"/>
      <c r="B386" s="2"/>
      <c r="C386" s="2"/>
      <c r="D386" s="2"/>
      <c r="E386" s="2"/>
      <c r="F386" s="2"/>
      <c r="G386" s="2"/>
      <c r="H386" s="2"/>
      <c r="I386" s="2"/>
      <c r="J386" s="2"/>
      <c r="K386" s="181"/>
      <c r="L386" s="2"/>
      <c r="M386" s="2"/>
      <c r="N386" s="2"/>
      <c r="O386" s="2"/>
      <c r="P386" s="2"/>
      <c r="Q386" s="157"/>
      <c r="R386" s="157"/>
      <c r="S386" s="2"/>
      <c r="T386" s="158"/>
      <c r="U386" s="2"/>
      <c r="V386" s="2"/>
      <c r="W386" s="2"/>
      <c r="X386" s="2"/>
      <c r="Y386" s="2"/>
      <c r="Z386" s="2"/>
    </row>
    <row r="387" ht="13.5" customHeight="1">
      <c r="A387" s="2"/>
      <c r="B387" s="2"/>
      <c r="C387" s="2"/>
      <c r="D387" s="2"/>
      <c r="E387" s="2"/>
      <c r="F387" s="2"/>
      <c r="G387" s="2"/>
      <c r="H387" s="2"/>
      <c r="I387" s="2"/>
      <c r="J387" s="2"/>
      <c r="K387" s="181"/>
      <c r="L387" s="2"/>
      <c r="M387" s="2"/>
      <c r="N387" s="2"/>
      <c r="O387" s="2"/>
      <c r="P387" s="2"/>
      <c r="Q387" s="157"/>
      <c r="R387" s="157"/>
      <c r="S387" s="2"/>
      <c r="T387" s="158"/>
      <c r="U387" s="2"/>
      <c r="V387" s="2"/>
      <c r="W387" s="2"/>
      <c r="X387" s="2"/>
      <c r="Y387" s="2"/>
      <c r="Z387" s="2"/>
    </row>
    <row r="388" ht="13.5" customHeight="1">
      <c r="A388" s="2"/>
      <c r="B388" s="2"/>
      <c r="C388" s="2"/>
      <c r="D388" s="2"/>
      <c r="E388" s="2"/>
      <c r="F388" s="2"/>
      <c r="G388" s="2"/>
      <c r="H388" s="2"/>
      <c r="I388" s="2"/>
      <c r="J388" s="2"/>
      <c r="K388" s="181"/>
      <c r="L388" s="2"/>
      <c r="M388" s="2"/>
      <c r="N388" s="2"/>
      <c r="O388" s="2"/>
      <c r="P388" s="2"/>
      <c r="Q388" s="157"/>
      <c r="R388" s="157"/>
      <c r="S388" s="2"/>
      <c r="T388" s="158"/>
      <c r="U388" s="2"/>
      <c r="V388" s="2"/>
      <c r="W388" s="2"/>
      <c r="X388" s="2"/>
      <c r="Y388" s="2"/>
      <c r="Z388" s="2"/>
    </row>
    <row r="389" ht="13.5" customHeight="1">
      <c r="A389" s="2"/>
      <c r="B389" s="2"/>
      <c r="C389" s="2"/>
      <c r="D389" s="2"/>
      <c r="E389" s="2"/>
      <c r="F389" s="2"/>
      <c r="G389" s="2"/>
      <c r="H389" s="2"/>
      <c r="I389" s="2"/>
      <c r="J389" s="2"/>
      <c r="K389" s="181"/>
      <c r="L389" s="2"/>
      <c r="M389" s="2"/>
      <c r="N389" s="2"/>
      <c r="O389" s="2"/>
      <c r="P389" s="2"/>
      <c r="Q389" s="157"/>
      <c r="R389" s="157"/>
      <c r="S389" s="2"/>
      <c r="T389" s="158"/>
      <c r="U389" s="2"/>
      <c r="V389" s="2"/>
      <c r="W389" s="2"/>
      <c r="X389" s="2"/>
      <c r="Y389" s="2"/>
      <c r="Z389" s="2"/>
    </row>
    <row r="390" ht="13.5" customHeight="1">
      <c r="A390" s="2"/>
      <c r="B390" s="2"/>
      <c r="C390" s="2"/>
      <c r="D390" s="2"/>
      <c r="E390" s="2"/>
      <c r="F390" s="2"/>
      <c r="G390" s="2"/>
      <c r="H390" s="2"/>
      <c r="I390" s="2"/>
      <c r="J390" s="2"/>
      <c r="K390" s="181"/>
      <c r="L390" s="2"/>
      <c r="M390" s="2"/>
      <c r="N390" s="2"/>
      <c r="O390" s="2"/>
      <c r="P390" s="2"/>
      <c r="Q390" s="157"/>
      <c r="R390" s="157"/>
      <c r="S390" s="2"/>
      <c r="T390" s="158"/>
      <c r="U390" s="2"/>
      <c r="V390" s="2"/>
      <c r="W390" s="2"/>
      <c r="X390" s="2"/>
      <c r="Y390" s="2"/>
      <c r="Z390" s="2"/>
    </row>
    <row r="391" ht="13.5" customHeight="1">
      <c r="A391" s="2"/>
      <c r="B391" s="2"/>
      <c r="C391" s="2"/>
      <c r="D391" s="2"/>
      <c r="E391" s="2"/>
      <c r="F391" s="2"/>
      <c r="G391" s="2"/>
      <c r="H391" s="2"/>
      <c r="I391" s="2"/>
      <c r="J391" s="2"/>
      <c r="K391" s="181"/>
      <c r="L391" s="2"/>
      <c r="M391" s="2"/>
      <c r="N391" s="2"/>
      <c r="O391" s="2"/>
      <c r="P391" s="2"/>
      <c r="Q391" s="157"/>
      <c r="R391" s="157"/>
      <c r="S391" s="2"/>
      <c r="T391" s="158"/>
      <c r="U391" s="2"/>
      <c r="V391" s="2"/>
      <c r="W391" s="2"/>
      <c r="X391" s="2"/>
      <c r="Y391" s="2"/>
      <c r="Z391" s="2"/>
    </row>
    <row r="392" ht="13.5" customHeight="1">
      <c r="A392" s="2"/>
      <c r="B392" s="2"/>
      <c r="C392" s="2"/>
      <c r="D392" s="2"/>
      <c r="E392" s="2"/>
      <c r="F392" s="2"/>
      <c r="G392" s="2"/>
      <c r="H392" s="2"/>
      <c r="I392" s="2"/>
      <c r="J392" s="2"/>
      <c r="K392" s="181"/>
      <c r="L392" s="2"/>
      <c r="M392" s="2"/>
      <c r="N392" s="2"/>
      <c r="O392" s="2"/>
      <c r="P392" s="2"/>
      <c r="Q392" s="157"/>
      <c r="R392" s="157"/>
      <c r="S392" s="2"/>
      <c r="T392" s="158"/>
      <c r="U392" s="2"/>
      <c r="V392" s="2"/>
      <c r="W392" s="2"/>
      <c r="X392" s="2"/>
      <c r="Y392" s="2"/>
      <c r="Z392" s="2"/>
    </row>
    <row r="393" ht="13.5" customHeight="1">
      <c r="A393" s="2"/>
      <c r="B393" s="2"/>
      <c r="C393" s="2"/>
      <c r="D393" s="2"/>
      <c r="E393" s="2"/>
      <c r="F393" s="2"/>
      <c r="G393" s="2"/>
      <c r="H393" s="2"/>
      <c r="I393" s="2"/>
      <c r="J393" s="2"/>
      <c r="K393" s="181"/>
      <c r="L393" s="2"/>
      <c r="M393" s="2"/>
      <c r="N393" s="2"/>
      <c r="O393" s="2"/>
      <c r="P393" s="2"/>
      <c r="Q393" s="157"/>
      <c r="R393" s="157"/>
      <c r="S393" s="2"/>
      <c r="T393" s="158"/>
      <c r="U393" s="2"/>
      <c r="V393" s="2"/>
      <c r="W393" s="2"/>
      <c r="X393" s="2"/>
      <c r="Y393" s="2"/>
      <c r="Z393" s="2"/>
    </row>
    <row r="394" ht="13.5" customHeight="1">
      <c r="A394" s="2"/>
      <c r="B394" s="2"/>
      <c r="C394" s="2"/>
      <c r="D394" s="2"/>
      <c r="E394" s="2"/>
      <c r="F394" s="2"/>
      <c r="G394" s="2"/>
      <c r="H394" s="2"/>
      <c r="I394" s="2"/>
      <c r="J394" s="2"/>
      <c r="K394" s="181"/>
      <c r="L394" s="2"/>
      <c r="M394" s="2"/>
      <c r="N394" s="2"/>
      <c r="O394" s="2"/>
      <c r="P394" s="2"/>
      <c r="Q394" s="157"/>
      <c r="R394" s="157"/>
      <c r="S394" s="2"/>
      <c r="T394" s="158"/>
      <c r="U394" s="2"/>
      <c r="V394" s="2"/>
      <c r="W394" s="2"/>
      <c r="X394" s="2"/>
      <c r="Y394" s="2"/>
      <c r="Z394" s="2"/>
    </row>
    <row r="395" ht="13.5" customHeight="1">
      <c r="A395" s="2"/>
      <c r="B395" s="2"/>
      <c r="C395" s="2"/>
      <c r="D395" s="2"/>
      <c r="E395" s="2"/>
      <c r="F395" s="2"/>
      <c r="G395" s="2"/>
      <c r="H395" s="2"/>
      <c r="I395" s="2"/>
      <c r="J395" s="2"/>
      <c r="K395" s="181"/>
      <c r="L395" s="2"/>
      <c r="M395" s="2"/>
      <c r="N395" s="2"/>
      <c r="O395" s="2"/>
      <c r="P395" s="2"/>
      <c r="Q395" s="157"/>
      <c r="R395" s="157"/>
      <c r="S395" s="2"/>
      <c r="T395" s="158"/>
      <c r="U395" s="2"/>
      <c r="V395" s="2"/>
      <c r="W395" s="2"/>
      <c r="X395" s="2"/>
      <c r="Y395" s="2"/>
      <c r="Z395" s="2"/>
    </row>
    <row r="396" ht="13.5" customHeight="1">
      <c r="A396" s="2"/>
      <c r="B396" s="2"/>
      <c r="C396" s="2"/>
      <c r="D396" s="2"/>
      <c r="E396" s="2"/>
      <c r="F396" s="2"/>
      <c r="G396" s="2"/>
      <c r="H396" s="2"/>
      <c r="I396" s="2"/>
      <c r="J396" s="2"/>
      <c r="K396" s="181"/>
      <c r="L396" s="2"/>
      <c r="M396" s="2"/>
      <c r="N396" s="2"/>
      <c r="O396" s="2"/>
      <c r="P396" s="2"/>
      <c r="Q396" s="157"/>
      <c r="R396" s="157"/>
      <c r="S396" s="2"/>
      <c r="T396" s="158"/>
      <c r="U396" s="2"/>
      <c r="V396" s="2"/>
      <c r="W396" s="2"/>
      <c r="X396" s="2"/>
      <c r="Y396" s="2"/>
      <c r="Z396" s="2"/>
    </row>
    <row r="397" ht="13.5" customHeight="1">
      <c r="A397" s="2"/>
      <c r="B397" s="2"/>
      <c r="C397" s="2"/>
      <c r="D397" s="2"/>
      <c r="E397" s="2"/>
      <c r="F397" s="2"/>
      <c r="G397" s="2"/>
      <c r="H397" s="2"/>
      <c r="I397" s="2"/>
      <c r="J397" s="2"/>
      <c r="K397" s="181"/>
      <c r="L397" s="2"/>
      <c r="M397" s="2"/>
      <c r="N397" s="2"/>
      <c r="O397" s="2"/>
      <c r="P397" s="2"/>
      <c r="Q397" s="157"/>
      <c r="R397" s="157"/>
      <c r="S397" s="2"/>
      <c r="T397" s="158"/>
      <c r="U397" s="2"/>
      <c r="V397" s="2"/>
      <c r="W397" s="2"/>
      <c r="X397" s="2"/>
      <c r="Y397" s="2"/>
      <c r="Z397" s="2"/>
    </row>
    <row r="398" ht="13.5" customHeight="1">
      <c r="A398" s="2"/>
      <c r="B398" s="2"/>
      <c r="C398" s="2"/>
      <c r="D398" s="2"/>
      <c r="E398" s="2"/>
      <c r="F398" s="2"/>
      <c r="G398" s="2"/>
      <c r="H398" s="2"/>
      <c r="I398" s="2"/>
      <c r="J398" s="2"/>
      <c r="K398" s="181"/>
      <c r="L398" s="2"/>
      <c r="M398" s="2"/>
      <c r="N398" s="2"/>
      <c r="O398" s="2"/>
      <c r="P398" s="2"/>
      <c r="Q398" s="157"/>
      <c r="R398" s="157"/>
      <c r="S398" s="2"/>
      <c r="T398" s="158"/>
      <c r="U398" s="2"/>
      <c r="V398" s="2"/>
      <c r="W398" s="2"/>
      <c r="X398" s="2"/>
      <c r="Y398" s="2"/>
      <c r="Z398" s="2"/>
    </row>
    <row r="399" ht="13.5" customHeight="1">
      <c r="A399" s="2"/>
      <c r="B399" s="2"/>
      <c r="C399" s="2"/>
      <c r="D399" s="2"/>
      <c r="E399" s="2"/>
      <c r="F399" s="2"/>
      <c r="G399" s="2"/>
      <c r="H399" s="2"/>
      <c r="I399" s="2"/>
      <c r="J399" s="2"/>
      <c r="K399" s="181"/>
      <c r="L399" s="2"/>
      <c r="M399" s="2"/>
      <c r="N399" s="2"/>
      <c r="O399" s="2"/>
      <c r="P399" s="2"/>
      <c r="Q399" s="157"/>
      <c r="R399" s="157"/>
      <c r="S399" s="2"/>
      <c r="T399" s="158"/>
      <c r="U399" s="2"/>
      <c r="V399" s="2"/>
      <c r="W399" s="2"/>
      <c r="X399" s="2"/>
      <c r="Y399" s="2"/>
      <c r="Z399" s="2"/>
    </row>
    <row r="400" ht="13.5" customHeight="1">
      <c r="A400" s="2"/>
      <c r="B400" s="2"/>
      <c r="C400" s="2"/>
      <c r="D400" s="2"/>
      <c r="E400" s="2"/>
      <c r="F400" s="2"/>
      <c r="G400" s="2"/>
      <c r="H400" s="2"/>
      <c r="I400" s="2"/>
      <c r="J400" s="2"/>
      <c r="K400" s="181"/>
      <c r="L400" s="2"/>
      <c r="M400" s="2"/>
      <c r="N400" s="2"/>
      <c r="O400" s="2"/>
      <c r="P400" s="2"/>
      <c r="Q400" s="157"/>
      <c r="R400" s="157"/>
      <c r="S400" s="2"/>
      <c r="T400" s="158"/>
      <c r="U400" s="2"/>
      <c r="V400" s="2"/>
      <c r="W400" s="2"/>
      <c r="X400" s="2"/>
      <c r="Y400" s="2"/>
      <c r="Z400" s="2"/>
    </row>
    <row r="401" ht="13.5" customHeight="1">
      <c r="A401" s="2"/>
      <c r="B401" s="2"/>
      <c r="C401" s="2"/>
      <c r="D401" s="2"/>
      <c r="E401" s="2"/>
      <c r="F401" s="2"/>
      <c r="G401" s="2"/>
      <c r="H401" s="2"/>
      <c r="I401" s="2"/>
      <c r="J401" s="2"/>
      <c r="K401" s="181"/>
      <c r="L401" s="2"/>
      <c r="M401" s="2"/>
      <c r="N401" s="2"/>
      <c r="O401" s="2"/>
      <c r="P401" s="2"/>
      <c r="Q401" s="157"/>
      <c r="R401" s="157"/>
      <c r="S401" s="2"/>
      <c r="T401" s="158"/>
      <c r="U401" s="2"/>
      <c r="V401" s="2"/>
      <c r="W401" s="2"/>
      <c r="X401" s="2"/>
      <c r="Y401" s="2"/>
      <c r="Z401" s="2"/>
    </row>
    <row r="402" ht="13.5" customHeight="1">
      <c r="A402" s="2"/>
      <c r="B402" s="2"/>
      <c r="C402" s="2"/>
      <c r="D402" s="2"/>
      <c r="E402" s="2"/>
      <c r="F402" s="2"/>
      <c r="G402" s="2"/>
      <c r="H402" s="2"/>
      <c r="I402" s="2"/>
      <c r="J402" s="2"/>
      <c r="K402" s="181"/>
      <c r="L402" s="2"/>
      <c r="M402" s="2"/>
      <c r="N402" s="2"/>
      <c r="O402" s="2"/>
      <c r="P402" s="2"/>
      <c r="Q402" s="157"/>
      <c r="R402" s="157"/>
      <c r="S402" s="2"/>
      <c r="T402" s="158"/>
      <c r="U402" s="2"/>
      <c r="V402" s="2"/>
      <c r="W402" s="2"/>
      <c r="X402" s="2"/>
      <c r="Y402" s="2"/>
      <c r="Z402" s="2"/>
    </row>
    <row r="403" ht="13.5" customHeight="1">
      <c r="A403" s="2"/>
      <c r="B403" s="2"/>
      <c r="C403" s="2"/>
      <c r="D403" s="2"/>
      <c r="E403" s="2"/>
      <c r="F403" s="2"/>
      <c r="G403" s="2"/>
      <c r="H403" s="2"/>
      <c r="I403" s="2"/>
      <c r="J403" s="2"/>
      <c r="K403" s="181"/>
      <c r="L403" s="2"/>
      <c r="M403" s="2"/>
      <c r="N403" s="2"/>
      <c r="O403" s="2"/>
      <c r="P403" s="2"/>
      <c r="Q403" s="157"/>
      <c r="R403" s="157"/>
      <c r="S403" s="2"/>
      <c r="T403" s="158"/>
      <c r="U403" s="2"/>
      <c r="V403" s="2"/>
      <c r="W403" s="2"/>
      <c r="X403" s="2"/>
      <c r="Y403" s="2"/>
      <c r="Z403" s="2"/>
    </row>
    <row r="404" ht="13.5" customHeight="1">
      <c r="A404" s="2"/>
      <c r="B404" s="2"/>
      <c r="C404" s="2"/>
      <c r="D404" s="2"/>
      <c r="E404" s="2"/>
      <c r="F404" s="2"/>
      <c r="G404" s="2"/>
      <c r="H404" s="2"/>
      <c r="I404" s="2"/>
      <c r="J404" s="2"/>
      <c r="K404" s="181"/>
      <c r="L404" s="2"/>
      <c r="M404" s="2"/>
      <c r="N404" s="2"/>
      <c r="O404" s="2"/>
      <c r="P404" s="2"/>
      <c r="Q404" s="157"/>
      <c r="R404" s="157"/>
      <c r="S404" s="2"/>
      <c r="T404" s="158"/>
      <c r="U404" s="2"/>
      <c r="V404" s="2"/>
      <c r="W404" s="2"/>
      <c r="X404" s="2"/>
      <c r="Y404" s="2"/>
      <c r="Z404" s="2"/>
    </row>
    <row r="405" ht="13.5" customHeight="1">
      <c r="A405" s="2"/>
      <c r="B405" s="2"/>
      <c r="C405" s="2"/>
      <c r="D405" s="2"/>
      <c r="E405" s="2"/>
      <c r="F405" s="2"/>
      <c r="G405" s="2"/>
      <c r="H405" s="2"/>
      <c r="I405" s="2"/>
      <c r="J405" s="2"/>
      <c r="K405" s="181"/>
      <c r="L405" s="2"/>
      <c r="M405" s="2"/>
      <c r="N405" s="2"/>
      <c r="O405" s="2"/>
      <c r="P405" s="2"/>
      <c r="Q405" s="157"/>
      <c r="R405" s="157"/>
      <c r="S405" s="2"/>
      <c r="T405" s="158"/>
      <c r="U405" s="2"/>
      <c r="V405" s="2"/>
      <c r="W405" s="2"/>
      <c r="X405" s="2"/>
      <c r="Y405" s="2"/>
      <c r="Z405" s="2"/>
    </row>
    <row r="406" ht="13.5" customHeight="1">
      <c r="A406" s="2"/>
      <c r="B406" s="2"/>
      <c r="C406" s="2"/>
      <c r="D406" s="2"/>
      <c r="E406" s="2"/>
      <c r="F406" s="2"/>
      <c r="G406" s="2"/>
      <c r="H406" s="2"/>
      <c r="I406" s="2"/>
      <c r="J406" s="2"/>
      <c r="K406" s="181"/>
      <c r="L406" s="2"/>
      <c r="M406" s="2"/>
      <c r="N406" s="2"/>
      <c r="O406" s="2"/>
      <c r="P406" s="2"/>
      <c r="Q406" s="157"/>
      <c r="R406" s="157"/>
      <c r="S406" s="2"/>
      <c r="T406" s="158"/>
      <c r="U406" s="2"/>
      <c r="V406" s="2"/>
      <c r="W406" s="2"/>
      <c r="X406" s="2"/>
      <c r="Y406" s="2"/>
      <c r="Z406" s="2"/>
    </row>
    <row r="407" ht="13.5" customHeight="1">
      <c r="A407" s="2"/>
      <c r="B407" s="2"/>
      <c r="C407" s="2"/>
      <c r="D407" s="2"/>
      <c r="E407" s="2"/>
      <c r="F407" s="2"/>
      <c r="G407" s="2"/>
      <c r="H407" s="2"/>
      <c r="I407" s="2"/>
      <c r="J407" s="2"/>
      <c r="K407" s="181"/>
      <c r="L407" s="2"/>
      <c r="M407" s="2"/>
      <c r="N407" s="2"/>
      <c r="O407" s="2"/>
      <c r="P407" s="2"/>
      <c r="Q407" s="157"/>
      <c r="R407" s="157"/>
      <c r="S407" s="2"/>
      <c r="T407" s="158"/>
      <c r="U407" s="2"/>
      <c r="V407" s="2"/>
      <c r="W407" s="2"/>
      <c r="X407" s="2"/>
      <c r="Y407" s="2"/>
      <c r="Z407" s="2"/>
    </row>
    <row r="408" ht="13.5" customHeight="1">
      <c r="A408" s="2"/>
      <c r="B408" s="2"/>
      <c r="C408" s="2"/>
      <c r="D408" s="2"/>
      <c r="E408" s="2"/>
      <c r="F408" s="2"/>
      <c r="G408" s="2"/>
      <c r="H408" s="2"/>
      <c r="I408" s="2"/>
      <c r="J408" s="2"/>
      <c r="K408" s="181"/>
      <c r="L408" s="2"/>
      <c r="M408" s="2"/>
      <c r="N408" s="2"/>
      <c r="O408" s="2"/>
      <c r="P408" s="2"/>
      <c r="Q408" s="157"/>
      <c r="R408" s="157"/>
      <c r="S408" s="2"/>
      <c r="T408" s="158"/>
      <c r="U408" s="2"/>
      <c r="V408" s="2"/>
      <c r="W408" s="2"/>
      <c r="X408" s="2"/>
      <c r="Y408" s="2"/>
      <c r="Z408" s="2"/>
    </row>
    <row r="409" ht="13.5" customHeight="1">
      <c r="A409" s="2"/>
      <c r="B409" s="2"/>
      <c r="C409" s="2"/>
      <c r="D409" s="2"/>
      <c r="E409" s="2"/>
      <c r="F409" s="2"/>
      <c r="G409" s="2"/>
      <c r="H409" s="2"/>
      <c r="I409" s="2"/>
      <c r="J409" s="2"/>
      <c r="K409" s="181"/>
      <c r="L409" s="2"/>
      <c r="M409" s="2"/>
      <c r="N409" s="2"/>
      <c r="O409" s="2"/>
      <c r="P409" s="2"/>
      <c r="Q409" s="157"/>
      <c r="R409" s="157"/>
      <c r="S409" s="2"/>
      <c r="T409" s="158"/>
      <c r="U409" s="2"/>
      <c r="V409" s="2"/>
      <c r="W409" s="2"/>
      <c r="X409" s="2"/>
      <c r="Y409" s="2"/>
      <c r="Z409" s="2"/>
    </row>
    <row r="410" ht="13.5" customHeight="1">
      <c r="A410" s="2"/>
      <c r="B410" s="2"/>
      <c r="C410" s="2"/>
      <c r="D410" s="2"/>
      <c r="E410" s="2"/>
      <c r="F410" s="2"/>
      <c r="G410" s="2"/>
      <c r="H410" s="2"/>
      <c r="I410" s="2"/>
      <c r="J410" s="2"/>
      <c r="K410" s="181"/>
      <c r="L410" s="2"/>
      <c r="M410" s="2"/>
      <c r="N410" s="2"/>
      <c r="O410" s="2"/>
      <c r="P410" s="2"/>
      <c r="Q410" s="157"/>
      <c r="R410" s="157"/>
      <c r="S410" s="2"/>
      <c r="T410" s="158"/>
      <c r="U410" s="2"/>
      <c r="V410" s="2"/>
      <c r="W410" s="2"/>
      <c r="X410" s="2"/>
      <c r="Y410" s="2"/>
      <c r="Z410" s="2"/>
    </row>
    <row r="411" ht="13.5" customHeight="1">
      <c r="A411" s="2"/>
      <c r="B411" s="2"/>
      <c r="C411" s="2"/>
      <c r="D411" s="2"/>
      <c r="E411" s="2"/>
      <c r="F411" s="2"/>
      <c r="G411" s="2"/>
      <c r="H411" s="2"/>
      <c r="I411" s="2"/>
      <c r="J411" s="2"/>
      <c r="K411" s="181"/>
      <c r="L411" s="2"/>
      <c r="M411" s="2"/>
      <c r="N411" s="2"/>
      <c r="O411" s="2"/>
      <c r="P411" s="2"/>
      <c r="Q411" s="157"/>
      <c r="R411" s="157"/>
      <c r="S411" s="2"/>
      <c r="T411" s="158"/>
      <c r="U411" s="2"/>
      <c r="V411" s="2"/>
      <c r="W411" s="2"/>
      <c r="X411" s="2"/>
      <c r="Y411" s="2"/>
      <c r="Z411" s="2"/>
    </row>
    <row r="412" ht="13.5" customHeight="1">
      <c r="A412" s="2"/>
      <c r="B412" s="2"/>
      <c r="C412" s="2"/>
      <c r="D412" s="2"/>
      <c r="E412" s="2"/>
      <c r="F412" s="2"/>
      <c r="G412" s="2"/>
      <c r="H412" s="2"/>
      <c r="I412" s="2"/>
      <c r="J412" s="2"/>
      <c r="K412" s="181"/>
      <c r="L412" s="2"/>
      <c r="M412" s="2"/>
      <c r="N412" s="2"/>
      <c r="O412" s="2"/>
      <c r="P412" s="2"/>
      <c r="Q412" s="157"/>
      <c r="R412" s="157"/>
      <c r="S412" s="2"/>
      <c r="T412" s="158"/>
      <c r="U412" s="2"/>
      <c r="V412" s="2"/>
      <c r="W412" s="2"/>
      <c r="X412" s="2"/>
      <c r="Y412" s="2"/>
      <c r="Z412" s="2"/>
    </row>
    <row r="413" ht="13.5" customHeight="1">
      <c r="A413" s="2"/>
      <c r="B413" s="2"/>
      <c r="C413" s="2"/>
      <c r="D413" s="2"/>
      <c r="E413" s="2"/>
      <c r="F413" s="2"/>
      <c r="G413" s="2"/>
      <c r="H413" s="2"/>
      <c r="I413" s="2"/>
      <c r="J413" s="2"/>
      <c r="K413" s="181"/>
      <c r="L413" s="2"/>
      <c r="M413" s="2"/>
      <c r="N413" s="2"/>
      <c r="O413" s="2"/>
      <c r="P413" s="2"/>
      <c r="Q413" s="157"/>
      <c r="R413" s="157"/>
      <c r="S413" s="2"/>
      <c r="T413" s="158"/>
      <c r="U413" s="2"/>
      <c r="V413" s="2"/>
      <c r="W413" s="2"/>
      <c r="X413" s="2"/>
      <c r="Y413" s="2"/>
      <c r="Z413" s="2"/>
    </row>
    <row r="414" ht="13.5" customHeight="1">
      <c r="A414" s="2"/>
      <c r="B414" s="2"/>
      <c r="C414" s="2"/>
      <c r="D414" s="2"/>
      <c r="E414" s="2"/>
      <c r="F414" s="2"/>
      <c r="G414" s="2"/>
      <c r="H414" s="2"/>
      <c r="I414" s="2"/>
      <c r="J414" s="2"/>
      <c r="K414" s="181"/>
      <c r="L414" s="2"/>
      <c r="M414" s="2"/>
      <c r="N414" s="2"/>
      <c r="O414" s="2"/>
      <c r="P414" s="2"/>
      <c r="Q414" s="157"/>
      <c r="R414" s="157"/>
      <c r="S414" s="2"/>
      <c r="T414" s="158"/>
      <c r="U414" s="2"/>
      <c r="V414" s="2"/>
      <c r="W414" s="2"/>
      <c r="X414" s="2"/>
      <c r="Y414" s="2"/>
      <c r="Z414" s="2"/>
    </row>
    <row r="415" ht="13.5" customHeight="1">
      <c r="A415" s="2"/>
      <c r="B415" s="2"/>
      <c r="C415" s="2"/>
      <c r="D415" s="2"/>
      <c r="E415" s="2"/>
      <c r="F415" s="2"/>
      <c r="G415" s="2"/>
      <c r="H415" s="2"/>
      <c r="I415" s="2"/>
      <c r="J415" s="2"/>
      <c r="K415" s="181"/>
      <c r="L415" s="2"/>
      <c r="M415" s="2"/>
      <c r="N415" s="2"/>
      <c r="O415" s="2"/>
      <c r="P415" s="2"/>
      <c r="Q415" s="157"/>
      <c r="R415" s="157"/>
      <c r="S415" s="2"/>
      <c r="T415" s="158"/>
      <c r="U415" s="2"/>
      <c r="V415" s="2"/>
      <c r="W415" s="2"/>
      <c r="X415" s="2"/>
      <c r="Y415" s="2"/>
      <c r="Z415" s="2"/>
    </row>
    <row r="416" ht="13.5" customHeight="1">
      <c r="A416" s="2"/>
      <c r="B416" s="2"/>
      <c r="C416" s="2"/>
      <c r="D416" s="2"/>
      <c r="E416" s="2"/>
      <c r="F416" s="2"/>
      <c r="G416" s="2"/>
      <c r="H416" s="2"/>
      <c r="I416" s="2"/>
      <c r="J416" s="2"/>
      <c r="K416" s="181"/>
      <c r="L416" s="2"/>
      <c r="M416" s="2"/>
      <c r="N416" s="2"/>
      <c r="O416" s="2"/>
      <c r="P416" s="2"/>
      <c r="Q416" s="157"/>
      <c r="R416" s="157"/>
      <c r="S416" s="2"/>
      <c r="T416" s="158"/>
      <c r="U416" s="2"/>
      <c r="V416" s="2"/>
      <c r="W416" s="2"/>
      <c r="X416" s="2"/>
      <c r="Y416" s="2"/>
      <c r="Z416" s="2"/>
    </row>
    <row r="417" ht="13.5" customHeight="1">
      <c r="A417" s="2"/>
      <c r="B417" s="2"/>
      <c r="C417" s="2"/>
      <c r="D417" s="2"/>
      <c r="E417" s="2"/>
      <c r="F417" s="2"/>
      <c r="G417" s="2"/>
      <c r="H417" s="2"/>
      <c r="I417" s="2"/>
      <c r="J417" s="2"/>
      <c r="K417" s="181"/>
      <c r="L417" s="2"/>
      <c r="M417" s="2"/>
      <c r="N417" s="2"/>
      <c r="O417" s="2"/>
      <c r="P417" s="2"/>
      <c r="Q417" s="157"/>
      <c r="R417" s="157"/>
      <c r="S417" s="2"/>
      <c r="T417" s="158"/>
      <c r="U417" s="2"/>
      <c r="V417" s="2"/>
      <c r="W417" s="2"/>
      <c r="X417" s="2"/>
      <c r="Y417" s="2"/>
      <c r="Z417" s="2"/>
    </row>
    <row r="418" ht="13.5" customHeight="1">
      <c r="A418" s="2"/>
      <c r="B418" s="2"/>
      <c r="C418" s="2"/>
      <c r="D418" s="2"/>
      <c r="E418" s="2"/>
      <c r="F418" s="2"/>
      <c r="G418" s="2"/>
      <c r="H418" s="2"/>
      <c r="I418" s="2"/>
      <c r="J418" s="2"/>
      <c r="K418" s="181"/>
      <c r="L418" s="2"/>
      <c r="M418" s="2"/>
      <c r="N418" s="2"/>
      <c r="O418" s="2"/>
      <c r="P418" s="2"/>
      <c r="Q418" s="157"/>
      <c r="R418" s="157"/>
      <c r="S418" s="2"/>
      <c r="T418" s="158"/>
      <c r="U418" s="2"/>
      <c r="V418" s="2"/>
      <c r="W418" s="2"/>
      <c r="X418" s="2"/>
      <c r="Y418" s="2"/>
      <c r="Z418" s="2"/>
    </row>
    <row r="419" ht="13.5" customHeight="1">
      <c r="A419" s="2"/>
      <c r="B419" s="2"/>
      <c r="C419" s="2"/>
      <c r="D419" s="2"/>
      <c r="E419" s="2"/>
      <c r="F419" s="2"/>
      <c r="G419" s="2"/>
      <c r="H419" s="2"/>
      <c r="I419" s="2"/>
      <c r="J419" s="2"/>
      <c r="K419" s="181"/>
      <c r="L419" s="2"/>
      <c r="M419" s="2"/>
      <c r="N419" s="2"/>
      <c r="O419" s="2"/>
      <c r="P419" s="2"/>
      <c r="Q419" s="157"/>
      <c r="R419" s="157"/>
      <c r="S419" s="2"/>
      <c r="T419" s="158"/>
      <c r="U419" s="2"/>
      <c r="V419" s="2"/>
      <c r="W419" s="2"/>
      <c r="X419" s="2"/>
      <c r="Y419" s="2"/>
      <c r="Z419" s="2"/>
    </row>
    <row r="420" ht="13.5" customHeight="1">
      <c r="A420" s="2"/>
      <c r="B420" s="2"/>
      <c r="C420" s="2"/>
      <c r="D420" s="2"/>
      <c r="E420" s="2"/>
      <c r="F420" s="2"/>
      <c r="G420" s="2"/>
      <c r="H420" s="2"/>
      <c r="I420" s="2"/>
      <c r="J420" s="2"/>
      <c r="K420" s="181"/>
      <c r="L420" s="2"/>
      <c r="M420" s="2"/>
      <c r="N420" s="2"/>
      <c r="O420" s="2"/>
      <c r="P420" s="2"/>
      <c r="Q420" s="157"/>
      <c r="R420" s="157"/>
      <c r="S420" s="2"/>
      <c r="T420" s="158"/>
      <c r="U420" s="2"/>
      <c r="V420" s="2"/>
      <c r="W420" s="2"/>
      <c r="X420" s="2"/>
      <c r="Y420" s="2"/>
      <c r="Z420" s="2"/>
    </row>
    <row r="421" ht="13.5" customHeight="1">
      <c r="A421" s="2"/>
      <c r="B421" s="2"/>
      <c r="C421" s="2"/>
      <c r="D421" s="2"/>
      <c r="E421" s="2"/>
      <c r="F421" s="2"/>
      <c r="G421" s="2"/>
      <c r="H421" s="2"/>
      <c r="I421" s="2"/>
      <c r="J421" s="2"/>
      <c r="K421" s="181"/>
      <c r="L421" s="2"/>
      <c r="M421" s="2"/>
      <c r="N421" s="2"/>
      <c r="O421" s="2"/>
      <c r="P421" s="2"/>
      <c r="Q421" s="157"/>
      <c r="R421" s="157"/>
      <c r="S421" s="2"/>
      <c r="T421" s="158"/>
      <c r="U421" s="2"/>
      <c r="V421" s="2"/>
      <c r="W421" s="2"/>
      <c r="X421" s="2"/>
      <c r="Y421" s="2"/>
      <c r="Z421" s="2"/>
    </row>
    <row r="422" ht="13.5" customHeight="1">
      <c r="A422" s="2"/>
      <c r="B422" s="2"/>
      <c r="C422" s="2"/>
      <c r="D422" s="2"/>
      <c r="E422" s="2"/>
      <c r="F422" s="2"/>
      <c r="G422" s="2"/>
      <c r="H422" s="2"/>
      <c r="I422" s="2"/>
      <c r="J422" s="2"/>
      <c r="K422" s="181"/>
      <c r="L422" s="2"/>
      <c r="M422" s="2"/>
      <c r="N422" s="2"/>
      <c r="O422" s="2"/>
      <c r="P422" s="2"/>
      <c r="Q422" s="157"/>
      <c r="R422" s="157"/>
      <c r="S422" s="2"/>
      <c r="T422" s="158"/>
      <c r="U422" s="2"/>
      <c r="V422" s="2"/>
      <c r="W422" s="2"/>
      <c r="X422" s="2"/>
      <c r="Y422" s="2"/>
      <c r="Z422" s="2"/>
    </row>
    <row r="423" ht="13.5" customHeight="1">
      <c r="A423" s="2"/>
      <c r="B423" s="2"/>
      <c r="C423" s="2"/>
      <c r="D423" s="2"/>
      <c r="E423" s="2"/>
      <c r="F423" s="2"/>
      <c r="G423" s="2"/>
      <c r="H423" s="2"/>
      <c r="I423" s="2"/>
      <c r="J423" s="2"/>
      <c r="K423" s="181"/>
      <c r="L423" s="2"/>
      <c r="M423" s="2"/>
      <c r="N423" s="2"/>
      <c r="O423" s="2"/>
      <c r="P423" s="2"/>
      <c r="Q423" s="157"/>
      <c r="R423" s="157"/>
      <c r="S423" s="2"/>
      <c r="T423" s="158"/>
      <c r="U423" s="2"/>
      <c r="V423" s="2"/>
      <c r="W423" s="2"/>
      <c r="X423" s="2"/>
      <c r="Y423" s="2"/>
      <c r="Z423" s="2"/>
    </row>
    <row r="424" ht="13.5" customHeight="1">
      <c r="A424" s="2"/>
      <c r="B424" s="2"/>
      <c r="C424" s="2"/>
      <c r="D424" s="2"/>
      <c r="E424" s="2"/>
      <c r="F424" s="2"/>
      <c r="G424" s="2"/>
      <c r="H424" s="2"/>
      <c r="I424" s="2"/>
      <c r="J424" s="2"/>
      <c r="K424" s="181"/>
      <c r="L424" s="2"/>
      <c r="M424" s="2"/>
      <c r="N424" s="2"/>
      <c r="O424" s="2"/>
      <c r="P424" s="2"/>
      <c r="Q424" s="157"/>
      <c r="R424" s="157"/>
      <c r="S424" s="2"/>
      <c r="T424" s="158"/>
      <c r="U424" s="2"/>
      <c r="V424" s="2"/>
      <c r="W424" s="2"/>
      <c r="X424" s="2"/>
      <c r="Y424" s="2"/>
      <c r="Z424" s="2"/>
    </row>
    <row r="425" ht="13.5" customHeight="1">
      <c r="A425" s="2"/>
      <c r="B425" s="2"/>
      <c r="C425" s="2"/>
      <c r="D425" s="2"/>
      <c r="E425" s="2"/>
      <c r="F425" s="2"/>
      <c r="G425" s="2"/>
      <c r="H425" s="2"/>
      <c r="I425" s="2"/>
      <c r="J425" s="2"/>
      <c r="K425" s="181"/>
      <c r="L425" s="2"/>
      <c r="M425" s="2"/>
      <c r="N425" s="2"/>
      <c r="O425" s="2"/>
      <c r="P425" s="2"/>
      <c r="Q425" s="157"/>
      <c r="R425" s="157"/>
      <c r="S425" s="2"/>
      <c r="T425" s="158"/>
      <c r="U425" s="2"/>
      <c r="V425" s="2"/>
      <c r="W425" s="2"/>
      <c r="X425" s="2"/>
      <c r="Y425" s="2"/>
      <c r="Z425" s="2"/>
    </row>
    <row r="426" ht="13.5" customHeight="1">
      <c r="A426" s="2"/>
      <c r="B426" s="2"/>
      <c r="C426" s="2"/>
      <c r="D426" s="2"/>
      <c r="E426" s="2"/>
      <c r="F426" s="2"/>
      <c r="G426" s="2"/>
      <c r="H426" s="2"/>
      <c r="I426" s="2"/>
      <c r="J426" s="2"/>
      <c r="K426" s="181"/>
      <c r="L426" s="2"/>
      <c r="M426" s="2"/>
      <c r="N426" s="2"/>
      <c r="O426" s="2"/>
      <c r="P426" s="2"/>
      <c r="Q426" s="157"/>
      <c r="R426" s="157"/>
      <c r="S426" s="2"/>
      <c r="T426" s="158"/>
      <c r="U426" s="2"/>
      <c r="V426" s="2"/>
      <c r="W426" s="2"/>
      <c r="X426" s="2"/>
      <c r="Y426" s="2"/>
      <c r="Z426" s="2"/>
    </row>
    <row r="427" ht="13.5" customHeight="1">
      <c r="A427" s="2"/>
      <c r="B427" s="2"/>
      <c r="C427" s="2"/>
      <c r="D427" s="2"/>
      <c r="E427" s="2"/>
      <c r="F427" s="2"/>
      <c r="G427" s="2"/>
      <c r="H427" s="2"/>
      <c r="I427" s="2"/>
      <c r="J427" s="2"/>
      <c r="K427" s="181"/>
      <c r="L427" s="2"/>
      <c r="M427" s="2"/>
      <c r="N427" s="2"/>
      <c r="O427" s="2"/>
      <c r="P427" s="2"/>
      <c r="Q427" s="157"/>
      <c r="R427" s="157"/>
      <c r="S427" s="2"/>
      <c r="T427" s="158"/>
      <c r="U427" s="2"/>
      <c r="V427" s="2"/>
      <c r="W427" s="2"/>
      <c r="X427" s="2"/>
      <c r="Y427" s="2"/>
      <c r="Z427" s="2"/>
    </row>
    <row r="428" ht="13.5" customHeight="1">
      <c r="A428" s="2"/>
      <c r="B428" s="2"/>
      <c r="C428" s="2"/>
      <c r="D428" s="2"/>
      <c r="E428" s="2"/>
      <c r="F428" s="2"/>
      <c r="G428" s="2"/>
      <c r="H428" s="2"/>
      <c r="I428" s="2"/>
      <c r="J428" s="2"/>
      <c r="K428" s="181"/>
      <c r="L428" s="2"/>
      <c r="M428" s="2"/>
      <c r="N428" s="2"/>
      <c r="O428" s="2"/>
      <c r="P428" s="2"/>
      <c r="Q428" s="157"/>
      <c r="R428" s="157"/>
      <c r="S428" s="2"/>
      <c r="T428" s="158"/>
      <c r="U428" s="2"/>
      <c r="V428" s="2"/>
      <c r="W428" s="2"/>
      <c r="X428" s="2"/>
      <c r="Y428" s="2"/>
      <c r="Z428" s="2"/>
    </row>
    <row r="429" ht="13.5" customHeight="1">
      <c r="A429" s="2"/>
      <c r="B429" s="2"/>
      <c r="C429" s="2"/>
      <c r="D429" s="2"/>
      <c r="E429" s="2"/>
      <c r="F429" s="2"/>
      <c r="G429" s="2"/>
      <c r="H429" s="2"/>
      <c r="I429" s="2"/>
      <c r="J429" s="2"/>
      <c r="K429" s="181"/>
      <c r="L429" s="2"/>
      <c r="M429" s="2"/>
      <c r="N429" s="2"/>
      <c r="O429" s="2"/>
      <c r="P429" s="2"/>
      <c r="Q429" s="157"/>
      <c r="R429" s="157"/>
      <c r="S429" s="2"/>
      <c r="T429" s="158"/>
      <c r="U429" s="2"/>
      <c r="V429" s="2"/>
      <c r="W429" s="2"/>
      <c r="X429" s="2"/>
      <c r="Y429" s="2"/>
      <c r="Z429" s="2"/>
    </row>
    <row r="430" ht="13.5" customHeight="1">
      <c r="A430" s="2"/>
      <c r="B430" s="2"/>
      <c r="C430" s="2"/>
      <c r="D430" s="2"/>
      <c r="E430" s="2"/>
      <c r="F430" s="2"/>
      <c r="G430" s="2"/>
      <c r="H430" s="2"/>
      <c r="I430" s="2"/>
      <c r="J430" s="2"/>
      <c r="K430" s="181"/>
      <c r="L430" s="2"/>
      <c r="M430" s="2"/>
      <c r="N430" s="2"/>
      <c r="O430" s="2"/>
      <c r="P430" s="2"/>
      <c r="Q430" s="157"/>
      <c r="R430" s="157"/>
      <c r="S430" s="2"/>
      <c r="T430" s="158"/>
      <c r="U430" s="2"/>
      <c r="V430" s="2"/>
      <c r="W430" s="2"/>
      <c r="X430" s="2"/>
      <c r="Y430" s="2"/>
      <c r="Z430" s="2"/>
    </row>
    <row r="431" ht="13.5" customHeight="1">
      <c r="A431" s="2"/>
      <c r="B431" s="2"/>
      <c r="C431" s="2"/>
      <c r="D431" s="2"/>
      <c r="E431" s="2"/>
      <c r="F431" s="2"/>
      <c r="G431" s="2"/>
      <c r="H431" s="2"/>
      <c r="I431" s="2"/>
      <c r="J431" s="2"/>
      <c r="K431" s="181"/>
      <c r="L431" s="2"/>
      <c r="M431" s="2"/>
      <c r="N431" s="2"/>
      <c r="O431" s="2"/>
      <c r="P431" s="2"/>
      <c r="Q431" s="157"/>
      <c r="R431" s="157"/>
      <c r="S431" s="2"/>
      <c r="T431" s="158"/>
      <c r="U431" s="2"/>
      <c r="V431" s="2"/>
      <c r="W431" s="2"/>
      <c r="X431" s="2"/>
      <c r="Y431" s="2"/>
      <c r="Z431" s="2"/>
    </row>
    <row r="432" ht="13.5" customHeight="1">
      <c r="A432" s="2"/>
      <c r="B432" s="2"/>
      <c r="C432" s="2"/>
      <c r="D432" s="2"/>
      <c r="E432" s="2"/>
      <c r="F432" s="2"/>
      <c r="G432" s="2"/>
      <c r="H432" s="2"/>
      <c r="I432" s="2"/>
      <c r="J432" s="2"/>
      <c r="K432" s="181"/>
      <c r="L432" s="2"/>
      <c r="M432" s="2"/>
      <c r="N432" s="2"/>
      <c r="O432" s="2"/>
      <c r="P432" s="2"/>
      <c r="Q432" s="157"/>
      <c r="R432" s="157"/>
      <c r="S432" s="2"/>
      <c r="T432" s="158"/>
      <c r="U432" s="2"/>
      <c r="V432" s="2"/>
      <c r="W432" s="2"/>
      <c r="X432" s="2"/>
      <c r="Y432" s="2"/>
      <c r="Z432" s="2"/>
    </row>
    <row r="433" ht="13.5" customHeight="1">
      <c r="A433" s="2"/>
      <c r="B433" s="2"/>
      <c r="C433" s="2"/>
      <c r="D433" s="2"/>
      <c r="E433" s="2"/>
      <c r="F433" s="2"/>
      <c r="G433" s="2"/>
      <c r="H433" s="2"/>
      <c r="I433" s="2"/>
      <c r="J433" s="2"/>
      <c r="K433" s="181"/>
      <c r="L433" s="2"/>
      <c r="M433" s="2"/>
      <c r="N433" s="2"/>
      <c r="O433" s="2"/>
      <c r="P433" s="2"/>
      <c r="Q433" s="157"/>
      <c r="R433" s="157"/>
      <c r="S433" s="2"/>
      <c r="T433" s="158"/>
      <c r="U433" s="2"/>
      <c r="V433" s="2"/>
      <c r="W433" s="2"/>
      <c r="X433" s="2"/>
      <c r="Y433" s="2"/>
      <c r="Z433" s="2"/>
    </row>
    <row r="434" ht="13.5" customHeight="1">
      <c r="A434" s="2"/>
      <c r="B434" s="2"/>
      <c r="C434" s="2"/>
      <c r="D434" s="2"/>
      <c r="E434" s="2"/>
      <c r="F434" s="2"/>
      <c r="G434" s="2"/>
      <c r="H434" s="2"/>
      <c r="I434" s="2"/>
      <c r="J434" s="2"/>
      <c r="K434" s="181"/>
      <c r="L434" s="2"/>
      <c r="M434" s="2"/>
      <c r="N434" s="2"/>
      <c r="O434" s="2"/>
      <c r="P434" s="2"/>
      <c r="Q434" s="157"/>
      <c r="R434" s="157"/>
      <c r="S434" s="2"/>
      <c r="T434" s="158"/>
      <c r="U434" s="2"/>
      <c r="V434" s="2"/>
      <c r="W434" s="2"/>
      <c r="X434" s="2"/>
      <c r="Y434" s="2"/>
      <c r="Z434" s="2"/>
    </row>
    <row r="435" ht="13.5" customHeight="1">
      <c r="A435" s="2"/>
      <c r="B435" s="2"/>
      <c r="C435" s="2"/>
      <c r="D435" s="2"/>
      <c r="E435" s="2"/>
      <c r="F435" s="2"/>
      <c r="G435" s="2"/>
      <c r="H435" s="2"/>
      <c r="I435" s="2"/>
      <c r="J435" s="2"/>
      <c r="K435" s="181"/>
      <c r="L435" s="2"/>
      <c r="M435" s="2"/>
      <c r="N435" s="2"/>
      <c r="O435" s="2"/>
      <c r="P435" s="2"/>
      <c r="Q435" s="157"/>
      <c r="R435" s="157"/>
      <c r="S435" s="2"/>
      <c r="T435" s="158"/>
      <c r="U435" s="2"/>
      <c r="V435" s="2"/>
      <c r="W435" s="2"/>
      <c r="X435" s="2"/>
      <c r="Y435" s="2"/>
      <c r="Z435" s="2"/>
    </row>
    <row r="436" ht="13.5" customHeight="1">
      <c r="A436" s="2"/>
      <c r="B436" s="2"/>
      <c r="C436" s="2"/>
      <c r="D436" s="2"/>
      <c r="E436" s="2"/>
      <c r="F436" s="2"/>
      <c r="G436" s="2"/>
      <c r="H436" s="2"/>
      <c r="I436" s="2"/>
      <c r="J436" s="2"/>
      <c r="K436" s="181"/>
      <c r="L436" s="2"/>
      <c r="M436" s="2"/>
      <c r="N436" s="2"/>
      <c r="O436" s="2"/>
      <c r="P436" s="2"/>
      <c r="Q436" s="157"/>
      <c r="R436" s="157"/>
      <c r="S436" s="2"/>
      <c r="T436" s="158"/>
      <c r="U436" s="2"/>
      <c r="V436" s="2"/>
      <c r="W436" s="2"/>
      <c r="X436" s="2"/>
      <c r="Y436" s="2"/>
      <c r="Z436" s="2"/>
    </row>
    <row r="437" ht="13.5" customHeight="1">
      <c r="A437" s="2"/>
      <c r="B437" s="2"/>
      <c r="C437" s="2"/>
      <c r="D437" s="2"/>
      <c r="E437" s="2"/>
      <c r="F437" s="2"/>
      <c r="G437" s="2"/>
      <c r="H437" s="2"/>
      <c r="I437" s="2"/>
      <c r="J437" s="2"/>
      <c r="K437" s="181"/>
      <c r="L437" s="2"/>
      <c r="M437" s="2"/>
      <c r="N437" s="2"/>
      <c r="O437" s="2"/>
      <c r="P437" s="2"/>
      <c r="Q437" s="157"/>
      <c r="R437" s="157"/>
      <c r="S437" s="2"/>
      <c r="T437" s="158"/>
      <c r="U437" s="2"/>
      <c r="V437" s="2"/>
      <c r="W437" s="2"/>
      <c r="X437" s="2"/>
      <c r="Y437" s="2"/>
      <c r="Z437" s="2"/>
    </row>
    <row r="438" ht="13.5" customHeight="1">
      <c r="A438" s="2"/>
      <c r="B438" s="2"/>
      <c r="C438" s="2"/>
      <c r="D438" s="2"/>
      <c r="E438" s="2"/>
      <c r="F438" s="2"/>
      <c r="G438" s="2"/>
      <c r="H438" s="2"/>
      <c r="I438" s="2"/>
      <c r="J438" s="2"/>
      <c r="K438" s="181"/>
      <c r="L438" s="2"/>
      <c r="M438" s="2"/>
      <c r="N438" s="2"/>
      <c r="O438" s="2"/>
      <c r="P438" s="2"/>
      <c r="Q438" s="157"/>
      <c r="R438" s="157"/>
      <c r="S438" s="2"/>
      <c r="T438" s="158"/>
      <c r="U438" s="2"/>
      <c r="V438" s="2"/>
      <c r="W438" s="2"/>
      <c r="X438" s="2"/>
      <c r="Y438" s="2"/>
      <c r="Z438" s="2"/>
    </row>
    <row r="439" ht="13.5" customHeight="1">
      <c r="A439" s="2"/>
      <c r="B439" s="2"/>
      <c r="C439" s="2"/>
      <c r="D439" s="2"/>
      <c r="E439" s="2"/>
      <c r="F439" s="2"/>
      <c r="G439" s="2"/>
      <c r="H439" s="2"/>
      <c r="I439" s="2"/>
      <c r="J439" s="2"/>
      <c r="K439" s="181"/>
      <c r="L439" s="2"/>
      <c r="M439" s="2"/>
      <c r="N439" s="2"/>
      <c r="O439" s="2"/>
      <c r="P439" s="2"/>
      <c r="Q439" s="157"/>
      <c r="R439" s="157"/>
      <c r="S439" s="2"/>
      <c r="T439" s="158"/>
      <c r="U439" s="2"/>
      <c r="V439" s="2"/>
      <c r="W439" s="2"/>
      <c r="X439" s="2"/>
      <c r="Y439" s="2"/>
      <c r="Z439" s="2"/>
    </row>
    <row r="440" ht="13.5" customHeight="1">
      <c r="A440" s="2"/>
      <c r="B440" s="2"/>
      <c r="C440" s="2"/>
      <c r="D440" s="2"/>
      <c r="E440" s="2"/>
      <c r="F440" s="2"/>
      <c r="G440" s="2"/>
      <c r="H440" s="2"/>
      <c r="I440" s="2"/>
      <c r="J440" s="2"/>
      <c r="K440" s="181"/>
      <c r="L440" s="2"/>
      <c r="M440" s="2"/>
      <c r="N440" s="2"/>
      <c r="O440" s="2"/>
      <c r="P440" s="2"/>
      <c r="Q440" s="157"/>
      <c r="R440" s="157"/>
      <c r="S440" s="2"/>
      <c r="T440" s="158"/>
      <c r="U440" s="2"/>
      <c r="V440" s="2"/>
      <c r="W440" s="2"/>
      <c r="X440" s="2"/>
      <c r="Y440" s="2"/>
      <c r="Z440" s="2"/>
    </row>
    <row r="441" ht="13.5" customHeight="1">
      <c r="A441" s="2"/>
      <c r="B441" s="2"/>
      <c r="C441" s="2"/>
      <c r="D441" s="2"/>
      <c r="E441" s="2"/>
      <c r="F441" s="2"/>
      <c r="G441" s="2"/>
      <c r="H441" s="2"/>
      <c r="I441" s="2"/>
      <c r="J441" s="2"/>
      <c r="K441" s="181"/>
      <c r="L441" s="2"/>
      <c r="M441" s="2"/>
      <c r="N441" s="2"/>
      <c r="O441" s="2"/>
      <c r="P441" s="2"/>
      <c r="Q441" s="157"/>
      <c r="R441" s="157"/>
      <c r="S441" s="2"/>
      <c r="T441" s="158"/>
      <c r="U441" s="2"/>
      <c r="V441" s="2"/>
      <c r="W441" s="2"/>
      <c r="X441" s="2"/>
      <c r="Y441" s="2"/>
      <c r="Z441" s="2"/>
    </row>
    <row r="442" ht="13.5" customHeight="1">
      <c r="A442" s="2"/>
      <c r="B442" s="2"/>
      <c r="C442" s="2"/>
      <c r="D442" s="2"/>
      <c r="E442" s="2"/>
      <c r="F442" s="2"/>
      <c r="G442" s="2"/>
      <c r="H442" s="2"/>
      <c r="I442" s="2"/>
      <c r="J442" s="2"/>
      <c r="K442" s="181"/>
      <c r="L442" s="2"/>
      <c r="M442" s="2"/>
      <c r="N442" s="2"/>
      <c r="O442" s="2"/>
      <c r="P442" s="2"/>
      <c r="Q442" s="157"/>
      <c r="R442" s="157"/>
      <c r="S442" s="2"/>
      <c r="T442" s="158"/>
      <c r="U442" s="2"/>
      <c r="V442" s="2"/>
      <c r="W442" s="2"/>
      <c r="X442" s="2"/>
      <c r="Y442" s="2"/>
      <c r="Z442" s="2"/>
    </row>
    <row r="443" ht="13.5" customHeight="1">
      <c r="A443" s="2"/>
      <c r="B443" s="2"/>
      <c r="C443" s="2"/>
      <c r="D443" s="2"/>
      <c r="E443" s="2"/>
      <c r="F443" s="2"/>
      <c r="G443" s="2"/>
      <c r="H443" s="2"/>
      <c r="I443" s="2"/>
      <c r="J443" s="2"/>
      <c r="K443" s="181"/>
      <c r="L443" s="2"/>
      <c r="M443" s="2"/>
      <c r="N443" s="2"/>
      <c r="O443" s="2"/>
      <c r="P443" s="2"/>
      <c r="Q443" s="157"/>
      <c r="R443" s="157"/>
      <c r="S443" s="2"/>
      <c r="T443" s="158"/>
      <c r="U443" s="2"/>
      <c r="V443" s="2"/>
      <c r="W443" s="2"/>
      <c r="X443" s="2"/>
      <c r="Y443" s="2"/>
      <c r="Z443" s="2"/>
    </row>
    <row r="444" ht="13.5" customHeight="1">
      <c r="A444" s="2"/>
      <c r="B444" s="2"/>
      <c r="C444" s="2"/>
      <c r="D444" s="2"/>
      <c r="E444" s="2"/>
      <c r="F444" s="2"/>
      <c r="G444" s="2"/>
      <c r="H444" s="2"/>
      <c r="I444" s="2"/>
      <c r="J444" s="2"/>
      <c r="K444" s="181"/>
      <c r="L444" s="2"/>
      <c r="M444" s="2"/>
      <c r="N444" s="2"/>
      <c r="O444" s="2"/>
      <c r="P444" s="2"/>
      <c r="Q444" s="157"/>
      <c r="R444" s="157"/>
      <c r="S444" s="2"/>
      <c r="T444" s="158"/>
      <c r="U444" s="2"/>
      <c r="V444" s="2"/>
      <c r="W444" s="2"/>
      <c r="X444" s="2"/>
      <c r="Y444" s="2"/>
      <c r="Z444" s="2"/>
    </row>
    <row r="445" ht="13.5" customHeight="1">
      <c r="A445" s="2"/>
      <c r="B445" s="2"/>
      <c r="C445" s="2"/>
      <c r="D445" s="2"/>
      <c r="E445" s="2"/>
      <c r="F445" s="2"/>
      <c r="G445" s="2"/>
      <c r="H445" s="2"/>
      <c r="I445" s="2"/>
      <c r="J445" s="2"/>
      <c r="K445" s="181"/>
      <c r="L445" s="2"/>
      <c r="M445" s="2"/>
      <c r="N445" s="2"/>
      <c r="O445" s="2"/>
      <c r="P445" s="2"/>
      <c r="Q445" s="157"/>
      <c r="R445" s="157"/>
      <c r="S445" s="2"/>
      <c r="T445" s="158"/>
      <c r="U445" s="2"/>
      <c r="V445" s="2"/>
      <c r="W445" s="2"/>
      <c r="X445" s="2"/>
      <c r="Y445" s="2"/>
      <c r="Z445" s="2"/>
    </row>
    <row r="446" ht="13.5" customHeight="1">
      <c r="A446" s="2"/>
      <c r="B446" s="2"/>
      <c r="C446" s="2"/>
      <c r="D446" s="2"/>
      <c r="E446" s="2"/>
      <c r="F446" s="2"/>
      <c r="G446" s="2"/>
      <c r="H446" s="2"/>
      <c r="I446" s="2"/>
      <c r="J446" s="2"/>
      <c r="K446" s="181"/>
      <c r="L446" s="2"/>
      <c r="M446" s="2"/>
      <c r="N446" s="2"/>
      <c r="O446" s="2"/>
      <c r="P446" s="2"/>
      <c r="Q446" s="157"/>
      <c r="R446" s="157"/>
      <c r="S446" s="2"/>
      <c r="T446" s="158"/>
      <c r="U446" s="2"/>
      <c r="V446" s="2"/>
      <c r="W446" s="2"/>
      <c r="X446" s="2"/>
      <c r="Y446" s="2"/>
      <c r="Z446" s="2"/>
    </row>
    <row r="447" ht="13.5" customHeight="1">
      <c r="A447" s="2"/>
      <c r="B447" s="2"/>
      <c r="C447" s="2"/>
      <c r="D447" s="2"/>
      <c r="E447" s="2"/>
      <c r="F447" s="2"/>
      <c r="G447" s="2"/>
      <c r="H447" s="2"/>
      <c r="I447" s="2"/>
      <c r="J447" s="2"/>
      <c r="K447" s="181"/>
      <c r="L447" s="2"/>
      <c r="M447" s="2"/>
      <c r="N447" s="2"/>
      <c r="O447" s="2"/>
      <c r="P447" s="2"/>
      <c r="Q447" s="157"/>
      <c r="R447" s="157"/>
      <c r="S447" s="2"/>
      <c r="T447" s="158"/>
      <c r="U447" s="2"/>
      <c r="V447" s="2"/>
      <c r="W447" s="2"/>
      <c r="X447" s="2"/>
      <c r="Y447" s="2"/>
      <c r="Z447" s="2"/>
    </row>
    <row r="448" ht="13.5" customHeight="1">
      <c r="A448" s="2"/>
      <c r="B448" s="2"/>
      <c r="C448" s="2"/>
      <c r="D448" s="2"/>
      <c r="E448" s="2"/>
      <c r="F448" s="2"/>
      <c r="G448" s="2"/>
      <c r="H448" s="2"/>
      <c r="I448" s="2"/>
      <c r="J448" s="2"/>
      <c r="K448" s="181"/>
      <c r="L448" s="2"/>
      <c r="M448" s="2"/>
      <c r="N448" s="2"/>
      <c r="O448" s="2"/>
      <c r="P448" s="2"/>
      <c r="Q448" s="157"/>
      <c r="R448" s="157"/>
      <c r="S448" s="2"/>
      <c r="T448" s="158"/>
      <c r="U448" s="2"/>
      <c r="V448" s="2"/>
      <c r="W448" s="2"/>
      <c r="X448" s="2"/>
      <c r="Y448" s="2"/>
      <c r="Z448" s="2"/>
    </row>
    <row r="449" ht="13.5" customHeight="1">
      <c r="A449" s="2"/>
      <c r="B449" s="2"/>
      <c r="C449" s="2"/>
      <c r="D449" s="2"/>
      <c r="E449" s="2"/>
      <c r="F449" s="2"/>
      <c r="G449" s="2"/>
      <c r="H449" s="2"/>
      <c r="I449" s="2"/>
      <c r="J449" s="2"/>
      <c r="K449" s="181"/>
      <c r="L449" s="2"/>
      <c r="M449" s="2"/>
      <c r="N449" s="2"/>
      <c r="O449" s="2"/>
      <c r="P449" s="2"/>
      <c r="Q449" s="157"/>
      <c r="R449" s="157"/>
      <c r="S449" s="2"/>
      <c r="T449" s="158"/>
      <c r="U449" s="2"/>
      <c r="V449" s="2"/>
      <c r="W449" s="2"/>
      <c r="X449" s="2"/>
      <c r="Y449" s="2"/>
      <c r="Z449" s="2"/>
    </row>
    <row r="450" ht="13.5" customHeight="1">
      <c r="A450" s="2"/>
      <c r="B450" s="2"/>
      <c r="C450" s="2"/>
      <c r="D450" s="2"/>
      <c r="E450" s="2"/>
      <c r="F450" s="2"/>
      <c r="G450" s="2"/>
      <c r="H450" s="2"/>
      <c r="I450" s="2"/>
      <c r="J450" s="2"/>
      <c r="K450" s="181"/>
      <c r="L450" s="2"/>
      <c r="M450" s="2"/>
      <c r="N450" s="2"/>
      <c r="O450" s="2"/>
      <c r="P450" s="2"/>
      <c r="Q450" s="157"/>
      <c r="R450" s="157"/>
      <c r="S450" s="2"/>
      <c r="T450" s="158"/>
      <c r="U450" s="2"/>
      <c r="V450" s="2"/>
      <c r="W450" s="2"/>
      <c r="X450" s="2"/>
      <c r="Y450" s="2"/>
      <c r="Z450" s="2"/>
    </row>
    <row r="451" ht="13.5" customHeight="1">
      <c r="A451" s="2"/>
      <c r="B451" s="2"/>
      <c r="C451" s="2"/>
      <c r="D451" s="2"/>
      <c r="E451" s="2"/>
      <c r="F451" s="2"/>
      <c r="G451" s="2"/>
      <c r="H451" s="2"/>
      <c r="I451" s="2"/>
      <c r="J451" s="2"/>
      <c r="K451" s="181"/>
      <c r="L451" s="2"/>
      <c r="M451" s="2"/>
      <c r="N451" s="2"/>
      <c r="O451" s="2"/>
      <c r="P451" s="2"/>
      <c r="Q451" s="157"/>
      <c r="R451" s="157"/>
      <c r="S451" s="2"/>
      <c r="T451" s="158"/>
      <c r="U451" s="2"/>
      <c r="V451" s="2"/>
      <c r="W451" s="2"/>
      <c r="X451" s="2"/>
      <c r="Y451" s="2"/>
      <c r="Z451" s="2"/>
    </row>
    <row r="452" ht="13.5" customHeight="1">
      <c r="A452" s="2"/>
      <c r="B452" s="2"/>
      <c r="C452" s="2"/>
      <c r="D452" s="2"/>
      <c r="E452" s="2"/>
      <c r="F452" s="2"/>
      <c r="G452" s="2"/>
      <c r="H452" s="2"/>
      <c r="I452" s="2"/>
      <c r="J452" s="2"/>
      <c r="K452" s="181"/>
      <c r="L452" s="2"/>
      <c r="M452" s="2"/>
      <c r="N452" s="2"/>
      <c r="O452" s="2"/>
      <c r="P452" s="2"/>
      <c r="Q452" s="157"/>
      <c r="R452" s="157"/>
      <c r="S452" s="2"/>
      <c r="T452" s="158"/>
      <c r="U452" s="2"/>
      <c r="V452" s="2"/>
      <c r="W452" s="2"/>
      <c r="X452" s="2"/>
      <c r="Y452" s="2"/>
      <c r="Z452" s="2"/>
    </row>
    <row r="453" ht="13.5" customHeight="1">
      <c r="A453" s="2"/>
      <c r="B453" s="2"/>
      <c r="C453" s="2"/>
      <c r="D453" s="2"/>
      <c r="E453" s="2"/>
      <c r="F453" s="2"/>
      <c r="G453" s="2"/>
      <c r="H453" s="2"/>
      <c r="I453" s="2"/>
      <c r="J453" s="2"/>
      <c r="K453" s="181"/>
      <c r="L453" s="2"/>
      <c r="M453" s="2"/>
      <c r="N453" s="2"/>
      <c r="O453" s="2"/>
      <c r="P453" s="2"/>
      <c r="Q453" s="157"/>
      <c r="R453" s="157"/>
      <c r="S453" s="2"/>
      <c r="T453" s="158"/>
      <c r="U453" s="2"/>
      <c r="V453" s="2"/>
      <c r="W453" s="2"/>
      <c r="X453" s="2"/>
      <c r="Y453" s="2"/>
      <c r="Z453" s="2"/>
    </row>
    <row r="454" ht="13.5" customHeight="1">
      <c r="A454" s="2"/>
      <c r="B454" s="2"/>
      <c r="C454" s="2"/>
      <c r="D454" s="2"/>
      <c r="E454" s="2"/>
      <c r="F454" s="2"/>
      <c r="G454" s="2"/>
      <c r="H454" s="2"/>
      <c r="I454" s="2"/>
      <c r="J454" s="2"/>
      <c r="K454" s="181"/>
      <c r="L454" s="2"/>
      <c r="M454" s="2"/>
      <c r="N454" s="2"/>
      <c r="O454" s="2"/>
      <c r="P454" s="2"/>
      <c r="Q454" s="157"/>
      <c r="R454" s="157"/>
      <c r="S454" s="2"/>
      <c r="T454" s="158"/>
      <c r="U454" s="2"/>
      <c r="V454" s="2"/>
      <c r="W454" s="2"/>
      <c r="X454" s="2"/>
      <c r="Y454" s="2"/>
      <c r="Z454" s="2"/>
    </row>
    <row r="455" ht="13.5" customHeight="1">
      <c r="A455" s="2"/>
      <c r="B455" s="2"/>
      <c r="C455" s="2"/>
      <c r="D455" s="2"/>
      <c r="E455" s="2"/>
      <c r="F455" s="2"/>
      <c r="G455" s="2"/>
      <c r="H455" s="2"/>
      <c r="I455" s="2"/>
      <c r="J455" s="2"/>
      <c r="K455" s="181"/>
      <c r="L455" s="2"/>
      <c r="M455" s="2"/>
      <c r="N455" s="2"/>
      <c r="O455" s="2"/>
      <c r="P455" s="2"/>
      <c r="Q455" s="157"/>
      <c r="R455" s="157"/>
      <c r="S455" s="2"/>
      <c r="T455" s="158"/>
      <c r="U455" s="2"/>
      <c r="V455" s="2"/>
      <c r="W455" s="2"/>
      <c r="X455" s="2"/>
      <c r="Y455" s="2"/>
      <c r="Z455" s="2"/>
    </row>
    <row r="456" ht="13.5" customHeight="1">
      <c r="A456" s="2"/>
      <c r="B456" s="2"/>
      <c r="C456" s="2"/>
      <c r="D456" s="2"/>
      <c r="E456" s="2"/>
      <c r="F456" s="2"/>
      <c r="G456" s="2"/>
      <c r="H456" s="2"/>
      <c r="I456" s="2"/>
      <c r="J456" s="2"/>
      <c r="K456" s="181"/>
      <c r="L456" s="2"/>
      <c r="M456" s="2"/>
      <c r="N456" s="2"/>
      <c r="O456" s="2"/>
      <c r="P456" s="2"/>
      <c r="Q456" s="157"/>
      <c r="R456" s="157"/>
      <c r="S456" s="2"/>
      <c r="T456" s="158"/>
      <c r="U456" s="2"/>
      <c r="V456" s="2"/>
      <c r="W456" s="2"/>
      <c r="X456" s="2"/>
      <c r="Y456" s="2"/>
      <c r="Z456" s="2"/>
    </row>
    <row r="457" ht="13.5" customHeight="1">
      <c r="A457" s="2"/>
      <c r="B457" s="2"/>
      <c r="C457" s="2"/>
      <c r="D457" s="2"/>
      <c r="E457" s="2"/>
      <c r="F457" s="2"/>
      <c r="G457" s="2"/>
      <c r="H457" s="2"/>
      <c r="I457" s="2"/>
      <c r="J457" s="2"/>
      <c r="K457" s="181"/>
      <c r="L457" s="2"/>
      <c r="M457" s="2"/>
      <c r="N457" s="2"/>
      <c r="O457" s="2"/>
      <c r="P457" s="2"/>
      <c r="Q457" s="157"/>
      <c r="R457" s="157"/>
      <c r="S457" s="2"/>
      <c r="T457" s="158"/>
      <c r="U457" s="2"/>
      <c r="V457" s="2"/>
      <c r="W457" s="2"/>
      <c r="X457" s="2"/>
      <c r="Y457" s="2"/>
      <c r="Z457" s="2"/>
    </row>
    <row r="458" ht="13.5" customHeight="1">
      <c r="A458" s="2"/>
      <c r="B458" s="2"/>
      <c r="C458" s="2"/>
      <c r="D458" s="2"/>
      <c r="E458" s="2"/>
      <c r="F458" s="2"/>
      <c r="G458" s="2"/>
      <c r="H458" s="2"/>
      <c r="I458" s="2"/>
      <c r="J458" s="2"/>
      <c r="K458" s="181"/>
      <c r="L458" s="2"/>
      <c r="M458" s="2"/>
      <c r="N458" s="2"/>
      <c r="O458" s="2"/>
      <c r="P458" s="2"/>
      <c r="Q458" s="157"/>
      <c r="R458" s="157"/>
      <c r="S458" s="2"/>
      <c r="T458" s="158"/>
      <c r="U458" s="2"/>
      <c r="V458" s="2"/>
      <c r="W458" s="2"/>
      <c r="X458" s="2"/>
      <c r="Y458" s="2"/>
      <c r="Z458" s="2"/>
    </row>
    <row r="459" ht="13.5" customHeight="1">
      <c r="A459" s="2"/>
      <c r="B459" s="2"/>
      <c r="C459" s="2"/>
      <c r="D459" s="2"/>
      <c r="E459" s="2"/>
      <c r="F459" s="2"/>
      <c r="G459" s="2"/>
      <c r="H459" s="2"/>
      <c r="I459" s="2"/>
      <c r="J459" s="2"/>
      <c r="K459" s="181"/>
      <c r="L459" s="2"/>
      <c r="M459" s="2"/>
      <c r="N459" s="2"/>
      <c r="O459" s="2"/>
      <c r="P459" s="2"/>
      <c r="Q459" s="157"/>
      <c r="R459" s="157"/>
      <c r="S459" s="2"/>
      <c r="T459" s="158"/>
      <c r="U459" s="2"/>
      <c r="V459" s="2"/>
      <c r="W459" s="2"/>
      <c r="X459" s="2"/>
      <c r="Y459" s="2"/>
      <c r="Z459" s="2"/>
    </row>
    <row r="460" ht="13.5" customHeight="1">
      <c r="A460" s="2"/>
      <c r="B460" s="2"/>
      <c r="C460" s="2"/>
      <c r="D460" s="2"/>
      <c r="E460" s="2"/>
      <c r="F460" s="2"/>
      <c r="G460" s="2"/>
      <c r="H460" s="2"/>
      <c r="I460" s="2"/>
      <c r="J460" s="2"/>
      <c r="K460" s="181"/>
      <c r="L460" s="2"/>
      <c r="M460" s="2"/>
      <c r="N460" s="2"/>
      <c r="O460" s="2"/>
      <c r="P460" s="2"/>
      <c r="Q460" s="157"/>
      <c r="R460" s="157"/>
      <c r="S460" s="2"/>
      <c r="T460" s="158"/>
      <c r="U460" s="2"/>
      <c r="V460" s="2"/>
      <c r="W460" s="2"/>
      <c r="X460" s="2"/>
      <c r="Y460" s="2"/>
      <c r="Z460" s="2"/>
    </row>
    <row r="461" ht="13.5" customHeight="1">
      <c r="A461" s="2"/>
      <c r="B461" s="2"/>
      <c r="C461" s="2"/>
      <c r="D461" s="2"/>
      <c r="E461" s="2"/>
      <c r="F461" s="2"/>
      <c r="G461" s="2"/>
      <c r="H461" s="2"/>
      <c r="I461" s="2"/>
      <c r="J461" s="2"/>
      <c r="K461" s="181"/>
      <c r="L461" s="2"/>
      <c r="M461" s="2"/>
      <c r="N461" s="2"/>
      <c r="O461" s="2"/>
      <c r="P461" s="2"/>
      <c r="Q461" s="157"/>
      <c r="R461" s="157"/>
      <c r="S461" s="2"/>
      <c r="T461" s="158"/>
      <c r="U461" s="2"/>
      <c r="V461" s="2"/>
      <c r="W461" s="2"/>
      <c r="X461" s="2"/>
      <c r="Y461" s="2"/>
      <c r="Z461" s="2"/>
    </row>
    <row r="462" ht="13.5" customHeight="1">
      <c r="A462" s="2"/>
      <c r="B462" s="2"/>
      <c r="C462" s="2"/>
      <c r="D462" s="2"/>
      <c r="E462" s="2"/>
      <c r="F462" s="2"/>
      <c r="G462" s="2"/>
      <c r="H462" s="2"/>
      <c r="I462" s="2"/>
      <c r="J462" s="2"/>
      <c r="K462" s="181"/>
      <c r="L462" s="2"/>
      <c r="M462" s="2"/>
      <c r="N462" s="2"/>
      <c r="O462" s="2"/>
      <c r="P462" s="2"/>
      <c r="Q462" s="157"/>
      <c r="R462" s="157"/>
      <c r="S462" s="2"/>
      <c r="T462" s="158"/>
      <c r="U462" s="2"/>
      <c r="V462" s="2"/>
      <c r="W462" s="2"/>
      <c r="X462" s="2"/>
      <c r="Y462" s="2"/>
      <c r="Z462" s="2"/>
    </row>
    <row r="463" ht="13.5" customHeight="1">
      <c r="A463" s="2"/>
      <c r="B463" s="2"/>
      <c r="C463" s="2"/>
      <c r="D463" s="2"/>
      <c r="E463" s="2"/>
      <c r="F463" s="2"/>
      <c r="G463" s="2"/>
      <c r="H463" s="2"/>
      <c r="I463" s="2"/>
      <c r="J463" s="2"/>
      <c r="K463" s="181"/>
      <c r="L463" s="2"/>
      <c r="M463" s="2"/>
      <c r="N463" s="2"/>
      <c r="O463" s="2"/>
      <c r="P463" s="2"/>
      <c r="Q463" s="157"/>
      <c r="R463" s="157"/>
      <c r="S463" s="2"/>
      <c r="T463" s="158"/>
      <c r="U463" s="2"/>
      <c r="V463" s="2"/>
      <c r="W463" s="2"/>
      <c r="X463" s="2"/>
      <c r="Y463" s="2"/>
      <c r="Z463" s="2"/>
    </row>
    <row r="464" ht="13.5" customHeight="1">
      <c r="A464" s="2"/>
      <c r="B464" s="2"/>
      <c r="C464" s="2"/>
      <c r="D464" s="2"/>
      <c r="E464" s="2"/>
      <c r="F464" s="2"/>
      <c r="G464" s="2"/>
      <c r="H464" s="2"/>
      <c r="I464" s="2"/>
      <c r="J464" s="2"/>
      <c r="K464" s="181"/>
      <c r="L464" s="2"/>
      <c r="M464" s="2"/>
      <c r="N464" s="2"/>
      <c r="O464" s="2"/>
      <c r="P464" s="2"/>
      <c r="Q464" s="157"/>
      <c r="R464" s="157"/>
      <c r="S464" s="2"/>
      <c r="T464" s="158"/>
      <c r="U464" s="2"/>
      <c r="V464" s="2"/>
      <c r="W464" s="2"/>
      <c r="X464" s="2"/>
      <c r="Y464" s="2"/>
      <c r="Z464" s="2"/>
    </row>
    <row r="465" ht="13.5" customHeight="1">
      <c r="A465" s="2"/>
      <c r="B465" s="2"/>
      <c r="C465" s="2"/>
      <c r="D465" s="2"/>
      <c r="E465" s="2"/>
      <c r="F465" s="2"/>
      <c r="G465" s="2"/>
      <c r="H465" s="2"/>
      <c r="I465" s="2"/>
      <c r="J465" s="2"/>
      <c r="K465" s="181"/>
      <c r="L465" s="2"/>
      <c r="M465" s="2"/>
      <c r="N465" s="2"/>
      <c r="O465" s="2"/>
      <c r="P465" s="2"/>
      <c r="Q465" s="157"/>
      <c r="R465" s="157"/>
      <c r="S465" s="2"/>
      <c r="T465" s="158"/>
      <c r="U465" s="2"/>
      <c r="V465" s="2"/>
      <c r="W465" s="2"/>
      <c r="X465" s="2"/>
      <c r="Y465" s="2"/>
      <c r="Z465" s="2"/>
    </row>
    <row r="466" ht="13.5" customHeight="1">
      <c r="A466" s="2"/>
      <c r="B466" s="2"/>
      <c r="C466" s="2"/>
      <c r="D466" s="2"/>
      <c r="E466" s="2"/>
      <c r="F466" s="2"/>
      <c r="G466" s="2"/>
      <c r="H466" s="2"/>
      <c r="I466" s="2"/>
      <c r="J466" s="2"/>
      <c r="K466" s="181"/>
      <c r="L466" s="2"/>
      <c r="M466" s="2"/>
      <c r="N466" s="2"/>
      <c r="O466" s="2"/>
      <c r="P466" s="2"/>
      <c r="Q466" s="157"/>
      <c r="R466" s="157"/>
      <c r="S466" s="2"/>
      <c r="T466" s="158"/>
      <c r="U466" s="2"/>
      <c r="V466" s="2"/>
      <c r="W466" s="2"/>
      <c r="X466" s="2"/>
      <c r="Y466" s="2"/>
      <c r="Z466" s="2"/>
    </row>
    <row r="467" ht="13.5" customHeight="1">
      <c r="A467" s="2"/>
      <c r="B467" s="2"/>
      <c r="C467" s="2"/>
      <c r="D467" s="2"/>
      <c r="E467" s="2"/>
      <c r="F467" s="2"/>
      <c r="G467" s="2"/>
      <c r="H467" s="2"/>
      <c r="I467" s="2"/>
      <c r="J467" s="2"/>
      <c r="K467" s="181"/>
      <c r="L467" s="2"/>
      <c r="M467" s="2"/>
      <c r="N467" s="2"/>
      <c r="O467" s="2"/>
      <c r="P467" s="2"/>
      <c r="Q467" s="157"/>
      <c r="R467" s="157"/>
      <c r="S467" s="2"/>
      <c r="T467" s="158"/>
      <c r="U467" s="2"/>
      <c r="V467" s="2"/>
      <c r="W467" s="2"/>
      <c r="X467" s="2"/>
      <c r="Y467" s="2"/>
      <c r="Z467" s="2"/>
    </row>
    <row r="468" ht="13.5" customHeight="1">
      <c r="A468" s="2"/>
      <c r="B468" s="2"/>
      <c r="C468" s="2"/>
      <c r="D468" s="2"/>
      <c r="E468" s="2"/>
      <c r="F468" s="2"/>
      <c r="G468" s="2"/>
      <c r="H468" s="2"/>
      <c r="I468" s="2"/>
      <c r="J468" s="2"/>
      <c r="K468" s="181"/>
      <c r="L468" s="2"/>
      <c r="M468" s="2"/>
      <c r="N468" s="2"/>
      <c r="O468" s="2"/>
      <c r="P468" s="2"/>
      <c r="Q468" s="157"/>
      <c r="R468" s="157"/>
      <c r="S468" s="2"/>
      <c r="T468" s="158"/>
      <c r="U468" s="2"/>
      <c r="V468" s="2"/>
      <c r="W468" s="2"/>
      <c r="X468" s="2"/>
      <c r="Y468" s="2"/>
      <c r="Z468" s="2"/>
    </row>
    <row r="469" ht="13.5" customHeight="1">
      <c r="A469" s="2"/>
      <c r="B469" s="2"/>
      <c r="C469" s="2"/>
      <c r="D469" s="2"/>
      <c r="E469" s="2"/>
      <c r="F469" s="2"/>
      <c r="G469" s="2"/>
      <c r="H469" s="2"/>
      <c r="I469" s="2"/>
      <c r="J469" s="2"/>
      <c r="K469" s="181"/>
      <c r="L469" s="2"/>
      <c r="M469" s="2"/>
      <c r="N469" s="2"/>
      <c r="O469" s="2"/>
      <c r="P469" s="2"/>
      <c r="Q469" s="157"/>
      <c r="R469" s="157"/>
      <c r="S469" s="2"/>
      <c r="T469" s="158"/>
      <c r="U469" s="2"/>
      <c r="V469" s="2"/>
      <c r="W469" s="2"/>
      <c r="X469" s="2"/>
      <c r="Y469" s="2"/>
      <c r="Z469" s="2"/>
    </row>
    <row r="470" ht="13.5" customHeight="1">
      <c r="A470" s="2"/>
      <c r="B470" s="2"/>
      <c r="C470" s="2"/>
      <c r="D470" s="2"/>
      <c r="E470" s="2"/>
      <c r="F470" s="2"/>
      <c r="G470" s="2"/>
      <c r="H470" s="2"/>
      <c r="I470" s="2"/>
      <c r="J470" s="2"/>
      <c r="K470" s="181"/>
      <c r="L470" s="2"/>
      <c r="M470" s="2"/>
      <c r="N470" s="2"/>
      <c r="O470" s="2"/>
      <c r="P470" s="2"/>
      <c r="Q470" s="157"/>
      <c r="R470" s="157"/>
      <c r="S470" s="2"/>
      <c r="T470" s="158"/>
      <c r="U470" s="2"/>
      <c r="V470" s="2"/>
      <c r="W470" s="2"/>
      <c r="X470" s="2"/>
      <c r="Y470" s="2"/>
      <c r="Z470" s="2"/>
    </row>
    <row r="471" ht="13.5" customHeight="1">
      <c r="A471" s="2"/>
      <c r="B471" s="2"/>
      <c r="C471" s="2"/>
      <c r="D471" s="2"/>
      <c r="E471" s="2"/>
      <c r="F471" s="2"/>
      <c r="G471" s="2"/>
      <c r="H471" s="2"/>
      <c r="I471" s="2"/>
      <c r="J471" s="2"/>
      <c r="K471" s="181"/>
      <c r="L471" s="2"/>
      <c r="M471" s="2"/>
      <c r="N471" s="2"/>
      <c r="O471" s="2"/>
      <c r="P471" s="2"/>
      <c r="Q471" s="157"/>
      <c r="R471" s="157"/>
      <c r="S471" s="2"/>
      <c r="T471" s="158"/>
      <c r="U471" s="2"/>
      <c r="V471" s="2"/>
      <c r="W471" s="2"/>
      <c r="X471" s="2"/>
      <c r="Y471" s="2"/>
      <c r="Z471" s="2"/>
    </row>
    <row r="472" ht="13.5" customHeight="1">
      <c r="A472" s="2"/>
      <c r="B472" s="2"/>
      <c r="C472" s="2"/>
      <c r="D472" s="2"/>
      <c r="E472" s="2"/>
      <c r="F472" s="2"/>
      <c r="G472" s="2"/>
      <c r="H472" s="2"/>
      <c r="I472" s="2"/>
      <c r="J472" s="2"/>
      <c r="K472" s="181"/>
      <c r="L472" s="2"/>
      <c r="M472" s="2"/>
      <c r="N472" s="2"/>
      <c r="O472" s="2"/>
      <c r="P472" s="2"/>
      <c r="Q472" s="157"/>
      <c r="R472" s="157"/>
      <c r="S472" s="2"/>
      <c r="T472" s="158"/>
      <c r="U472" s="2"/>
      <c r="V472" s="2"/>
      <c r="W472" s="2"/>
      <c r="X472" s="2"/>
      <c r="Y472" s="2"/>
      <c r="Z472" s="2"/>
    </row>
    <row r="473" ht="13.5" customHeight="1">
      <c r="A473" s="2"/>
      <c r="B473" s="2"/>
      <c r="C473" s="2"/>
      <c r="D473" s="2"/>
      <c r="E473" s="2"/>
      <c r="F473" s="2"/>
      <c r="G473" s="2"/>
      <c r="H473" s="2"/>
      <c r="I473" s="2"/>
      <c r="J473" s="2"/>
      <c r="K473" s="181"/>
      <c r="L473" s="2"/>
      <c r="M473" s="2"/>
      <c r="N473" s="2"/>
      <c r="O473" s="2"/>
      <c r="P473" s="2"/>
      <c r="Q473" s="157"/>
      <c r="R473" s="157"/>
      <c r="S473" s="2"/>
      <c r="T473" s="158"/>
      <c r="U473" s="2"/>
      <c r="V473" s="2"/>
      <c r="W473" s="2"/>
      <c r="X473" s="2"/>
      <c r="Y473" s="2"/>
      <c r="Z473" s="2"/>
    </row>
    <row r="474" ht="13.5" customHeight="1">
      <c r="A474" s="2"/>
      <c r="B474" s="2"/>
      <c r="C474" s="2"/>
      <c r="D474" s="2"/>
      <c r="E474" s="2"/>
      <c r="F474" s="2"/>
      <c r="G474" s="2"/>
      <c r="H474" s="2"/>
      <c r="I474" s="2"/>
      <c r="J474" s="2"/>
      <c r="K474" s="181"/>
      <c r="L474" s="2"/>
      <c r="M474" s="2"/>
      <c r="N474" s="2"/>
      <c r="O474" s="2"/>
      <c r="P474" s="2"/>
      <c r="Q474" s="157"/>
      <c r="R474" s="157"/>
      <c r="S474" s="2"/>
      <c r="T474" s="158"/>
      <c r="U474" s="2"/>
      <c r="V474" s="2"/>
      <c r="W474" s="2"/>
      <c r="X474" s="2"/>
      <c r="Y474" s="2"/>
      <c r="Z474" s="2"/>
    </row>
    <row r="475" ht="13.5" customHeight="1">
      <c r="A475" s="2"/>
      <c r="B475" s="2"/>
      <c r="C475" s="2"/>
      <c r="D475" s="2"/>
      <c r="E475" s="2"/>
      <c r="F475" s="2"/>
      <c r="G475" s="2"/>
      <c r="H475" s="2"/>
      <c r="I475" s="2"/>
      <c r="J475" s="2"/>
      <c r="K475" s="181"/>
      <c r="L475" s="2"/>
      <c r="M475" s="2"/>
      <c r="N475" s="2"/>
      <c r="O475" s="2"/>
      <c r="P475" s="2"/>
      <c r="Q475" s="157"/>
      <c r="R475" s="157"/>
      <c r="S475" s="2"/>
      <c r="T475" s="158"/>
      <c r="U475" s="2"/>
      <c r="V475" s="2"/>
      <c r="W475" s="2"/>
      <c r="X475" s="2"/>
      <c r="Y475" s="2"/>
      <c r="Z475" s="2"/>
    </row>
    <row r="476" ht="13.5" customHeight="1">
      <c r="A476" s="2"/>
      <c r="B476" s="2"/>
      <c r="C476" s="2"/>
      <c r="D476" s="2"/>
      <c r="E476" s="2"/>
      <c r="F476" s="2"/>
      <c r="G476" s="2"/>
      <c r="H476" s="2"/>
      <c r="I476" s="2"/>
      <c r="J476" s="2"/>
      <c r="K476" s="181"/>
      <c r="L476" s="2"/>
      <c r="M476" s="2"/>
      <c r="N476" s="2"/>
      <c r="O476" s="2"/>
      <c r="P476" s="2"/>
      <c r="Q476" s="157"/>
      <c r="R476" s="157"/>
      <c r="S476" s="2"/>
      <c r="T476" s="158"/>
      <c r="U476" s="2"/>
      <c r="V476" s="2"/>
      <c r="W476" s="2"/>
      <c r="X476" s="2"/>
      <c r="Y476" s="2"/>
      <c r="Z476" s="2"/>
    </row>
    <row r="477" ht="13.5" customHeight="1">
      <c r="A477" s="2"/>
      <c r="B477" s="2"/>
      <c r="C477" s="2"/>
      <c r="D477" s="2"/>
      <c r="E477" s="2"/>
      <c r="F477" s="2"/>
      <c r="G477" s="2"/>
      <c r="H477" s="2"/>
      <c r="I477" s="2"/>
      <c r="J477" s="2"/>
      <c r="K477" s="181"/>
      <c r="L477" s="2"/>
      <c r="M477" s="2"/>
      <c r="N477" s="2"/>
      <c r="O477" s="2"/>
      <c r="P477" s="2"/>
      <c r="Q477" s="157"/>
      <c r="R477" s="157"/>
      <c r="S477" s="2"/>
      <c r="T477" s="158"/>
      <c r="U477" s="2"/>
      <c r="V477" s="2"/>
      <c r="W477" s="2"/>
      <c r="X477" s="2"/>
      <c r="Y477" s="2"/>
      <c r="Z477" s="2"/>
    </row>
    <row r="478" ht="13.5" customHeight="1">
      <c r="A478" s="2"/>
      <c r="B478" s="2"/>
      <c r="C478" s="2"/>
      <c r="D478" s="2"/>
      <c r="E478" s="2"/>
      <c r="F478" s="2"/>
      <c r="G478" s="2"/>
      <c r="H478" s="2"/>
      <c r="I478" s="2"/>
      <c r="J478" s="2"/>
      <c r="K478" s="181"/>
      <c r="L478" s="2"/>
      <c r="M478" s="2"/>
      <c r="N478" s="2"/>
      <c r="O478" s="2"/>
      <c r="P478" s="2"/>
      <c r="Q478" s="157"/>
      <c r="R478" s="157"/>
      <c r="S478" s="2"/>
      <c r="T478" s="158"/>
      <c r="U478" s="2"/>
      <c r="V478" s="2"/>
      <c r="W478" s="2"/>
      <c r="X478" s="2"/>
      <c r="Y478" s="2"/>
      <c r="Z478" s="2"/>
    </row>
    <row r="479" ht="13.5" customHeight="1">
      <c r="A479" s="2"/>
      <c r="B479" s="2"/>
      <c r="C479" s="2"/>
      <c r="D479" s="2"/>
      <c r="E479" s="2"/>
      <c r="F479" s="2"/>
      <c r="G479" s="2"/>
      <c r="H479" s="2"/>
      <c r="I479" s="2"/>
      <c r="J479" s="2"/>
      <c r="K479" s="181"/>
      <c r="L479" s="2"/>
      <c r="M479" s="2"/>
      <c r="N479" s="2"/>
      <c r="O479" s="2"/>
      <c r="P479" s="2"/>
      <c r="Q479" s="157"/>
      <c r="R479" s="157"/>
      <c r="S479" s="2"/>
      <c r="T479" s="158"/>
      <c r="U479" s="2"/>
      <c r="V479" s="2"/>
      <c r="W479" s="2"/>
      <c r="X479" s="2"/>
      <c r="Y479" s="2"/>
      <c r="Z479" s="2"/>
    </row>
    <row r="480" ht="13.5" customHeight="1">
      <c r="A480" s="2"/>
      <c r="B480" s="2"/>
      <c r="C480" s="2"/>
      <c r="D480" s="2"/>
      <c r="E480" s="2"/>
      <c r="F480" s="2"/>
      <c r="G480" s="2"/>
      <c r="H480" s="2"/>
      <c r="I480" s="2"/>
      <c r="J480" s="2"/>
      <c r="K480" s="181"/>
      <c r="L480" s="2"/>
      <c r="M480" s="2"/>
      <c r="N480" s="2"/>
      <c r="O480" s="2"/>
      <c r="P480" s="2"/>
      <c r="Q480" s="157"/>
      <c r="R480" s="157"/>
      <c r="S480" s="2"/>
      <c r="T480" s="158"/>
      <c r="U480" s="2"/>
      <c r="V480" s="2"/>
      <c r="W480" s="2"/>
      <c r="X480" s="2"/>
      <c r="Y480" s="2"/>
      <c r="Z480" s="2"/>
    </row>
    <row r="481" ht="13.5" customHeight="1">
      <c r="A481" s="2"/>
      <c r="B481" s="2"/>
      <c r="C481" s="2"/>
      <c r="D481" s="2"/>
      <c r="E481" s="2"/>
      <c r="F481" s="2"/>
      <c r="G481" s="2"/>
      <c r="H481" s="2"/>
      <c r="I481" s="2"/>
      <c r="J481" s="2"/>
      <c r="K481" s="181"/>
      <c r="L481" s="2"/>
      <c r="M481" s="2"/>
      <c r="N481" s="2"/>
      <c r="O481" s="2"/>
      <c r="P481" s="2"/>
      <c r="Q481" s="157"/>
      <c r="R481" s="157"/>
      <c r="S481" s="2"/>
      <c r="T481" s="158"/>
      <c r="U481" s="2"/>
      <c r="V481" s="2"/>
      <c r="W481" s="2"/>
      <c r="X481" s="2"/>
      <c r="Y481" s="2"/>
      <c r="Z481" s="2"/>
    </row>
    <row r="482" ht="13.5" customHeight="1">
      <c r="A482" s="2"/>
      <c r="B482" s="2"/>
      <c r="C482" s="2"/>
      <c r="D482" s="2"/>
      <c r="E482" s="2"/>
      <c r="F482" s="2"/>
      <c r="G482" s="2"/>
      <c r="H482" s="2"/>
      <c r="I482" s="2"/>
      <c r="J482" s="2"/>
      <c r="K482" s="181"/>
      <c r="L482" s="2"/>
      <c r="M482" s="2"/>
      <c r="N482" s="2"/>
      <c r="O482" s="2"/>
      <c r="P482" s="2"/>
      <c r="Q482" s="157"/>
      <c r="R482" s="157"/>
      <c r="S482" s="2"/>
      <c r="T482" s="158"/>
      <c r="U482" s="2"/>
      <c r="V482" s="2"/>
      <c r="W482" s="2"/>
      <c r="X482" s="2"/>
      <c r="Y482" s="2"/>
      <c r="Z482" s="2"/>
    </row>
    <row r="483" ht="13.5" customHeight="1">
      <c r="A483" s="2"/>
      <c r="B483" s="2"/>
      <c r="C483" s="2"/>
      <c r="D483" s="2"/>
      <c r="E483" s="2"/>
      <c r="F483" s="2"/>
      <c r="G483" s="2"/>
      <c r="H483" s="2"/>
      <c r="I483" s="2"/>
      <c r="J483" s="2"/>
      <c r="K483" s="181"/>
      <c r="L483" s="2"/>
      <c r="M483" s="2"/>
      <c r="N483" s="2"/>
      <c r="O483" s="2"/>
      <c r="P483" s="2"/>
      <c r="Q483" s="157"/>
      <c r="R483" s="157"/>
      <c r="S483" s="2"/>
      <c r="T483" s="158"/>
      <c r="U483" s="2"/>
      <c r="V483" s="2"/>
      <c r="W483" s="2"/>
      <c r="X483" s="2"/>
      <c r="Y483" s="2"/>
      <c r="Z483" s="2"/>
    </row>
    <row r="484" ht="13.5" customHeight="1">
      <c r="A484" s="2"/>
      <c r="B484" s="2"/>
      <c r="C484" s="2"/>
      <c r="D484" s="2"/>
      <c r="E484" s="2"/>
      <c r="F484" s="2"/>
      <c r="G484" s="2"/>
      <c r="H484" s="2"/>
      <c r="I484" s="2"/>
      <c r="J484" s="2"/>
      <c r="K484" s="181"/>
      <c r="L484" s="2"/>
      <c r="M484" s="2"/>
      <c r="N484" s="2"/>
      <c r="O484" s="2"/>
      <c r="P484" s="2"/>
      <c r="Q484" s="157"/>
      <c r="R484" s="157"/>
      <c r="S484" s="2"/>
      <c r="T484" s="158"/>
      <c r="U484" s="2"/>
      <c r="V484" s="2"/>
      <c r="W484" s="2"/>
      <c r="X484" s="2"/>
      <c r="Y484" s="2"/>
      <c r="Z484" s="2"/>
    </row>
    <row r="485" ht="13.5" customHeight="1">
      <c r="A485" s="2"/>
      <c r="B485" s="2"/>
      <c r="C485" s="2"/>
      <c r="D485" s="2"/>
      <c r="E485" s="2"/>
      <c r="F485" s="2"/>
      <c r="G485" s="2"/>
      <c r="H485" s="2"/>
      <c r="I485" s="2"/>
      <c r="J485" s="2"/>
      <c r="K485" s="181"/>
      <c r="L485" s="2"/>
      <c r="M485" s="2"/>
      <c r="N485" s="2"/>
      <c r="O485" s="2"/>
      <c r="P485" s="2"/>
      <c r="Q485" s="157"/>
      <c r="R485" s="157"/>
      <c r="S485" s="2"/>
      <c r="T485" s="158"/>
      <c r="U485" s="2"/>
      <c r="V485" s="2"/>
      <c r="W485" s="2"/>
      <c r="X485" s="2"/>
      <c r="Y485" s="2"/>
      <c r="Z485" s="2"/>
    </row>
    <row r="486" ht="13.5" customHeight="1">
      <c r="A486" s="2"/>
      <c r="B486" s="2"/>
      <c r="C486" s="2"/>
      <c r="D486" s="2"/>
      <c r="E486" s="2"/>
      <c r="F486" s="2"/>
      <c r="G486" s="2"/>
      <c r="H486" s="2"/>
      <c r="I486" s="2"/>
      <c r="J486" s="2"/>
      <c r="K486" s="181"/>
      <c r="L486" s="2"/>
      <c r="M486" s="2"/>
      <c r="N486" s="2"/>
      <c r="O486" s="2"/>
      <c r="P486" s="2"/>
      <c r="Q486" s="157"/>
      <c r="R486" s="157"/>
      <c r="S486" s="2"/>
      <c r="T486" s="158"/>
      <c r="U486" s="2"/>
      <c r="V486" s="2"/>
      <c r="W486" s="2"/>
      <c r="X486" s="2"/>
      <c r="Y486" s="2"/>
      <c r="Z486" s="2"/>
    </row>
    <row r="487" ht="13.5" customHeight="1">
      <c r="A487" s="2"/>
      <c r="B487" s="2"/>
      <c r="C487" s="2"/>
      <c r="D487" s="2"/>
      <c r="E487" s="2"/>
      <c r="F487" s="2"/>
      <c r="G487" s="2"/>
      <c r="H487" s="2"/>
      <c r="I487" s="2"/>
      <c r="J487" s="2"/>
      <c r="K487" s="181"/>
      <c r="L487" s="2"/>
      <c r="M487" s="2"/>
      <c r="N487" s="2"/>
      <c r="O487" s="2"/>
      <c r="P487" s="2"/>
      <c r="Q487" s="157"/>
      <c r="R487" s="157"/>
      <c r="S487" s="2"/>
      <c r="T487" s="158"/>
      <c r="U487" s="2"/>
      <c r="V487" s="2"/>
      <c r="W487" s="2"/>
      <c r="X487" s="2"/>
      <c r="Y487" s="2"/>
      <c r="Z487" s="2"/>
    </row>
    <row r="488" ht="13.5" customHeight="1">
      <c r="A488" s="2"/>
      <c r="B488" s="2"/>
      <c r="C488" s="2"/>
      <c r="D488" s="2"/>
      <c r="E488" s="2"/>
      <c r="F488" s="2"/>
      <c r="G488" s="2"/>
      <c r="H488" s="2"/>
      <c r="I488" s="2"/>
      <c r="J488" s="2"/>
      <c r="K488" s="181"/>
      <c r="L488" s="2"/>
      <c r="M488" s="2"/>
      <c r="N488" s="2"/>
      <c r="O488" s="2"/>
      <c r="P488" s="2"/>
      <c r="Q488" s="157"/>
      <c r="R488" s="157"/>
      <c r="S488" s="2"/>
      <c r="T488" s="158"/>
      <c r="U488" s="2"/>
      <c r="V488" s="2"/>
      <c r="W488" s="2"/>
      <c r="X488" s="2"/>
      <c r="Y488" s="2"/>
      <c r="Z488" s="2"/>
    </row>
    <row r="489" ht="13.5" customHeight="1">
      <c r="A489" s="2"/>
      <c r="B489" s="2"/>
      <c r="C489" s="2"/>
      <c r="D489" s="2"/>
      <c r="E489" s="2"/>
      <c r="F489" s="2"/>
      <c r="G489" s="2"/>
      <c r="H489" s="2"/>
      <c r="I489" s="2"/>
      <c r="J489" s="2"/>
      <c r="K489" s="181"/>
      <c r="L489" s="2"/>
      <c r="M489" s="2"/>
      <c r="N489" s="2"/>
      <c r="O489" s="2"/>
      <c r="P489" s="2"/>
      <c r="Q489" s="157"/>
      <c r="R489" s="157"/>
      <c r="S489" s="2"/>
      <c r="T489" s="158"/>
      <c r="U489" s="2"/>
      <c r="V489" s="2"/>
      <c r="W489" s="2"/>
      <c r="X489" s="2"/>
      <c r="Y489" s="2"/>
      <c r="Z489" s="2"/>
    </row>
    <row r="490" ht="13.5" customHeight="1">
      <c r="A490" s="2"/>
      <c r="B490" s="2"/>
      <c r="C490" s="2"/>
      <c r="D490" s="2"/>
      <c r="E490" s="2"/>
      <c r="F490" s="2"/>
      <c r="G490" s="2"/>
      <c r="H490" s="2"/>
      <c r="I490" s="2"/>
      <c r="J490" s="2"/>
      <c r="K490" s="181"/>
      <c r="L490" s="2"/>
      <c r="M490" s="2"/>
      <c r="N490" s="2"/>
      <c r="O490" s="2"/>
      <c r="P490" s="2"/>
      <c r="Q490" s="157"/>
      <c r="R490" s="157"/>
      <c r="S490" s="2"/>
      <c r="T490" s="158"/>
      <c r="U490" s="2"/>
      <c r="V490" s="2"/>
      <c r="W490" s="2"/>
      <c r="X490" s="2"/>
      <c r="Y490" s="2"/>
      <c r="Z490" s="2"/>
    </row>
    <row r="491" ht="13.5" customHeight="1">
      <c r="A491" s="2"/>
      <c r="B491" s="2"/>
      <c r="C491" s="2"/>
      <c r="D491" s="2"/>
      <c r="E491" s="2"/>
      <c r="F491" s="2"/>
      <c r="G491" s="2"/>
      <c r="H491" s="2"/>
      <c r="I491" s="2"/>
      <c r="J491" s="2"/>
      <c r="K491" s="181"/>
      <c r="L491" s="2"/>
      <c r="M491" s="2"/>
      <c r="N491" s="2"/>
      <c r="O491" s="2"/>
      <c r="P491" s="2"/>
      <c r="Q491" s="157"/>
      <c r="R491" s="157"/>
      <c r="S491" s="2"/>
      <c r="T491" s="158"/>
      <c r="U491" s="2"/>
      <c r="V491" s="2"/>
      <c r="W491" s="2"/>
      <c r="X491" s="2"/>
      <c r="Y491" s="2"/>
      <c r="Z491" s="2"/>
    </row>
    <row r="492" ht="13.5" customHeight="1">
      <c r="A492" s="2"/>
      <c r="B492" s="2"/>
      <c r="C492" s="2"/>
      <c r="D492" s="2"/>
      <c r="E492" s="2"/>
      <c r="F492" s="2"/>
      <c r="G492" s="2"/>
      <c r="H492" s="2"/>
      <c r="I492" s="2"/>
      <c r="J492" s="2"/>
      <c r="K492" s="181"/>
      <c r="L492" s="2"/>
      <c r="M492" s="2"/>
      <c r="N492" s="2"/>
      <c r="O492" s="2"/>
      <c r="P492" s="2"/>
      <c r="Q492" s="157"/>
      <c r="R492" s="157"/>
      <c r="S492" s="2"/>
      <c r="T492" s="158"/>
      <c r="U492" s="2"/>
      <c r="V492" s="2"/>
      <c r="W492" s="2"/>
      <c r="X492" s="2"/>
      <c r="Y492" s="2"/>
      <c r="Z492" s="2"/>
    </row>
    <row r="493" ht="13.5" customHeight="1">
      <c r="A493" s="2"/>
      <c r="B493" s="2"/>
      <c r="C493" s="2"/>
      <c r="D493" s="2"/>
      <c r="E493" s="2"/>
      <c r="F493" s="2"/>
      <c r="G493" s="2"/>
      <c r="H493" s="2"/>
      <c r="I493" s="2"/>
      <c r="J493" s="2"/>
      <c r="K493" s="181"/>
      <c r="L493" s="2"/>
      <c r="M493" s="2"/>
      <c r="N493" s="2"/>
      <c r="O493" s="2"/>
      <c r="P493" s="2"/>
      <c r="Q493" s="157"/>
      <c r="R493" s="157"/>
      <c r="S493" s="2"/>
      <c r="T493" s="158"/>
      <c r="U493" s="2"/>
      <c r="V493" s="2"/>
      <c r="W493" s="2"/>
      <c r="X493" s="2"/>
      <c r="Y493" s="2"/>
      <c r="Z493" s="2"/>
    </row>
    <row r="494" ht="13.5" customHeight="1">
      <c r="A494" s="2"/>
      <c r="B494" s="2"/>
      <c r="C494" s="2"/>
      <c r="D494" s="2"/>
      <c r="E494" s="2"/>
      <c r="F494" s="2"/>
      <c r="G494" s="2"/>
      <c r="H494" s="2"/>
      <c r="I494" s="2"/>
      <c r="J494" s="2"/>
      <c r="K494" s="181"/>
      <c r="L494" s="2"/>
      <c r="M494" s="2"/>
      <c r="N494" s="2"/>
      <c r="O494" s="2"/>
      <c r="P494" s="2"/>
      <c r="Q494" s="157"/>
      <c r="R494" s="157"/>
      <c r="S494" s="2"/>
      <c r="T494" s="158"/>
      <c r="U494" s="2"/>
      <c r="V494" s="2"/>
      <c r="W494" s="2"/>
      <c r="X494" s="2"/>
      <c r="Y494" s="2"/>
      <c r="Z494" s="2"/>
    </row>
    <row r="495" ht="13.5" customHeight="1">
      <c r="A495" s="2"/>
      <c r="B495" s="2"/>
      <c r="C495" s="2"/>
      <c r="D495" s="2"/>
      <c r="E495" s="2"/>
      <c r="F495" s="2"/>
      <c r="G495" s="2"/>
      <c r="H495" s="2"/>
      <c r="I495" s="2"/>
      <c r="J495" s="2"/>
      <c r="K495" s="181"/>
      <c r="L495" s="2"/>
      <c r="M495" s="2"/>
      <c r="N495" s="2"/>
      <c r="O495" s="2"/>
      <c r="P495" s="2"/>
      <c r="Q495" s="157"/>
      <c r="R495" s="157"/>
      <c r="S495" s="2"/>
      <c r="T495" s="158"/>
      <c r="U495" s="2"/>
      <c r="V495" s="2"/>
      <c r="W495" s="2"/>
      <c r="X495" s="2"/>
      <c r="Y495" s="2"/>
      <c r="Z495" s="2"/>
    </row>
    <row r="496" ht="13.5" customHeight="1">
      <c r="A496" s="2"/>
      <c r="B496" s="2"/>
      <c r="C496" s="2"/>
      <c r="D496" s="2"/>
      <c r="E496" s="2"/>
      <c r="F496" s="2"/>
      <c r="G496" s="2"/>
      <c r="H496" s="2"/>
      <c r="I496" s="2"/>
      <c r="J496" s="2"/>
      <c r="K496" s="181"/>
      <c r="L496" s="2"/>
      <c r="M496" s="2"/>
      <c r="N496" s="2"/>
      <c r="O496" s="2"/>
      <c r="P496" s="2"/>
      <c r="Q496" s="157"/>
      <c r="R496" s="157"/>
      <c r="S496" s="2"/>
      <c r="T496" s="158"/>
      <c r="U496" s="2"/>
      <c r="V496" s="2"/>
      <c r="W496" s="2"/>
      <c r="X496" s="2"/>
      <c r="Y496" s="2"/>
      <c r="Z496" s="2"/>
    </row>
    <row r="497" ht="13.5" customHeight="1">
      <c r="A497" s="2"/>
      <c r="B497" s="2"/>
      <c r="C497" s="2"/>
      <c r="D497" s="2"/>
      <c r="E497" s="2"/>
      <c r="F497" s="2"/>
      <c r="G497" s="2"/>
      <c r="H497" s="2"/>
      <c r="I497" s="2"/>
      <c r="J497" s="2"/>
      <c r="K497" s="181"/>
      <c r="L497" s="2"/>
      <c r="M497" s="2"/>
      <c r="N497" s="2"/>
      <c r="O497" s="2"/>
      <c r="P497" s="2"/>
      <c r="Q497" s="157"/>
      <c r="R497" s="157"/>
      <c r="S497" s="2"/>
      <c r="T497" s="158"/>
      <c r="U497" s="2"/>
      <c r="V497" s="2"/>
      <c r="W497" s="2"/>
      <c r="X497" s="2"/>
      <c r="Y497" s="2"/>
      <c r="Z497" s="2"/>
    </row>
    <row r="498" ht="13.5" customHeight="1">
      <c r="A498" s="2"/>
      <c r="B498" s="2"/>
      <c r="C498" s="2"/>
      <c r="D498" s="2"/>
      <c r="E498" s="2"/>
      <c r="F498" s="2"/>
      <c r="G498" s="2"/>
      <c r="H498" s="2"/>
      <c r="I498" s="2"/>
      <c r="J498" s="2"/>
      <c r="K498" s="181"/>
      <c r="L498" s="2"/>
      <c r="M498" s="2"/>
      <c r="N498" s="2"/>
      <c r="O498" s="2"/>
      <c r="P498" s="2"/>
      <c r="Q498" s="157"/>
      <c r="R498" s="157"/>
      <c r="S498" s="2"/>
      <c r="T498" s="158"/>
      <c r="U498" s="2"/>
      <c r="V498" s="2"/>
      <c r="W498" s="2"/>
      <c r="X498" s="2"/>
      <c r="Y498" s="2"/>
      <c r="Z498" s="2"/>
    </row>
    <row r="499" ht="13.5" customHeight="1">
      <c r="A499" s="2"/>
      <c r="B499" s="2"/>
      <c r="C499" s="2"/>
      <c r="D499" s="2"/>
      <c r="E499" s="2"/>
      <c r="F499" s="2"/>
      <c r="G499" s="2"/>
      <c r="H499" s="2"/>
      <c r="I499" s="2"/>
      <c r="J499" s="2"/>
      <c r="K499" s="181"/>
      <c r="L499" s="2"/>
      <c r="M499" s="2"/>
      <c r="N499" s="2"/>
      <c r="O499" s="2"/>
      <c r="P499" s="2"/>
      <c r="Q499" s="157"/>
      <c r="R499" s="157"/>
      <c r="S499" s="2"/>
      <c r="T499" s="158"/>
      <c r="U499" s="2"/>
      <c r="V499" s="2"/>
      <c r="W499" s="2"/>
      <c r="X499" s="2"/>
      <c r="Y499" s="2"/>
      <c r="Z499" s="2"/>
    </row>
    <row r="500" ht="13.5" customHeight="1">
      <c r="A500" s="2"/>
      <c r="B500" s="2"/>
      <c r="C500" s="2"/>
      <c r="D500" s="2"/>
      <c r="E500" s="2"/>
      <c r="F500" s="2"/>
      <c r="G500" s="2"/>
      <c r="H500" s="2"/>
      <c r="I500" s="2"/>
      <c r="J500" s="2"/>
      <c r="K500" s="181"/>
      <c r="L500" s="2"/>
      <c r="M500" s="2"/>
      <c r="N500" s="2"/>
      <c r="O500" s="2"/>
      <c r="P500" s="2"/>
      <c r="Q500" s="157"/>
      <c r="R500" s="157"/>
      <c r="S500" s="2"/>
      <c r="T500" s="158"/>
      <c r="U500" s="2"/>
      <c r="V500" s="2"/>
      <c r="W500" s="2"/>
      <c r="X500" s="2"/>
      <c r="Y500" s="2"/>
      <c r="Z500" s="2"/>
    </row>
    <row r="501" ht="13.5" customHeight="1">
      <c r="A501" s="2"/>
      <c r="B501" s="2"/>
      <c r="C501" s="2"/>
      <c r="D501" s="2"/>
      <c r="E501" s="2"/>
      <c r="F501" s="2"/>
      <c r="G501" s="2"/>
      <c r="H501" s="2"/>
      <c r="I501" s="2"/>
      <c r="J501" s="2"/>
      <c r="K501" s="181"/>
      <c r="L501" s="2"/>
      <c r="M501" s="2"/>
      <c r="N501" s="2"/>
      <c r="O501" s="2"/>
      <c r="P501" s="2"/>
      <c r="Q501" s="157"/>
      <c r="R501" s="157"/>
      <c r="S501" s="2"/>
      <c r="T501" s="158"/>
      <c r="U501" s="2"/>
      <c r="V501" s="2"/>
      <c r="W501" s="2"/>
      <c r="X501" s="2"/>
      <c r="Y501" s="2"/>
      <c r="Z501" s="2"/>
    </row>
    <row r="502" ht="13.5" customHeight="1">
      <c r="A502" s="2"/>
      <c r="B502" s="2"/>
      <c r="C502" s="2"/>
      <c r="D502" s="2"/>
      <c r="E502" s="2"/>
      <c r="F502" s="2"/>
      <c r="G502" s="2"/>
      <c r="H502" s="2"/>
      <c r="I502" s="2"/>
      <c r="J502" s="2"/>
      <c r="K502" s="181"/>
      <c r="L502" s="2"/>
      <c r="M502" s="2"/>
      <c r="N502" s="2"/>
      <c r="O502" s="2"/>
      <c r="P502" s="2"/>
      <c r="Q502" s="157"/>
      <c r="R502" s="157"/>
      <c r="S502" s="2"/>
      <c r="T502" s="158"/>
      <c r="U502" s="2"/>
      <c r="V502" s="2"/>
      <c r="W502" s="2"/>
      <c r="X502" s="2"/>
      <c r="Y502" s="2"/>
      <c r="Z502" s="2"/>
    </row>
    <row r="503" ht="13.5" customHeight="1">
      <c r="A503" s="2"/>
      <c r="B503" s="2"/>
      <c r="C503" s="2"/>
      <c r="D503" s="2"/>
      <c r="E503" s="2"/>
      <c r="F503" s="2"/>
      <c r="G503" s="2"/>
      <c r="H503" s="2"/>
      <c r="I503" s="2"/>
      <c r="J503" s="2"/>
      <c r="K503" s="181"/>
      <c r="L503" s="2"/>
      <c r="M503" s="2"/>
      <c r="N503" s="2"/>
      <c r="O503" s="2"/>
      <c r="P503" s="2"/>
      <c r="Q503" s="157"/>
      <c r="R503" s="157"/>
      <c r="S503" s="2"/>
      <c r="T503" s="158"/>
      <c r="U503" s="2"/>
      <c r="V503" s="2"/>
      <c r="W503" s="2"/>
      <c r="X503" s="2"/>
      <c r="Y503" s="2"/>
      <c r="Z503" s="2"/>
    </row>
    <row r="504" ht="13.5" customHeight="1">
      <c r="A504" s="2"/>
      <c r="B504" s="2"/>
      <c r="C504" s="2"/>
      <c r="D504" s="2"/>
      <c r="E504" s="2"/>
      <c r="F504" s="2"/>
      <c r="G504" s="2"/>
      <c r="H504" s="2"/>
      <c r="I504" s="2"/>
      <c r="J504" s="2"/>
      <c r="K504" s="181"/>
      <c r="L504" s="2"/>
      <c r="M504" s="2"/>
      <c r="N504" s="2"/>
      <c r="O504" s="2"/>
      <c r="P504" s="2"/>
      <c r="Q504" s="157"/>
      <c r="R504" s="157"/>
      <c r="S504" s="2"/>
      <c r="T504" s="158"/>
      <c r="U504" s="2"/>
      <c r="V504" s="2"/>
      <c r="W504" s="2"/>
      <c r="X504" s="2"/>
      <c r="Y504" s="2"/>
      <c r="Z504" s="2"/>
    </row>
    <row r="505" ht="13.5" customHeight="1">
      <c r="A505" s="2"/>
      <c r="B505" s="2"/>
      <c r="C505" s="2"/>
      <c r="D505" s="2"/>
      <c r="E505" s="2"/>
      <c r="F505" s="2"/>
      <c r="G505" s="2"/>
      <c r="H505" s="2"/>
      <c r="I505" s="2"/>
      <c r="J505" s="2"/>
      <c r="K505" s="181"/>
      <c r="L505" s="2"/>
      <c r="M505" s="2"/>
      <c r="N505" s="2"/>
      <c r="O505" s="2"/>
      <c r="P505" s="2"/>
      <c r="Q505" s="157"/>
      <c r="R505" s="157"/>
      <c r="S505" s="2"/>
      <c r="T505" s="158"/>
      <c r="U505" s="2"/>
      <c r="V505" s="2"/>
      <c r="W505" s="2"/>
      <c r="X505" s="2"/>
      <c r="Y505" s="2"/>
      <c r="Z505" s="2"/>
    </row>
    <row r="506" ht="13.5" customHeight="1">
      <c r="A506" s="2"/>
      <c r="B506" s="2"/>
      <c r="C506" s="2"/>
      <c r="D506" s="2"/>
      <c r="E506" s="2"/>
      <c r="F506" s="2"/>
      <c r="G506" s="2"/>
      <c r="H506" s="2"/>
      <c r="I506" s="2"/>
      <c r="J506" s="2"/>
      <c r="K506" s="181"/>
      <c r="L506" s="2"/>
      <c r="M506" s="2"/>
      <c r="N506" s="2"/>
      <c r="O506" s="2"/>
      <c r="P506" s="2"/>
      <c r="Q506" s="157"/>
      <c r="R506" s="157"/>
      <c r="S506" s="2"/>
      <c r="T506" s="158"/>
      <c r="U506" s="2"/>
      <c r="V506" s="2"/>
      <c r="W506" s="2"/>
      <c r="X506" s="2"/>
      <c r="Y506" s="2"/>
      <c r="Z506" s="2"/>
    </row>
    <row r="507" ht="13.5" customHeight="1">
      <c r="A507" s="2"/>
      <c r="B507" s="2"/>
      <c r="C507" s="2"/>
      <c r="D507" s="2"/>
      <c r="E507" s="2"/>
      <c r="F507" s="2"/>
      <c r="G507" s="2"/>
      <c r="H507" s="2"/>
      <c r="I507" s="2"/>
      <c r="J507" s="2"/>
      <c r="K507" s="181"/>
      <c r="L507" s="2"/>
      <c r="M507" s="2"/>
      <c r="N507" s="2"/>
      <c r="O507" s="2"/>
      <c r="P507" s="2"/>
      <c r="Q507" s="157"/>
      <c r="R507" s="157"/>
      <c r="S507" s="2"/>
      <c r="T507" s="158"/>
      <c r="U507" s="2"/>
      <c r="V507" s="2"/>
      <c r="W507" s="2"/>
      <c r="X507" s="2"/>
      <c r="Y507" s="2"/>
      <c r="Z507" s="2"/>
    </row>
    <row r="508" ht="13.5" customHeight="1">
      <c r="A508" s="2"/>
      <c r="B508" s="2"/>
      <c r="C508" s="2"/>
      <c r="D508" s="2"/>
      <c r="E508" s="2"/>
      <c r="F508" s="2"/>
      <c r="G508" s="2"/>
      <c r="H508" s="2"/>
      <c r="I508" s="2"/>
      <c r="J508" s="2"/>
      <c r="K508" s="181"/>
      <c r="L508" s="2"/>
      <c r="M508" s="2"/>
      <c r="N508" s="2"/>
      <c r="O508" s="2"/>
      <c r="P508" s="2"/>
      <c r="Q508" s="157"/>
      <c r="R508" s="157"/>
      <c r="S508" s="2"/>
      <c r="T508" s="158"/>
      <c r="U508" s="2"/>
      <c r="V508" s="2"/>
      <c r="W508" s="2"/>
      <c r="X508" s="2"/>
      <c r="Y508" s="2"/>
      <c r="Z508" s="2"/>
    </row>
    <row r="509" ht="13.5" customHeight="1">
      <c r="A509" s="2"/>
      <c r="B509" s="2"/>
      <c r="C509" s="2"/>
      <c r="D509" s="2"/>
      <c r="E509" s="2"/>
      <c r="F509" s="2"/>
      <c r="G509" s="2"/>
      <c r="H509" s="2"/>
      <c r="I509" s="2"/>
      <c r="J509" s="2"/>
      <c r="K509" s="181"/>
      <c r="L509" s="2"/>
      <c r="M509" s="2"/>
      <c r="N509" s="2"/>
      <c r="O509" s="2"/>
      <c r="P509" s="2"/>
      <c r="Q509" s="157"/>
      <c r="R509" s="157"/>
      <c r="S509" s="2"/>
      <c r="T509" s="158"/>
      <c r="U509" s="2"/>
      <c r="V509" s="2"/>
      <c r="W509" s="2"/>
      <c r="X509" s="2"/>
      <c r="Y509" s="2"/>
      <c r="Z509" s="2"/>
    </row>
    <row r="510" ht="13.5" customHeight="1">
      <c r="A510" s="2"/>
      <c r="B510" s="2"/>
      <c r="C510" s="2"/>
      <c r="D510" s="2"/>
      <c r="E510" s="2"/>
      <c r="F510" s="2"/>
      <c r="G510" s="2"/>
      <c r="H510" s="2"/>
      <c r="I510" s="2"/>
      <c r="J510" s="2"/>
      <c r="K510" s="181"/>
      <c r="L510" s="2"/>
      <c r="M510" s="2"/>
      <c r="N510" s="2"/>
      <c r="O510" s="2"/>
      <c r="P510" s="2"/>
      <c r="Q510" s="157"/>
      <c r="R510" s="157"/>
      <c r="S510" s="2"/>
      <c r="T510" s="158"/>
      <c r="U510" s="2"/>
      <c r="V510" s="2"/>
      <c r="W510" s="2"/>
      <c r="X510" s="2"/>
      <c r="Y510" s="2"/>
      <c r="Z510" s="2"/>
    </row>
    <row r="511" ht="13.5" customHeight="1">
      <c r="A511" s="2"/>
      <c r="B511" s="2"/>
      <c r="C511" s="2"/>
      <c r="D511" s="2"/>
      <c r="E511" s="2"/>
      <c r="F511" s="2"/>
      <c r="G511" s="2"/>
      <c r="H511" s="2"/>
      <c r="I511" s="2"/>
      <c r="J511" s="2"/>
      <c r="K511" s="181"/>
      <c r="L511" s="2"/>
      <c r="M511" s="2"/>
      <c r="N511" s="2"/>
      <c r="O511" s="2"/>
      <c r="P511" s="2"/>
      <c r="Q511" s="157"/>
      <c r="R511" s="157"/>
      <c r="S511" s="2"/>
      <c r="T511" s="158"/>
      <c r="U511" s="2"/>
      <c r="V511" s="2"/>
      <c r="W511" s="2"/>
      <c r="X511" s="2"/>
      <c r="Y511" s="2"/>
      <c r="Z511" s="2"/>
    </row>
    <row r="512" ht="13.5" customHeight="1">
      <c r="A512" s="2"/>
      <c r="B512" s="2"/>
      <c r="C512" s="2"/>
      <c r="D512" s="2"/>
      <c r="E512" s="2"/>
      <c r="F512" s="2"/>
      <c r="G512" s="2"/>
      <c r="H512" s="2"/>
      <c r="I512" s="2"/>
      <c r="J512" s="2"/>
      <c r="K512" s="181"/>
      <c r="L512" s="2"/>
      <c r="M512" s="2"/>
      <c r="N512" s="2"/>
      <c r="O512" s="2"/>
      <c r="P512" s="2"/>
      <c r="Q512" s="157"/>
      <c r="R512" s="157"/>
      <c r="S512" s="2"/>
      <c r="T512" s="158"/>
      <c r="U512" s="2"/>
      <c r="V512" s="2"/>
      <c r="W512" s="2"/>
      <c r="X512" s="2"/>
      <c r="Y512" s="2"/>
      <c r="Z512" s="2"/>
    </row>
    <row r="513" ht="13.5" customHeight="1">
      <c r="A513" s="2"/>
      <c r="B513" s="2"/>
      <c r="C513" s="2"/>
      <c r="D513" s="2"/>
      <c r="E513" s="2"/>
      <c r="F513" s="2"/>
      <c r="G513" s="2"/>
      <c r="H513" s="2"/>
      <c r="I513" s="2"/>
      <c r="J513" s="2"/>
      <c r="K513" s="181"/>
      <c r="L513" s="2"/>
      <c r="M513" s="2"/>
      <c r="N513" s="2"/>
      <c r="O513" s="2"/>
      <c r="P513" s="2"/>
      <c r="Q513" s="157"/>
      <c r="R513" s="157"/>
      <c r="S513" s="2"/>
      <c r="T513" s="158"/>
      <c r="U513" s="2"/>
      <c r="V513" s="2"/>
      <c r="W513" s="2"/>
      <c r="X513" s="2"/>
      <c r="Y513" s="2"/>
      <c r="Z513" s="2"/>
    </row>
    <row r="514" ht="13.5" customHeight="1">
      <c r="A514" s="2"/>
      <c r="B514" s="2"/>
      <c r="C514" s="2"/>
      <c r="D514" s="2"/>
      <c r="E514" s="2"/>
      <c r="F514" s="2"/>
      <c r="G514" s="2"/>
      <c r="H514" s="2"/>
      <c r="I514" s="2"/>
      <c r="J514" s="2"/>
      <c r="K514" s="181"/>
      <c r="L514" s="2"/>
      <c r="M514" s="2"/>
      <c r="N514" s="2"/>
      <c r="O514" s="2"/>
      <c r="P514" s="2"/>
      <c r="Q514" s="157"/>
      <c r="R514" s="157"/>
      <c r="S514" s="2"/>
      <c r="T514" s="158"/>
      <c r="U514" s="2"/>
      <c r="V514" s="2"/>
      <c r="W514" s="2"/>
      <c r="X514" s="2"/>
      <c r="Y514" s="2"/>
      <c r="Z514" s="2"/>
    </row>
    <row r="515" ht="13.5" customHeight="1">
      <c r="A515" s="2"/>
      <c r="B515" s="2"/>
      <c r="C515" s="2"/>
      <c r="D515" s="2"/>
      <c r="E515" s="2"/>
      <c r="F515" s="2"/>
      <c r="G515" s="2"/>
      <c r="H515" s="2"/>
      <c r="I515" s="2"/>
      <c r="J515" s="2"/>
      <c r="K515" s="181"/>
      <c r="L515" s="2"/>
      <c r="M515" s="2"/>
      <c r="N515" s="2"/>
      <c r="O515" s="2"/>
      <c r="P515" s="2"/>
      <c r="Q515" s="157"/>
      <c r="R515" s="157"/>
      <c r="S515" s="2"/>
      <c r="T515" s="158"/>
      <c r="U515" s="2"/>
      <c r="V515" s="2"/>
      <c r="W515" s="2"/>
      <c r="X515" s="2"/>
      <c r="Y515" s="2"/>
      <c r="Z515" s="2"/>
    </row>
    <row r="516" ht="13.5" customHeight="1">
      <c r="A516" s="2"/>
      <c r="B516" s="2"/>
      <c r="C516" s="2"/>
      <c r="D516" s="2"/>
      <c r="E516" s="2"/>
      <c r="F516" s="2"/>
      <c r="G516" s="2"/>
      <c r="H516" s="2"/>
      <c r="I516" s="2"/>
      <c r="J516" s="2"/>
      <c r="K516" s="181"/>
      <c r="L516" s="2"/>
      <c r="M516" s="2"/>
      <c r="N516" s="2"/>
      <c r="O516" s="2"/>
      <c r="P516" s="2"/>
      <c r="Q516" s="157"/>
      <c r="R516" s="157"/>
      <c r="S516" s="2"/>
      <c r="T516" s="158"/>
      <c r="U516" s="2"/>
      <c r="V516" s="2"/>
      <c r="W516" s="2"/>
      <c r="X516" s="2"/>
      <c r="Y516" s="2"/>
      <c r="Z516" s="2"/>
    </row>
    <row r="517" ht="13.5" customHeight="1">
      <c r="A517" s="2"/>
      <c r="B517" s="2"/>
      <c r="C517" s="2"/>
      <c r="D517" s="2"/>
      <c r="E517" s="2"/>
      <c r="F517" s="2"/>
      <c r="G517" s="2"/>
      <c r="H517" s="2"/>
      <c r="I517" s="2"/>
      <c r="J517" s="2"/>
      <c r="K517" s="181"/>
      <c r="L517" s="2"/>
      <c r="M517" s="2"/>
      <c r="N517" s="2"/>
      <c r="O517" s="2"/>
      <c r="P517" s="2"/>
      <c r="Q517" s="157"/>
      <c r="R517" s="157"/>
      <c r="S517" s="2"/>
      <c r="T517" s="158"/>
      <c r="U517" s="2"/>
      <c r="V517" s="2"/>
      <c r="W517" s="2"/>
      <c r="X517" s="2"/>
      <c r="Y517" s="2"/>
      <c r="Z517" s="2"/>
    </row>
    <row r="518" ht="13.5" customHeight="1">
      <c r="A518" s="2"/>
      <c r="B518" s="2"/>
      <c r="C518" s="2"/>
      <c r="D518" s="2"/>
      <c r="E518" s="2"/>
      <c r="F518" s="2"/>
      <c r="G518" s="2"/>
      <c r="H518" s="2"/>
      <c r="I518" s="2"/>
      <c r="J518" s="2"/>
      <c r="K518" s="181"/>
      <c r="L518" s="2"/>
      <c r="M518" s="2"/>
      <c r="N518" s="2"/>
      <c r="O518" s="2"/>
      <c r="P518" s="2"/>
      <c r="Q518" s="157"/>
      <c r="R518" s="157"/>
      <c r="S518" s="2"/>
      <c r="T518" s="158"/>
      <c r="U518" s="2"/>
      <c r="V518" s="2"/>
      <c r="W518" s="2"/>
      <c r="X518" s="2"/>
      <c r="Y518" s="2"/>
      <c r="Z518" s="2"/>
    </row>
    <row r="519" ht="13.5" customHeight="1">
      <c r="A519" s="2"/>
      <c r="B519" s="2"/>
      <c r="C519" s="2"/>
      <c r="D519" s="2"/>
      <c r="E519" s="2"/>
      <c r="F519" s="2"/>
      <c r="G519" s="2"/>
      <c r="H519" s="2"/>
      <c r="I519" s="2"/>
      <c r="J519" s="2"/>
      <c r="K519" s="181"/>
      <c r="L519" s="2"/>
      <c r="M519" s="2"/>
      <c r="N519" s="2"/>
      <c r="O519" s="2"/>
      <c r="P519" s="2"/>
      <c r="Q519" s="157"/>
      <c r="R519" s="157"/>
      <c r="S519" s="2"/>
      <c r="T519" s="158"/>
      <c r="U519" s="2"/>
      <c r="V519" s="2"/>
      <c r="W519" s="2"/>
      <c r="X519" s="2"/>
      <c r="Y519" s="2"/>
      <c r="Z519" s="2"/>
    </row>
    <row r="520" ht="13.5" customHeight="1">
      <c r="A520" s="2"/>
      <c r="B520" s="2"/>
      <c r="C520" s="2"/>
      <c r="D520" s="2"/>
      <c r="E520" s="2"/>
      <c r="F520" s="2"/>
      <c r="G520" s="2"/>
      <c r="H520" s="2"/>
      <c r="I520" s="2"/>
      <c r="J520" s="2"/>
      <c r="K520" s="181"/>
      <c r="L520" s="2"/>
      <c r="M520" s="2"/>
      <c r="N520" s="2"/>
      <c r="O520" s="2"/>
      <c r="P520" s="2"/>
      <c r="Q520" s="157"/>
      <c r="R520" s="157"/>
      <c r="S520" s="2"/>
      <c r="T520" s="158"/>
      <c r="U520" s="2"/>
      <c r="V520" s="2"/>
      <c r="W520" s="2"/>
      <c r="X520" s="2"/>
      <c r="Y520" s="2"/>
      <c r="Z520" s="2"/>
    </row>
    <row r="521" ht="13.5" customHeight="1">
      <c r="A521" s="2"/>
      <c r="B521" s="2"/>
      <c r="C521" s="2"/>
      <c r="D521" s="2"/>
      <c r="E521" s="2"/>
      <c r="F521" s="2"/>
      <c r="G521" s="2"/>
      <c r="H521" s="2"/>
      <c r="I521" s="2"/>
      <c r="J521" s="2"/>
      <c r="K521" s="181"/>
      <c r="L521" s="2"/>
      <c r="M521" s="2"/>
      <c r="N521" s="2"/>
      <c r="O521" s="2"/>
      <c r="P521" s="2"/>
      <c r="Q521" s="157"/>
      <c r="R521" s="157"/>
      <c r="S521" s="2"/>
      <c r="T521" s="158"/>
      <c r="U521" s="2"/>
      <c r="V521" s="2"/>
      <c r="W521" s="2"/>
      <c r="X521" s="2"/>
      <c r="Y521" s="2"/>
      <c r="Z521" s="2"/>
    </row>
    <row r="522" ht="13.5" customHeight="1">
      <c r="A522" s="2"/>
      <c r="B522" s="2"/>
      <c r="C522" s="2"/>
      <c r="D522" s="2"/>
      <c r="E522" s="2"/>
      <c r="F522" s="2"/>
      <c r="G522" s="2"/>
      <c r="H522" s="2"/>
      <c r="I522" s="2"/>
      <c r="J522" s="2"/>
      <c r="K522" s="181"/>
      <c r="L522" s="2"/>
      <c r="M522" s="2"/>
      <c r="N522" s="2"/>
      <c r="O522" s="2"/>
      <c r="P522" s="2"/>
      <c r="Q522" s="157"/>
      <c r="R522" s="157"/>
      <c r="S522" s="2"/>
      <c r="T522" s="158"/>
      <c r="U522" s="2"/>
      <c r="V522" s="2"/>
      <c r="W522" s="2"/>
      <c r="X522" s="2"/>
      <c r="Y522" s="2"/>
      <c r="Z522" s="2"/>
    </row>
    <row r="523" ht="13.5" customHeight="1">
      <c r="A523" s="2"/>
      <c r="B523" s="2"/>
      <c r="C523" s="2"/>
      <c r="D523" s="2"/>
      <c r="E523" s="2"/>
      <c r="F523" s="2"/>
      <c r="G523" s="2"/>
      <c r="H523" s="2"/>
      <c r="I523" s="2"/>
      <c r="J523" s="2"/>
      <c r="K523" s="181"/>
      <c r="L523" s="2"/>
      <c r="M523" s="2"/>
      <c r="N523" s="2"/>
      <c r="O523" s="2"/>
      <c r="P523" s="2"/>
      <c r="Q523" s="157"/>
      <c r="R523" s="157"/>
      <c r="S523" s="2"/>
      <c r="T523" s="158"/>
      <c r="U523" s="2"/>
      <c r="V523" s="2"/>
      <c r="W523" s="2"/>
      <c r="X523" s="2"/>
      <c r="Y523" s="2"/>
      <c r="Z523" s="2"/>
    </row>
    <row r="524" ht="13.5" customHeight="1">
      <c r="A524" s="2"/>
      <c r="B524" s="2"/>
      <c r="C524" s="2"/>
      <c r="D524" s="2"/>
      <c r="E524" s="2"/>
      <c r="F524" s="2"/>
      <c r="G524" s="2"/>
      <c r="H524" s="2"/>
      <c r="I524" s="2"/>
      <c r="J524" s="2"/>
      <c r="K524" s="181"/>
      <c r="L524" s="2"/>
      <c r="M524" s="2"/>
      <c r="N524" s="2"/>
      <c r="O524" s="2"/>
      <c r="P524" s="2"/>
      <c r="Q524" s="157"/>
      <c r="R524" s="157"/>
      <c r="S524" s="2"/>
      <c r="T524" s="158"/>
      <c r="U524" s="2"/>
      <c r="V524" s="2"/>
      <c r="W524" s="2"/>
      <c r="X524" s="2"/>
      <c r="Y524" s="2"/>
      <c r="Z524" s="2"/>
    </row>
    <row r="525" ht="13.5" customHeight="1">
      <c r="A525" s="2"/>
      <c r="B525" s="2"/>
      <c r="C525" s="2"/>
      <c r="D525" s="2"/>
      <c r="E525" s="2"/>
      <c r="F525" s="2"/>
      <c r="G525" s="2"/>
      <c r="H525" s="2"/>
      <c r="I525" s="2"/>
      <c r="J525" s="2"/>
      <c r="K525" s="181"/>
      <c r="L525" s="2"/>
      <c r="M525" s="2"/>
      <c r="N525" s="2"/>
      <c r="O525" s="2"/>
      <c r="P525" s="2"/>
      <c r="Q525" s="157"/>
      <c r="R525" s="157"/>
      <c r="S525" s="2"/>
      <c r="T525" s="158"/>
      <c r="U525" s="2"/>
      <c r="V525" s="2"/>
      <c r="W525" s="2"/>
      <c r="X525" s="2"/>
      <c r="Y525" s="2"/>
      <c r="Z525" s="2"/>
    </row>
    <row r="526" ht="13.5" customHeight="1">
      <c r="A526" s="2"/>
      <c r="B526" s="2"/>
      <c r="C526" s="2"/>
      <c r="D526" s="2"/>
      <c r="E526" s="2"/>
      <c r="F526" s="2"/>
      <c r="G526" s="2"/>
      <c r="H526" s="2"/>
      <c r="I526" s="2"/>
      <c r="J526" s="2"/>
      <c r="K526" s="181"/>
      <c r="L526" s="2"/>
      <c r="M526" s="2"/>
      <c r="N526" s="2"/>
      <c r="O526" s="2"/>
      <c r="P526" s="2"/>
      <c r="Q526" s="157"/>
      <c r="R526" s="157"/>
      <c r="S526" s="2"/>
      <c r="T526" s="158"/>
      <c r="U526" s="2"/>
      <c r="V526" s="2"/>
      <c r="W526" s="2"/>
      <c r="X526" s="2"/>
      <c r="Y526" s="2"/>
      <c r="Z526" s="2"/>
    </row>
    <row r="527" ht="13.5" customHeight="1">
      <c r="A527" s="2"/>
      <c r="B527" s="2"/>
      <c r="C527" s="2"/>
      <c r="D527" s="2"/>
      <c r="E527" s="2"/>
      <c r="F527" s="2"/>
      <c r="G527" s="2"/>
      <c r="H527" s="2"/>
      <c r="I527" s="2"/>
      <c r="J527" s="2"/>
      <c r="K527" s="181"/>
      <c r="L527" s="2"/>
      <c r="M527" s="2"/>
      <c r="N527" s="2"/>
      <c r="O527" s="2"/>
      <c r="P527" s="2"/>
      <c r="Q527" s="157"/>
      <c r="R527" s="157"/>
      <c r="S527" s="2"/>
      <c r="T527" s="158"/>
      <c r="U527" s="2"/>
      <c r="V527" s="2"/>
      <c r="W527" s="2"/>
      <c r="X527" s="2"/>
      <c r="Y527" s="2"/>
      <c r="Z527" s="2"/>
    </row>
    <row r="528" ht="13.5" customHeight="1">
      <c r="A528" s="2"/>
      <c r="B528" s="2"/>
      <c r="C528" s="2"/>
      <c r="D528" s="2"/>
      <c r="E528" s="2"/>
      <c r="F528" s="2"/>
      <c r="G528" s="2"/>
      <c r="H528" s="2"/>
      <c r="I528" s="2"/>
      <c r="J528" s="2"/>
      <c r="K528" s="181"/>
      <c r="L528" s="2"/>
      <c r="M528" s="2"/>
      <c r="N528" s="2"/>
      <c r="O528" s="2"/>
      <c r="P528" s="2"/>
      <c r="Q528" s="157"/>
      <c r="R528" s="157"/>
      <c r="S528" s="2"/>
      <c r="T528" s="158"/>
      <c r="U528" s="2"/>
      <c r="V528" s="2"/>
      <c r="W528" s="2"/>
      <c r="X528" s="2"/>
      <c r="Y528" s="2"/>
      <c r="Z528" s="2"/>
    </row>
    <row r="529" ht="13.5" customHeight="1">
      <c r="A529" s="2"/>
      <c r="B529" s="2"/>
      <c r="C529" s="2"/>
      <c r="D529" s="2"/>
      <c r="E529" s="2"/>
      <c r="F529" s="2"/>
      <c r="G529" s="2"/>
      <c r="H529" s="2"/>
      <c r="I529" s="2"/>
      <c r="J529" s="2"/>
      <c r="K529" s="181"/>
      <c r="L529" s="2"/>
      <c r="M529" s="2"/>
      <c r="N529" s="2"/>
      <c r="O529" s="2"/>
      <c r="P529" s="2"/>
      <c r="Q529" s="157"/>
      <c r="R529" s="157"/>
      <c r="S529" s="2"/>
      <c r="T529" s="158"/>
      <c r="U529" s="2"/>
      <c r="V529" s="2"/>
      <c r="W529" s="2"/>
      <c r="X529" s="2"/>
      <c r="Y529" s="2"/>
      <c r="Z529" s="2"/>
    </row>
    <row r="530" ht="13.5" customHeight="1">
      <c r="A530" s="2"/>
      <c r="B530" s="2"/>
      <c r="C530" s="2"/>
      <c r="D530" s="2"/>
      <c r="E530" s="2"/>
      <c r="F530" s="2"/>
      <c r="G530" s="2"/>
      <c r="H530" s="2"/>
      <c r="I530" s="2"/>
      <c r="J530" s="2"/>
      <c r="K530" s="181"/>
      <c r="L530" s="2"/>
      <c r="M530" s="2"/>
      <c r="N530" s="2"/>
      <c r="O530" s="2"/>
      <c r="P530" s="2"/>
      <c r="Q530" s="157"/>
      <c r="R530" s="157"/>
      <c r="S530" s="2"/>
      <c r="T530" s="158"/>
      <c r="U530" s="2"/>
      <c r="V530" s="2"/>
      <c r="W530" s="2"/>
      <c r="X530" s="2"/>
      <c r="Y530" s="2"/>
      <c r="Z530" s="2"/>
    </row>
    <row r="531" ht="13.5" customHeight="1">
      <c r="A531" s="2"/>
      <c r="B531" s="2"/>
      <c r="C531" s="2"/>
      <c r="D531" s="2"/>
      <c r="E531" s="2"/>
      <c r="F531" s="2"/>
      <c r="G531" s="2"/>
      <c r="H531" s="2"/>
      <c r="I531" s="2"/>
      <c r="J531" s="2"/>
      <c r="K531" s="181"/>
      <c r="L531" s="2"/>
      <c r="M531" s="2"/>
      <c r="N531" s="2"/>
      <c r="O531" s="2"/>
      <c r="P531" s="2"/>
      <c r="Q531" s="157"/>
      <c r="R531" s="157"/>
      <c r="S531" s="2"/>
      <c r="T531" s="158"/>
      <c r="U531" s="2"/>
      <c r="V531" s="2"/>
      <c r="W531" s="2"/>
      <c r="X531" s="2"/>
      <c r="Y531" s="2"/>
      <c r="Z531" s="2"/>
    </row>
    <row r="532" ht="13.5" customHeight="1">
      <c r="A532" s="2"/>
      <c r="B532" s="2"/>
      <c r="C532" s="2"/>
      <c r="D532" s="2"/>
      <c r="E532" s="2"/>
      <c r="F532" s="2"/>
      <c r="G532" s="2"/>
      <c r="H532" s="2"/>
      <c r="I532" s="2"/>
      <c r="J532" s="2"/>
      <c r="K532" s="181"/>
      <c r="L532" s="2"/>
      <c r="M532" s="2"/>
      <c r="N532" s="2"/>
      <c r="O532" s="2"/>
      <c r="P532" s="2"/>
      <c r="Q532" s="157"/>
      <c r="R532" s="157"/>
      <c r="S532" s="2"/>
      <c r="T532" s="158"/>
      <c r="U532" s="2"/>
      <c r="V532" s="2"/>
      <c r="W532" s="2"/>
      <c r="X532" s="2"/>
      <c r="Y532" s="2"/>
      <c r="Z532" s="2"/>
    </row>
    <row r="533" ht="13.5" customHeight="1">
      <c r="A533" s="2"/>
      <c r="B533" s="2"/>
      <c r="C533" s="2"/>
      <c r="D533" s="2"/>
      <c r="E533" s="2"/>
      <c r="F533" s="2"/>
      <c r="G533" s="2"/>
      <c r="H533" s="2"/>
      <c r="I533" s="2"/>
      <c r="J533" s="2"/>
      <c r="K533" s="181"/>
      <c r="L533" s="2"/>
      <c r="M533" s="2"/>
      <c r="N533" s="2"/>
      <c r="O533" s="2"/>
      <c r="P533" s="2"/>
      <c r="Q533" s="157"/>
      <c r="R533" s="157"/>
      <c r="S533" s="2"/>
      <c r="T533" s="158"/>
      <c r="U533" s="2"/>
      <c r="V533" s="2"/>
      <c r="W533" s="2"/>
      <c r="X533" s="2"/>
      <c r="Y533" s="2"/>
      <c r="Z533" s="2"/>
    </row>
    <row r="534" ht="13.5" customHeight="1">
      <c r="A534" s="2"/>
      <c r="B534" s="2"/>
      <c r="C534" s="2"/>
      <c r="D534" s="2"/>
      <c r="E534" s="2"/>
      <c r="F534" s="2"/>
      <c r="G534" s="2"/>
      <c r="H534" s="2"/>
      <c r="I534" s="2"/>
      <c r="J534" s="2"/>
      <c r="K534" s="181"/>
      <c r="L534" s="2"/>
      <c r="M534" s="2"/>
      <c r="N534" s="2"/>
      <c r="O534" s="2"/>
      <c r="P534" s="2"/>
      <c r="Q534" s="157"/>
      <c r="R534" s="157"/>
      <c r="S534" s="2"/>
      <c r="T534" s="158"/>
      <c r="U534" s="2"/>
      <c r="V534" s="2"/>
      <c r="W534" s="2"/>
      <c r="X534" s="2"/>
      <c r="Y534" s="2"/>
      <c r="Z534" s="2"/>
    </row>
    <row r="535" ht="13.5" customHeight="1">
      <c r="A535" s="2"/>
      <c r="B535" s="2"/>
      <c r="C535" s="2"/>
      <c r="D535" s="2"/>
      <c r="E535" s="2"/>
      <c r="F535" s="2"/>
      <c r="G535" s="2"/>
      <c r="H535" s="2"/>
      <c r="I535" s="2"/>
      <c r="J535" s="2"/>
      <c r="K535" s="181"/>
      <c r="L535" s="2"/>
      <c r="M535" s="2"/>
      <c r="N535" s="2"/>
      <c r="O535" s="2"/>
      <c r="P535" s="2"/>
      <c r="Q535" s="157"/>
      <c r="R535" s="157"/>
      <c r="S535" s="2"/>
      <c r="T535" s="158"/>
      <c r="U535" s="2"/>
      <c r="V535" s="2"/>
      <c r="W535" s="2"/>
      <c r="X535" s="2"/>
      <c r="Y535" s="2"/>
      <c r="Z535" s="2"/>
    </row>
    <row r="536" ht="13.5" customHeight="1">
      <c r="A536" s="2"/>
      <c r="B536" s="2"/>
      <c r="C536" s="2"/>
      <c r="D536" s="2"/>
      <c r="E536" s="2"/>
      <c r="F536" s="2"/>
      <c r="G536" s="2"/>
      <c r="H536" s="2"/>
      <c r="I536" s="2"/>
      <c r="J536" s="2"/>
      <c r="K536" s="181"/>
      <c r="L536" s="2"/>
      <c r="M536" s="2"/>
      <c r="N536" s="2"/>
      <c r="O536" s="2"/>
      <c r="P536" s="2"/>
      <c r="Q536" s="157"/>
      <c r="R536" s="157"/>
      <c r="S536" s="2"/>
      <c r="T536" s="158"/>
      <c r="U536" s="2"/>
      <c r="V536" s="2"/>
      <c r="W536" s="2"/>
      <c r="X536" s="2"/>
      <c r="Y536" s="2"/>
      <c r="Z536" s="2"/>
    </row>
    <row r="537" ht="13.5" customHeight="1">
      <c r="A537" s="2"/>
      <c r="B537" s="2"/>
      <c r="C537" s="2"/>
      <c r="D537" s="2"/>
      <c r="E537" s="2"/>
      <c r="F537" s="2"/>
      <c r="G537" s="2"/>
      <c r="H537" s="2"/>
      <c r="I537" s="2"/>
      <c r="J537" s="2"/>
      <c r="K537" s="181"/>
      <c r="L537" s="2"/>
      <c r="M537" s="2"/>
      <c r="N537" s="2"/>
      <c r="O537" s="2"/>
      <c r="P537" s="2"/>
      <c r="Q537" s="157"/>
      <c r="R537" s="157"/>
      <c r="S537" s="2"/>
      <c r="T537" s="158"/>
      <c r="U537" s="2"/>
      <c r="V537" s="2"/>
      <c r="W537" s="2"/>
      <c r="X537" s="2"/>
      <c r="Y537" s="2"/>
      <c r="Z537" s="2"/>
    </row>
    <row r="538" ht="13.5" customHeight="1">
      <c r="A538" s="2"/>
      <c r="B538" s="2"/>
      <c r="C538" s="2"/>
      <c r="D538" s="2"/>
      <c r="E538" s="2"/>
      <c r="F538" s="2"/>
      <c r="G538" s="2"/>
      <c r="H538" s="2"/>
      <c r="I538" s="2"/>
      <c r="J538" s="2"/>
      <c r="K538" s="181"/>
      <c r="L538" s="2"/>
      <c r="M538" s="2"/>
      <c r="N538" s="2"/>
      <c r="O538" s="2"/>
      <c r="P538" s="2"/>
      <c r="Q538" s="157"/>
      <c r="R538" s="157"/>
      <c r="S538" s="2"/>
      <c r="T538" s="158"/>
      <c r="U538" s="2"/>
      <c r="V538" s="2"/>
      <c r="W538" s="2"/>
      <c r="X538" s="2"/>
      <c r="Y538" s="2"/>
      <c r="Z538" s="2"/>
    </row>
    <row r="539" ht="13.5" customHeight="1">
      <c r="A539" s="2"/>
      <c r="B539" s="2"/>
      <c r="C539" s="2"/>
      <c r="D539" s="2"/>
      <c r="E539" s="2"/>
      <c r="F539" s="2"/>
      <c r="G539" s="2"/>
      <c r="H539" s="2"/>
      <c r="I539" s="2"/>
      <c r="J539" s="2"/>
      <c r="K539" s="181"/>
      <c r="L539" s="2"/>
      <c r="M539" s="2"/>
      <c r="N539" s="2"/>
      <c r="O539" s="2"/>
      <c r="P539" s="2"/>
      <c r="Q539" s="157"/>
      <c r="R539" s="157"/>
      <c r="S539" s="2"/>
      <c r="T539" s="158"/>
      <c r="U539" s="2"/>
      <c r="V539" s="2"/>
      <c r="W539" s="2"/>
      <c r="X539" s="2"/>
      <c r="Y539" s="2"/>
      <c r="Z539" s="2"/>
    </row>
    <row r="540" ht="13.5" customHeight="1">
      <c r="A540" s="2"/>
      <c r="B540" s="2"/>
      <c r="C540" s="2"/>
      <c r="D540" s="2"/>
      <c r="E540" s="2"/>
      <c r="F540" s="2"/>
      <c r="G540" s="2"/>
      <c r="H540" s="2"/>
      <c r="I540" s="2"/>
      <c r="J540" s="2"/>
      <c r="K540" s="181"/>
      <c r="L540" s="2"/>
      <c r="M540" s="2"/>
      <c r="N540" s="2"/>
      <c r="O540" s="2"/>
      <c r="P540" s="2"/>
      <c r="Q540" s="157"/>
      <c r="R540" s="157"/>
      <c r="S540" s="2"/>
      <c r="T540" s="158"/>
      <c r="U540" s="2"/>
      <c r="V540" s="2"/>
      <c r="W540" s="2"/>
      <c r="X540" s="2"/>
      <c r="Y540" s="2"/>
      <c r="Z540" s="2"/>
    </row>
    <row r="541" ht="13.5" customHeight="1">
      <c r="A541" s="2"/>
      <c r="B541" s="2"/>
      <c r="C541" s="2"/>
      <c r="D541" s="2"/>
      <c r="E541" s="2"/>
      <c r="F541" s="2"/>
      <c r="G541" s="2"/>
      <c r="H541" s="2"/>
      <c r="I541" s="2"/>
      <c r="J541" s="2"/>
      <c r="K541" s="181"/>
      <c r="L541" s="2"/>
      <c r="M541" s="2"/>
      <c r="N541" s="2"/>
      <c r="O541" s="2"/>
      <c r="P541" s="2"/>
      <c r="Q541" s="157"/>
      <c r="R541" s="157"/>
      <c r="S541" s="2"/>
      <c r="T541" s="158"/>
      <c r="U541" s="2"/>
      <c r="V541" s="2"/>
      <c r="W541" s="2"/>
      <c r="X541" s="2"/>
      <c r="Y541" s="2"/>
      <c r="Z541" s="2"/>
    </row>
    <row r="542" ht="13.5" customHeight="1">
      <c r="A542" s="2"/>
      <c r="B542" s="2"/>
      <c r="C542" s="2"/>
      <c r="D542" s="2"/>
      <c r="E542" s="2"/>
      <c r="F542" s="2"/>
      <c r="G542" s="2"/>
      <c r="H542" s="2"/>
      <c r="I542" s="2"/>
      <c r="J542" s="2"/>
      <c r="K542" s="181"/>
      <c r="L542" s="2"/>
      <c r="M542" s="2"/>
      <c r="N542" s="2"/>
      <c r="O542" s="2"/>
      <c r="P542" s="2"/>
      <c r="Q542" s="157"/>
      <c r="R542" s="157"/>
      <c r="S542" s="2"/>
      <c r="T542" s="158"/>
      <c r="U542" s="2"/>
      <c r="V542" s="2"/>
      <c r="W542" s="2"/>
      <c r="X542" s="2"/>
      <c r="Y542" s="2"/>
      <c r="Z542" s="2"/>
    </row>
    <row r="543" ht="13.5" customHeight="1">
      <c r="A543" s="2"/>
      <c r="B543" s="2"/>
      <c r="C543" s="2"/>
      <c r="D543" s="2"/>
      <c r="E543" s="2"/>
      <c r="F543" s="2"/>
      <c r="G543" s="2"/>
      <c r="H543" s="2"/>
      <c r="I543" s="2"/>
      <c r="J543" s="2"/>
      <c r="K543" s="181"/>
      <c r="L543" s="2"/>
      <c r="M543" s="2"/>
      <c r="N543" s="2"/>
      <c r="O543" s="2"/>
      <c r="P543" s="2"/>
      <c r="Q543" s="157"/>
      <c r="R543" s="157"/>
      <c r="S543" s="2"/>
      <c r="T543" s="158"/>
      <c r="U543" s="2"/>
      <c r="V543" s="2"/>
      <c r="W543" s="2"/>
      <c r="X543" s="2"/>
      <c r="Y543" s="2"/>
      <c r="Z543" s="2"/>
    </row>
    <row r="544" ht="13.5" customHeight="1">
      <c r="A544" s="2"/>
      <c r="B544" s="2"/>
      <c r="C544" s="2"/>
      <c r="D544" s="2"/>
      <c r="E544" s="2"/>
      <c r="F544" s="2"/>
      <c r="G544" s="2"/>
      <c r="H544" s="2"/>
      <c r="I544" s="2"/>
      <c r="J544" s="2"/>
      <c r="K544" s="181"/>
      <c r="L544" s="2"/>
      <c r="M544" s="2"/>
      <c r="N544" s="2"/>
      <c r="O544" s="2"/>
      <c r="P544" s="2"/>
      <c r="Q544" s="157"/>
      <c r="R544" s="157"/>
      <c r="S544" s="2"/>
      <c r="T544" s="158"/>
      <c r="U544" s="2"/>
      <c r="V544" s="2"/>
      <c r="W544" s="2"/>
      <c r="X544" s="2"/>
      <c r="Y544" s="2"/>
      <c r="Z544" s="2"/>
    </row>
    <row r="545" ht="13.5" customHeight="1">
      <c r="A545" s="2"/>
      <c r="B545" s="2"/>
      <c r="C545" s="2"/>
      <c r="D545" s="2"/>
      <c r="E545" s="2"/>
      <c r="F545" s="2"/>
      <c r="G545" s="2"/>
      <c r="H545" s="2"/>
      <c r="I545" s="2"/>
      <c r="J545" s="2"/>
      <c r="K545" s="181"/>
      <c r="L545" s="2"/>
      <c r="M545" s="2"/>
      <c r="N545" s="2"/>
      <c r="O545" s="2"/>
      <c r="P545" s="2"/>
      <c r="Q545" s="157"/>
      <c r="R545" s="157"/>
      <c r="S545" s="2"/>
      <c r="T545" s="158"/>
      <c r="U545" s="2"/>
      <c r="V545" s="2"/>
      <c r="W545" s="2"/>
      <c r="X545" s="2"/>
      <c r="Y545" s="2"/>
      <c r="Z545" s="2"/>
    </row>
    <row r="546" ht="13.5" customHeight="1">
      <c r="A546" s="2"/>
      <c r="B546" s="2"/>
      <c r="C546" s="2"/>
      <c r="D546" s="2"/>
      <c r="E546" s="2"/>
      <c r="F546" s="2"/>
      <c r="G546" s="2"/>
      <c r="H546" s="2"/>
      <c r="I546" s="2"/>
      <c r="J546" s="2"/>
      <c r="K546" s="181"/>
      <c r="L546" s="2"/>
      <c r="M546" s="2"/>
      <c r="N546" s="2"/>
      <c r="O546" s="2"/>
      <c r="P546" s="2"/>
      <c r="Q546" s="157"/>
      <c r="R546" s="157"/>
      <c r="S546" s="2"/>
      <c r="T546" s="158"/>
      <c r="U546" s="2"/>
      <c r="V546" s="2"/>
      <c r="W546" s="2"/>
      <c r="X546" s="2"/>
      <c r="Y546" s="2"/>
      <c r="Z546" s="2"/>
    </row>
    <row r="547" ht="13.5" customHeight="1">
      <c r="A547" s="2"/>
      <c r="B547" s="2"/>
      <c r="C547" s="2"/>
      <c r="D547" s="2"/>
      <c r="E547" s="2"/>
      <c r="F547" s="2"/>
      <c r="G547" s="2"/>
      <c r="H547" s="2"/>
      <c r="I547" s="2"/>
      <c r="J547" s="2"/>
      <c r="K547" s="181"/>
      <c r="L547" s="2"/>
      <c r="M547" s="2"/>
      <c r="N547" s="2"/>
      <c r="O547" s="2"/>
      <c r="P547" s="2"/>
      <c r="Q547" s="157"/>
      <c r="R547" s="157"/>
      <c r="S547" s="2"/>
      <c r="T547" s="158"/>
      <c r="U547" s="2"/>
      <c r="V547" s="2"/>
      <c r="W547" s="2"/>
      <c r="X547" s="2"/>
      <c r="Y547" s="2"/>
      <c r="Z547" s="2"/>
    </row>
    <row r="548" ht="13.5" customHeight="1">
      <c r="A548" s="2"/>
      <c r="B548" s="2"/>
      <c r="C548" s="2"/>
      <c r="D548" s="2"/>
      <c r="E548" s="2"/>
      <c r="F548" s="2"/>
      <c r="G548" s="2"/>
      <c r="H548" s="2"/>
      <c r="I548" s="2"/>
      <c r="J548" s="2"/>
      <c r="K548" s="181"/>
      <c r="L548" s="2"/>
      <c r="M548" s="2"/>
      <c r="N548" s="2"/>
      <c r="O548" s="2"/>
      <c r="P548" s="2"/>
      <c r="Q548" s="157"/>
      <c r="R548" s="157"/>
      <c r="S548" s="2"/>
      <c r="T548" s="158"/>
      <c r="U548" s="2"/>
      <c r="V548" s="2"/>
      <c r="W548" s="2"/>
      <c r="X548" s="2"/>
      <c r="Y548" s="2"/>
      <c r="Z548" s="2"/>
    </row>
    <row r="549" ht="13.5" customHeight="1">
      <c r="A549" s="2"/>
      <c r="B549" s="2"/>
      <c r="C549" s="2"/>
      <c r="D549" s="2"/>
      <c r="E549" s="2"/>
      <c r="F549" s="2"/>
      <c r="G549" s="2"/>
      <c r="H549" s="2"/>
      <c r="I549" s="2"/>
      <c r="J549" s="2"/>
      <c r="K549" s="181"/>
      <c r="L549" s="2"/>
      <c r="M549" s="2"/>
      <c r="N549" s="2"/>
      <c r="O549" s="2"/>
      <c r="P549" s="2"/>
      <c r="Q549" s="157"/>
      <c r="R549" s="157"/>
      <c r="S549" s="2"/>
      <c r="T549" s="158"/>
      <c r="U549" s="2"/>
      <c r="V549" s="2"/>
      <c r="W549" s="2"/>
      <c r="X549" s="2"/>
      <c r="Y549" s="2"/>
      <c r="Z549" s="2"/>
    </row>
    <row r="550" ht="13.5" customHeight="1">
      <c r="A550" s="2"/>
      <c r="B550" s="2"/>
      <c r="C550" s="2"/>
      <c r="D550" s="2"/>
      <c r="E550" s="2"/>
      <c r="F550" s="2"/>
      <c r="G550" s="2"/>
      <c r="H550" s="2"/>
      <c r="I550" s="2"/>
      <c r="J550" s="2"/>
      <c r="K550" s="181"/>
      <c r="L550" s="2"/>
      <c r="M550" s="2"/>
      <c r="N550" s="2"/>
      <c r="O550" s="2"/>
      <c r="P550" s="2"/>
      <c r="Q550" s="157"/>
      <c r="R550" s="157"/>
      <c r="S550" s="2"/>
      <c r="T550" s="158"/>
      <c r="U550" s="2"/>
      <c r="V550" s="2"/>
      <c r="W550" s="2"/>
      <c r="X550" s="2"/>
      <c r="Y550" s="2"/>
      <c r="Z550" s="2"/>
    </row>
    <row r="551" ht="13.5" customHeight="1">
      <c r="A551" s="2"/>
      <c r="B551" s="2"/>
      <c r="C551" s="2"/>
      <c r="D551" s="2"/>
      <c r="E551" s="2"/>
      <c r="F551" s="2"/>
      <c r="G551" s="2"/>
      <c r="H551" s="2"/>
      <c r="I551" s="2"/>
      <c r="J551" s="2"/>
      <c r="K551" s="181"/>
      <c r="L551" s="2"/>
      <c r="M551" s="2"/>
      <c r="N551" s="2"/>
      <c r="O551" s="2"/>
      <c r="P551" s="2"/>
      <c r="Q551" s="157"/>
      <c r="R551" s="157"/>
      <c r="S551" s="2"/>
      <c r="T551" s="158"/>
      <c r="U551" s="2"/>
      <c r="V551" s="2"/>
      <c r="W551" s="2"/>
      <c r="X551" s="2"/>
      <c r="Y551" s="2"/>
      <c r="Z551" s="2"/>
    </row>
    <row r="552" ht="13.5" customHeight="1">
      <c r="A552" s="2"/>
      <c r="B552" s="2"/>
      <c r="C552" s="2"/>
      <c r="D552" s="2"/>
      <c r="E552" s="2"/>
      <c r="F552" s="2"/>
      <c r="G552" s="2"/>
      <c r="H552" s="2"/>
      <c r="I552" s="2"/>
      <c r="J552" s="2"/>
      <c r="K552" s="181"/>
      <c r="L552" s="2"/>
      <c r="M552" s="2"/>
      <c r="N552" s="2"/>
      <c r="O552" s="2"/>
      <c r="P552" s="2"/>
      <c r="Q552" s="157"/>
      <c r="R552" s="157"/>
      <c r="S552" s="2"/>
      <c r="T552" s="158"/>
      <c r="U552" s="2"/>
      <c r="V552" s="2"/>
      <c r="W552" s="2"/>
      <c r="X552" s="2"/>
      <c r="Y552" s="2"/>
      <c r="Z552" s="2"/>
    </row>
    <row r="553" ht="13.5" customHeight="1">
      <c r="A553" s="2"/>
      <c r="B553" s="2"/>
      <c r="C553" s="2"/>
      <c r="D553" s="2"/>
      <c r="E553" s="2"/>
      <c r="F553" s="2"/>
      <c r="G553" s="2"/>
      <c r="H553" s="2"/>
      <c r="I553" s="2"/>
      <c r="J553" s="2"/>
      <c r="K553" s="181"/>
      <c r="L553" s="2"/>
      <c r="M553" s="2"/>
      <c r="N553" s="2"/>
      <c r="O553" s="2"/>
      <c r="P553" s="2"/>
      <c r="Q553" s="157"/>
      <c r="R553" s="157"/>
      <c r="S553" s="2"/>
      <c r="T553" s="158"/>
      <c r="U553" s="2"/>
      <c r="V553" s="2"/>
      <c r="W553" s="2"/>
      <c r="X553" s="2"/>
      <c r="Y553" s="2"/>
      <c r="Z553" s="2"/>
    </row>
    <row r="554" ht="13.5" customHeight="1">
      <c r="A554" s="2"/>
      <c r="B554" s="2"/>
      <c r="C554" s="2"/>
      <c r="D554" s="2"/>
      <c r="E554" s="2"/>
      <c r="F554" s="2"/>
      <c r="G554" s="2"/>
      <c r="H554" s="2"/>
      <c r="I554" s="2"/>
      <c r="J554" s="2"/>
      <c r="K554" s="181"/>
      <c r="L554" s="2"/>
      <c r="M554" s="2"/>
      <c r="N554" s="2"/>
      <c r="O554" s="2"/>
      <c r="P554" s="2"/>
      <c r="Q554" s="157"/>
      <c r="R554" s="157"/>
      <c r="S554" s="2"/>
      <c r="T554" s="158"/>
      <c r="U554" s="2"/>
      <c r="V554" s="2"/>
      <c r="W554" s="2"/>
      <c r="X554" s="2"/>
      <c r="Y554" s="2"/>
      <c r="Z554" s="2"/>
    </row>
    <row r="555" ht="13.5" customHeight="1">
      <c r="A555" s="2"/>
      <c r="B555" s="2"/>
      <c r="C555" s="2"/>
      <c r="D555" s="2"/>
      <c r="E555" s="2"/>
      <c r="F555" s="2"/>
      <c r="G555" s="2"/>
      <c r="H555" s="2"/>
      <c r="I555" s="2"/>
      <c r="J555" s="2"/>
      <c r="K555" s="181"/>
      <c r="L555" s="2"/>
      <c r="M555" s="2"/>
      <c r="N555" s="2"/>
      <c r="O555" s="2"/>
      <c r="P555" s="2"/>
      <c r="Q555" s="157"/>
      <c r="R555" s="157"/>
      <c r="S555" s="2"/>
      <c r="T555" s="158"/>
      <c r="U555" s="2"/>
      <c r="V555" s="2"/>
      <c r="W555" s="2"/>
      <c r="X555" s="2"/>
      <c r="Y555" s="2"/>
      <c r="Z555" s="2"/>
    </row>
    <row r="556" ht="13.5" customHeight="1">
      <c r="A556" s="2"/>
      <c r="B556" s="2"/>
      <c r="C556" s="2"/>
      <c r="D556" s="2"/>
      <c r="E556" s="2"/>
      <c r="F556" s="2"/>
      <c r="G556" s="2"/>
      <c r="H556" s="2"/>
      <c r="I556" s="2"/>
      <c r="J556" s="2"/>
      <c r="K556" s="181"/>
      <c r="L556" s="2"/>
      <c r="M556" s="2"/>
      <c r="N556" s="2"/>
      <c r="O556" s="2"/>
      <c r="P556" s="2"/>
      <c r="Q556" s="157"/>
      <c r="R556" s="157"/>
      <c r="S556" s="2"/>
      <c r="T556" s="158"/>
      <c r="U556" s="2"/>
      <c r="V556" s="2"/>
      <c r="W556" s="2"/>
      <c r="X556" s="2"/>
      <c r="Y556" s="2"/>
      <c r="Z556" s="2"/>
    </row>
    <row r="557" ht="13.5" customHeight="1">
      <c r="A557" s="2"/>
      <c r="B557" s="2"/>
      <c r="C557" s="2"/>
      <c r="D557" s="2"/>
      <c r="E557" s="2"/>
      <c r="F557" s="2"/>
      <c r="G557" s="2"/>
      <c r="H557" s="2"/>
      <c r="I557" s="2"/>
      <c r="J557" s="2"/>
      <c r="K557" s="181"/>
      <c r="L557" s="2"/>
      <c r="M557" s="2"/>
      <c r="N557" s="2"/>
      <c r="O557" s="2"/>
      <c r="P557" s="2"/>
      <c r="Q557" s="157"/>
      <c r="R557" s="157"/>
      <c r="S557" s="2"/>
      <c r="T557" s="158"/>
      <c r="U557" s="2"/>
      <c r="V557" s="2"/>
      <c r="W557" s="2"/>
      <c r="X557" s="2"/>
      <c r="Y557" s="2"/>
      <c r="Z557" s="2"/>
    </row>
    <row r="558" ht="13.5" customHeight="1">
      <c r="A558" s="2"/>
      <c r="B558" s="2"/>
      <c r="C558" s="2"/>
      <c r="D558" s="2"/>
      <c r="E558" s="2"/>
      <c r="F558" s="2"/>
      <c r="G558" s="2"/>
      <c r="H558" s="2"/>
      <c r="I558" s="2"/>
      <c r="J558" s="2"/>
      <c r="K558" s="181"/>
      <c r="L558" s="2"/>
      <c r="M558" s="2"/>
      <c r="N558" s="2"/>
      <c r="O558" s="2"/>
      <c r="P558" s="2"/>
      <c r="Q558" s="157"/>
      <c r="R558" s="157"/>
      <c r="S558" s="2"/>
      <c r="T558" s="158"/>
      <c r="U558" s="2"/>
      <c r="V558" s="2"/>
      <c r="W558" s="2"/>
      <c r="X558" s="2"/>
      <c r="Y558" s="2"/>
      <c r="Z558" s="2"/>
    </row>
    <row r="559" ht="13.5" customHeight="1">
      <c r="A559" s="2"/>
      <c r="B559" s="2"/>
      <c r="C559" s="2"/>
      <c r="D559" s="2"/>
      <c r="E559" s="2"/>
      <c r="F559" s="2"/>
      <c r="G559" s="2"/>
      <c r="H559" s="2"/>
      <c r="I559" s="2"/>
      <c r="J559" s="2"/>
      <c r="K559" s="181"/>
      <c r="L559" s="2"/>
      <c r="M559" s="2"/>
      <c r="N559" s="2"/>
      <c r="O559" s="2"/>
      <c r="P559" s="2"/>
      <c r="Q559" s="157"/>
      <c r="R559" s="157"/>
      <c r="S559" s="2"/>
      <c r="T559" s="158"/>
      <c r="U559" s="2"/>
      <c r="V559" s="2"/>
      <c r="W559" s="2"/>
      <c r="X559" s="2"/>
      <c r="Y559" s="2"/>
      <c r="Z559" s="2"/>
    </row>
    <row r="560" ht="13.5" customHeight="1">
      <c r="A560" s="2"/>
      <c r="B560" s="2"/>
      <c r="C560" s="2"/>
      <c r="D560" s="2"/>
      <c r="E560" s="2"/>
      <c r="F560" s="2"/>
      <c r="G560" s="2"/>
      <c r="H560" s="2"/>
      <c r="I560" s="2"/>
      <c r="J560" s="2"/>
      <c r="K560" s="181"/>
      <c r="L560" s="2"/>
      <c r="M560" s="2"/>
      <c r="N560" s="2"/>
      <c r="O560" s="2"/>
      <c r="P560" s="2"/>
      <c r="Q560" s="157"/>
      <c r="R560" s="157"/>
      <c r="S560" s="2"/>
      <c r="T560" s="158"/>
      <c r="U560" s="2"/>
      <c r="V560" s="2"/>
      <c r="W560" s="2"/>
      <c r="X560" s="2"/>
      <c r="Y560" s="2"/>
      <c r="Z560" s="2"/>
    </row>
    <row r="561" ht="13.5" customHeight="1">
      <c r="A561" s="2"/>
      <c r="B561" s="2"/>
      <c r="C561" s="2"/>
      <c r="D561" s="2"/>
      <c r="E561" s="2"/>
      <c r="F561" s="2"/>
      <c r="G561" s="2"/>
      <c r="H561" s="2"/>
      <c r="I561" s="2"/>
      <c r="J561" s="2"/>
      <c r="K561" s="181"/>
      <c r="L561" s="2"/>
      <c r="M561" s="2"/>
      <c r="N561" s="2"/>
      <c r="O561" s="2"/>
      <c r="P561" s="2"/>
      <c r="Q561" s="157"/>
      <c r="R561" s="157"/>
      <c r="S561" s="2"/>
      <c r="T561" s="158"/>
      <c r="U561" s="2"/>
      <c r="V561" s="2"/>
      <c r="W561" s="2"/>
      <c r="X561" s="2"/>
      <c r="Y561" s="2"/>
      <c r="Z561" s="2"/>
    </row>
    <row r="562" ht="13.5" customHeight="1">
      <c r="A562" s="2"/>
      <c r="B562" s="2"/>
      <c r="C562" s="2"/>
      <c r="D562" s="2"/>
      <c r="E562" s="2"/>
      <c r="F562" s="2"/>
      <c r="G562" s="2"/>
      <c r="H562" s="2"/>
      <c r="I562" s="2"/>
      <c r="J562" s="2"/>
      <c r="K562" s="181"/>
      <c r="L562" s="2"/>
      <c r="M562" s="2"/>
      <c r="N562" s="2"/>
      <c r="O562" s="2"/>
      <c r="P562" s="2"/>
      <c r="Q562" s="157"/>
      <c r="R562" s="157"/>
      <c r="S562" s="2"/>
      <c r="T562" s="158"/>
      <c r="U562" s="2"/>
      <c r="V562" s="2"/>
      <c r="W562" s="2"/>
      <c r="X562" s="2"/>
      <c r="Y562" s="2"/>
      <c r="Z562" s="2"/>
    </row>
    <row r="563" ht="13.5" customHeight="1">
      <c r="A563" s="2"/>
      <c r="B563" s="2"/>
      <c r="C563" s="2"/>
      <c r="D563" s="2"/>
      <c r="E563" s="2"/>
      <c r="F563" s="2"/>
      <c r="G563" s="2"/>
      <c r="H563" s="2"/>
      <c r="I563" s="2"/>
      <c r="J563" s="2"/>
      <c r="K563" s="181"/>
      <c r="L563" s="2"/>
      <c r="M563" s="2"/>
      <c r="N563" s="2"/>
      <c r="O563" s="2"/>
      <c r="P563" s="2"/>
      <c r="Q563" s="157"/>
      <c r="R563" s="157"/>
      <c r="S563" s="2"/>
      <c r="T563" s="158"/>
      <c r="U563" s="2"/>
      <c r="V563" s="2"/>
      <c r="W563" s="2"/>
      <c r="X563" s="2"/>
      <c r="Y563" s="2"/>
      <c r="Z563" s="2"/>
    </row>
    <row r="564" ht="13.5" customHeight="1">
      <c r="A564" s="2"/>
      <c r="B564" s="2"/>
      <c r="C564" s="2"/>
      <c r="D564" s="2"/>
      <c r="E564" s="2"/>
      <c r="F564" s="2"/>
      <c r="G564" s="2"/>
      <c r="H564" s="2"/>
      <c r="I564" s="2"/>
      <c r="J564" s="2"/>
      <c r="K564" s="181"/>
      <c r="L564" s="2"/>
      <c r="M564" s="2"/>
      <c r="N564" s="2"/>
      <c r="O564" s="2"/>
      <c r="P564" s="2"/>
      <c r="Q564" s="157"/>
      <c r="R564" s="157"/>
      <c r="S564" s="2"/>
      <c r="T564" s="158"/>
      <c r="U564" s="2"/>
      <c r="V564" s="2"/>
      <c r="W564" s="2"/>
      <c r="X564" s="2"/>
      <c r="Y564" s="2"/>
      <c r="Z564" s="2"/>
    </row>
    <row r="565" ht="13.5" customHeight="1">
      <c r="A565" s="2"/>
      <c r="B565" s="2"/>
      <c r="C565" s="2"/>
      <c r="D565" s="2"/>
      <c r="E565" s="2"/>
      <c r="F565" s="2"/>
      <c r="G565" s="2"/>
      <c r="H565" s="2"/>
      <c r="I565" s="2"/>
      <c r="J565" s="2"/>
      <c r="K565" s="181"/>
      <c r="L565" s="2"/>
      <c r="M565" s="2"/>
      <c r="N565" s="2"/>
      <c r="O565" s="2"/>
      <c r="P565" s="2"/>
      <c r="Q565" s="157"/>
      <c r="R565" s="157"/>
      <c r="S565" s="2"/>
      <c r="T565" s="158"/>
      <c r="U565" s="2"/>
      <c r="V565" s="2"/>
      <c r="W565" s="2"/>
      <c r="X565" s="2"/>
      <c r="Y565" s="2"/>
      <c r="Z565" s="2"/>
    </row>
    <row r="566" ht="13.5" customHeight="1">
      <c r="A566" s="2"/>
      <c r="B566" s="2"/>
      <c r="C566" s="2"/>
      <c r="D566" s="2"/>
      <c r="E566" s="2"/>
      <c r="F566" s="2"/>
      <c r="G566" s="2"/>
      <c r="H566" s="2"/>
      <c r="I566" s="2"/>
      <c r="J566" s="2"/>
      <c r="K566" s="181"/>
      <c r="L566" s="2"/>
      <c r="M566" s="2"/>
      <c r="N566" s="2"/>
      <c r="O566" s="2"/>
      <c r="P566" s="2"/>
      <c r="Q566" s="157"/>
      <c r="R566" s="157"/>
      <c r="S566" s="2"/>
      <c r="T566" s="158"/>
      <c r="U566" s="2"/>
      <c r="V566" s="2"/>
      <c r="W566" s="2"/>
      <c r="X566" s="2"/>
      <c r="Y566" s="2"/>
      <c r="Z566" s="2"/>
    </row>
    <row r="567" ht="13.5" customHeight="1">
      <c r="A567" s="2"/>
      <c r="B567" s="2"/>
      <c r="C567" s="2"/>
      <c r="D567" s="2"/>
      <c r="E567" s="2"/>
      <c r="F567" s="2"/>
      <c r="G567" s="2"/>
      <c r="H567" s="2"/>
      <c r="I567" s="2"/>
      <c r="J567" s="2"/>
      <c r="K567" s="181"/>
      <c r="L567" s="2"/>
      <c r="M567" s="2"/>
      <c r="N567" s="2"/>
      <c r="O567" s="2"/>
      <c r="P567" s="2"/>
      <c r="Q567" s="157"/>
      <c r="R567" s="157"/>
      <c r="S567" s="2"/>
      <c r="T567" s="158"/>
      <c r="U567" s="2"/>
      <c r="V567" s="2"/>
      <c r="W567" s="2"/>
      <c r="X567" s="2"/>
      <c r="Y567" s="2"/>
      <c r="Z567" s="2"/>
    </row>
    <row r="568" ht="13.5" customHeight="1">
      <c r="A568" s="2"/>
      <c r="B568" s="2"/>
      <c r="C568" s="2"/>
      <c r="D568" s="2"/>
      <c r="E568" s="2"/>
      <c r="F568" s="2"/>
      <c r="G568" s="2"/>
      <c r="H568" s="2"/>
      <c r="I568" s="2"/>
      <c r="J568" s="2"/>
      <c r="K568" s="181"/>
      <c r="L568" s="2"/>
      <c r="M568" s="2"/>
      <c r="N568" s="2"/>
      <c r="O568" s="2"/>
      <c r="P568" s="2"/>
      <c r="Q568" s="157"/>
      <c r="R568" s="157"/>
      <c r="S568" s="2"/>
      <c r="T568" s="158"/>
      <c r="U568" s="2"/>
      <c r="V568" s="2"/>
      <c r="W568" s="2"/>
      <c r="X568" s="2"/>
      <c r="Y568" s="2"/>
      <c r="Z568" s="2"/>
    </row>
    <row r="569" ht="13.5" customHeight="1">
      <c r="A569" s="2"/>
      <c r="B569" s="2"/>
      <c r="C569" s="2"/>
      <c r="D569" s="2"/>
      <c r="E569" s="2"/>
      <c r="F569" s="2"/>
      <c r="G569" s="2"/>
      <c r="H569" s="2"/>
      <c r="I569" s="2"/>
      <c r="J569" s="2"/>
      <c r="K569" s="181"/>
      <c r="L569" s="2"/>
      <c r="M569" s="2"/>
      <c r="N569" s="2"/>
      <c r="O569" s="2"/>
      <c r="P569" s="2"/>
      <c r="Q569" s="157"/>
      <c r="R569" s="157"/>
      <c r="S569" s="2"/>
      <c r="T569" s="158"/>
      <c r="U569" s="2"/>
      <c r="V569" s="2"/>
      <c r="W569" s="2"/>
      <c r="X569" s="2"/>
      <c r="Y569" s="2"/>
      <c r="Z569" s="2"/>
    </row>
    <row r="570" ht="13.5" customHeight="1">
      <c r="A570" s="2"/>
      <c r="B570" s="2"/>
      <c r="C570" s="2"/>
      <c r="D570" s="2"/>
      <c r="E570" s="2"/>
      <c r="F570" s="2"/>
      <c r="G570" s="2"/>
      <c r="H570" s="2"/>
      <c r="I570" s="2"/>
      <c r="J570" s="2"/>
      <c r="K570" s="181"/>
      <c r="L570" s="2"/>
      <c r="M570" s="2"/>
      <c r="N570" s="2"/>
      <c r="O570" s="2"/>
      <c r="P570" s="2"/>
      <c r="Q570" s="157"/>
      <c r="R570" s="157"/>
      <c r="S570" s="2"/>
      <c r="T570" s="158"/>
      <c r="U570" s="2"/>
      <c r="V570" s="2"/>
      <c r="W570" s="2"/>
      <c r="X570" s="2"/>
      <c r="Y570" s="2"/>
      <c r="Z570" s="2"/>
    </row>
    <row r="571" ht="13.5" customHeight="1">
      <c r="A571" s="2"/>
      <c r="B571" s="2"/>
      <c r="C571" s="2"/>
      <c r="D571" s="2"/>
      <c r="E571" s="2"/>
      <c r="F571" s="2"/>
      <c r="G571" s="2"/>
      <c r="H571" s="2"/>
      <c r="I571" s="2"/>
      <c r="J571" s="2"/>
      <c r="K571" s="181"/>
      <c r="L571" s="2"/>
      <c r="M571" s="2"/>
      <c r="N571" s="2"/>
      <c r="O571" s="2"/>
      <c r="P571" s="2"/>
      <c r="Q571" s="157"/>
      <c r="R571" s="157"/>
      <c r="S571" s="2"/>
      <c r="T571" s="158"/>
      <c r="U571" s="2"/>
      <c r="V571" s="2"/>
      <c r="W571" s="2"/>
      <c r="X571" s="2"/>
      <c r="Y571" s="2"/>
      <c r="Z571" s="2"/>
    </row>
    <row r="572" ht="13.5" customHeight="1">
      <c r="A572" s="2"/>
      <c r="B572" s="2"/>
      <c r="C572" s="2"/>
      <c r="D572" s="2"/>
      <c r="E572" s="2"/>
      <c r="F572" s="2"/>
      <c r="G572" s="2"/>
      <c r="H572" s="2"/>
      <c r="I572" s="2"/>
      <c r="J572" s="2"/>
      <c r="K572" s="181"/>
      <c r="L572" s="2"/>
      <c r="M572" s="2"/>
      <c r="N572" s="2"/>
      <c r="O572" s="2"/>
      <c r="P572" s="2"/>
      <c r="Q572" s="157"/>
      <c r="R572" s="157"/>
      <c r="S572" s="2"/>
      <c r="T572" s="158"/>
      <c r="U572" s="2"/>
      <c r="V572" s="2"/>
      <c r="W572" s="2"/>
      <c r="X572" s="2"/>
      <c r="Y572" s="2"/>
      <c r="Z572" s="2"/>
    </row>
    <row r="573" ht="13.5" customHeight="1">
      <c r="A573" s="2"/>
      <c r="B573" s="2"/>
      <c r="C573" s="2"/>
      <c r="D573" s="2"/>
      <c r="E573" s="2"/>
      <c r="F573" s="2"/>
      <c r="G573" s="2"/>
      <c r="H573" s="2"/>
      <c r="I573" s="2"/>
      <c r="J573" s="2"/>
      <c r="K573" s="181"/>
      <c r="L573" s="2"/>
      <c r="M573" s="2"/>
      <c r="N573" s="2"/>
      <c r="O573" s="2"/>
      <c r="P573" s="2"/>
      <c r="Q573" s="157"/>
      <c r="R573" s="157"/>
      <c r="S573" s="2"/>
      <c r="T573" s="158"/>
      <c r="U573" s="2"/>
      <c r="V573" s="2"/>
      <c r="W573" s="2"/>
      <c r="X573" s="2"/>
      <c r="Y573" s="2"/>
      <c r="Z573" s="2"/>
    </row>
    <row r="574" ht="13.5" customHeight="1">
      <c r="A574" s="2"/>
      <c r="B574" s="2"/>
      <c r="C574" s="2"/>
      <c r="D574" s="2"/>
      <c r="E574" s="2"/>
      <c r="F574" s="2"/>
      <c r="G574" s="2"/>
      <c r="H574" s="2"/>
      <c r="I574" s="2"/>
      <c r="J574" s="2"/>
      <c r="K574" s="181"/>
      <c r="L574" s="2"/>
      <c r="M574" s="2"/>
      <c r="N574" s="2"/>
      <c r="O574" s="2"/>
      <c r="P574" s="2"/>
      <c r="Q574" s="157"/>
      <c r="R574" s="157"/>
      <c r="S574" s="2"/>
      <c r="T574" s="158"/>
      <c r="U574" s="2"/>
      <c r="V574" s="2"/>
      <c r="W574" s="2"/>
      <c r="X574" s="2"/>
      <c r="Y574" s="2"/>
      <c r="Z574" s="2"/>
    </row>
    <row r="575" ht="13.5" customHeight="1">
      <c r="A575" s="2"/>
      <c r="B575" s="2"/>
      <c r="C575" s="2"/>
      <c r="D575" s="2"/>
      <c r="E575" s="2"/>
      <c r="F575" s="2"/>
      <c r="G575" s="2"/>
      <c r="H575" s="2"/>
      <c r="I575" s="2"/>
      <c r="J575" s="2"/>
      <c r="K575" s="181"/>
      <c r="L575" s="2"/>
      <c r="M575" s="2"/>
      <c r="N575" s="2"/>
      <c r="O575" s="2"/>
      <c r="P575" s="2"/>
      <c r="Q575" s="157"/>
      <c r="R575" s="157"/>
      <c r="S575" s="2"/>
      <c r="T575" s="158"/>
      <c r="U575" s="2"/>
      <c r="V575" s="2"/>
      <c r="W575" s="2"/>
      <c r="X575" s="2"/>
      <c r="Y575" s="2"/>
      <c r="Z575" s="2"/>
    </row>
    <row r="576" ht="13.5" customHeight="1">
      <c r="A576" s="2"/>
      <c r="B576" s="2"/>
      <c r="C576" s="2"/>
      <c r="D576" s="2"/>
      <c r="E576" s="2"/>
      <c r="F576" s="2"/>
      <c r="G576" s="2"/>
      <c r="H576" s="2"/>
      <c r="I576" s="2"/>
      <c r="J576" s="2"/>
      <c r="K576" s="181"/>
      <c r="L576" s="2"/>
      <c r="M576" s="2"/>
      <c r="N576" s="2"/>
      <c r="O576" s="2"/>
      <c r="P576" s="2"/>
      <c r="Q576" s="157"/>
      <c r="R576" s="157"/>
      <c r="S576" s="2"/>
      <c r="T576" s="158"/>
      <c r="U576" s="2"/>
      <c r="V576" s="2"/>
      <c r="W576" s="2"/>
      <c r="X576" s="2"/>
      <c r="Y576" s="2"/>
      <c r="Z576" s="2"/>
    </row>
    <row r="577" ht="13.5" customHeight="1">
      <c r="A577" s="2"/>
      <c r="B577" s="2"/>
      <c r="C577" s="2"/>
      <c r="D577" s="2"/>
      <c r="E577" s="2"/>
      <c r="F577" s="2"/>
      <c r="G577" s="2"/>
      <c r="H577" s="2"/>
      <c r="I577" s="2"/>
      <c r="J577" s="2"/>
      <c r="K577" s="181"/>
      <c r="L577" s="2"/>
      <c r="M577" s="2"/>
      <c r="N577" s="2"/>
      <c r="O577" s="2"/>
      <c r="P577" s="2"/>
      <c r="Q577" s="157"/>
      <c r="R577" s="157"/>
      <c r="S577" s="2"/>
      <c r="T577" s="158"/>
      <c r="U577" s="2"/>
      <c r="V577" s="2"/>
      <c r="W577" s="2"/>
      <c r="X577" s="2"/>
      <c r="Y577" s="2"/>
      <c r="Z577" s="2"/>
    </row>
    <row r="578" ht="13.5" customHeight="1">
      <c r="A578" s="2"/>
      <c r="B578" s="2"/>
      <c r="C578" s="2"/>
      <c r="D578" s="2"/>
      <c r="E578" s="2"/>
      <c r="F578" s="2"/>
      <c r="G578" s="2"/>
      <c r="H578" s="2"/>
      <c r="I578" s="2"/>
      <c r="J578" s="2"/>
      <c r="K578" s="181"/>
      <c r="L578" s="2"/>
      <c r="M578" s="2"/>
      <c r="N578" s="2"/>
      <c r="O578" s="2"/>
      <c r="P578" s="2"/>
      <c r="Q578" s="157"/>
      <c r="R578" s="157"/>
      <c r="S578" s="2"/>
      <c r="T578" s="158"/>
      <c r="U578" s="2"/>
      <c r="V578" s="2"/>
      <c r="W578" s="2"/>
      <c r="X578" s="2"/>
      <c r="Y578" s="2"/>
      <c r="Z578" s="2"/>
    </row>
    <row r="579" ht="13.5" customHeight="1">
      <c r="A579" s="2"/>
      <c r="B579" s="2"/>
      <c r="C579" s="2"/>
      <c r="D579" s="2"/>
      <c r="E579" s="2"/>
      <c r="F579" s="2"/>
      <c r="G579" s="2"/>
      <c r="H579" s="2"/>
      <c r="I579" s="2"/>
      <c r="J579" s="2"/>
      <c r="K579" s="181"/>
      <c r="L579" s="2"/>
      <c r="M579" s="2"/>
      <c r="N579" s="2"/>
      <c r="O579" s="2"/>
      <c r="P579" s="2"/>
      <c r="Q579" s="157"/>
      <c r="R579" s="157"/>
      <c r="S579" s="2"/>
      <c r="T579" s="158"/>
      <c r="U579" s="2"/>
      <c r="V579" s="2"/>
      <c r="W579" s="2"/>
      <c r="X579" s="2"/>
      <c r="Y579" s="2"/>
      <c r="Z579" s="2"/>
    </row>
    <row r="580" ht="13.5" customHeight="1">
      <c r="A580" s="2"/>
      <c r="B580" s="2"/>
      <c r="C580" s="2"/>
      <c r="D580" s="2"/>
      <c r="E580" s="2"/>
      <c r="F580" s="2"/>
      <c r="G580" s="2"/>
      <c r="H580" s="2"/>
      <c r="I580" s="2"/>
      <c r="J580" s="2"/>
      <c r="K580" s="181"/>
      <c r="L580" s="2"/>
      <c r="M580" s="2"/>
      <c r="N580" s="2"/>
      <c r="O580" s="2"/>
      <c r="P580" s="2"/>
      <c r="Q580" s="157"/>
      <c r="R580" s="157"/>
      <c r="S580" s="2"/>
      <c r="T580" s="158"/>
      <c r="U580" s="2"/>
      <c r="V580" s="2"/>
      <c r="W580" s="2"/>
      <c r="X580" s="2"/>
      <c r="Y580" s="2"/>
      <c r="Z580" s="2"/>
    </row>
    <row r="581" ht="13.5" customHeight="1">
      <c r="A581" s="2"/>
      <c r="B581" s="2"/>
      <c r="C581" s="2"/>
      <c r="D581" s="2"/>
      <c r="E581" s="2"/>
      <c r="F581" s="2"/>
      <c r="G581" s="2"/>
      <c r="H581" s="2"/>
      <c r="I581" s="2"/>
      <c r="J581" s="2"/>
      <c r="K581" s="181"/>
      <c r="L581" s="2"/>
      <c r="M581" s="2"/>
      <c r="N581" s="2"/>
      <c r="O581" s="2"/>
      <c r="P581" s="2"/>
      <c r="Q581" s="157"/>
      <c r="R581" s="157"/>
      <c r="S581" s="2"/>
      <c r="T581" s="158"/>
      <c r="U581" s="2"/>
      <c r="V581" s="2"/>
      <c r="W581" s="2"/>
      <c r="X581" s="2"/>
      <c r="Y581" s="2"/>
      <c r="Z581" s="2"/>
    </row>
    <row r="582" ht="13.5" customHeight="1">
      <c r="A582" s="2"/>
      <c r="B582" s="2"/>
      <c r="C582" s="2"/>
      <c r="D582" s="2"/>
      <c r="E582" s="2"/>
      <c r="F582" s="2"/>
      <c r="G582" s="2"/>
      <c r="H582" s="2"/>
      <c r="I582" s="2"/>
      <c r="J582" s="2"/>
      <c r="K582" s="181"/>
      <c r="L582" s="2"/>
      <c r="M582" s="2"/>
      <c r="N582" s="2"/>
      <c r="O582" s="2"/>
      <c r="P582" s="2"/>
      <c r="Q582" s="157"/>
      <c r="R582" s="157"/>
      <c r="S582" s="2"/>
      <c r="T582" s="158"/>
      <c r="U582" s="2"/>
      <c r="V582" s="2"/>
      <c r="W582" s="2"/>
      <c r="X582" s="2"/>
      <c r="Y582" s="2"/>
      <c r="Z582" s="2"/>
    </row>
    <row r="583" ht="13.5" customHeight="1">
      <c r="A583" s="2"/>
      <c r="B583" s="2"/>
      <c r="C583" s="2"/>
      <c r="D583" s="2"/>
      <c r="E583" s="2"/>
      <c r="F583" s="2"/>
      <c r="G583" s="2"/>
      <c r="H583" s="2"/>
      <c r="I583" s="2"/>
      <c r="J583" s="2"/>
      <c r="K583" s="181"/>
      <c r="L583" s="2"/>
      <c r="M583" s="2"/>
      <c r="N583" s="2"/>
      <c r="O583" s="2"/>
      <c r="P583" s="2"/>
      <c r="Q583" s="157"/>
      <c r="R583" s="157"/>
      <c r="S583" s="2"/>
      <c r="T583" s="158"/>
      <c r="U583" s="2"/>
      <c r="V583" s="2"/>
      <c r="W583" s="2"/>
      <c r="X583" s="2"/>
      <c r="Y583" s="2"/>
      <c r="Z583" s="2"/>
    </row>
    <row r="584" ht="13.5" customHeight="1">
      <c r="A584" s="2"/>
      <c r="B584" s="2"/>
      <c r="C584" s="2"/>
      <c r="D584" s="2"/>
      <c r="E584" s="2"/>
      <c r="F584" s="2"/>
      <c r="G584" s="2"/>
      <c r="H584" s="2"/>
      <c r="I584" s="2"/>
      <c r="J584" s="2"/>
      <c r="K584" s="181"/>
      <c r="L584" s="2"/>
      <c r="M584" s="2"/>
      <c r="N584" s="2"/>
      <c r="O584" s="2"/>
      <c r="P584" s="2"/>
      <c r="Q584" s="157"/>
      <c r="R584" s="157"/>
      <c r="S584" s="2"/>
      <c r="T584" s="158"/>
      <c r="U584" s="2"/>
      <c r="V584" s="2"/>
      <c r="W584" s="2"/>
      <c r="X584" s="2"/>
      <c r="Y584" s="2"/>
      <c r="Z584" s="2"/>
    </row>
    <row r="585" ht="13.5" customHeight="1">
      <c r="A585" s="2"/>
      <c r="B585" s="2"/>
      <c r="C585" s="2"/>
      <c r="D585" s="2"/>
      <c r="E585" s="2"/>
      <c r="F585" s="2"/>
      <c r="G585" s="2"/>
      <c r="H585" s="2"/>
      <c r="I585" s="2"/>
      <c r="J585" s="2"/>
      <c r="K585" s="181"/>
      <c r="L585" s="2"/>
      <c r="M585" s="2"/>
      <c r="N585" s="2"/>
      <c r="O585" s="2"/>
      <c r="P585" s="2"/>
      <c r="Q585" s="157"/>
      <c r="R585" s="157"/>
      <c r="S585" s="2"/>
      <c r="T585" s="158"/>
      <c r="U585" s="2"/>
      <c r="V585" s="2"/>
      <c r="W585" s="2"/>
      <c r="X585" s="2"/>
      <c r="Y585" s="2"/>
      <c r="Z585" s="2"/>
    </row>
    <row r="586" ht="13.5" customHeight="1">
      <c r="A586" s="2"/>
      <c r="B586" s="2"/>
      <c r="C586" s="2"/>
      <c r="D586" s="2"/>
      <c r="E586" s="2"/>
      <c r="F586" s="2"/>
      <c r="G586" s="2"/>
      <c r="H586" s="2"/>
      <c r="I586" s="2"/>
      <c r="J586" s="2"/>
      <c r="K586" s="181"/>
      <c r="L586" s="2"/>
      <c r="M586" s="2"/>
      <c r="N586" s="2"/>
      <c r="O586" s="2"/>
      <c r="P586" s="2"/>
      <c r="Q586" s="157"/>
      <c r="R586" s="157"/>
      <c r="S586" s="2"/>
      <c r="T586" s="158"/>
      <c r="U586" s="2"/>
      <c r="V586" s="2"/>
      <c r="W586" s="2"/>
      <c r="X586" s="2"/>
      <c r="Y586" s="2"/>
      <c r="Z586" s="2"/>
    </row>
    <row r="587" ht="13.5" customHeight="1">
      <c r="A587" s="2"/>
      <c r="B587" s="2"/>
      <c r="C587" s="2"/>
      <c r="D587" s="2"/>
      <c r="E587" s="2"/>
      <c r="F587" s="2"/>
      <c r="G587" s="2"/>
      <c r="H587" s="2"/>
      <c r="I587" s="2"/>
      <c r="J587" s="2"/>
      <c r="K587" s="181"/>
      <c r="L587" s="2"/>
      <c r="M587" s="2"/>
      <c r="N587" s="2"/>
      <c r="O587" s="2"/>
      <c r="P587" s="2"/>
      <c r="Q587" s="157"/>
      <c r="R587" s="157"/>
      <c r="S587" s="2"/>
      <c r="T587" s="158"/>
      <c r="U587" s="2"/>
      <c r="V587" s="2"/>
      <c r="W587" s="2"/>
      <c r="X587" s="2"/>
      <c r="Y587" s="2"/>
      <c r="Z587" s="2"/>
    </row>
    <row r="588" ht="13.5" customHeight="1">
      <c r="A588" s="2"/>
      <c r="B588" s="2"/>
      <c r="C588" s="2"/>
      <c r="D588" s="2"/>
      <c r="E588" s="2"/>
      <c r="F588" s="2"/>
      <c r="G588" s="2"/>
      <c r="H588" s="2"/>
      <c r="I588" s="2"/>
      <c r="J588" s="2"/>
      <c r="K588" s="181"/>
      <c r="L588" s="2"/>
      <c r="M588" s="2"/>
      <c r="N588" s="2"/>
      <c r="O588" s="2"/>
      <c r="P588" s="2"/>
      <c r="Q588" s="157"/>
      <c r="R588" s="157"/>
      <c r="S588" s="2"/>
      <c r="T588" s="158"/>
      <c r="U588" s="2"/>
      <c r="V588" s="2"/>
      <c r="W588" s="2"/>
      <c r="X588" s="2"/>
      <c r="Y588" s="2"/>
      <c r="Z588" s="2"/>
    </row>
    <row r="589" ht="13.5" customHeight="1">
      <c r="A589" s="2"/>
      <c r="B589" s="2"/>
      <c r="C589" s="2"/>
      <c r="D589" s="2"/>
      <c r="E589" s="2"/>
      <c r="F589" s="2"/>
      <c r="G589" s="2"/>
      <c r="H589" s="2"/>
      <c r="I589" s="2"/>
      <c r="J589" s="2"/>
      <c r="K589" s="181"/>
      <c r="L589" s="2"/>
      <c r="M589" s="2"/>
      <c r="N589" s="2"/>
      <c r="O589" s="2"/>
      <c r="P589" s="2"/>
      <c r="Q589" s="157"/>
      <c r="R589" s="157"/>
      <c r="S589" s="2"/>
      <c r="T589" s="158"/>
      <c r="U589" s="2"/>
      <c r="V589" s="2"/>
      <c r="W589" s="2"/>
      <c r="X589" s="2"/>
      <c r="Y589" s="2"/>
      <c r="Z589" s="2"/>
    </row>
    <row r="590" ht="13.5" customHeight="1">
      <c r="A590" s="2"/>
      <c r="B590" s="2"/>
      <c r="C590" s="2"/>
      <c r="D590" s="2"/>
      <c r="E590" s="2"/>
      <c r="F590" s="2"/>
      <c r="G590" s="2"/>
      <c r="H590" s="2"/>
      <c r="I590" s="2"/>
      <c r="J590" s="2"/>
      <c r="K590" s="181"/>
      <c r="L590" s="2"/>
      <c r="M590" s="2"/>
      <c r="N590" s="2"/>
      <c r="O590" s="2"/>
      <c r="P590" s="2"/>
      <c r="Q590" s="157"/>
      <c r="R590" s="157"/>
      <c r="S590" s="2"/>
      <c r="T590" s="158"/>
      <c r="U590" s="2"/>
      <c r="V590" s="2"/>
      <c r="W590" s="2"/>
      <c r="X590" s="2"/>
      <c r="Y590" s="2"/>
      <c r="Z590" s="2"/>
    </row>
    <row r="591" ht="13.5" customHeight="1">
      <c r="A591" s="2"/>
      <c r="B591" s="2"/>
      <c r="C591" s="2"/>
      <c r="D591" s="2"/>
      <c r="E591" s="2"/>
      <c r="F591" s="2"/>
      <c r="G591" s="2"/>
      <c r="H591" s="2"/>
      <c r="I591" s="2"/>
      <c r="J591" s="2"/>
      <c r="K591" s="181"/>
      <c r="L591" s="2"/>
      <c r="M591" s="2"/>
      <c r="N591" s="2"/>
      <c r="O591" s="2"/>
      <c r="P591" s="2"/>
      <c r="Q591" s="157"/>
      <c r="R591" s="157"/>
      <c r="S591" s="2"/>
      <c r="T591" s="158"/>
      <c r="U591" s="2"/>
      <c r="V591" s="2"/>
      <c r="W591" s="2"/>
      <c r="X591" s="2"/>
      <c r="Y591" s="2"/>
      <c r="Z591" s="2"/>
    </row>
    <row r="592" ht="13.5" customHeight="1">
      <c r="A592" s="2"/>
      <c r="B592" s="2"/>
      <c r="C592" s="2"/>
      <c r="D592" s="2"/>
      <c r="E592" s="2"/>
      <c r="F592" s="2"/>
      <c r="G592" s="2"/>
      <c r="H592" s="2"/>
      <c r="I592" s="2"/>
      <c r="J592" s="2"/>
      <c r="K592" s="181"/>
      <c r="L592" s="2"/>
      <c r="M592" s="2"/>
      <c r="N592" s="2"/>
      <c r="O592" s="2"/>
      <c r="P592" s="2"/>
      <c r="Q592" s="157"/>
      <c r="R592" s="157"/>
      <c r="S592" s="2"/>
      <c r="T592" s="158"/>
      <c r="U592" s="2"/>
      <c r="V592" s="2"/>
      <c r="W592" s="2"/>
      <c r="X592" s="2"/>
      <c r="Y592" s="2"/>
      <c r="Z592" s="2"/>
    </row>
    <row r="593" ht="13.5" customHeight="1">
      <c r="A593" s="2"/>
      <c r="B593" s="2"/>
      <c r="C593" s="2"/>
      <c r="D593" s="2"/>
      <c r="E593" s="2"/>
      <c r="F593" s="2"/>
      <c r="G593" s="2"/>
      <c r="H593" s="2"/>
      <c r="I593" s="2"/>
      <c r="J593" s="2"/>
      <c r="K593" s="181"/>
      <c r="L593" s="2"/>
      <c r="M593" s="2"/>
      <c r="N593" s="2"/>
      <c r="O593" s="2"/>
      <c r="P593" s="2"/>
      <c r="Q593" s="157"/>
      <c r="R593" s="157"/>
      <c r="S593" s="2"/>
      <c r="T593" s="158"/>
      <c r="U593" s="2"/>
      <c r="V593" s="2"/>
      <c r="W593" s="2"/>
      <c r="X593" s="2"/>
      <c r="Y593" s="2"/>
      <c r="Z593" s="2"/>
    </row>
    <row r="594" ht="13.5" customHeight="1">
      <c r="A594" s="2"/>
      <c r="B594" s="2"/>
      <c r="C594" s="2"/>
      <c r="D594" s="2"/>
      <c r="E594" s="2"/>
      <c r="F594" s="2"/>
      <c r="G594" s="2"/>
      <c r="H594" s="2"/>
      <c r="I594" s="2"/>
      <c r="J594" s="2"/>
      <c r="K594" s="181"/>
      <c r="L594" s="2"/>
      <c r="M594" s="2"/>
      <c r="N594" s="2"/>
      <c r="O594" s="2"/>
      <c r="P594" s="2"/>
      <c r="Q594" s="157"/>
      <c r="R594" s="157"/>
      <c r="S594" s="2"/>
      <c r="T594" s="158"/>
      <c r="U594" s="2"/>
      <c r="V594" s="2"/>
      <c r="W594" s="2"/>
      <c r="X594" s="2"/>
      <c r="Y594" s="2"/>
      <c r="Z594" s="2"/>
    </row>
    <row r="595" ht="13.5" customHeight="1">
      <c r="A595" s="2"/>
      <c r="B595" s="2"/>
      <c r="C595" s="2"/>
      <c r="D595" s="2"/>
      <c r="E595" s="2"/>
      <c r="F595" s="2"/>
      <c r="G595" s="2"/>
      <c r="H595" s="2"/>
      <c r="I595" s="2"/>
      <c r="J595" s="2"/>
      <c r="K595" s="181"/>
      <c r="L595" s="2"/>
      <c r="M595" s="2"/>
      <c r="N595" s="2"/>
      <c r="O595" s="2"/>
      <c r="P595" s="2"/>
      <c r="Q595" s="157"/>
      <c r="R595" s="157"/>
      <c r="S595" s="2"/>
      <c r="T595" s="158"/>
      <c r="U595" s="2"/>
      <c r="V595" s="2"/>
      <c r="W595" s="2"/>
      <c r="X595" s="2"/>
      <c r="Y595" s="2"/>
      <c r="Z595" s="2"/>
    </row>
    <row r="596" ht="13.5" customHeight="1">
      <c r="A596" s="2"/>
      <c r="B596" s="2"/>
      <c r="C596" s="2"/>
      <c r="D596" s="2"/>
      <c r="E596" s="2"/>
      <c r="F596" s="2"/>
      <c r="G596" s="2"/>
      <c r="H596" s="2"/>
      <c r="I596" s="2"/>
      <c r="J596" s="2"/>
      <c r="K596" s="181"/>
      <c r="L596" s="2"/>
      <c r="M596" s="2"/>
      <c r="N596" s="2"/>
      <c r="O596" s="2"/>
      <c r="P596" s="2"/>
      <c r="Q596" s="157"/>
      <c r="R596" s="157"/>
      <c r="S596" s="2"/>
      <c r="T596" s="158"/>
      <c r="U596" s="2"/>
      <c r="V596" s="2"/>
      <c r="W596" s="2"/>
      <c r="X596" s="2"/>
      <c r="Y596" s="2"/>
      <c r="Z596" s="2"/>
    </row>
    <row r="597" ht="13.5" customHeight="1">
      <c r="A597" s="2"/>
      <c r="B597" s="2"/>
      <c r="C597" s="2"/>
      <c r="D597" s="2"/>
      <c r="E597" s="2"/>
      <c r="F597" s="2"/>
      <c r="G597" s="2"/>
      <c r="H597" s="2"/>
      <c r="I597" s="2"/>
      <c r="J597" s="2"/>
      <c r="K597" s="181"/>
      <c r="L597" s="2"/>
      <c r="M597" s="2"/>
      <c r="N597" s="2"/>
      <c r="O597" s="2"/>
      <c r="P597" s="2"/>
      <c r="Q597" s="157"/>
      <c r="R597" s="157"/>
      <c r="S597" s="2"/>
      <c r="T597" s="158"/>
      <c r="U597" s="2"/>
      <c r="V597" s="2"/>
      <c r="W597" s="2"/>
      <c r="X597" s="2"/>
      <c r="Y597" s="2"/>
      <c r="Z597" s="2"/>
    </row>
    <row r="598" ht="13.5" customHeight="1">
      <c r="A598" s="2"/>
      <c r="B598" s="2"/>
      <c r="C598" s="2"/>
      <c r="D598" s="2"/>
      <c r="E598" s="2"/>
      <c r="F598" s="2"/>
      <c r="G598" s="2"/>
      <c r="H598" s="2"/>
      <c r="I598" s="2"/>
      <c r="J598" s="2"/>
      <c r="K598" s="181"/>
      <c r="L598" s="2"/>
      <c r="M598" s="2"/>
      <c r="N598" s="2"/>
      <c r="O598" s="2"/>
      <c r="P598" s="2"/>
      <c r="Q598" s="157"/>
      <c r="R598" s="157"/>
      <c r="S598" s="2"/>
      <c r="T598" s="158"/>
      <c r="U598" s="2"/>
      <c r="V598" s="2"/>
      <c r="W598" s="2"/>
      <c r="X598" s="2"/>
      <c r="Y598" s="2"/>
      <c r="Z598" s="2"/>
    </row>
    <row r="599" ht="13.5" customHeight="1">
      <c r="A599" s="2"/>
      <c r="B599" s="2"/>
      <c r="C599" s="2"/>
      <c r="D599" s="2"/>
      <c r="E599" s="2"/>
      <c r="F599" s="2"/>
      <c r="G599" s="2"/>
      <c r="H599" s="2"/>
      <c r="I599" s="2"/>
      <c r="J599" s="2"/>
      <c r="K599" s="181"/>
      <c r="L599" s="2"/>
      <c r="M599" s="2"/>
      <c r="N599" s="2"/>
      <c r="O599" s="2"/>
      <c r="P599" s="2"/>
      <c r="Q599" s="157"/>
      <c r="R599" s="157"/>
      <c r="S599" s="2"/>
      <c r="T599" s="158"/>
      <c r="U599" s="2"/>
      <c r="V599" s="2"/>
      <c r="W599" s="2"/>
      <c r="X599" s="2"/>
      <c r="Y599" s="2"/>
      <c r="Z599" s="2"/>
    </row>
    <row r="600" ht="13.5" customHeight="1">
      <c r="A600" s="2"/>
      <c r="B600" s="2"/>
      <c r="C600" s="2"/>
      <c r="D600" s="2"/>
      <c r="E600" s="2"/>
      <c r="F600" s="2"/>
      <c r="G600" s="2"/>
      <c r="H600" s="2"/>
      <c r="I600" s="2"/>
      <c r="J600" s="2"/>
      <c r="K600" s="181"/>
      <c r="L600" s="2"/>
      <c r="M600" s="2"/>
      <c r="N600" s="2"/>
      <c r="O600" s="2"/>
      <c r="P600" s="2"/>
      <c r="Q600" s="157"/>
      <c r="R600" s="157"/>
      <c r="S600" s="2"/>
      <c r="T600" s="158"/>
      <c r="U600" s="2"/>
      <c r="V600" s="2"/>
      <c r="W600" s="2"/>
      <c r="X600" s="2"/>
      <c r="Y600" s="2"/>
      <c r="Z600" s="2"/>
    </row>
    <row r="601" ht="13.5" customHeight="1">
      <c r="A601" s="2"/>
      <c r="B601" s="2"/>
      <c r="C601" s="2"/>
      <c r="D601" s="2"/>
      <c r="E601" s="2"/>
      <c r="F601" s="2"/>
      <c r="G601" s="2"/>
      <c r="H601" s="2"/>
      <c r="I601" s="2"/>
      <c r="J601" s="2"/>
      <c r="K601" s="181"/>
      <c r="L601" s="2"/>
      <c r="M601" s="2"/>
      <c r="N601" s="2"/>
      <c r="O601" s="2"/>
      <c r="P601" s="2"/>
      <c r="Q601" s="157"/>
      <c r="R601" s="157"/>
      <c r="S601" s="2"/>
      <c r="T601" s="158"/>
      <c r="U601" s="2"/>
      <c r="V601" s="2"/>
      <c r="W601" s="2"/>
      <c r="X601" s="2"/>
      <c r="Y601" s="2"/>
      <c r="Z601" s="2"/>
    </row>
    <row r="602" ht="13.5" customHeight="1">
      <c r="A602" s="2"/>
      <c r="B602" s="2"/>
      <c r="C602" s="2"/>
      <c r="D602" s="2"/>
      <c r="E602" s="2"/>
      <c r="F602" s="2"/>
      <c r="G602" s="2"/>
      <c r="H602" s="2"/>
      <c r="I602" s="2"/>
      <c r="J602" s="2"/>
      <c r="K602" s="181"/>
      <c r="L602" s="2"/>
      <c r="M602" s="2"/>
      <c r="N602" s="2"/>
      <c r="O602" s="2"/>
      <c r="P602" s="2"/>
      <c r="Q602" s="157"/>
      <c r="R602" s="157"/>
      <c r="S602" s="2"/>
      <c r="T602" s="158"/>
      <c r="U602" s="2"/>
      <c r="V602" s="2"/>
      <c r="W602" s="2"/>
      <c r="X602" s="2"/>
      <c r="Y602" s="2"/>
      <c r="Z602" s="2"/>
    </row>
    <row r="603" ht="13.5" customHeight="1">
      <c r="A603" s="2"/>
      <c r="B603" s="2"/>
      <c r="C603" s="2"/>
      <c r="D603" s="2"/>
      <c r="E603" s="2"/>
      <c r="F603" s="2"/>
      <c r="G603" s="2"/>
      <c r="H603" s="2"/>
      <c r="I603" s="2"/>
      <c r="J603" s="2"/>
      <c r="K603" s="181"/>
      <c r="L603" s="2"/>
      <c r="M603" s="2"/>
      <c r="N603" s="2"/>
      <c r="O603" s="2"/>
      <c r="P603" s="2"/>
      <c r="Q603" s="157"/>
      <c r="R603" s="157"/>
      <c r="S603" s="2"/>
      <c r="T603" s="158"/>
      <c r="U603" s="2"/>
      <c r="V603" s="2"/>
      <c r="W603" s="2"/>
      <c r="X603" s="2"/>
      <c r="Y603" s="2"/>
      <c r="Z603" s="2"/>
    </row>
    <row r="604" ht="13.5" customHeight="1">
      <c r="A604" s="2"/>
      <c r="B604" s="2"/>
      <c r="C604" s="2"/>
      <c r="D604" s="2"/>
      <c r="E604" s="2"/>
      <c r="F604" s="2"/>
      <c r="G604" s="2"/>
      <c r="H604" s="2"/>
      <c r="I604" s="2"/>
      <c r="J604" s="2"/>
      <c r="K604" s="181"/>
      <c r="L604" s="2"/>
      <c r="M604" s="2"/>
      <c r="N604" s="2"/>
      <c r="O604" s="2"/>
      <c r="P604" s="2"/>
      <c r="Q604" s="157"/>
      <c r="R604" s="157"/>
      <c r="S604" s="2"/>
      <c r="T604" s="158"/>
      <c r="U604" s="2"/>
      <c r="V604" s="2"/>
      <c r="W604" s="2"/>
      <c r="X604" s="2"/>
      <c r="Y604" s="2"/>
      <c r="Z604" s="2"/>
    </row>
    <row r="605" ht="13.5" customHeight="1">
      <c r="A605" s="2"/>
      <c r="B605" s="2"/>
      <c r="C605" s="2"/>
      <c r="D605" s="2"/>
      <c r="E605" s="2"/>
      <c r="F605" s="2"/>
      <c r="G605" s="2"/>
      <c r="H605" s="2"/>
      <c r="I605" s="2"/>
      <c r="J605" s="2"/>
      <c r="K605" s="181"/>
      <c r="L605" s="2"/>
      <c r="M605" s="2"/>
      <c r="N605" s="2"/>
      <c r="O605" s="2"/>
      <c r="P605" s="2"/>
      <c r="Q605" s="157"/>
      <c r="R605" s="157"/>
      <c r="S605" s="2"/>
      <c r="T605" s="158"/>
      <c r="U605" s="2"/>
      <c r="V605" s="2"/>
      <c r="W605" s="2"/>
      <c r="X605" s="2"/>
      <c r="Y605" s="2"/>
      <c r="Z605" s="2"/>
    </row>
    <row r="606" ht="13.5" customHeight="1">
      <c r="A606" s="2"/>
      <c r="B606" s="2"/>
      <c r="C606" s="2"/>
      <c r="D606" s="2"/>
      <c r="E606" s="2"/>
      <c r="F606" s="2"/>
      <c r="G606" s="2"/>
      <c r="H606" s="2"/>
      <c r="I606" s="2"/>
      <c r="J606" s="2"/>
      <c r="K606" s="181"/>
      <c r="L606" s="2"/>
      <c r="M606" s="2"/>
      <c r="N606" s="2"/>
      <c r="O606" s="2"/>
      <c r="P606" s="2"/>
      <c r="Q606" s="157"/>
      <c r="R606" s="157"/>
      <c r="S606" s="2"/>
      <c r="T606" s="158"/>
      <c r="U606" s="2"/>
      <c r="V606" s="2"/>
      <c r="W606" s="2"/>
      <c r="X606" s="2"/>
      <c r="Y606" s="2"/>
      <c r="Z606" s="2"/>
    </row>
    <row r="607" ht="13.5" customHeight="1">
      <c r="A607" s="2"/>
      <c r="B607" s="2"/>
      <c r="C607" s="2"/>
      <c r="D607" s="2"/>
      <c r="E607" s="2"/>
      <c r="F607" s="2"/>
      <c r="G607" s="2"/>
      <c r="H607" s="2"/>
      <c r="I607" s="2"/>
      <c r="J607" s="2"/>
      <c r="K607" s="181"/>
      <c r="L607" s="2"/>
      <c r="M607" s="2"/>
      <c r="N607" s="2"/>
      <c r="O607" s="2"/>
      <c r="P607" s="2"/>
      <c r="Q607" s="157"/>
      <c r="R607" s="157"/>
      <c r="S607" s="2"/>
      <c r="T607" s="158"/>
      <c r="U607" s="2"/>
      <c r="V607" s="2"/>
      <c r="W607" s="2"/>
      <c r="X607" s="2"/>
      <c r="Y607" s="2"/>
      <c r="Z607" s="2"/>
    </row>
    <row r="608" ht="13.5" customHeight="1">
      <c r="A608" s="2"/>
      <c r="B608" s="2"/>
      <c r="C608" s="2"/>
      <c r="D608" s="2"/>
      <c r="E608" s="2"/>
      <c r="F608" s="2"/>
      <c r="G608" s="2"/>
      <c r="H608" s="2"/>
      <c r="I608" s="2"/>
      <c r="J608" s="2"/>
      <c r="K608" s="181"/>
      <c r="L608" s="2"/>
      <c r="M608" s="2"/>
      <c r="N608" s="2"/>
      <c r="O608" s="2"/>
      <c r="P608" s="2"/>
      <c r="Q608" s="157"/>
      <c r="R608" s="157"/>
      <c r="S608" s="2"/>
      <c r="T608" s="158"/>
      <c r="U608" s="2"/>
      <c r="V608" s="2"/>
      <c r="W608" s="2"/>
      <c r="X608" s="2"/>
      <c r="Y608" s="2"/>
      <c r="Z608" s="2"/>
    </row>
    <row r="609" ht="13.5" customHeight="1">
      <c r="A609" s="2"/>
      <c r="B609" s="2"/>
      <c r="C609" s="2"/>
      <c r="D609" s="2"/>
      <c r="E609" s="2"/>
      <c r="F609" s="2"/>
      <c r="G609" s="2"/>
      <c r="H609" s="2"/>
      <c r="I609" s="2"/>
      <c r="J609" s="2"/>
      <c r="K609" s="181"/>
      <c r="L609" s="2"/>
      <c r="M609" s="2"/>
      <c r="N609" s="2"/>
      <c r="O609" s="2"/>
      <c r="P609" s="2"/>
      <c r="Q609" s="157"/>
      <c r="R609" s="157"/>
      <c r="S609" s="2"/>
      <c r="T609" s="158"/>
      <c r="U609" s="2"/>
      <c r="V609" s="2"/>
      <c r="W609" s="2"/>
      <c r="X609" s="2"/>
      <c r="Y609" s="2"/>
      <c r="Z609" s="2"/>
    </row>
    <row r="610" ht="13.5" customHeight="1">
      <c r="A610" s="2"/>
      <c r="B610" s="2"/>
      <c r="C610" s="2"/>
      <c r="D610" s="2"/>
      <c r="E610" s="2"/>
      <c r="F610" s="2"/>
      <c r="G610" s="2"/>
      <c r="H610" s="2"/>
      <c r="I610" s="2"/>
      <c r="J610" s="2"/>
      <c r="K610" s="181"/>
      <c r="L610" s="2"/>
      <c r="M610" s="2"/>
      <c r="N610" s="2"/>
      <c r="O610" s="2"/>
      <c r="P610" s="2"/>
      <c r="Q610" s="157"/>
      <c r="R610" s="157"/>
      <c r="S610" s="2"/>
      <c r="T610" s="158"/>
      <c r="U610" s="2"/>
      <c r="V610" s="2"/>
      <c r="W610" s="2"/>
      <c r="X610" s="2"/>
      <c r="Y610" s="2"/>
      <c r="Z610" s="2"/>
    </row>
    <row r="611" ht="13.5" customHeight="1">
      <c r="A611" s="2"/>
      <c r="B611" s="2"/>
      <c r="C611" s="2"/>
      <c r="D611" s="2"/>
      <c r="E611" s="2"/>
      <c r="F611" s="2"/>
      <c r="G611" s="2"/>
      <c r="H611" s="2"/>
      <c r="I611" s="2"/>
      <c r="J611" s="2"/>
      <c r="K611" s="181"/>
      <c r="L611" s="2"/>
      <c r="M611" s="2"/>
      <c r="N611" s="2"/>
      <c r="O611" s="2"/>
      <c r="P611" s="2"/>
      <c r="Q611" s="157"/>
      <c r="R611" s="157"/>
      <c r="S611" s="2"/>
      <c r="T611" s="158"/>
      <c r="U611" s="2"/>
      <c r="V611" s="2"/>
      <c r="W611" s="2"/>
      <c r="X611" s="2"/>
      <c r="Y611" s="2"/>
      <c r="Z611" s="2"/>
    </row>
    <row r="612" ht="13.5" customHeight="1">
      <c r="A612" s="2"/>
      <c r="B612" s="2"/>
      <c r="C612" s="2"/>
      <c r="D612" s="2"/>
      <c r="E612" s="2"/>
      <c r="F612" s="2"/>
      <c r="G612" s="2"/>
      <c r="H612" s="2"/>
      <c r="I612" s="2"/>
      <c r="J612" s="2"/>
      <c r="K612" s="181"/>
      <c r="L612" s="2"/>
      <c r="M612" s="2"/>
      <c r="N612" s="2"/>
      <c r="O612" s="2"/>
      <c r="P612" s="2"/>
      <c r="Q612" s="157"/>
      <c r="R612" s="157"/>
      <c r="S612" s="2"/>
      <c r="T612" s="158"/>
      <c r="U612" s="2"/>
      <c r="V612" s="2"/>
      <c r="W612" s="2"/>
      <c r="X612" s="2"/>
      <c r="Y612" s="2"/>
      <c r="Z612" s="2"/>
    </row>
    <row r="613" ht="13.5" customHeight="1">
      <c r="A613" s="2"/>
      <c r="B613" s="2"/>
      <c r="C613" s="2"/>
      <c r="D613" s="2"/>
      <c r="E613" s="2"/>
      <c r="F613" s="2"/>
      <c r="G613" s="2"/>
      <c r="H613" s="2"/>
      <c r="I613" s="2"/>
      <c r="J613" s="2"/>
      <c r="K613" s="181"/>
      <c r="L613" s="2"/>
      <c r="M613" s="2"/>
      <c r="N613" s="2"/>
      <c r="O613" s="2"/>
      <c r="P613" s="2"/>
      <c r="Q613" s="157"/>
      <c r="R613" s="157"/>
      <c r="S613" s="2"/>
      <c r="T613" s="158"/>
      <c r="U613" s="2"/>
      <c r="V613" s="2"/>
      <c r="W613" s="2"/>
      <c r="X613" s="2"/>
      <c r="Y613" s="2"/>
      <c r="Z613" s="2"/>
    </row>
    <row r="614" ht="13.5" customHeight="1">
      <c r="A614" s="2"/>
      <c r="B614" s="2"/>
      <c r="C614" s="2"/>
      <c r="D614" s="2"/>
      <c r="E614" s="2"/>
      <c r="F614" s="2"/>
      <c r="G614" s="2"/>
      <c r="H614" s="2"/>
      <c r="I614" s="2"/>
      <c r="J614" s="2"/>
      <c r="K614" s="181"/>
      <c r="L614" s="2"/>
      <c r="M614" s="2"/>
      <c r="N614" s="2"/>
      <c r="O614" s="2"/>
      <c r="P614" s="2"/>
      <c r="Q614" s="157"/>
      <c r="R614" s="157"/>
      <c r="S614" s="2"/>
      <c r="T614" s="158"/>
      <c r="U614" s="2"/>
      <c r="V614" s="2"/>
      <c r="W614" s="2"/>
      <c r="X614" s="2"/>
      <c r="Y614" s="2"/>
      <c r="Z614" s="2"/>
    </row>
    <row r="615" ht="13.5" customHeight="1">
      <c r="A615" s="2"/>
      <c r="B615" s="2"/>
      <c r="C615" s="2"/>
      <c r="D615" s="2"/>
      <c r="E615" s="2"/>
      <c r="F615" s="2"/>
      <c r="G615" s="2"/>
      <c r="H615" s="2"/>
      <c r="I615" s="2"/>
      <c r="J615" s="2"/>
      <c r="K615" s="181"/>
      <c r="L615" s="2"/>
      <c r="M615" s="2"/>
      <c r="N615" s="2"/>
      <c r="O615" s="2"/>
      <c r="P615" s="2"/>
      <c r="Q615" s="157"/>
      <c r="R615" s="157"/>
      <c r="S615" s="2"/>
      <c r="T615" s="158"/>
      <c r="U615" s="2"/>
      <c r="V615" s="2"/>
      <c r="W615" s="2"/>
      <c r="X615" s="2"/>
      <c r="Y615" s="2"/>
      <c r="Z615" s="2"/>
    </row>
    <row r="616" ht="13.5" customHeight="1">
      <c r="A616" s="2"/>
      <c r="B616" s="2"/>
      <c r="C616" s="2"/>
      <c r="D616" s="2"/>
      <c r="E616" s="2"/>
      <c r="F616" s="2"/>
      <c r="G616" s="2"/>
      <c r="H616" s="2"/>
      <c r="I616" s="2"/>
      <c r="J616" s="2"/>
      <c r="K616" s="181"/>
      <c r="L616" s="2"/>
      <c r="M616" s="2"/>
      <c r="N616" s="2"/>
      <c r="O616" s="2"/>
      <c r="P616" s="2"/>
      <c r="Q616" s="157"/>
      <c r="R616" s="157"/>
      <c r="S616" s="2"/>
      <c r="T616" s="158"/>
      <c r="U616" s="2"/>
      <c r="V616" s="2"/>
      <c r="W616" s="2"/>
      <c r="X616" s="2"/>
      <c r="Y616" s="2"/>
      <c r="Z616" s="2"/>
    </row>
    <row r="617" ht="13.5" customHeight="1">
      <c r="A617" s="2"/>
      <c r="B617" s="2"/>
      <c r="C617" s="2"/>
      <c r="D617" s="2"/>
      <c r="E617" s="2"/>
      <c r="F617" s="2"/>
      <c r="G617" s="2"/>
      <c r="H617" s="2"/>
      <c r="I617" s="2"/>
      <c r="J617" s="2"/>
      <c r="K617" s="181"/>
      <c r="L617" s="2"/>
      <c r="M617" s="2"/>
      <c r="N617" s="2"/>
      <c r="O617" s="2"/>
      <c r="P617" s="2"/>
      <c r="Q617" s="157"/>
      <c r="R617" s="157"/>
      <c r="S617" s="2"/>
      <c r="T617" s="158"/>
      <c r="U617" s="2"/>
      <c r="V617" s="2"/>
      <c r="W617" s="2"/>
      <c r="X617" s="2"/>
      <c r="Y617" s="2"/>
      <c r="Z617" s="2"/>
    </row>
    <row r="618" ht="13.5" customHeight="1">
      <c r="A618" s="2"/>
      <c r="B618" s="2"/>
      <c r="C618" s="2"/>
      <c r="D618" s="2"/>
      <c r="E618" s="2"/>
      <c r="F618" s="2"/>
      <c r="G618" s="2"/>
      <c r="H618" s="2"/>
      <c r="I618" s="2"/>
      <c r="J618" s="2"/>
      <c r="K618" s="181"/>
      <c r="L618" s="2"/>
      <c r="M618" s="2"/>
      <c r="N618" s="2"/>
      <c r="O618" s="2"/>
      <c r="P618" s="2"/>
      <c r="Q618" s="157"/>
      <c r="R618" s="157"/>
      <c r="S618" s="2"/>
      <c r="T618" s="158"/>
      <c r="U618" s="2"/>
      <c r="V618" s="2"/>
      <c r="W618" s="2"/>
      <c r="X618" s="2"/>
      <c r="Y618" s="2"/>
      <c r="Z618" s="2"/>
    </row>
    <row r="619" ht="13.5" customHeight="1">
      <c r="A619" s="2"/>
      <c r="B619" s="2"/>
      <c r="C619" s="2"/>
      <c r="D619" s="2"/>
      <c r="E619" s="2"/>
      <c r="F619" s="2"/>
      <c r="G619" s="2"/>
      <c r="H619" s="2"/>
      <c r="I619" s="2"/>
      <c r="J619" s="2"/>
      <c r="K619" s="181"/>
      <c r="L619" s="2"/>
      <c r="M619" s="2"/>
      <c r="N619" s="2"/>
      <c r="O619" s="2"/>
      <c r="P619" s="2"/>
      <c r="Q619" s="157"/>
      <c r="R619" s="157"/>
      <c r="S619" s="2"/>
      <c r="T619" s="158"/>
      <c r="U619" s="2"/>
      <c r="V619" s="2"/>
      <c r="W619" s="2"/>
      <c r="X619" s="2"/>
      <c r="Y619" s="2"/>
      <c r="Z619" s="2"/>
    </row>
    <row r="620" ht="13.5" customHeight="1">
      <c r="A620" s="2"/>
      <c r="B620" s="2"/>
      <c r="C620" s="2"/>
      <c r="D620" s="2"/>
      <c r="E620" s="2"/>
      <c r="F620" s="2"/>
      <c r="G620" s="2"/>
      <c r="H620" s="2"/>
      <c r="I620" s="2"/>
      <c r="J620" s="2"/>
      <c r="K620" s="181"/>
      <c r="L620" s="2"/>
      <c r="M620" s="2"/>
      <c r="N620" s="2"/>
      <c r="O620" s="2"/>
      <c r="P620" s="2"/>
      <c r="Q620" s="157"/>
      <c r="R620" s="157"/>
      <c r="S620" s="2"/>
      <c r="T620" s="158"/>
      <c r="U620" s="2"/>
      <c r="V620" s="2"/>
      <c r="W620" s="2"/>
      <c r="X620" s="2"/>
      <c r="Y620" s="2"/>
      <c r="Z620" s="2"/>
    </row>
    <row r="621" ht="13.5" customHeight="1">
      <c r="A621" s="2"/>
      <c r="B621" s="2"/>
      <c r="C621" s="2"/>
      <c r="D621" s="2"/>
      <c r="E621" s="2"/>
      <c r="F621" s="2"/>
      <c r="G621" s="2"/>
      <c r="H621" s="2"/>
      <c r="I621" s="2"/>
      <c r="J621" s="2"/>
      <c r="K621" s="181"/>
      <c r="L621" s="2"/>
      <c r="M621" s="2"/>
      <c r="N621" s="2"/>
      <c r="O621" s="2"/>
      <c r="P621" s="2"/>
      <c r="Q621" s="157"/>
      <c r="R621" s="157"/>
      <c r="S621" s="2"/>
      <c r="T621" s="158"/>
      <c r="U621" s="2"/>
      <c r="V621" s="2"/>
      <c r="W621" s="2"/>
      <c r="X621" s="2"/>
      <c r="Y621" s="2"/>
      <c r="Z621" s="2"/>
    </row>
    <row r="622" ht="13.5" customHeight="1">
      <c r="A622" s="2"/>
      <c r="B622" s="2"/>
      <c r="C622" s="2"/>
      <c r="D622" s="2"/>
      <c r="E622" s="2"/>
      <c r="F622" s="2"/>
      <c r="G622" s="2"/>
      <c r="H622" s="2"/>
      <c r="I622" s="2"/>
      <c r="J622" s="2"/>
      <c r="K622" s="181"/>
      <c r="L622" s="2"/>
      <c r="M622" s="2"/>
      <c r="N622" s="2"/>
      <c r="O622" s="2"/>
      <c r="P622" s="2"/>
      <c r="Q622" s="157"/>
      <c r="R622" s="157"/>
      <c r="S622" s="2"/>
      <c r="T622" s="158"/>
      <c r="U622" s="2"/>
      <c r="V622" s="2"/>
      <c r="W622" s="2"/>
      <c r="X622" s="2"/>
      <c r="Y622" s="2"/>
      <c r="Z622" s="2"/>
    </row>
    <row r="623" ht="13.5" customHeight="1">
      <c r="A623" s="2"/>
      <c r="B623" s="2"/>
      <c r="C623" s="2"/>
      <c r="D623" s="2"/>
      <c r="E623" s="2"/>
      <c r="F623" s="2"/>
      <c r="G623" s="2"/>
      <c r="H623" s="2"/>
      <c r="I623" s="2"/>
      <c r="J623" s="2"/>
      <c r="K623" s="181"/>
      <c r="L623" s="2"/>
      <c r="M623" s="2"/>
      <c r="N623" s="2"/>
      <c r="O623" s="2"/>
      <c r="P623" s="2"/>
      <c r="Q623" s="157"/>
      <c r="R623" s="157"/>
      <c r="S623" s="2"/>
      <c r="T623" s="158"/>
      <c r="U623" s="2"/>
      <c r="V623" s="2"/>
      <c r="W623" s="2"/>
      <c r="X623" s="2"/>
      <c r="Y623" s="2"/>
      <c r="Z623" s="2"/>
    </row>
    <row r="624" ht="13.5" customHeight="1">
      <c r="A624" s="2"/>
      <c r="B624" s="2"/>
      <c r="C624" s="2"/>
      <c r="D624" s="2"/>
      <c r="E624" s="2"/>
      <c r="F624" s="2"/>
      <c r="G624" s="2"/>
      <c r="H624" s="2"/>
      <c r="I624" s="2"/>
      <c r="J624" s="2"/>
      <c r="K624" s="181"/>
      <c r="L624" s="2"/>
      <c r="M624" s="2"/>
      <c r="N624" s="2"/>
      <c r="O624" s="2"/>
      <c r="P624" s="2"/>
      <c r="Q624" s="157"/>
      <c r="R624" s="157"/>
      <c r="S624" s="2"/>
      <c r="T624" s="158"/>
      <c r="U624" s="2"/>
      <c r="V624" s="2"/>
      <c r="W624" s="2"/>
      <c r="X624" s="2"/>
      <c r="Y624" s="2"/>
      <c r="Z624" s="2"/>
    </row>
    <row r="625" ht="13.5" customHeight="1">
      <c r="A625" s="2"/>
      <c r="B625" s="2"/>
      <c r="C625" s="2"/>
      <c r="D625" s="2"/>
      <c r="E625" s="2"/>
      <c r="F625" s="2"/>
      <c r="G625" s="2"/>
      <c r="H625" s="2"/>
      <c r="I625" s="2"/>
      <c r="J625" s="2"/>
      <c r="K625" s="181"/>
      <c r="L625" s="2"/>
      <c r="M625" s="2"/>
      <c r="N625" s="2"/>
      <c r="O625" s="2"/>
      <c r="P625" s="2"/>
      <c r="Q625" s="157"/>
      <c r="R625" s="157"/>
      <c r="S625" s="2"/>
      <c r="T625" s="158"/>
      <c r="U625" s="2"/>
      <c r="V625" s="2"/>
      <c r="W625" s="2"/>
      <c r="X625" s="2"/>
      <c r="Y625" s="2"/>
      <c r="Z625" s="2"/>
    </row>
    <row r="626" ht="13.5" customHeight="1">
      <c r="A626" s="2"/>
      <c r="B626" s="2"/>
      <c r="C626" s="2"/>
      <c r="D626" s="2"/>
      <c r="E626" s="2"/>
      <c r="F626" s="2"/>
      <c r="G626" s="2"/>
      <c r="H626" s="2"/>
      <c r="I626" s="2"/>
      <c r="J626" s="2"/>
      <c r="K626" s="181"/>
      <c r="L626" s="2"/>
      <c r="M626" s="2"/>
      <c r="N626" s="2"/>
      <c r="O626" s="2"/>
      <c r="P626" s="2"/>
      <c r="Q626" s="157"/>
      <c r="R626" s="157"/>
      <c r="S626" s="2"/>
      <c r="T626" s="158"/>
      <c r="U626" s="2"/>
      <c r="V626" s="2"/>
      <c r="W626" s="2"/>
      <c r="X626" s="2"/>
      <c r="Y626" s="2"/>
      <c r="Z626" s="2"/>
    </row>
    <row r="627" ht="13.5" customHeight="1">
      <c r="A627" s="2"/>
      <c r="B627" s="2"/>
      <c r="C627" s="2"/>
      <c r="D627" s="2"/>
      <c r="E627" s="2"/>
      <c r="F627" s="2"/>
      <c r="G627" s="2"/>
      <c r="H627" s="2"/>
      <c r="I627" s="2"/>
      <c r="J627" s="2"/>
      <c r="K627" s="181"/>
      <c r="L627" s="2"/>
      <c r="M627" s="2"/>
      <c r="N627" s="2"/>
      <c r="O627" s="2"/>
      <c r="P627" s="2"/>
      <c r="Q627" s="157"/>
      <c r="R627" s="157"/>
      <c r="S627" s="2"/>
      <c r="T627" s="158"/>
      <c r="U627" s="2"/>
      <c r="V627" s="2"/>
      <c r="W627" s="2"/>
      <c r="X627" s="2"/>
      <c r="Y627" s="2"/>
      <c r="Z627" s="2"/>
    </row>
    <row r="628" ht="13.5" customHeight="1">
      <c r="A628" s="2"/>
      <c r="B628" s="2"/>
      <c r="C628" s="2"/>
      <c r="D628" s="2"/>
      <c r="E628" s="2"/>
      <c r="F628" s="2"/>
      <c r="G628" s="2"/>
      <c r="H628" s="2"/>
      <c r="I628" s="2"/>
      <c r="J628" s="2"/>
      <c r="K628" s="181"/>
      <c r="L628" s="2"/>
      <c r="M628" s="2"/>
      <c r="N628" s="2"/>
      <c r="O628" s="2"/>
      <c r="P628" s="2"/>
      <c r="Q628" s="157"/>
      <c r="R628" s="157"/>
      <c r="S628" s="2"/>
      <c r="T628" s="158"/>
      <c r="U628" s="2"/>
      <c r="V628" s="2"/>
      <c r="W628" s="2"/>
      <c r="X628" s="2"/>
      <c r="Y628" s="2"/>
      <c r="Z628" s="2"/>
    </row>
    <row r="629" ht="13.5" customHeight="1">
      <c r="A629" s="2"/>
      <c r="B629" s="2"/>
      <c r="C629" s="2"/>
      <c r="D629" s="2"/>
      <c r="E629" s="2"/>
      <c r="F629" s="2"/>
      <c r="G629" s="2"/>
      <c r="H629" s="2"/>
      <c r="I629" s="2"/>
      <c r="J629" s="2"/>
      <c r="K629" s="181"/>
      <c r="L629" s="2"/>
      <c r="M629" s="2"/>
      <c r="N629" s="2"/>
      <c r="O629" s="2"/>
      <c r="P629" s="2"/>
      <c r="Q629" s="157"/>
      <c r="R629" s="157"/>
      <c r="S629" s="2"/>
      <c r="T629" s="158"/>
      <c r="U629" s="2"/>
      <c r="V629" s="2"/>
      <c r="W629" s="2"/>
      <c r="X629" s="2"/>
      <c r="Y629" s="2"/>
      <c r="Z629" s="2"/>
    </row>
    <row r="630" ht="13.5" customHeight="1">
      <c r="A630" s="2"/>
      <c r="B630" s="2"/>
      <c r="C630" s="2"/>
      <c r="D630" s="2"/>
      <c r="E630" s="2"/>
      <c r="F630" s="2"/>
      <c r="G630" s="2"/>
      <c r="H630" s="2"/>
      <c r="I630" s="2"/>
      <c r="J630" s="2"/>
      <c r="K630" s="181"/>
      <c r="L630" s="2"/>
      <c r="M630" s="2"/>
      <c r="N630" s="2"/>
      <c r="O630" s="2"/>
      <c r="P630" s="2"/>
      <c r="Q630" s="157"/>
      <c r="R630" s="157"/>
      <c r="S630" s="2"/>
      <c r="T630" s="158"/>
      <c r="U630" s="2"/>
      <c r="V630" s="2"/>
      <c r="W630" s="2"/>
      <c r="X630" s="2"/>
      <c r="Y630" s="2"/>
      <c r="Z630" s="2"/>
    </row>
    <row r="631" ht="13.5" customHeight="1">
      <c r="A631" s="2"/>
      <c r="B631" s="2"/>
      <c r="C631" s="2"/>
      <c r="D631" s="2"/>
      <c r="E631" s="2"/>
      <c r="F631" s="2"/>
      <c r="G631" s="2"/>
      <c r="H631" s="2"/>
      <c r="I631" s="2"/>
      <c r="J631" s="2"/>
      <c r="K631" s="181"/>
      <c r="L631" s="2"/>
      <c r="M631" s="2"/>
      <c r="N631" s="2"/>
      <c r="O631" s="2"/>
      <c r="P631" s="2"/>
      <c r="Q631" s="157"/>
      <c r="R631" s="157"/>
      <c r="S631" s="2"/>
      <c r="T631" s="158"/>
      <c r="U631" s="2"/>
      <c r="V631" s="2"/>
      <c r="W631" s="2"/>
      <c r="X631" s="2"/>
      <c r="Y631" s="2"/>
      <c r="Z631" s="2"/>
    </row>
    <row r="632" ht="13.5" customHeight="1">
      <c r="A632" s="2"/>
      <c r="B632" s="2"/>
      <c r="C632" s="2"/>
      <c r="D632" s="2"/>
      <c r="E632" s="2"/>
      <c r="F632" s="2"/>
      <c r="G632" s="2"/>
      <c r="H632" s="2"/>
      <c r="I632" s="2"/>
      <c r="J632" s="2"/>
      <c r="K632" s="181"/>
      <c r="L632" s="2"/>
      <c r="M632" s="2"/>
      <c r="N632" s="2"/>
      <c r="O632" s="2"/>
      <c r="P632" s="2"/>
      <c r="Q632" s="157"/>
      <c r="R632" s="157"/>
      <c r="S632" s="2"/>
      <c r="T632" s="158"/>
      <c r="U632" s="2"/>
      <c r="V632" s="2"/>
      <c r="W632" s="2"/>
      <c r="X632" s="2"/>
      <c r="Y632" s="2"/>
      <c r="Z632" s="2"/>
    </row>
    <row r="633" ht="13.5" customHeight="1">
      <c r="A633" s="2"/>
      <c r="B633" s="2"/>
      <c r="C633" s="2"/>
      <c r="D633" s="2"/>
      <c r="E633" s="2"/>
      <c r="F633" s="2"/>
      <c r="G633" s="2"/>
      <c r="H633" s="2"/>
      <c r="I633" s="2"/>
      <c r="J633" s="2"/>
      <c r="K633" s="181"/>
      <c r="L633" s="2"/>
      <c r="M633" s="2"/>
      <c r="N633" s="2"/>
      <c r="O633" s="2"/>
      <c r="P633" s="2"/>
      <c r="Q633" s="157"/>
      <c r="R633" s="157"/>
      <c r="S633" s="2"/>
      <c r="T633" s="158"/>
      <c r="U633" s="2"/>
      <c r="V633" s="2"/>
      <c r="W633" s="2"/>
      <c r="X633" s="2"/>
      <c r="Y633" s="2"/>
      <c r="Z633" s="2"/>
    </row>
    <row r="634" ht="13.5" customHeight="1">
      <c r="A634" s="2"/>
      <c r="B634" s="2"/>
      <c r="C634" s="2"/>
      <c r="D634" s="2"/>
      <c r="E634" s="2"/>
      <c r="F634" s="2"/>
      <c r="G634" s="2"/>
      <c r="H634" s="2"/>
      <c r="I634" s="2"/>
      <c r="J634" s="2"/>
      <c r="K634" s="181"/>
      <c r="L634" s="2"/>
      <c r="M634" s="2"/>
      <c r="N634" s="2"/>
      <c r="O634" s="2"/>
      <c r="P634" s="2"/>
      <c r="Q634" s="157"/>
      <c r="R634" s="157"/>
      <c r="S634" s="2"/>
      <c r="T634" s="158"/>
      <c r="U634" s="2"/>
      <c r="V634" s="2"/>
      <c r="W634" s="2"/>
      <c r="X634" s="2"/>
      <c r="Y634" s="2"/>
      <c r="Z634" s="2"/>
    </row>
    <row r="635" ht="13.5" customHeight="1">
      <c r="A635" s="2"/>
      <c r="B635" s="2"/>
      <c r="C635" s="2"/>
      <c r="D635" s="2"/>
      <c r="E635" s="2"/>
      <c r="F635" s="2"/>
      <c r="G635" s="2"/>
      <c r="H635" s="2"/>
      <c r="I635" s="2"/>
      <c r="J635" s="2"/>
      <c r="K635" s="181"/>
      <c r="L635" s="2"/>
      <c r="M635" s="2"/>
      <c r="N635" s="2"/>
      <c r="O635" s="2"/>
      <c r="P635" s="2"/>
      <c r="Q635" s="157"/>
      <c r="R635" s="157"/>
      <c r="S635" s="2"/>
      <c r="T635" s="158"/>
      <c r="U635" s="2"/>
      <c r="V635" s="2"/>
      <c r="W635" s="2"/>
      <c r="X635" s="2"/>
      <c r="Y635" s="2"/>
      <c r="Z635" s="2"/>
    </row>
    <row r="636" ht="13.5" customHeight="1">
      <c r="A636" s="2"/>
      <c r="B636" s="2"/>
      <c r="C636" s="2"/>
      <c r="D636" s="2"/>
      <c r="E636" s="2"/>
      <c r="F636" s="2"/>
      <c r="G636" s="2"/>
      <c r="H636" s="2"/>
      <c r="I636" s="2"/>
      <c r="J636" s="2"/>
      <c r="K636" s="181"/>
      <c r="L636" s="2"/>
      <c r="M636" s="2"/>
      <c r="N636" s="2"/>
      <c r="O636" s="2"/>
      <c r="P636" s="2"/>
      <c r="Q636" s="157"/>
      <c r="R636" s="157"/>
      <c r="S636" s="2"/>
      <c r="T636" s="158"/>
      <c r="U636" s="2"/>
      <c r="V636" s="2"/>
      <c r="W636" s="2"/>
      <c r="X636" s="2"/>
      <c r="Y636" s="2"/>
      <c r="Z636" s="2"/>
    </row>
    <row r="637" ht="13.5" customHeight="1">
      <c r="A637" s="2"/>
      <c r="B637" s="2"/>
      <c r="C637" s="2"/>
      <c r="D637" s="2"/>
      <c r="E637" s="2"/>
      <c r="F637" s="2"/>
      <c r="G637" s="2"/>
      <c r="H637" s="2"/>
      <c r="I637" s="2"/>
      <c r="J637" s="2"/>
      <c r="K637" s="181"/>
      <c r="L637" s="2"/>
      <c r="M637" s="2"/>
      <c r="N637" s="2"/>
      <c r="O637" s="2"/>
      <c r="P637" s="2"/>
      <c r="Q637" s="157"/>
      <c r="R637" s="157"/>
      <c r="S637" s="2"/>
      <c r="T637" s="158"/>
      <c r="U637" s="2"/>
      <c r="V637" s="2"/>
      <c r="W637" s="2"/>
      <c r="X637" s="2"/>
      <c r="Y637" s="2"/>
      <c r="Z637" s="2"/>
    </row>
    <row r="638" ht="13.5" customHeight="1">
      <c r="A638" s="2"/>
      <c r="B638" s="2"/>
      <c r="C638" s="2"/>
      <c r="D638" s="2"/>
      <c r="E638" s="2"/>
      <c r="F638" s="2"/>
      <c r="G638" s="2"/>
      <c r="H638" s="2"/>
      <c r="I638" s="2"/>
      <c r="J638" s="2"/>
      <c r="K638" s="181"/>
      <c r="L638" s="2"/>
      <c r="M638" s="2"/>
      <c r="N638" s="2"/>
      <c r="O638" s="2"/>
      <c r="P638" s="2"/>
      <c r="Q638" s="157"/>
      <c r="R638" s="157"/>
      <c r="S638" s="2"/>
      <c r="T638" s="158"/>
      <c r="U638" s="2"/>
      <c r="V638" s="2"/>
      <c r="W638" s="2"/>
      <c r="X638" s="2"/>
      <c r="Y638" s="2"/>
      <c r="Z638" s="2"/>
    </row>
    <row r="639" ht="13.5" customHeight="1">
      <c r="A639" s="2"/>
      <c r="B639" s="2"/>
      <c r="C639" s="2"/>
      <c r="D639" s="2"/>
      <c r="E639" s="2"/>
      <c r="F639" s="2"/>
      <c r="G639" s="2"/>
      <c r="H639" s="2"/>
      <c r="I639" s="2"/>
      <c r="J639" s="2"/>
      <c r="K639" s="181"/>
      <c r="L639" s="2"/>
      <c r="M639" s="2"/>
      <c r="N639" s="2"/>
      <c r="O639" s="2"/>
      <c r="P639" s="2"/>
      <c r="Q639" s="157"/>
      <c r="R639" s="157"/>
      <c r="S639" s="2"/>
      <c r="T639" s="158"/>
      <c r="U639" s="2"/>
      <c r="V639" s="2"/>
      <c r="W639" s="2"/>
      <c r="X639" s="2"/>
      <c r="Y639" s="2"/>
      <c r="Z639" s="2"/>
    </row>
    <row r="640" ht="13.5" customHeight="1">
      <c r="A640" s="2"/>
      <c r="B640" s="2"/>
      <c r="C640" s="2"/>
      <c r="D640" s="2"/>
      <c r="E640" s="2"/>
      <c r="F640" s="2"/>
      <c r="G640" s="2"/>
      <c r="H640" s="2"/>
      <c r="I640" s="2"/>
      <c r="J640" s="2"/>
      <c r="K640" s="181"/>
      <c r="L640" s="2"/>
      <c r="M640" s="2"/>
      <c r="N640" s="2"/>
      <c r="O640" s="2"/>
      <c r="P640" s="2"/>
      <c r="Q640" s="157"/>
      <c r="R640" s="157"/>
      <c r="S640" s="2"/>
      <c r="T640" s="158"/>
      <c r="U640" s="2"/>
      <c r="V640" s="2"/>
      <c r="W640" s="2"/>
      <c r="X640" s="2"/>
      <c r="Y640" s="2"/>
      <c r="Z640" s="2"/>
    </row>
    <row r="641" ht="13.5" customHeight="1">
      <c r="A641" s="2"/>
      <c r="B641" s="2"/>
      <c r="C641" s="2"/>
      <c r="D641" s="2"/>
      <c r="E641" s="2"/>
      <c r="F641" s="2"/>
      <c r="G641" s="2"/>
      <c r="H641" s="2"/>
      <c r="I641" s="2"/>
      <c r="J641" s="2"/>
      <c r="K641" s="181"/>
      <c r="L641" s="2"/>
      <c r="M641" s="2"/>
      <c r="N641" s="2"/>
      <c r="O641" s="2"/>
      <c r="P641" s="2"/>
      <c r="Q641" s="157"/>
      <c r="R641" s="157"/>
      <c r="S641" s="2"/>
      <c r="T641" s="158"/>
      <c r="U641" s="2"/>
      <c r="V641" s="2"/>
      <c r="W641" s="2"/>
      <c r="X641" s="2"/>
      <c r="Y641" s="2"/>
      <c r="Z641" s="2"/>
    </row>
    <row r="642" ht="13.5" customHeight="1">
      <c r="A642" s="2"/>
      <c r="B642" s="2"/>
      <c r="C642" s="2"/>
      <c r="D642" s="2"/>
      <c r="E642" s="2"/>
      <c r="F642" s="2"/>
      <c r="G642" s="2"/>
      <c r="H642" s="2"/>
      <c r="I642" s="2"/>
      <c r="J642" s="2"/>
      <c r="K642" s="181"/>
      <c r="L642" s="2"/>
      <c r="M642" s="2"/>
      <c r="N642" s="2"/>
      <c r="O642" s="2"/>
      <c r="P642" s="2"/>
      <c r="Q642" s="157"/>
      <c r="R642" s="157"/>
      <c r="S642" s="2"/>
      <c r="T642" s="158"/>
      <c r="U642" s="2"/>
      <c r="V642" s="2"/>
      <c r="W642" s="2"/>
      <c r="X642" s="2"/>
      <c r="Y642" s="2"/>
      <c r="Z642" s="2"/>
    </row>
    <row r="643" ht="13.5" customHeight="1">
      <c r="A643" s="2"/>
      <c r="B643" s="2"/>
      <c r="C643" s="2"/>
      <c r="D643" s="2"/>
      <c r="E643" s="2"/>
      <c r="F643" s="2"/>
      <c r="G643" s="2"/>
      <c r="H643" s="2"/>
      <c r="I643" s="2"/>
      <c r="J643" s="2"/>
      <c r="K643" s="181"/>
      <c r="L643" s="2"/>
      <c r="M643" s="2"/>
      <c r="N643" s="2"/>
      <c r="O643" s="2"/>
      <c r="P643" s="2"/>
      <c r="Q643" s="157"/>
      <c r="R643" s="157"/>
      <c r="S643" s="2"/>
      <c r="T643" s="158"/>
      <c r="U643" s="2"/>
      <c r="V643" s="2"/>
      <c r="W643" s="2"/>
      <c r="X643" s="2"/>
      <c r="Y643" s="2"/>
      <c r="Z643" s="2"/>
    </row>
    <row r="644" ht="13.5" customHeight="1">
      <c r="A644" s="2"/>
      <c r="B644" s="2"/>
      <c r="C644" s="2"/>
      <c r="D644" s="2"/>
      <c r="E644" s="2"/>
      <c r="F644" s="2"/>
      <c r="G644" s="2"/>
      <c r="H644" s="2"/>
      <c r="I644" s="2"/>
      <c r="J644" s="2"/>
      <c r="K644" s="181"/>
      <c r="L644" s="2"/>
      <c r="M644" s="2"/>
      <c r="N644" s="2"/>
      <c r="O644" s="2"/>
      <c r="P644" s="2"/>
      <c r="Q644" s="157"/>
      <c r="R644" s="157"/>
      <c r="S644" s="2"/>
      <c r="T644" s="158"/>
      <c r="U644" s="2"/>
      <c r="V644" s="2"/>
      <c r="W644" s="2"/>
      <c r="X644" s="2"/>
      <c r="Y644" s="2"/>
      <c r="Z644" s="2"/>
    </row>
    <row r="645" ht="13.5" customHeight="1">
      <c r="A645" s="2"/>
      <c r="B645" s="2"/>
      <c r="C645" s="2"/>
      <c r="D645" s="2"/>
      <c r="E645" s="2"/>
      <c r="F645" s="2"/>
      <c r="G645" s="2"/>
      <c r="H645" s="2"/>
      <c r="I645" s="2"/>
      <c r="J645" s="2"/>
      <c r="K645" s="181"/>
      <c r="L645" s="2"/>
      <c r="M645" s="2"/>
      <c r="N645" s="2"/>
      <c r="O645" s="2"/>
      <c r="P645" s="2"/>
      <c r="Q645" s="157"/>
      <c r="R645" s="157"/>
      <c r="S645" s="2"/>
      <c r="T645" s="158"/>
      <c r="U645" s="2"/>
      <c r="V645" s="2"/>
      <c r="W645" s="2"/>
      <c r="X645" s="2"/>
      <c r="Y645" s="2"/>
      <c r="Z645" s="2"/>
    </row>
    <row r="646" ht="13.5" customHeight="1">
      <c r="A646" s="2"/>
      <c r="B646" s="2"/>
      <c r="C646" s="2"/>
      <c r="D646" s="2"/>
      <c r="E646" s="2"/>
      <c r="F646" s="2"/>
      <c r="G646" s="2"/>
      <c r="H646" s="2"/>
      <c r="I646" s="2"/>
      <c r="J646" s="2"/>
      <c r="K646" s="181"/>
      <c r="L646" s="2"/>
      <c r="M646" s="2"/>
      <c r="N646" s="2"/>
      <c r="O646" s="2"/>
      <c r="P646" s="2"/>
      <c r="Q646" s="157"/>
      <c r="R646" s="157"/>
      <c r="S646" s="2"/>
      <c r="T646" s="158"/>
      <c r="U646" s="2"/>
      <c r="V646" s="2"/>
      <c r="W646" s="2"/>
      <c r="X646" s="2"/>
      <c r="Y646" s="2"/>
      <c r="Z646" s="2"/>
    </row>
    <row r="647" ht="13.5" customHeight="1">
      <c r="A647" s="2"/>
      <c r="B647" s="2"/>
      <c r="C647" s="2"/>
      <c r="D647" s="2"/>
      <c r="E647" s="2"/>
      <c r="F647" s="2"/>
      <c r="G647" s="2"/>
      <c r="H647" s="2"/>
      <c r="I647" s="2"/>
      <c r="J647" s="2"/>
      <c r="K647" s="181"/>
      <c r="L647" s="2"/>
      <c r="M647" s="2"/>
      <c r="N647" s="2"/>
      <c r="O647" s="2"/>
      <c r="P647" s="2"/>
      <c r="Q647" s="157"/>
      <c r="R647" s="157"/>
      <c r="S647" s="2"/>
      <c r="T647" s="158"/>
      <c r="U647" s="2"/>
      <c r="V647" s="2"/>
      <c r="W647" s="2"/>
      <c r="X647" s="2"/>
      <c r="Y647" s="2"/>
      <c r="Z647" s="2"/>
    </row>
    <row r="648" ht="13.5" customHeight="1">
      <c r="A648" s="2"/>
      <c r="B648" s="2"/>
      <c r="C648" s="2"/>
      <c r="D648" s="2"/>
      <c r="E648" s="2"/>
      <c r="F648" s="2"/>
      <c r="G648" s="2"/>
      <c r="H648" s="2"/>
      <c r="I648" s="2"/>
      <c r="J648" s="2"/>
      <c r="K648" s="181"/>
      <c r="L648" s="2"/>
      <c r="M648" s="2"/>
      <c r="N648" s="2"/>
      <c r="O648" s="2"/>
      <c r="P648" s="2"/>
      <c r="Q648" s="157"/>
      <c r="R648" s="157"/>
      <c r="S648" s="2"/>
      <c r="T648" s="158"/>
      <c r="U648" s="2"/>
      <c r="V648" s="2"/>
      <c r="W648" s="2"/>
      <c r="X648" s="2"/>
      <c r="Y648" s="2"/>
      <c r="Z648" s="2"/>
    </row>
    <row r="649" ht="13.5" customHeight="1">
      <c r="A649" s="2"/>
      <c r="B649" s="2"/>
      <c r="C649" s="2"/>
      <c r="D649" s="2"/>
      <c r="E649" s="2"/>
      <c r="F649" s="2"/>
      <c r="G649" s="2"/>
      <c r="H649" s="2"/>
      <c r="I649" s="2"/>
      <c r="J649" s="2"/>
      <c r="K649" s="181"/>
      <c r="L649" s="2"/>
      <c r="M649" s="2"/>
      <c r="N649" s="2"/>
      <c r="O649" s="2"/>
      <c r="P649" s="2"/>
      <c r="Q649" s="157"/>
      <c r="R649" s="157"/>
      <c r="S649" s="2"/>
      <c r="T649" s="158"/>
      <c r="U649" s="2"/>
      <c r="V649" s="2"/>
      <c r="W649" s="2"/>
      <c r="X649" s="2"/>
      <c r="Y649" s="2"/>
      <c r="Z649" s="2"/>
    </row>
    <row r="650" ht="13.5" customHeight="1">
      <c r="A650" s="2"/>
      <c r="B650" s="2"/>
      <c r="C650" s="2"/>
      <c r="D650" s="2"/>
      <c r="E650" s="2"/>
      <c r="F650" s="2"/>
      <c r="G650" s="2"/>
      <c r="H650" s="2"/>
      <c r="I650" s="2"/>
      <c r="J650" s="2"/>
      <c r="K650" s="181"/>
      <c r="L650" s="2"/>
      <c r="M650" s="2"/>
      <c r="N650" s="2"/>
      <c r="O650" s="2"/>
      <c r="P650" s="2"/>
      <c r="Q650" s="157"/>
      <c r="R650" s="157"/>
      <c r="S650" s="2"/>
      <c r="T650" s="158"/>
      <c r="U650" s="2"/>
      <c r="V650" s="2"/>
      <c r="W650" s="2"/>
      <c r="X650" s="2"/>
      <c r="Y650" s="2"/>
      <c r="Z650" s="2"/>
    </row>
    <row r="651" ht="13.5" customHeight="1">
      <c r="A651" s="2"/>
      <c r="B651" s="2"/>
      <c r="C651" s="2"/>
      <c r="D651" s="2"/>
      <c r="E651" s="2"/>
      <c r="F651" s="2"/>
      <c r="G651" s="2"/>
      <c r="H651" s="2"/>
      <c r="I651" s="2"/>
      <c r="J651" s="2"/>
      <c r="K651" s="181"/>
      <c r="L651" s="2"/>
      <c r="M651" s="2"/>
      <c r="N651" s="2"/>
      <c r="O651" s="2"/>
      <c r="P651" s="2"/>
      <c r="Q651" s="157"/>
      <c r="R651" s="157"/>
      <c r="S651" s="2"/>
      <c r="T651" s="158"/>
      <c r="U651" s="2"/>
      <c r="V651" s="2"/>
      <c r="W651" s="2"/>
      <c r="X651" s="2"/>
      <c r="Y651" s="2"/>
      <c r="Z651" s="2"/>
    </row>
    <row r="652" ht="13.5" customHeight="1">
      <c r="A652" s="2"/>
      <c r="B652" s="2"/>
      <c r="C652" s="2"/>
      <c r="D652" s="2"/>
      <c r="E652" s="2"/>
      <c r="F652" s="2"/>
      <c r="G652" s="2"/>
      <c r="H652" s="2"/>
      <c r="I652" s="2"/>
      <c r="J652" s="2"/>
      <c r="K652" s="181"/>
      <c r="L652" s="2"/>
      <c r="M652" s="2"/>
      <c r="N652" s="2"/>
      <c r="O652" s="2"/>
      <c r="P652" s="2"/>
      <c r="Q652" s="157"/>
      <c r="R652" s="157"/>
      <c r="S652" s="2"/>
      <c r="T652" s="158"/>
      <c r="U652" s="2"/>
      <c r="V652" s="2"/>
      <c r="W652" s="2"/>
      <c r="X652" s="2"/>
      <c r="Y652" s="2"/>
      <c r="Z652" s="2"/>
    </row>
    <row r="653" ht="13.5" customHeight="1">
      <c r="A653" s="2"/>
      <c r="B653" s="2"/>
      <c r="C653" s="2"/>
      <c r="D653" s="2"/>
      <c r="E653" s="2"/>
      <c r="F653" s="2"/>
      <c r="G653" s="2"/>
      <c r="H653" s="2"/>
      <c r="I653" s="2"/>
      <c r="J653" s="2"/>
      <c r="K653" s="181"/>
      <c r="L653" s="2"/>
      <c r="M653" s="2"/>
      <c r="N653" s="2"/>
      <c r="O653" s="2"/>
      <c r="P653" s="2"/>
      <c r="Q653" s="157"/>
      <c r="R653" s="157"/>
      <c r="S653" s="2"/>
      <c r="T653" s="158"/>
      <c r="U653" s="2"/>
      <c r="V653" s="2"/>
      <c r="W653" s="2"/>
      <c r="X653" s="2"/>
      <c r="Y653" s="2"/>
      <c r="Z653" s="2"/>
    </row>
    <row r="654" ht="13.5" customHeight="1">
      <c r="A654" s="2"/>
      <c r="B654" s="2"/>
      <c r="C654" s="2"/>
      <c r="D654" s="2"/>
      <c r="E654" s="2"/>
      <c r="F654" s="2"/>
      <c r="G654" s="2"/>
      <c r="H654" s="2"/>
      <c r="I654" s="2"/>
      <c r="J654" s="2"/>
      <c r="K654" s="181"/>
      <c r="L654" s="2"/>
      <c r="M654" s="2"/>
      <c r="N654" s="2"/>
      <c r="O654" s="2"/>
      <c r="P654" s="2"/>
      <c r="Q654" s="157"/>
      <c r="R654" s="157"/>
      <c r="S654" s="2"/>
      <c r="T654" s="158"/>
      <c r="U654" s="2"/>
      <c r="V654" s="2"/>
      <c r="W654" s="2"/>
      <c r="X654" s="2"/>
      <c r="Y654" s="2"/>
      <c r="Z654" s="2"/>
    </row>
    <row r="655" ht="13.5" customHeight="1">
      <c r="A655" s="2"/>
      <c r="B655" s="2"/>
      <c r="C655" s="2"/>
      <c r="D655" s="2"/>
      <c r="E655" s="2"/>
      <c r="F655" s="2"/>
      <c r="G655" s="2"/>
      <c r="H655" s="2"/>
      <c r="I655" s="2"/>
      <c r="J655" s="2"/>
      <c r="K655" s="181"/>
      <c r="L655" s="2"/>
      <c r="M655" s="2"/>
      <c r="N655" s="2"/>
      <c r="O655" s="2"/>
      <c r="P655" s="2"/>
      <c r="Q655" s="157"/>
      <c r="R655" s="157"/>
      <c r="S655" s="2"/>
      <c r="T655" s="158"/>
      <c r="U655" s="2"/>
      <c r="V655" s="2"/>
      <c r="W655" s="2"/>
      <c r="X655" s="2"/>
      <c r="Y655" s="2"/>
      <c r="Z655" s="2"/>
    </row>
    <row r="656" ht="13.5" customHeight="1">
      <c r="A656" s="2"/>
      <c r="B656" s="2"/>
      <c r="C656" s="2"/>
      <c r="D656" s="2"/>
      <c r="E656" s="2"/>
      <c r="F656" s="2"/>
      <c r="G656" s="2"/>
      <c r="H656" s="2"/>
      <c r="I656" s="2"/>
      <c r="J656" s="2"/>
      <c r="K656" s="181"/>
      <c r="L656" s="2"/>
      <c r="M656" s="2"/>
      <c r="N656" s="2"/>
      <c r="O656" s="2"/>
      <c r="P656" s="2"/>
      <c r="Q656" s="157"/>
      <c r="R656" s="157"/>
      <c r="S656" s="2"/>
      <c r="T656" s="158"/>
      <c r="U656" s="2"/>
      <c r="V656" s="2"/>
      <c r="W656" s="2"/>
      <c r="X656" s="2"/>
      <c r="Y656" s="2"/>
      <c r="Z656" s="2"/>
    </row>
    <row r="657" ht="13.5" customHeight="1">
      <c r="A657" s="2"/>
      <c r="B657" s="2"/>
      <c r="C657" s="2"/>
      <c r="D657" s="2"/>
      <c r="E657" s="2"/>
      <c r="F657" s="2"/>
      <c r="G657" s="2"/>
      <c r="H657" s="2"/>
      <c r="I657" s="2"/>
      <c r="J657" s="2"/>
      <c r="K657" s="181"/>
      <c r="L657" s="2"/>
      <c r="M657" s="2"/>
      <c r="N657" s="2"/>
      <c r="O657" s="2"/>
      <c r="P657" s="2"/>
      <c r="Q657" s="157"/>
      <c r="R657" s="157"/>
      <c r="S657" s="2"/>
      <c r="T657" s="158"/>
      <c r="U657" s="2"/>
      <c r="V657" s="2"/>
      <c r="W657" s="2"/>
      <c r="X657" s="2"/>
      <c r="Y657" s="2"/>
      <c r="Z657" s="2"/>
    </row>
    <row r="658" ht="13.5" customHeight="1">
      <c r="A658" s="2"/>
      <c r="B658" s="2"/>
      <c r="C658" s="2"/>
      <c r="D658" s="2"/>
      <c r="E658" s="2"/>
      <c r="F658" s="2"/>
      <c r="G658" s="2"/>
      <c r="H658" s="2"/>
      <c r="I658" s="2"/>
      <c r="J658" s="2"/>
      <c r="K658" s="181"/>
      <c r="L658" s="2"/>
      <c r="M658" s="2"/>
      <c r="N658" s="2"/>
      <c r="O658" s="2"/>
      <c r="P658" s="2"/>
      <c r="Q658" s="157"/>
      <c r="R658" s="157"/>
      <c r="S658" s="2"/>
      <c r="T658" s="158"/>
      <c r="U658" s="2"/>
      <c r="V658" s="2"/>
      <c r="W658" s="2"/>
      <c r="X658" s="2"/>
      <c r="Y658" s="2"/>
      <c r="Z658" s="2"/>
    </row>
    <row r="659" ht="13.5" customHeight="1">
      <c r="A659" s="2"/>
      <c r="B659" s="2"/>
      <c r="C659" s="2"/>
      <c r="D659" s="2"/>
      <c r="E659" s="2"/>
      <c r="F659" s="2"/>
      <c r="G659" s="2"/>
      <c r="H659" s="2"/>
      <c r="I659" s="2"/>
      <c r="J659" s="2"/>
      <c r="K659" s="181"/>
      <c r="L659" s="2"/>
      <c r="M659" s="2"/>
      <c r="N659" s="2"/>
      <c r="O659" s="2"/>
      <c r="P659" s="2"/>
      <c r="Q659" s="157"/>
      <c r="R659" s="157"/>
      <c r="S659" s="2"/>
      <c r="T659" s="158"/>
      <c r="U659" s="2"/>
      <c r="V659" s="2"/>
      <c r="W659" s="2"/>
      <c r="X659" s="2"/>
      <c r="Y659" s="2"/>
      <c r="Z659" s="2"/>
    </row>
    <row r="660" ht="13.5" customHeight="1">
      <c r="A660" s="2"/>
      <c r="B660" s="2"/>
      <c r="C660" s="2"/>
      <c r="D660" s="2"/>
      <c r="E660" s="2"/>
      <c r="F660" s="2"/>
      <c r="G660" s="2"/>
      <c r="H660" s="2"/>
      <c r="I660" s="2"/>
      <c r="J660" s="2"/>
      <c r="K660" s="181"/>
      <c r="L660" s="2"/>
      <c r="M660" s="2"/>
      <c r="N660" s="2"/>
      <c r="O660" s="2"/>
      <c r="P660" s="2"/>
      <c r="Q660" s="157"/>
      <c r="R660" s="157"/>
      <c r="S660" s="2"/>
      <c r="T660" s="158"/>
      <c r="U660" s="2"/>
      <c r="V660" s="2"/>
      <c r="W660" s="2"/>
      <c r="X660" s="2"/>
      <c r="Y660" s="2"/>
      <c r="Z660" s="2"/>
    </row>
    <row r="661" ht="13.5" customHeight="1">
      <c r="A661" s="2"/>
      <c r="B661" s="2"/>
      <c r="C661" s="2"/>
      <c r="D661" s="2"/>
      <c r="E661" s="2"/>
      <c r="F661" s="2"/>
      <c r="G661" s="2"/>
      <c r="H661" s="2"/>
      <c r="I661" s="2"/>
      <c r="J661" s="2"/>
      <c r="K661" s="181"/>
      <c r="L661" s="2"/>
      <c r="M661" s="2"/>
      <c r="N661" s="2"/>
      <c r="O661" s="2"/>
      <c r="P661" s="2"/>
      <c r="Q661" s="157"/>
      <c r="R661" s="157"/>
      <c r="S661" s="2"/>
      <c r="T661" s="158"/>
      <c r="U661" s="2"/>
      <c r="V661" s="2"/>
      <c r="W661" s="2"/>
      <c r="X661" s="2"/>
      <c r="Y661" s="2"/>
      <c r="Z661" s="2"/>
    </row>
    <row r="662" ht="13.5" customHeight="1">
      <c r="A662" s="2"/>
      <c r="B662" s="2"/>
      <c r="C662" s="2"/>
      <c r="D662" s="2"/>
      <c r="E662" s="2"/>
      <c r="F662" s="2"/>
      <c r="G662" s="2"/>
      <c r="H662" s="2"/>
      <c r="I662" s="2"/>
      <c r="J662" s="2"/>
      <c r="K662" s="181"/>
      <c r="L662" s="2"/>
      <c r="M662" s="2"/>
      <c r="N662" s="2"/>
      <c r="O662" s="2"/>
      <c r="P662" s="2"/>
      <c r="Q662" s="157"/>
      <c r="R662" s="157"/>
      <c r="S662" s="2"/>
      <c r="T662" s="158"/>
      <c r="U662" s="2"/>
      <c r="V662" s="2"/>
      <c r="W662" s="2"/>
      <c r="X662" s="2"/>
      <c r="Y662" s="2"/>
      <c r="Z662" s="2"/>
    </row>
    <row r="663" ht="13.5" customHeight="1">
      <c r="A663" s="2"/>
      <c r="B663" s="2"/>
      <c r="C663" s="2"/>
      <c r="D663" s="2"/>
      <c r="E663" s="2"/>
      <c r="F663" s="2"/>
      <c r="G663" s="2"/>
      <c r="H663" s="2"/>
      <c r="I663" s="2"/>
      <c r="J663" s="2"/>
      <c r="K663" s="181"/>
      <c r="L663" s="2"/>
      <c r="M663" s="2"/>
      <c r="N663" s="2"/>
      <c r="O663" s="2"/>
      <c r="P663" s="2"/>
      <c r="Q663" s="157"/>
      <c r="R663" s="157"/>
      <c r="S663" s="2"/>
      <c r="T663" s="158"/>
      <c r="U663" s="2"/>
      <c r="V663" s="2"/>
      <c r="W663" s="2"/>
      <c r="X663" s="2"/>
      <c r="Y663" s="2"/>
      <c r="Z663" s="2"/>
    </row>
    <row r="664" ht="13.5" customHeight="1">
      <c r="A664" s="2"/>
      <c r="B664" s="2"/>
      <c r="C664" s="2"/>
      <c r="D664" s="2"/>
      <c r="E664" s="2"/>
      <c r="F664" s="2"/>
      <c r="G664" s="2"/>
      <c r="H664" s="2"/>
      <c r="I664" s="2"/>
      <c r="J664" s="2"/>
      <c r="K664" s="181"/>
      <c r="L664" s="2"/>
      <c r="M664" s="2"/>
      <c r="N664" s="2"/>
      <c r="O664" s="2"/>
      <c r="P664" s="2"/>
      <c r="Q664" s="157"/>
      <c r="R664" s="157"/>
      <c r="S664" s="2"/>
      <c r="T664" s="158"/>
      <c r="U664" s="2"/>
      <c r="V664" s="2"/>
      <c r="W664" s="2"/>
      <c r="X664" s="2"/>
      <c r="Y664" s="2"/>
      <c r="Z664" s="2"/>
    </row>
    <row r="665" ht="13.5" customHeight="1">
      <c r="A665" s="2"/>
      <c r="B665" s="2"/>
      <c r="C665" s="2"/>
      <c r="D665" s="2"/>
      <c r="E665" s="2"/>
      <c r="F665" s="2"/>
      <c r="G665" s="2"/>
      <c r="H665" s="2"/>
      <c r="I665" s="2"/>
      <c r="J665" s="2"/>
      <c r="K665" s="181"/>
      <c r="L665" s="2"/>
      <c r="M665" s="2"/>
      <c r="N665" s="2"/>
      <c r="O665" s="2"/>
      <c r="P665" s="2"/>
      <c r="Q665" s="157"/>
      <c r="R665" s="157"/>
      <c r="S665" s="2"/>
      <c r="T665" s="158"/>
      <c r="U665" s="2"/>
      <c r="V665" s="2"/>
      <c r="W665" s="2"/>
      <c r="X665" s="2"/>
      <c r="Y665" s="2"/>
      <c r="Z665" s="2"/>
    </row>
    <row r="666" ht="13.5" customHeight="1">
      <c r="A666" s="2"/>
      <c r="B666" s="2"/>
      <c r="C666" s="2"/>
      <c r="D666" s="2"/>
      <c r="E666" s="2"/>
      <c r="F666" s="2"/>
      <c r="G666" s="2"/>
      <c r="H666" s="2"/>
      <c r="I666" s="2"/>
      <c r="J666" s="2"/>
      <c r="K666" s="181"/>
      <c r="L666" s="2"/>
      <c r="M666" s="2"/>
      <c r="N666" s="2"/>
      <c r="O666" s="2"/>
      <c r="P666" s="2"/>
      <c r="Q666" s="157"/>
      <c r="R666" s="157"/>
      <c r="S666" s="2"/>
      <c r="T666" s="158"/>
      <c r="U666" s="2"/>
      <c r="V666" s="2"/>
      <c r="W666" s="2"/>
      <c r="X666" s="2"/>
      <c r="Y666" s="2"/>
      <c r="Z666" s="2"/>
    </row>
    <row r="667" ht="13.5" customHeight="1">
      <c r="A667" s="2"/>
      <c r="B667" s="2"/>
      <c r="C667" s="2"/>
      <c r="D667" s="2"/>
      <c r="E667" s="2"/>
      <c r="F667" s="2"/>
      <c r="G667" s="2"/>
      <c r="H667" s="2"/>
      <c r="I667" s="2"/>
      <c r="J667" s="2"/>
      <c r="K667" s="181"/>
      <c r="L667" s="2"/>
      <c r="M667" s="2"/>
      <c r="N667" s="2"/>
      <c r="O667" s="2"/>
      <c r="P667" s="2"/>
      <c r="Q667" s="157"/>
      <c r="R667" s="157"/>
      <c r="S667" s="2"/>
      <c r="T667" s="158"/>
      <c r="U667" s="2"/>
      <c r="V667" s="2"/>
      <c r="W667" s="2"/>
      <c r="X667" s="2"/>
      <c r="Y667" s="2"/>
      <c r="Z667" s="2"/>
    </row>
    <row r="668" ht="13.5" customHeight="1">
      <c r="A668" s="2"/>
      <c r="B668" s="2"/>
      <c r="C668" s="2"/>
      <c r="D668" s="2"/>
      <c r="E668" s="2"/>
      <c r="F668" s="2"/>
      <c r="G668" s="2"/>
      <c r="H668" s="2"/>
      <c r="I668" s="2"/>
      <c r="J668" s="2"/>
      <c r="K668" s="181"/>
      <c r="L668" s="2"/>
      <c r="M668" s="2"/>
      <c r="N668" s="2"/>
      <c r="O668" s="2"/>
      <c r="P668" s="2"/>
      <c r="Q668" s="157"/>
      <c r="R668" s="157"/>
      <c r="S668" s="2"/>
      <c r="T668" s="158"/>
      <c r="U668" s="2"/>
      <c r="V668" s="2"/>
      <c r="W668" s="2"/>
      <c r="X668" s="2"/>
      <c r="Y668" s="2"/>
      <c r="Z668" s="2"/>
    </row>
    <row r="669" ht="13.5" customHeight="1">
      <c r="A669" s="2"/>
      <c r="B669" s="2"/>
      <c r="C669" s="2"/>
      <c r="D669" s="2"/>
      <c r="E669" s="2"/>
      <c r="F669" s="2"/>
      <c r="G669" s="2"/>
      <c r="H669" s="2"/>
      <c r="I669" s="2"/>
      <c r="J669" s="2"/>
      <c r="K669" s="181"/>
      <c r="L669" s="2"/>
      <c r="M669" s="2"/>
      <c r="N669" s="2"/>
      <c r="O669" s="2"/>
      <c r="P669" s="2"/>
      <c r="Q669" s="157"/>
      <c r="R669" s="157"/>
      <c r="S669" s="2"/>
      <c r="T669" s="158"/>
      <c r="U669" s="2"/>
      <c r="V669" s="2"/>
      <c r="W669" s="2"/>
      <c r="X669" s="2"/>
      <c r="Y669" s="2"/>
      <c r="Z669" s="2"/>
    </row>
    <row r="670" ht="13.5" customHeight="1">
      <c r="A670" s="2"/>
      <c r="B670" s="2"/>
      <c r="C670" s="2"/>
      <c r="D670" s="2"/>
      <c r="E670" s="2"/>
      <c r="F670" s="2"/>
      <c r="G670" s="2"/>
      <c r="H670" s="2"/>
      <c r="I670" s="2"/>
      <c r="J670" s="2"/>
      <c r="K670" s="181"/>
      <c r="L670" s="2"/>
      <c r="M670" s="2"/>
      <c r="N670" s="2"/>
      <c r="O670" s="2"/>
      <c r="P670" s="2"/>
      <c r="Q670" s="157"/>
      <c r="R670" s="157"/>
      <c r="S670" s="2"/>
      <c r="T670" s="158"/>
      <c r="U670" s="2"/>
      <c r="V670" s="2"/>
      <c r="W670" s="2"/>
      <c r="X670" s="2"/>
      <c r="Y670" s="2"/>
      <c r="Z670" s="2"/>
    </row>
    <row r="671" ht="13.5" customHeight="1">
      <c r="A671" s="2"/>
      <c r="B671" s="2"/>
      <c r="C671" s="2"/>
      <c r="D671" s="2"/>
      <c r="E671" s="2"/>
      <c r="F671" s="2"/>
      <c r="G671" s="2"/>
      <c r="H671" s="2"/>
      <c r="I671" s="2"/>
      <c r="J671" s="2"/>
      <c r="K671" s="181"/>
      <c r="L671" s="2"/>
      <c r="M671" s="2"/>
      <c r="N671" s="2"/>
      <c r="O671" s="2"/>
      <c r="P671" s="2"/>
      <c r="Q671" s="157"/>
      <c r="R671" s="157"/>
      <c r="S671" s="2"/>
      <c r="T671" s="158"/>
      <c r="U671" s="2"/>
      <c r="V671" s="2"/>
      <c r="W671" s="2"/>
      <c r="X671" s="2"/>
      <c r="Y671" s="2"/>
      <c r="Z671" s="2"/>
    </row>
    <row r="672" ht="13.5" customHeight="1">
      <c r="A672" s="2"/>
      <c r="B672" s="2"/>
      <c r="C672" s="2"/>
      <c r="D672" s="2"/>
      <c r="E672" s="2"/>
      <c r="F672" s="2"/>
      <c r="G672" s="2"/>
      <c r="H672" s="2"/>
      <c r="I672" s="2"/>
      <c r="J672" s="2"/>
      <c r="K672" s="181"/>
      <c r="L672" s="2"/>
      <c r="M672" s="2"/>
      <c r="N672" s="2"/>
      <c r="O672" s="2"/>
      <c r="P672" s="2"/>
      <c r="Q672" s="157"/>
      <c r="R672" s="157"/>
      <c r="S672" s="2"/>
      <c r="T672" s="158"/>
      <c r="U672" s="2"/>
      <c r="V672" s="2"/>
      <c r="W672" s="2"/>
      <c r="X672" s="2"/>
      <c r="Y672" s="2"/>
      <c r="Z672" s="2"/>
    </row>
    <row r="673" ht="13.5" customHeight="1">
      <c r="A673" s="2"/>
      <c r="B673" s="2"/>
      <c r="C673" s="2"/>
      <c r="D673" s="2"/>
      <c r="E673" s="2"/>
      <c r="F673" s="2"/>
      <c r="G673" s="2"/>
      <c r="H673" s="2"/>
      <c r="I673" s="2"/>
      <c r="J673" s="2"/>
      <c r="K673" s="181"/>
      <c r="L673" s="2"/>
      <c r="M673" s="2"/>
      <c r="N673" s="2"/>
      <c r="O673" s="2"/>
      <c r="P673" s="2"/>
      <c r="Q673" s="157"/>
      <c r="R673" s="157"/>
      <c r="S673" s="2"/>
      <c r="T673" s="158"/>
      <c r="U673" s="2"/>
      <c r="V673" s="2"/>
      <c r="W673" s="2"/>
      <c r="X673" s="2"/>
      <c r="Y673" s="2"/>
      <c r="Z673" s="2"/>
    </row>
    <row r="674" ht="13.5" customHeight="1">
      <c r="A674" s="2"/>
      <c r="B674" s="2"/>
      <c r="C674" s="2"/>
      <c r="D674" s="2"/>
      <c r="E674" s="2"/>
      <c r="F674" s="2"/>
      <c r="G674" s="2"/>
      <c r="H674" s="2"/>
      <c r="I674" s="2"/>
      <c r="J674" s="2"/>
      <c r="K674" s="181"/>
      <c r="L674" s="2"/>
      <c r="M674" s="2"/>
      <c r="N674" s="2"/>
      <c r="O674" s="2"/>
      <c r="P674" s="2"/>
      <c r="Q674" s="157"/>
      <c r="R674" s="157"/>
      <c r="S674" s="2"/>
      <c r="T674" s="158"/>
      <c r="U674" s="2"/>
      <c r="V674" s="2"/>
      <c r="W674" s="2"/>
      <c r="X674" s="2"/>
      <c r="Y674" s="2"/>
      <c r="Z674" s="2"/>
    </row>
    <row r="675" ht="13.5" customHeight="1">
      <c r="A675" s="2"/>
      <c r="B675" s="2"/>
      <c r="C675" s="2"/>
      <c r="D675" s="2"/>
      <c r="E675" s="2"/>
      <c r="F675" s="2"/>
      <c r="G675" s="2"/>
      <c r="H675" s="2"/>
      <c r="I675" s="2"/>
      <c r="J675" s="2"/>
      <c r="K675" s="181"/>
      <c r="L675" s="2"/>
      <c r="M675" s="2"/>
      <c r="N675" s="2"/>
      <c r="O675" s="2"/>
      <c r="P675" s="2"/>
      <c r="Q675" s="157"/>
      <c r="R675" s="157"/>
      <c r="S675" s="2"/>
      <c r="T675" s="158"/>
      <c r="U675" s="2"/>
      <c r="V675" s="2"/>
      <c r="W675" s="2"/>
      <c r="X675" s="2"/>
      <c r="Y675" s="2"/>
      <c r="Z675" s="2"/>
    </row>
    <row r="676" ht="13.5" customHeight="1">
      <c r="A676" s="2"/>
      <c r="B676" s="2"/>
      <c r="C676" s="2"/>
      <c r="D676" s="2"/>
      <c r="E676" s="2"/>
      <c r="F676" s="2"/>
      <c r="G676" s="2"/>
      <c r="H676" s="2"/>
      <c r="I676" s="2"/>
      <c r="J676" s="2"/>
      <c r="K676" s="181"/>
      <c r="L676" s="2"/>
      <c r="M676" s="2"/>
      <c r="N676" s="2"/>
      <c r="O676" s="2"/>
      <c r="P676" s="2"/>
      <c r="Q676" s="157"/>
      <c r="R676" s="157"/>
      <c r="S676" s="2"/>
      <c r="T676" s="158"/>
      <c r="U676" s="2"/>
      <c r="V676" s="2"/>
      <c r="W676" s="2"/>
      <c r="X676" s="2"/>
      <c r="Y676" s="2"/>
      <c r="Z676" s="2"/>
    </row>
    <row r="677" ht="13.5" customHeight="1">
      <c r="A677" s="2"/>
      <c r="B677" s="2"/>
      <c r="C677" s="2"/>
      <c r="D677" s="2"/>
      <c r="E677" s="2"/>
      <c r="F677" s="2"/>
      <c r="G677" s="2"/>
      <c r="H677" s="2"/>
      <c r="I677" s="2"/>
      <c r="J677" s="2"/>
      <c r="K677" s="181"/>
      <c r="L677" s="2"/>
      <c r="M677" s="2"/>
      <c r="N677" s="2"/>
      <c r="O677" s="2"/>
      <c r="P677" s="2"/>
      <c r="Q677" s="157"/>
      <c r="R677" s="157"/>
      <c r="S677" s="2"/>
      <c r="T677" s="158"/>
      <c r="U677" s="2"/>
      <c r="V677" s="2"/>
      <c r="W677" s="2"/>
      <c r="X677" s="2"/>
      <c r="Y677" s="2"/>
      <c r="Z677" s="2"/>
    </row>
    <row r="678" ht="13.5" customHeight="1">
      <c r="A678" s="2"/>
      <c r="B678" s="2"/>
      <c r="C678" s="2"/>
      <c r="D678" s="2"/>
      <c r="E678" s="2"/>
      <c r="F678" s="2"/>
      <c r="G678" s="2"/>
      <c r="H678" s="2"/>
      <c r="I678" s="2"/>
      <c r="J678" s="2"/>
      <c r="K678" s="181"/>
      <c r="L678" s="2"/>
      <c r="M678" s="2"/>
      <c r="N678" s="2"/>
      <c r="O678" s="2"/>
      <c r="P678" s="2"/>
      <c r="Q678" s="157"/>
      <c r="R678" s="157"/>
      <c r="S678" s="2"/>
      <c r="T678" s="158"/>
      <c r="U678" s="2"/>
      <c r="V678" s="2"/>
      <c r="W678" s="2"/>
      <c r="X678" s="2"/>
      <c r="Y678" s="2"/>
      <c r="Z678" s="2"/>
    </row>
    <row r="679" ht="13.5" customHeight="1">
      <c r="A679" s="2"/>
      <c r="B679" s="2"/>
      <c r="C679" s="2"/>
      <c r="D679" s="2"/>
      <c r="E679" s="2"/>
      <c r="F679" s="2"/>
      <c r="G679" s="2"/>
      <c r="H679" s="2"/>
      <c r="I679" s="2"/>
      <c r="J679" s="2"/>
      <c r="K679" s="181"/>
      <c r="L679" s="2"/>
      <c r="M679" s="2"/>
      <c r="N679" s="2"/>
      <c r="O679" s="2"/>
      <c r="P679" s="2"/>
      <c r="Q679" s="157"/>
      <c r="R679" s="157"/>
      <c r="S679" s="2"/>
      <c r="T679" s="158"/>
      <c r="U679" s="2"/>
      <c r="V679" s="2"/>
      <c r="W679" s="2"/>
      <c r="X679" s="2"/>
      <c r="Y679" s="2"/>
      <c r="Z679" s="2"/>
    </row>
    <row r="680" ht="13.5" customHeight="1">
      <c r="A680" s="2"/>
      <c r="B680" s="2"/>
      <c r="C680" s="2"/>
      <c r="D680" s="2"/>
      <c r="E680" s="2"/>
      <c r="F680" s="2"/>
      <c r="G680" s="2"/>
      <c r="H680" s="2"/>
      <c r="I680" s="2"/>
      <c r="J680" s="2"/>
      <c r="K680" s="181"/>
      <c r="L680" s="2"/>
      <c r="M680" s="2"/>
      <c r="N680" s="2"/>
      <c r="O680" s="2"/>
      <c r="P680" s="2"/>
      <c r="Q680" s="157"/>
      <c r="R680" s="157"/>
      <c r="S680" s="2"/>
      <c r="T680" s="158"/>
      <c r="U680" s="2"/>
      <c r="V680" s="2"/>
      <c r="W680" s="2"/>
      <c r="X680" s="2"/>
      <c r="Y680" s="2"/>
      <c r="Z680" s="2"/>
    </row>
    <row r="681" ht="13.5" customHeight="1">
      <c r="A681" s="2"/>
      <c r="B681" s="2"/>
      <c r="C681" s="2"/>
      <c r="D681" s="2"/>
      <c r="E681" s="2"/>
      <c r="F681" s="2"/>
      <c r="G681" s="2"/>
      <c r="H681" s="2"/>
      <c r="I681" s="2"/>
      <c r="J681" s="2"/>
      <c r="K681" s="181"/>
      <c r="L681" s="2"/>
      <c r="M681" s="2"/>
      <c r="N681" s="2"/>
      <c r="O681" s="2"/>
      <c r="P681" s="2"/>
      <c r="Q681" s="157"/>
      <c r="R681" s="157"/>
      <c r="S681" s="2"/>
      <c r="T681" s="158"/>
      <c r="U681" s="2"/>
      <c r="V681" s="2"/>
      <c r="W681" s="2"/>
      <c r="X681" s="2"/>
      <c r="Y681" s="2"/>
      <c r="Z681" s="2"/>
    </row>
    <row r="682" ht="13.5" customHeight="1">
      <c r="A682" s="2"/>
      <c r="B682" s="2"/>
      <c r="C682" s="2"/>
      <c r="D682" s="2"/>
      <c r="E682" s="2"/>
      <c r="F682" s="2"/>
      <c r="G682" s="2"/>
      <c r="H682" s="2"/>
      <c r="I682" s="2"/>
      <c r="J682" s="2"/>
      <c r="K682" s="181"/>
      <c r="L682" s="2"/>
      <c r="M682" s="2"/>
      <c r="N682" s="2"/>
      <c r="O682" s="2"/>
      <c r="P682" s="2"/>
      <c r="Q682" s="157"/>
      <c r="R682" s="157"/>
      <c r="S682" s="2"/>
      <c r="T682" s="158"/>
      <c r="U682" s="2"/>
      <c r="V682" s="2"/>
      <c r="W682" s="2"/>
      <c r="X682" s="2"/>
      <c r="Y682" s="2"/>
      <c r="Z682" s="2"/>
    </row>
    <row r="683" ht="13.5" customHeight="1">
      <c r="A683" s="2"/>
      <c r="B683" s="2"/>
      <c r="C683" s="2"/>
      <c r="D683" s="2"/>
      <c r="E683" s="2"/>
      <c r="F683" s="2"/>
      <c r="G683" s="2"/>
      <c r="H683" s="2"/>
      <c r="I683" s="2"/>
      <c r="J683" s="2"/>
      <c r="K683" s="181"/>
      <c r="L683" s="2"/>
      <c r="M683" s="2"/>
      <c r="N683" s="2"/>
      <c r="O683" s="2"/>
      <c r="P683" s="2"/>
      <c r="Q683" s="157"/>
      <c r="R683" s="157"/>
      <c r="S683" s="2"/>
      <c r="T683" s="158"/>
      <c r="U683" s="2"/>
      <c r="V683" s="2"/>
      <c r="W683" s="2"/>
      <c r="X683" s="2"/>
      <c r="Y683" s="2"/>
      <c r="Z683" s="2"/>
    </row>
    <row r="684" ht="13.5" customHeight="1">
      <c r="A684" s="2"/>
      <c r="B684" s="2"/>
      <c r="C684" s="2"/>
      <c r="D684" s="2"/>
      <c r="E684" s="2"/>
      <c r="F684" s="2"/>
      <c r="G684" s="2"/>
      <c r="H684" s="2"/>
      <c r="I684" s="2"/>
      <c r="J684" s="2"/>
      <c r="K684" s="181"/>
      <c r="L684" s="2"/>
      <c r="M684" s="2"/>
      <c r="N684" s="2"/>
      <c r="O684" s="2"/>
      <c r="P684" s="2"/>
      <c r="Q684" s="157"/>
      <c r="R684" s="157"/>
      <c r="S684" s="2"/>
      <c r="T684" s="158"/>
      <c r="U684" s="2"/>
      <c r="V684" s="2"/>
      <c r="W684" s="2"/>
      <c r="X684" s="2"/>
      <c r="Y684" s="2"/>
      <c r="Z684" s="2"/>
    </row>
    <row r="685" ht="13.5" customHeight="1">
      <c r="A685" s="2"/>
      <c r="B685" s="2"/>
      <c r="C685" s="2"/>
      <c r="D685" s="2"/>
      <c r="E685" s="2"/>
      <c r="F685" s="2"/>
      <c r="G685" s="2"/>
      <c r="H685" s="2"/>
      <c r="I685" s="2"/>
      <c r="J685" s="2"/>
      <c r="K685" s="181"/>
      <c r="L685" s="2"/>
      <c r="M685" s="2"/>
      <c r="N685" s="2"/>
      <c r="O685" s="2"/>
      <c r="P685" s="2"/>
      <c r="Q685" s="157"/>
      <c r="R685" s="157"/>
      <c r="S685" s="2"/>
      <c r="T685" s="158"/>
      <c r="U685" s="2"/>
      <c r="V685" s="2"/>
      <c r="W685" s="2"/>
      <c r="X685" s="2"/>
      <c r="Y685" s="2"/>
      <c r="Z685" s="2"/>
    </row>
    <row r="686" ht="13.5" customHeight="1">
      <c r="A686" s="2"/>
      <c r="B686" s="2"/>
      <c r="C686" s="2"/>
      <c r="D686" s="2"/>
      <c r="E686" s="2"/>
      <c r="F686" s="2"/>
      <c r="G686" s="2"/>
      <c r="H686" s="2"/>
      <c r="I686" s="2"/>
      <c r="J686" s="2"/>
      <c r="K686" s="181"/>
      <c r="L686" s="2"/>
      <c r="M686" s="2"/>
      <c r="N686" s="2"/>
      <c r="O686" s="2"/>
      <c r="P686" s="2"/>
      <c r="Q686" s="157"/>
      <c r="R686" s="157"/>
      <c r="S686" s="2"/>
      <c r="T686" s="158"/>
      <c r="U686" s="2"/>
      <c r="V686" s="2"/>
      <c r="W686" s="2"/>
      <c r="X686" s="2"/>
      <c r="Y686" s="2"/>
      <c r="Z686" s="2"/>
    </row>
    <row r="687" ht="13.5" customHeight="1">
      <c r="A687" s="2"/>
      <c r="B687" s="2"/>
      <c r="C687" s="2"/>
      <c r="D687" s="2"/>
      <c r="E687" s="2"/>
      <c r="F687" s="2"/>
      <c r="G687" s="2"/>
      <c r="H687" s="2"/>
      <c r="I687" s="2"/>
      <c r="J687" s="2"/>
      <c r="K687" s="181"/>
      <c r="L687" s="2"/>
      <c r="M687" s="2"/>
      <c r="N687" s="2"/>
      <c r="O687" s="2"/>
      <c r="P687" s="2"/>
      <c r="Q687" s="157"/>
      <c r="R687" s="157"/>
      <c r="S687" s="2"/>
      <c r="T687" s="158"/>
      <c r="U687" s="2"/>
      <c r="V687" s="2"/>
      <c r="W687" s="2"/>
      <c r="X687" s="2"/>
      <c r="Y687" s="2"/>
      <c r="Z687" s="2"/>
    </row>
    <row r="688" ht="13.5" customHeight="1">
      <c r="A688" s="2"/>
      <c r="B688" s="2"/>
      <c r="C688" s="2"/>
      <c r="D688" s="2"/>
      <c r="E688" s="2"/>
      <c r="F688" s="2"/>
      <c r="G688" s="2"/>
      <c r="H688" s="2"/>
      <c r="I688" s="2"/>
      <c r="J688" s="2"/>
      <c r="K688" s="181"/>
      <c r="L688" s="2"/>
      <c r="M688" s="2"/>
      <c r="N688" s="2"/>
      <c r="O688" s="2"/>
      <c r="P688" s="2"/>
      <c r="Q688" s="157"/>
      <c r="R688" s="157"/>
      <c r="S688" s="2"/>
      <c r="T688" s="158"/>
      <c r="U688" s="2"/>
      <c r="V688" s="2"/>
      <c r="W688" s="2"/>
      <c r="X688" s="2"/>
      <c r="Y688" s="2"/>
      <c r="Z688" s="2"/>
    </row>
    <row r="689" ht="13.5" customHeight="1">
      <c r="A689" s="2"/>
      <c r="B689" s="2"/>
      <c r="C689" s="2"/>
      <c r="D689" s="2"/>
      <c r="E689" s="2"/>
      <c r="F689" s="2"/>
      <c r="G689" s="2"/>
      <c r="H689" s="2"/>
      <c r="I689" s="2"/>
      <c r="J689" s="2"/>
      <c r="K689" s="181"/>
      <c r="L689" s="2"/>
      <c r="M689" s="2"/>
      <c r="N689" s="2"/>
      <c r="O689" s="2"/>
      <c r="P689" s="2"/>
      <c r="Q689" s="157"/>
      <c r="R689" s="157"/>
      <c r="S689" s="2"/>
      <c r="T689" s="158"/>
      <c r="U689" s="2"/>
      <c r="V689" s="2"/>
      <c r="W689" s="2"/>
      <c r="X689" s="2"/>
      <c r="Y689" s="2"/>
      <c r="Z689" s="2"/>
    </row>
    <row r="690" ht="13.5" customHeight="1">
      <c r="A690" s="2"/>
      <c r="B690" s="2"/>
      <c r="C690" s="2"/>
      <c r="D690" s="2"/>
      <c r="E690" s="2"/>
      <c r="F690" s="2"/>
      <c r="G690" s="2"/>
      <c r="H690" s="2"/>
      <c r="I690" s="2"/>
      <c r="J690" s="2"/>
      <c r="K690" s="181"/>
      <c r="L690" s="2"/>
      <c r="M690" s="2"/>
      <c r="N690" s="2"/>
      <c r="O690" s="2"/>
      <c r="P690" s="2"/>
      <c r="Q690" s="157"/>
      <c r="R690" s="157"/>
      <c r="S690" s="2"/>
      <c r="T690" s="158"/>
      <c r="U690" s="2"/>
      <c r="V690" s="2"/>
      <c r="W690" s="2"/>
      <c r="X690" s="2"/>
      <c r="Y690" s="2"/>
      <c r="Z690" s="2"/>
    </row>
    <row r="691" ht="13.5" customHeight="1">
      <c r="A691" s="2"/>
      <c r="B691" s="2"/>
      <c r="C691" s="2"/>
      <c r="D691" s="2"/>
      <c r="E691" s="2"/>
      <c r="F691" s="2"/>
      <c r="G691" s="2"/>
      <c r="H691" s="2"/>
      <c r="I691" s="2"/>
      <c r="J691" s="2"/>
      <c r="K691" s="181"/>
      <c r="L691" s="2"/>
      <c r="M691" s="2"/>
      <c r="N691" s="2"/>
      <c r="O691" s="2"/>
      <c r="P691" s="2"/>
      <c r="Q691" s="157"/>
      <c r="R691" s="157"/>
      <c r="S691" s="2"/>
      <c r="T691" s="158"/>
      <c r="U691" s="2"/>
      <c r="V691" s="2"/>
      <c r="W691" s="2"/>
      <c r="X691" s="2"/>
      <c r="Y691" s="2"/>
      <c r="Z691" s="2"/>
    </row>
    <row r="692" ht="13.5" customHeight="1">
      <c r="A692" s="2"/>
      <c r="B692" s="2"/>
      <c r="C692" s="2"/>
      <c r="D692" s="2"/>
      <c r="E692" s="2"/>
      <c r="F692" s="2"/>
      <c r="G692" s="2"/>
      <c r="H692" s="2"/>
      <c r="I692" s="2"/>
      <c r="J692" s="2"/>
      <c r="K692" s="181"/>
      <c r="L692" s="2"/>
      <c r="M692" s="2"/>
      <c r="N692" s="2"/>
      <c r="O692" s="2"/>
      <c r="P692" s="2"/>
      <c r="Q692" s="157"/>
      <c r="R692" s="157"/>
      <c r="S692" s="2"/>
      <c r="T692" s="158"/>
      <c r="U692" s="2"/>
      <c r="V692" s="2"/>
      <c r="W692" s="2"/>
      <c r="X692" s="2"/>
      <c r="Y692" s="2"/>
      <c r="Z692" s="2"/>
    </row>
    <row r="693" ht="13.5" customHeight="1">
      <c r="A693" s="2"/>
      <c r="B693" s="2"/>
      <c r="C693" s="2"/>
      <c r="D693" s="2"/>
      <c r="E693" s="2"/>
      <c r="F693" s="2"/>
      <c r="G693" s="2"/>
      <c r="H693" s="2"/>
      <c r="I693" s="2"/>
      <c r="J693" s="2"/>
      <c r="K693" s="181"/>
      <c r="L693" s="2"/>
      <c r="M693" s="2"/>
      <c r="N693" s="2"/>
      <c r="O693" s="2"/>
      <c r="P693" s="2"/>
      <c r="Q693" s="157"/>
      <c r="R693" s="157"/>
      <c r="S693" s="2"/>
      <c r="T693" s="158"/>
      <c r="U693" s="2"/>
      <c r="V693" s="2"/>
      <c r="W693" s="2"/>
      <c r="X693" s="2"/>
      <c r="Y693" s="2"/>
      <c r="Z693" s="2"/>
    </row>
    <row r="694" ht="13.5" customHeight="1">
      <c r="A694" s="2"/>
      <c r="B694" s="2"/>
      <c r="C694" s="2"/>
      <c r="D694" s="2"/>
      <c r="E694" s="2"/>
      <c r="F694" s="2"/>
      <c r="G694" s="2"/>
      <c r="H694" s="2"/>
      <c r="I694" s="2"/>
      <c r="J694" s="2"/>
      <c r="K694" s="181"/>
      <c r="L694" s="2"/>
      <c r="M694" s="2"/>
      <c r="N694" s="2"/>
      <c r="O694" s="2"/>
      <c r="P694" s="2"/>
      <c r="Q694" s="157"/>
      <c r="R694" s="157"/>
      <c r="S694" s="2"/>
      <c r="T694" s="158"/>
      <c r="U694" s="2"/>
      <c r="V694" s="2"/>
      <c r="W694" s="2"/>
      <c r="X694" s="2"/>
      <c r="Y694" s="2"/>
      <c r="Z694" s="2"/>
    </row>
    <row r="695" ht="13.5" customHeight="1">
      <c r="A695" s="2"/>
      <c r="B695" s="2"/>
      <c r="C695" s="2"/>
      <c r="D695" s="2"/>
      <c r="E695" s="2"/>
      <c r="F695" s="2"/>
      <c r="G695" s="2"/>
      <c r="H695" s="2"/>
      <c r="I695" s="2"/>
      <c r="J695" s="2"/>
      <c r="K695" s="181"/>
      <c r="L695" s="2"/>
      <c r="M695" s="2"/>
      <c r="N695" s="2"/>
      <c r="O695" s="2"/>
      <c r="P695" s="2"/>
      <c r="Q695" s="157"/>
      <c r="R695" s="157"/>
      <c r="S695" s="2"/>
      <c r="T695" s="158"/>
      <c r="U695" s="2"/>
      <c r="V695" s="2"/>
      <c r="W695" s="2"/>
      <c r="X695" s="2"/>
      <c r="Y695" s="2"/>
      <c r="Z695" s="2"/>
    </row>
    <row r="696" ht="13.5" customHeight="1">
      <c r="A696" s="2"/>
      <c r="B696" s="2"/>
      <c r="C696" s="2"/>
      <c r="D696" s="2"/>
      <c r="E696" s="2"/>
      <c r="F696" s="2"/>
      <c r="G696" s="2"/>
      <c r="H696" s="2"/>
      <c r="I696" s="2"/>
      <c r="J696" s="2"/>
      <c r="K696" s="181"/>
      <c r="L696" s="2"/>
      <c r="M696" s="2"/>
      <c r="N696" s="2"/>
      <c r="O696" s="2"/>
      <c r="P696" s="2"/>
      <c r="Q696" s="157"/>
      <c r="R696" s="157"/>
      <c r="S696" s="2"/>
      <c r="T696" s="158"/>
      <c r="U696" s="2"/>
      <c r="V696" s="2"/>
      <c r="W696" s="2"/>
      <c r="X696" s="2"/>
      <c r="Y696" s="2"/>
      <c r="Z696" s="2"/>
    </row>
    <row r="697" ht="13.5" customHeight="1">
      <c r="A697" s="2"/>
      <c r="B697" s="2"/>
      <c r="C697" s="2"/>
      <c r="D697" s="2"/>
      <c r="E697" s="2"/>
      <c r="F697" s="2"/>
      <c r="G697" s="2"/>
      <c r="H697" s="2"/>
      <c r="I697" s="2"/>
      <c r="J697" s="2"/>
      <c r="K697" s="181"/>
      <c r="L697" s="2"/>
      <c r="M697" s="2"/>
      <c r="N697" s="2"/>
      <c r="O697" s="2"/>
      <c r="P697" s="2"/>
      <c r="Q697" s="157"/>
      <c r="R697" s="157"/>
      <c r="S697" s="2"/>
      <c r="T697" s="158"/>
      <c r="U697" s="2"/>
      <c r="V697" s="2"/>
      <c r="W697" s="2"/>
      <c r="X697" s="2"/>
      <c r="Y697" s="2"/>
      <c r="Z697" s="2"/>
    </row>
    <row r="698" ht="13.5" customHeight="1">
      <c r="A698" s="2"/>
      <c r="B698" s="2"/>
      <c r="C698" s="2"/>
      <c r="D698" s="2"/>
      <c r="E698" s="2"/>
      <c r="F698" s="2"/>
      <c r="G698" s="2"/>
      <c r="H698" s="2"/>
      <c r="I698" s="2"/>
      <c r="J698" s="2"/>
      <c r="K698" s="181"/>
      <c r="L698" s="2"/>
      <c r="M698" s="2"/>
      <c r="N698" s="2"/>
      <c r="O698" s="2"/>
      <c r="P698" s="2"/>
      <c r="Q698" s="157"/>
      <c r="R698" s="157"/>
      <c r="S698" s="2"/>
      <c r="T698" s="158"/>
      <c r="U698" s="2"/>
      <c r="V698" s="2"/>
      <c r="W698" s="2"/>
      <c r="X698" s="2"/>
      <c r="Y698" s="2"/>
      <c r="Z698" s="2"/>
    </row>
    <row r="699" ht="13.5" customHeight="1">
      <c r="A699" s="2"/>
      <c r="B699" s="2"/>
      <c r="C699" s="2"/>
      <c r="D699" s="2"/>
      <c r="E699" s="2"/>
      <c r="F699" s="2"/>
      <c r="G699" s="2"/>
      <c r="H699" s="2"/>
      <c r="I699" s="2"/>
      <c r="J699" s="2"/>
      <c r="K699" s="181"/>
      <c r="L699" s="2"/>
      <c r="M699" s="2"/>
      <c r="N699" s="2"/>
      <c r="O699" s="2"/>
      <c r="P699" s="2"/>
      <c r="Q699" s="157"/>
      <c r="R699" s="157"/>
      <c r="S699" s="2"/>
      <c r="T699" s="158"/>
      <c r="U699" s="2"/>
      <c r="V699" s="2"/>
      <c r="W699" s="2"/>
      <c r="X699" s="2"/>
      <c r="Y699" s="2"/>
      <c r="Z699" s="2"/>
    </row>
    <row r="700" ht="13.5" customHeight="1">
      <c r="A700" s="2"/>
      <c r="B700" s="2"/>
      <c r="C700" s="2"/>
      <c r="D700" s="2"/>
      <c r="E700" s="2"/>
      <c r="F700" s="2"/>
      <c r="G700" s="2"/>
      <c r="H700" s="2"/>
      <c r="I700" s="2"/>
      <c r="J700" s="2"/>
      <c r="K700" s="181"/>
      <c r="L700" s="2"/>
      <c r="M700" s="2"/>
      <c r="N700" s="2"/>
      <c r="O700" s="2"/>
      <c r="P700" s="2"/>
      <c r="Q700" s="157"/>
      <c r="R700" s="157"/>
      <c r="S700" s="2"/>
      <c r="T700" s="158"/>
      <c r="U700" s="2"/>
      <c r="V700" s="2"/>
      <c r="W700" s="2"/>
      <c r="X700" s="2"/>
      <c r="Y700" s="2"/>
      <c r="Z700" s="2"/>
    </row>
    <row r="701" ht="13.5" customHeight="1">
      <c r="A701" s="2"/>
      <c r="B701" s="2"/>
      <c r="C701" s="2"/>
      <c r="D701" s="2"/>
      <c r="E701" s="2"/>
      <c r="F701" s="2"/>
      <c r="G701" s="2"/>
      <c r="H701" s="2"/>
      <c r="I701" s="2"/>
      <c r="J701" s="2"/>
      <c r="K701" s="181"/>
      <c r="L701" s="2"/>
      <c r="M701" s="2"/>
      <c r="N701" s="2"/>
      <c r="O701" s="2"/>
      <c r="P701" s="2"/>
      <c r="Q701" s="157"/>
      <c r="R701" s="157"/>
      <c r="S701" s="2"/>
      <c r="T701" s="158"/>
      <c r="U701" s="2"/>
      <c r="V701" s="2"/>
      <c r="W701" s="2"/>
      <c r="X701" s="2"/>
      <c r="Y701" s="2"/>
      <c r="Z701" s="2"/>
    </row>
    <row r="702" ht="13.5" customHeight="1">
      <c r="A702" s="2"/>
      <c r="B702" s="2"/>
      <c r="C702" s="2"/>
      <c r="D702" s="2"/>
      <c r="E702" s="2"/>
      <c r="F702" s="2"/>
      <c r="G702" s="2"/>
      <c r="H702" s="2"/>
      <c r="I702" s="2"/>
      <c r="J702" s="2"/>
      <c r="K702" s="181"/>
      <c r="L702" s="2"/>
      <c r="M702" s="2"/>
      <c r="N702" s="2"/>
      <c r="O702" s="2"/>
      <c r="P702" s="2"/>
      <c r="Q702" s="157"/>
      <c r="R702" s="157"/>
      <c r="S702" s="2"/>
      <c r="T702" s="158"/>
      <c r="U702" s="2"/>
      <c r="V702" s="2"/>
      <c r="W702" s="2"/>
      <c r="X702" s="2"/>
      <c r="Y702" s="2"/>
      <c r="Z702" s="2"/>
    </row>
    <row r="703" ht="13.5" customHeight="1">
      <c r="A703" s="2"/>
      <c r="B703" s="2"/>
      <c r="C703" s="2"/>
      <c r="D703" s="2"/>
      <c r="E703" s="2"/>
      <c r="F703" s="2"/>
      <c r="G703" s="2"/>
      <c r="H703" s="2"/>
      <c r="I703" s="2"/>
      <c r="J703" s="2"/>
      <c r="K703" s="181"/>
      <c r="L703" s="2"/>
      <c r="M703" s="2"/>
      <c r="N703" s="2"/>
      <c r="O703" s="2"/>
      <c r="P703" s="2"/>
      <c r="Q703" s="157"/>
      <c r="R703" s="157"/>
      <c r="S703" s="2"/>
      <c r="T703" s="158"/>
      <c r="U703" s="2"/>
      <c r="V703" s="2"/>
      <c r="W703" s="2"/>
      <c r="X703" s="2"/>
      <c r="Y703" s="2"/>
      <c r="Z703" s="2"/>
    </row>
    <row r="704" ht="13.5" customHeight="1">
      <c r="A704" s="2"/>
      <c r="B704" s="2"/>
      <c r="C704" s="2"/>
      <c r="D704" s="2"/>
      <c r="E704" s="2"/>
      <c r="F704" s="2"/>
      <c r="G704" s="2"/>
      <c r="H704" s="2"/>
      <c r="I704" s="2"/>
      <c r="J704" s="2"/>
      <c r="K704" s="181"/>
      <c r="L704" s="2"/>
      <c r="M704" s="2"/>
      <c r="N704" s="2"/>
      <c r="O704" s="2"/>
      <c r="P704" s="2"/>
      <c r="Q704" s="157"/>
      <c r="R704" s="157"/>
      <c r="S704" s="2"/>
      <c r="T704" s="158"/>
      <c r="U704" s="2"/>
      <c r="V704" s="2"/>
      <c r="W704" s="2"/>
      <c r="X704" s="2"/>
      <c r="Y704" s="2"/>
      <c r="Z704" s="2"/>
    </row>
    <row r="705" ht="13.5" customHeight="1">
      <c r="A705" s="2"/>
      <c r="B705" s="2"/>
      <c r="C705" s="2"/>
      <c r="D705" s="2"/>
      <c r="E705" s="2"/>
      <c r="F705" s="2"/>
      <c r="G705" s="2"/>
      <c r="H705" s="2"/>
      <c r="I705" s="2"/>
      <c r="J705" s="2"/>
      <c r="K705" s="181"/>
      <c r="L705" s="2"/>
      <c r="M705" s="2"/>
      <c r="N705" s="2"/>
      <c r="O705" s="2"/>
      <c r="P705" s="2"/>
      <c r="Q705" s="157"/>
      <c r="R705" s="157"/>
      <c r="S705" s="2"/>
      <c r="T705" s="158"/>
      <c r="U705" s="2"/>
      <c r="V705" s="2"/>
      <c r="W705" s="2"/>
      <c r="X705" s="2"/>
      <c r="Y705" s="2"/>
      <c r="Z705" s="2"/>
    </row>
    <row r="706" ht="13.5" customHeight="1">
      <c r="A706" s="2"/>
      <c r="B706" s="2"/>
      <c r="C706" s="2"/>
      <c r="D706" s="2"/>
      <c r="E706" s="2"/>
      <c r="F706" s="2"/>
      <c r="G706" s="2"/>
      <c r="H706" s="2"/>
      <c r="I706" s="2"/>
      <c r="J706" s="2"/>
      <c r="K706" s="181"/>
      <c r="L706" s="2"/>
      <c r="M706" s="2"/>
      <c r="N706" s="2"/>
      <c r="O706" s="2"/>
      <c r="P706" s="2"/>
      <c r="Q706" s="157"/>
      <c r="R706" s="157"/>
      <c r="S706" s="2"/>
      <c r="T706" s="158"/>
      <c r="U706" s="2"/>
      <c r="V706" s="2"/>
      <c r="W706" s="2"/>
      <c r="X706" s="2"/>
      <c r="Y706" s="2"/>
      <c r="Z706" s="2"/>
    </row>
    <row r="707" ht="13.5" customHeight="1">
      <c r="A707" s="2"/>
      <c r="B707" s="2"/>
      <c r="C707" s="2"/>
      <c r="D707" s="2"/>
      <c r="E707" s="2"/>
      <c r="F707" s="2"/>
      <c r="G707" s="2"/>
      <c r="H707" s="2"/>
      <c r="I707" s="2"/>
      <c r="J707" s="2"/>
      <c r="K707" s="181"/>
      <c r="L707" s="2"/>
      <c r="M707" s="2"/>
      <c r="N707" s="2"/>
      <c r="O707" s="2"/>
      <c r="P707" s="2"/>
      <c r="Q707" s="157"/>
      <c r="R707" s="157"/>
      <c r="S707" s="2"/>
      <c r="T707" s="158"/>
      <c r="U707" s="2"/>
      <c r="V707" s="2"/>
      <c r="W707" s="2"/>
      <c r="X707" s="2"/>
      <c r="Y707" s="2"/>
      <c r="Z707" s="2"/>
    </row>
    <row r="708" ht="13.5" customHeight="1">
      <c r="A708" s="2"/>
      <c r="B708" s="2"/>
      <c r="C708" s="2"/>
      <c r="D708" s="2"/>
      <c r="E708" s="2"/>
      <c r="F708" s="2"/>
      <c r="G708" s="2"/>
      <c r="H708" s="2"/>
      <c r="I708" s="2"/>
      <c r="J708" s="2"/>
      <c r="K708" s="181"/>
      <c r="L708" s="2"/>
      <c r="M708" s="2"/>
      <c r="N708" s="2"/>
      <c r="O708" s="2"/>
      <c r="P708" s="2"/>
      <c r="Q708" s="157"/>
      <c r="R708" s="157"/>
      <c r="S708" s="2"/>
      <c r="T708" s="158"/>
      <c r="U708" s="2"/>
      <c r="V708" s="2"/>
      <c r="W708" s="2"/>
      <c r="X708" s="2"/>
      <c r="Y708" s="2"/>
      <c r="Z708" s="2"/>
    </row>
    <row r="709" ht="13.5" customHeight="1">
      <c r="A709" s="2"/>
      <c r="B709" s="2"/>
      <c r="C709" s="2"/>
      <c r="D709" s="2"/>
      <c r="E709" s="2"/>
      <c r="F709" s="2"/>
      <c r="G709" s="2"/>
      <c r="H709" s="2"/>
      <c r="I709" s="2"/>
      <c r="J709" s="2"/>
      <c r="K709" s="181"/>
      <c r="L709" s="2"/>
      <c r="M709" s="2"/>
      <c r="N709" s="2"/>
      <c r="O709" s="2"/>
      <c r="P709" s="2"/>
      <c r="Q709" s="157"/>
      <c r="R709" s="157"/>
      <c r="S709" s="2"/>
      <c r="T709" s="158"/>
      <c r="U709" s="2"/>
      <c r="V709" s="2"/>
      <c r="W709" s="2"/>
      <c r="X709" s="2"/>
      <c r="Y709" s="2"/>
      <c r="Z709" s="2"/>
    </row>
    <row r="710" ht="13.5" customHeight="1">
      <c r="A710" s="2"/>
      <c r="B710" s="2"/>
      <c r="C710" s="2"/>
      <c r="D710" s="2"/>
      <c r="E710" s="2"/>
      <c r="F710" s="2"/>
      <c r="G710" s="2"/>
      <c r="H710" s="2"/>
      <c r="I710" s="2"/>
      <c r="J710" s="2"/>
      <c r="K710" s="181"/>
      <c r="L710" s="2"/>
      <c r="M710" s="2"/>
      <c r="N710" s="2"/>
      <c r="O710" s="2"/>
      <c r="P710" s="2"/>
      <c r="Q710" s="157"/>
      <c r="R710" s="157"/>
      <c r="S710" s="2"/>
      <c r="T710" s="158"/>
      <c r="U710" s="2"/>
      <c r="V710" s="2"/>
      <c r="W710" s="2"/>
      <c r="X710" s="2"/>
      <c r="Y710" s="2"/>
      <c r="Z710" s="2"/>
    </row>
    <row r="711" ht="13.5" customHeight="1">
      <c r="A711" s="2"/>
      <c r="B711" s="2"/>
      <c r="C711" s="2"/>
      <c r="D711" s="2"/>
      <c r="E711" s="2"/>
      <c r="F711" s="2"/>
      <c r="G711" s="2"/>
      <c r="H711" s="2"/>
      <c r="I711" s="2"/>
      <c r="J711" s="2"/>
      <c r="K711" s="181"/>
      <c r="L711" s="2"/>
      <c r="M711" s="2"/>
      <c r="N711" s="2"/>
      <c r="O711" s="2"/>
      <c r="P711" s="2"/>
      <c r="Q711" s="157"/>
      <c r="R711" s="157"/>
      <c r="S711" s="2"/>
      <c r="T711" s="158"/>
      <c r="U711" s="2"/>
      <c r="V711" s="2"/>
      <c r="W711" s="2"/>
      <c r="X711" s="2"/>
      <c r="Y711" s="2"/>
      <c r="Z711" s="2"/>
    </row>
    <row r="712" ht="13.5" customHeight="1">
      <c r="A712" s="2"/>
      <c r="B712" s="2"/>
      <c r="C712" s="2"/>
      <c r="D712" s="2"/>
      <c r="E712" s="2"/>
      <c r="F712" s="2"/>
      <c r="G712" s="2"/>
      <c r="H712" s="2"/>
      <c r="I712" s="2"/>
      <c r="J712" s="2"/>
      <c r="K712" s="181"/>
      <c r="L712" s="2"/>
      <c r="M712" s="2"/>
      <c r="N712" s="2"/>
      <c r="O712" s="2"/>
      <c r="P712" s="2"/>
      <c r="Q712" s="157"/>
      <c r="R712" s="157"/>
      <c r="S712" s="2"/>
      <c r="T712" s="158"/>
      <c r="U712" s="2"/>
      <c r="V712" s="2"/>
      <c r="W712" s="2"/>
      <c r="X712" s="2"/>
      <c r="Y712" s="2"/>
      <c r="Z712" s="2"/>
    </row>
    <row r="713" ht="13.5" customHeight="1">
      <c r="A713" s="2"/>
      <c r="B713" s="2"/>
      <c r="C713" s="2"/>
      <c r="D713" s="2"/>
      <c r="E713" s="2"/>
      <c r="F713" s="2"/>
      <c r="G713" s="2"/>
      <c r="H713" s="2"/>
      <c r="I713" s="2"/>
      <c r="J713" s="2"/>
      <c r="K713" s="181"/>
      <c r="L713" s="2"/>
      <c r="M713" s="2"/>
      <c r="N713" s="2"/>
      <c r="O713" s="2"/>
      <c r="P713" s="2"/>
      <c r="Q713" s="157"/>
      <c r="R713" s="157"/>
      <c r="S713" s="2"/>
      <c r="T713" s="158"/>
      <c r="U713" s="2"/>
      <c r="V713" s="2"/>
      <c r="W713" s="2"/>
      <c r="X713" s="2"/>
      <c r="Y713" s="2"/>
      <c r="Z713" s="2"/>
    </row>
    <row r="714" ht="13.5" customHeight="1">
      <c r="A714" s="2"/>
      <c r="B714" s="2"/>
      <c r="C714" s="2"/>
      <c r="D714" s="2"/>
      <c r="E714" s="2"/>
      <c r="F714" s="2"/>
      <c r="G714" s="2"/>
      <c r="H714" s="2"/>
      <c r="I714" s="2"/>
      <c r="J714" s="2"/>
      <c r="K714" s="181"/>
      <c r="L714" s="2"/>
      <c r="M714" s="2"/>
      <c r="N714" s="2"/>
      <c r="O714" s="2"/>
      <c r="P714" s="2"/>
      <c r="Q714" s="157"/>
      <c r="R714" s="157"/>
      <c r="S714" s="2"/>
      <c r="T714" s="158"/>
      <c r="U714" s="2"/>
      <c r="V714" s="2"/>
      <c r="W714" s="2"/>
      <c r="X714" s="2"/>
      <c r="Y714" s="2"/>
      <c r="Z714" s="2"/>
    </row>
    <row r="715" ht="13.5" customHeight="1">
      <c r="A715" s="2"/>
      <c r="B715" s="2"/>
      <c r="C715" s="2"/>
      <c r="D715" s="2"/>
      <c r="E715" s="2"/>
      <c r="F715" s="2"/>
      <c r="G715" s="2"/>
      <c r="H715" s="2"/>
      <c r="I715" s="2"/>
      <c r="J715" s="2"/>
      <c r="K715" s="181"/>
      <c r="L715" s="2"/>
      <c r="M715" s="2"/>
      <c r="N715" s="2"/>
      <c r="O715" s="2"/>
      <c r="P715" s="2"/>
      <c r="Q715" s="157"/>
      <c r="R715" s="157"/>
      <c r="S715" s="2"/>
      <c r="T715" s="158"/>
      <c r="U715" s="2"/>
      <c r="V715" s="2"/>
      <c r="W715" s="2"/>
      <c r="X715" s="2"/>
      <c r="Y715" s="2"/>
      <c r="Z715" s="2"/>
    </row>
    <row r="716" ht="13.5" customHeight="1">
      <c r="A716" s="2"/>
      <c r="B716" s="2"/>
      <c r="C716" s="2"/>
      <c r="D716" s="2"/>
      <c r="E716" s="2"/>
      <c r="F716" s="2"/>
      <c r="G716" s="2"/>
      <c r="H716" s="2"/>
      <c r="I716" s="2"/>
      <c r="J716" s="2"/>
      <c r="K716" s="181"/>
      <c r="L716" s="2"/>
      <c r="M716" s="2"/>
      <c r="N716" s="2"/>
      <c r="O716" s="2"/>
      <c r="P716" s="2"/>
      <c r="Q716" s="157"/>
      <c r="R716" s="157"/>
      <c r="S716" s="2"/>
      <c r="T716" s="158"/>
      <c r="U716" s="2"/>
      <c r="V716" s="2"/>
      <c r="W716" s="2"/>
      <c r="X716" s="2"/>
      <c r="Y716" s="2"/>
      <c r="Z716" s="2"/>
    </row>
    <row r="717" ht="13.5" customHeight="1">
      <c r="A717" s="2"/>
      <c r="B717" s="2"/>
      <c r="C717" s="2"/>
      <c r="D717" s="2"/>
      <c r="E717" s="2"/>
      <c r="F717" s="2"/>
      <c r="G717" s="2"/>
      <c r="H717" s="2"/>
      <c r="I717" s="2"/>
      <c r="J717" s="2"/>
      <c r="K717" s="181"/>
      <c r="L717" s="2"/>
      <c r="M717" s="2"/>
      <c r="N717" s="2"/>
      <c r="O717" s="2"/>
      <c r="P717" s="2"/>
      <c r="Q717" s="157"/>
      <c r="R717" s="157"/>
      <c r="S717" s="2"/>
      <c r="T717" s="158"/>
      <c r="U717" s="2"/>
      <c r="V717" s="2"/>
      <c r="W717" s="2"/>
      <c r="X717" s="2"/>
      <c r="Y717" s="2"/>
      <c r="Z717" s="2"/>
    </row>
    <row r="718" ht="13.5" customHeight="1">
      <c r="A718" s="2"/>
      <c r="B718" s="2"/>
      <c r="C718" s="2"/>
      <c r="D718" s="2"/>
      <c r="E718" s="2"/>
      <c r="F718" s="2"/>
      <c r="G718" s="2"/>
      <c r="H718" s="2"/>
      <c r="I718" s="2"/>
      <c r="J718" s="2"/>
      <c r="K718" s="181"/>
      <c r="L718" s="2"/>
      <c r="M718" s="2"/>
      <c r="N718" s="2"/>
      <c r="O718" s="2"/>
      <c r="P718" s="2"/>
      <c r="Q718" s="157"/>
      <c r="R718" s="157"/>
      <c r="S718" s="2"/>
      <c r="T718" s="158"/>
      <c r="U718" s="2"/>
      <c r="V718" s="2"/>
      <c r="W718" s="2"/>
      <c r="X718" s="2"/>
      <c r="Y718" s="2"/>
      <c r="Z718" s="2"/>
    </row>
    <row r="719" ht="13.5" customHeight="1">
      <c r="A719" s="2"/>
      <c r="B719" s="2"/>
      <c r="C719" s="2"/>
      <c r="D719" s="2"/>
      <c r="E719" s="2"/>
      <c r="F719" s="2"/>
      <c r="G719" s="2"/>
      <c r="H719" s="2"/>
      <c r="I719" s="2"/>
      <c r="J719" s="2"/>
      <c r="K719" s="181"/>
      <c r="L719" s="2"/>
      <c r="M719" s="2"/>
      <c r="N719" s="2"/>
      <c r="O719" s="2"/>
      <c r="P719" s="2"/>
      <c r="Q719" s="157"/>
      <c r="R719" s="157"/>
      <c r="S719" s="2"/>
      <c r="T719" s="158"/>
      <c r="U719" s="2"/>
      <c r="V719" s="2"/>
      <c r="W719" s="2"/>
      <c r="X719" s="2"/>
      <c r="Y719" s="2"/>
      <c r="Z719" s="2"/>
    </row>
    <row r="720" ht="13.5" customHeight="1">
      <c r="A720" s="2"/>
      <c r="B720" s="2"/>
      <c r="C720" s="2"/>
      <c r="D720" s="2"/>
      <c r="E720" s="2"/>
      <c r="F720" s="2"/>
      <c r="G720" s="2"/>
      <c r="H720" s="2"/>
      <c r="I720" s="2"/>
      <c r="J720" s="2"/>
      <c r="K720" s="181"/>
      <c r="L720" s="2"/>
      <c r="M720" s="2"/>
      <c r="N720" s="2"/>
      <c r="O720" s="2"/>
      <c r="P720" s="2"/>
      <c r="Q720" s="157"/>
      <c r="R720" s="157"/>
      <c r="S720" s="2"/>
      <c r="T720" s="158"/>
      <c r="U720" s="2"/>
      <c r="V720" s="2"/>
      <c r="W720" s="2"/>
      <c r="X720" s="2"/>
      <c r="Y720" s="2"/>
      <c r="Z720" s="2"/>
    </row>
    <row r="721" ht="13.5" customHeight="1">
      <c r="A721" s="2"/>
      <c r="B721" s="2"/>
      <c r="C721" s="2"/>
      <c r="D721" s="2"/>
      <c r="E721" s="2"/>
      <c r="F721" s="2"/>
      <c r="G721" s="2"/>
      <c r="H721" s="2"/>
      <c r="I721" s="2"/>
      <c r="J721" s="2"/>
      <c r="K721" s="181"/>
      <c r="L721" s="2"/>
      <c r="M721" s="2"/>
      <c r="N721" s="2"/>
      <c r="O721" s="2"/>
      <c r="P721" s="2"/>
      <c r="Q721" s="157"/>
      <c r="R721" s="157"/>
      <c r="S721" s="2"/>
      <c r="T721" s="158"/>
      <c r="U721" s="2"/>
      <c r="V721" s="2"/>
      <c r="W721" s="2"/>
      <c r="X721" s="2"/>
      <c r="Y721" s="2"/>
      <c r="Z721" s="2"/>
    </row>
    <row r="722" ht="13.5" customHeight="1">
      <c r="A722" s="2"/>
      <c r="B722" s="2"/>
      <c r="C722" s="2"/>
      <c r="D722" s="2"/>
      <c r="E722" s="2"/>
      <c r="F722" s="2"/>
      <c r="G722" s="2"/>
      <c r="H722" s="2"/>
      <c r="I722" s="2"/>
      <c r="J722" s="2"/>
      <c r="K722" s="181"/>
      <c r="L722" s="2"/>
      <c r="M722" s="2"/>
      <c r="N722" s="2"/>
      <c r="O722" s="2"/>
      <c r="P722" s="2"/>
      <c r="Q722" s="157"/>
      <c r="R722" s="157"/>
      <c r="S722" s="2"/>
      <c r="T722" s="158"/>
      <c r="U722" s="2"/>
      <c r="V722" s="2"/>
      <c r="W722" s="2"/>
      <c r="X722" s="2"/>
      <c r="Y722" s="2"/>
      <c r="Z722" s="2"/>
    </row>
    <row r="723" ht="13.5" customHeight="1">
      <c r="A723" s="2"/>
      <c r="B723" s="2"/>
      <c r="C723" s="2"/>
      <c r="D723" s="2"/>
      <c r="E723" s="2"/>
      <c r="F723" s="2"/>
      <c r="G723" s="2"/>
      <c r="H723" s="2"/>
      <c r="I723" s="2"/>
      <c r="J723" s="2"/>
      <c r="K723" s="181"/>
      <c r="L723" s="2"/>
      <c r="M723" s="2"/>
      <c r="N723" s="2"/>
      <c r="O723" s="2"/>
      <c r="P723" s="2"/>
      <c r="Q723" s="157"/>
      <c r="R723" s="157"/>
      <c r="S723" s="2"/>
      <c r="T723" s="158"/>
      <c r="U723" s="2"/>
      <c r="V723" s="2"/>
      <c r="W723" s="2"/>
      <c r="X723" s="2"/>
      <c r="Y723" s="2"/>
      <c r="Z723" s="2"/>
    </row>
    <row r="724" ht="13.5" customHeight="1">
      <c r="A724" s="2"/>
      <c r="B724" s="2"/>
      <c r="C724" s="2"/>
      <c r="D724" s="2"/>
      <c r="E724" s="2"/>
      <c r="F724" s="2"/>
      <c r="G724" s="2"/>
      <c r="H724" s="2"/>
      <c r="I724" s="2"/>
      <c r="J724" s="2"/>
      <c r="K724" s="181"/>
      <c r="L724" s="2"/>
      <c r="M724" s="2"/>
      <c r="N724" s="2"/>
      <c r="O724" s="2"/>
      <c r="P724" s="2"/>
      <c r="Q724" s="157"/>
      <c r="R724" s="157"/>
      <c r="S724" s="2"/>
      <c r="T724" s="158"/>
      <c r="U724" s="2"/>
      <c r="V724" s="2"/>
      <c r="W724" s="2"/>
      <c r="X724" s="2"/>
      <c r="Y724" s="2"/>
      <c r="Z724" s="2"/>
    </row>
    <row r="725" ht="13.5" customHeight="1">
      <c r="A725" s="2"/>
      <c r="B725" s="2"/>
      <c r="C725" s="2"/>
      <c r="D725" s="2"/>
      <c r="E725" s="2"/>
      <c r="F725" s="2"/>
      <c r="G725" s="2"/>
      <c r="H725" s="2"/>
      <c r="I725" s="2"/>
      <c r="J725" s="2"/>
      <c r="K725" s="181"/>
      <c r="L725" s="2"/>
      <c r="M725" s="2"/>
      <c r="N725" s="2"/>
      <c r="O725" s="2"/>
      <c r="P725" s="2"/>
      <c r="Q725" s="157"/>
      <c r="R725" s="157"/>
      <c r="S725" s="2"/>
      <c r="T725" s="158"/>
      <c r="U725" s="2"/>
      <c r="V725" s="2"/>
      <c r="W725" s="2"/>
      <c r="X725" s="2"/>
      <c r="Y725" s="2"/>
      <c r="Z725" s="2"/>
    </row>
    <row r="726" ht="13.5" customHeight="1">
      <c r="A726" s="2"/>
      <c r="B726" s="2"/>
      <c r="C726" s="2"/>
      <c r="D726" s="2"/>
      <c r="E726" s="2"/>
      <c r="F726" s="2"/>
      <c r="G726" s="2"/>
      <c r="H726" s="2"/>
      <c r="I726" s="2"/>
      <c r="J726" s="2"/>
      <c r="K726" s="181"/>
      <c r="L726" s="2"/>
      <c r="M726" s="2"/>
      <c r="N726" s="2"/>
      <c r="O726" s="2"/>
      <c r="P726" s="2"/>
      <c r="Q726" s="157"/>
      <c r="R726" s="157"/>
      <c r="S726" s="2"/>
      <c r="T726" s="158"/>
      <c r="U726" s="2"/>
      <c r="V726" s="2"/>
      <c r="W726" s="2"/>
      <c r="X726" s="2"/>
      <c r="Y726" s="2"/>
      <c r="Z726" s="2"/>
    </row>
    <row r="727" ht="13.5" customHeight="1">
      <c r="A727" s="2"/>
      <c r="B727" s="2"/>
      <c r="C727" s="2"/>
      <c r="D727" s="2"/>
      <c r="E727" s="2"/>
      <c r="F727" s="2"/>
      <c r="G727" s="2"/>
      <c r="H727" s="2"/>
      <c r="I727" s="2"/>
      <c r="J727" s="2"/>
      <c r="K727" s="181"/>
      <c r="L727" s="2"/>
      <c r="M727" s="2"/>
      <c r="N727" s="2"/>
      <c r="O727" s="2"/>
      <c r="P727" s="2"/>
      <c r="Q727" s="157"/>
      <c r="R727" s="157"/>
      <c r="S727" s="2"/>
      <c r="T727" s="158"/>
      <c r="U727" s="2"/>
      <c r="V727" s="2"/>
      <c r="W727" s="2"/>
      <c r="X727" s="2"/>
      <c r="Y727" s="2"/>
      <c r="Z727" s="2"/>
    </row>
    <row r="728" ht="13.5" customHeight="1">
      <c r="A728" s="2"/>
      <c r="B728" s="2"/>
      <c r="C728" s="2"/>
      <c r="D728" s="2"/>
      <c r="E728" s="2"/>
      <c r="F728" s="2"/>
      <c r="G728" s="2"/>
      <c r="H728" s="2"/>
      <c r="I728" s="2"/>
      <c r="J728" s="2"/>
      <c r="K728" s="181"/>
      <c r="L728" s="2"/>
      <c r="M728" s="2"/>
      <c r="N728" s="2"/>
      <c r="O728" s="2"/>
      <c r="P728" s="2"/>
      <c r="Q728" s="157"/>
      <c r="R728" s="157"/>
      <c r="S728" s="2"/>
      <c r="T728" s="158"/>
      <c r="U728" s="2"/>
      <c r="V728" s="2"/>
      <c r="W728" s="2"/>
      <c r="X728" s="2"/>
      <c r="Y728" s="2"/>
      <c r="Z728" s="2"/>
    </row>
    <row r="729" ht="13.5" customHeight="1">
      <c r="A729" s="2"/>
      <c r="B729" s="2"/>
      <c r="C729" s="2"/>
      <c r="D729" s="2"/>
      <c r="E729" s="2"/>
      <c r="F729" s="2"/>
      <c r="G729" s="2"/>
      <c r="H729" s="2"/>
      <c r="I729" s="2"/>
      <c r="J729" s="2"/>
      <c r="K729" s="181"/>
      <c r="L729" s="2"/>
      <c r="M729" s="2"/>
      <c r="N729" s="2"/>
      <c r="O729" s="2"/>
      <c r="P729" s="2"/>
      <c r="Q729" s="157"/>
      <c r="R729" s="157"/>
      <c r="S729" s="2"/>
      <c r="T729" s="158"/>
      <c r="U729" s="2"/>
      <c r="V729" s="2"/>
      <c r="W729" s="2"/>
      <c r="X729" s="2"/>
      <c r="Y729" s="2"/>
      <c r="Z729" s="2"/>
    </row>
    <row r="730" ht="13.5" customHeight="1">
      <c r="A730" s="2"/>
      <c r="B730" s="2"/>
      <c r="C730" s="2"/>
      <c r="D730" s="2"/>
      <c r="E730" s="2"/>
      <c r="F730" s="2"/>
      <c r="G730" s="2"/>
      <c r="H730" s="2"/>
      <c r="I730" s="2"/>
      <c r="J730" s="2"/>
      <c r="K730" s="181"/>
      <c r="L730" s="2"/>
      <c r="M730" s="2"/>
      <c r="N730" s="2"/>
      <c r="O730" s="2"/>
      <c r="P730" s="2"/>
      <c r="Q730" s="157"/>
      <c r="R730" s="157"/>
      <c r="S730" s="2"/>
      <c r="T730" s="158"/>
      <c r="U730" s="2"/>
      <c r="V730" s="2"/>
      <c r="W730" s="2"/>
      <c r="X730" s="2"/>
      <c r="Y730" s="2"/>
      <c r="Z730" s="2"/>
    </row>
    <row r="731" ht="13.5" customHeight="1">
      <c r="A731" s="2"/>
      <c r="B731" s="2"/>
      <c r="C731" s="2"/>
      <c r="D731" s="2"/>
      <c r="E731" s="2"/>
      <c r="F731" s="2"/>
      <c r="G731" s="2"/>
      <c r="H731" s="2"/>
      <c r="I731" s="2"/>
      <c r="J731" s="2"/>
      <c r="K731" s="181"/>
      <c r="L731" s="2"/>
      <c r="M731" s="2"/>
      <c r="N731" s="2"/>
      <c r="O731" s="2"/>
      <c r="P731" s="2"/>
      <c r="Q731" s="157"/>
      <c r="R731" s="157"/>
      <c r="S731" s="2"/>
      <c r="T731" s="158"/>
      <c r="U731" s="2"/>
      <c r="V731" s="2"/>
      <c r="W731" s="2"/>
      <c r="X731" s="2"/>
      <c r="Y731" s="2"/>
      <c r="Z731" s="2"/>
    </row>
    <row r="732" ht="13.5" customHeight="1">
      <c r="A732" s="2"/>
      <c r="B732" s="2"/>
      <c r="C732" s="2"/>
      <c r="D732" s="2"/>
      <c r="E732" s="2"/>
      <c r="F732" s="2"/>
      <c r="G732" s="2"/>
      <c r="H732" s="2"/>
      <c r="I732" s="2"/>
      <c r="J732" s="2"/>
      <c r="K732" s="181"/>
      <c r="L732" s="2"/>
      <c r="M732" s="2"/>
      <c r="N732" s="2"/>
      <c r="O732" s="2"/>
      <c r="P732" s="2"/>
      <c r="Q732" s="157"/>
      <c r="R732" s="157"/>
      <c r="S732" s="2"/>
      <c r="T732" s="158"/>
      <c r="U732" s="2"/>
      <c r="V732" s="2"/>
      <c r="W732" s="2"/>
      <c r="X732" s="2"/>
      <c r="Y732" s="2"/>
      <c r="Z732" s="2"/>
    </row>
    <row r="733" ht="13.5" customHeight="1">
      <c r="A733" s="2"/>
      <c r="B733" s="2"/>
      <c r="C733" s="2"/>
      <c r="D733" s="2"/>
      <c r="E733" s="2"/>
      <c r="F733" s="2"/>
      <c r="G733" s="2"/>
      <c r="H733" s="2"/>
      <c r="I733" s="2"/>
      <c r="J733" s="2"/>
      <c r="K733" s="181"/>
      <c r="L733" s="2"/>
      <c r="M733" s="2"/>
      <c r="N733" s="2"/>
      <c r="O733" s="2"/>
      <c r="P733" s="2"/>
      <c r="Q733" s="157"/>
      <c r="R733" s="157"/>
      <c r="S733" s="2"/>
      <c r="T733" s="158"/>
      <c r="U733" s="2"/>
      <c r="V733" s="2"/>
      <c r="W733" s="2"/>
      <c r="X733" s="2"/>
      <c r="Y733" s="2"/>
      <c r="Z733" s="2"/>
    </row>
    <row r="734" ht="13.5" customHeight="1">
      <c r="A734" s="2"/>
      <c r="B734" s="2"/>
      <c r="C734" s="2"/>
      <c r="D734" s="2"/>
      <c r="E734" s="2"/>
      <c r="F734" s="2"/>
      <c r="G734" s="2"/>
      <c r="H734" s="2"/>
      <c r="I734" s="2"/>
      <c r="J734" s="2"/>
      <c r="K734" s="181"/>
      <c r="L734" s="2"/>
      <c r="M734" s="2"/>
      <c r="N734" s="2"/>
      <c r="O734" s="2"/>
      <c r="P734" s="2"/>
      <c r="Q734" s="157"/>
      <c r="R734" s="157"/>
      <c r="S734" s="2"/>
      <c r="T734" s="158"/>
      <c r="U734" s="2"/>
      <c r="V734" s="2"/>
      <c r="W734" s="2"/>
      <c r="X734" s="2"/>
      <c r="Y734" s="2"/>
      <c r="Z734" s="2"/>
    </row>
    <row r="735" ht="13.5" customHeight="1">
      <c r="A735" s="2"/>
      <c r="B735" s="2"/>
      <c r="C735" s="2"/>
      <c r="D735" s="2"/>
      <c r="E735" s="2"/>
      <c r="F735" s="2"/>
      <c r="G735" s="2"/>
      <c r="H735" s="2"/>
      <c r="I735" s="2"/>
      <c r="J735" s="2"/>
      <c r="K735" s="181"/>
      <c r="L735" s="2"/>
      <c r="M735" s="2"/>
      <c r="N735" s="2"/>
      <c r="O735" s="2"/>
      <c r="P735" s="2"/>
      <c r="Q735" s="157"/>
      <c r="R735" s="157"/>
      <c r="S735" s="2"/>
      <c r="T735" s="158"/>
      <c r="U735" s="2"/>
      <c r="V735" s="2"/>
      <c r="W735" s="2"/>
      <c r="X735" s="2"/>
      <c r="Y735" s="2"/>
      <c r="Z735" s="2"/>
    </row>
    <row r="736" ht="13.5" customHeight="1">
      <c r="A736" s="2"/>
      <c r="B736" s="2"/>
      <c r="C736" s="2"/>
      <c r="D736" s="2"/>
      <c r="E736" s="2"/>
      <c r="F736" s="2"/>
      <c r="G736" s="2"/>
      <c r="H736" s="2"/>
      <c r="I736" s="2"/>
      <c r="J736" s="2"/>
      <c r="K736" s="181"/>
      <c r="L736" s="2"/>
      <c r="M736" s="2"/>
      <c r="N736" s="2"/>
      <c r="O736" s="2"/>
      <c r="P736" s="2"/>
      <c r="Q736" s="157"/>
      <c r="R736" s="157"/>
      <c r="S736" s="2"/>
      <c r="T736" s="158"/>
      <c r="U736" s="2"/>
      <c r="V736" s="2"/>
      <c r="W736" s="2"/>
      <c r="X736" s="2"/>
      <c r="Y736" s="2"/>
      <c r="Z736" s="2"/>
    </row>
    <row r="737" ht="13.5" customHeight="1">
      <c r="A737" s="2"/>
      <c r="B737" s="2"/>
      <c r="C737" s="2"/>
      <c r="D737" s="2"/>
      <c r="E737" s="2"/>
      <c r="F737" s="2"/>
      <c r="G737" s="2"/>
      <c r="H737" s="2"/>
      <c r="I737" s="2"/>
      <c r="J737" s="2"/>
      <c r="K737" s="181"/>
      <c r="L737" s="2"/>
      <c r="M737" s="2"/>
      <c r="N737" s="2"/>
      <c r="O737" s="2"/>
      <c r="P737" s="2"/>
      <c r="Q737" s="157"/>
      <c r="R737" s="157"/>
      <c r="S737" s="2"/>
      <c r="T737" s="158"/>
      <c r="U737" s="2"/>
      <c r="V737" s="2"/>
      <c r="W737" s="2"/>
      <c r="X737" s="2"/>
      <c r="Y737" s="2"/>
      <c r="Z737" s="2"/>
    </row>
    <row r="738" ht="13.5" customHeight="1">
      <c r="A738" s="2"/>
      <c r="B738" s="2"/>
      <c r="C738" s="2"/>
      <c r="D738" s="2"/>
      <c r="E738" s="2"/>
      <c r="F738" s="2"/>
      <c r="G738" s="2"/>
      <c r="H738" s="2"/>
      <c r="I738" s="2"/>
      <c r="J738" s="2"/>
      <c r="K738" s="181"/>
      <c r="L738" s="2"/>
      <c r="M738" s="2"/>
      <c r="N738" s="2"/>
      <c r="O738" s="2"/>
      <c r="P738" s="2"/>
      <c r="Q738" s="157"/>
      <c r="R738" s="157"/>
      <c r="S738" s="2"/>
      <c r="T738" s="158"/>
      <c r="U738" s="2"/>
      <c r="V738" s="2"/>
      <c r="W738" s="2"/>
      <c r="X738" s="2"/>
      <c r="Y738" s="2"/>
      <c r="Z738" s="2"/>
    </row>
    <row r="739" ht="13.5" customHeight="1">
      <c r="A739" s="2"/>
      <c r="B739" s="2"/>
      <c r="C739" s="2"/>
      <c r="D739" s="2"/>
      <c r="E739" s="2"/>
      <c r="F739" s="2"/>
      <c r="G739" s="2"/>
      <c r="H739" s="2"/>
      <c r="I739" s="2"/>
      <c r="J739" s="2"/>
      <c r="K739" s="181"/>
      <c r="L739" s="2"/>
      <c r="M739" s="2"/>
      <c r="N739" s="2"/>
      <c r="O739" s="2"/>
      <c r="P739" s="2"/>
      <c r="Q739" s="157"/>
      <c r="R739" s="157"/>
      <c r="S739" s="2"/>
      <c r="T739" s="158"/>
      <c r="U739" s="2"/>
      <c r="V739" s="2"/>
      <c r="W739" s="2"/>
      <c r="X739" s="2"/>
      <c r="Y739" s="2"/>
      <c r="Z739" s="2"/>
    </row>
    <row r="740" ht="13.5" customHeight="1">
      <c r="A740" s="2"/>
      <c r="B740" s="2"/>
      <c r="C740" s="2"/>
      <c r="D740" s="2"/>
      <c r="E740" s="2"/>
      <c r="F740" s="2"/>
      <c r="G740" s="2"/>
      <c r="H740" s="2"/>
      <c r="I740" s="2"/>
      <c r="J740" s="2"/>
      <c r="K740" s="181"/>
      <c r="L740" s="2"/>
      <c r="M740" s="2"/>
      <c r="N740" s="2"/>
      <c r="O740" s="2"/>
      <c r="P740" s="2"/>
      <c r="Q740" s="157"/>
      <c r="R740" s="157"/>
      <c r="S740" s="2"/>
      <c r="T740" s="158"/>
      <c r="U740" s="2"/>
      <c r="V740" s="2"/>
      <c r="W740" s="2"/>
      <c r="X740" s="2"/>
      <c r="Y740" s="2"/>
      <c r="Z740" s="2"/>
    </row>
    <row r="741" ht="13.5" customHeight="1">
      <c r="A741" s="2"/>
      <c r="B741" s="2"/>
      <c r="C741" s="2"/>
      <c r="D741" s="2"/>
      <c r="E741" s="2"/>
      <c r="F741" s="2"/>
      <c r="G741" s="2"/>
      <c r="H741" s="2"/>
      <c r="I741" s="2"/>
      <c r="J741" s="2"/>
      <c r="K741" s="181"/>
      <c r="L741" s="2"/>
      <c r="M741" s="2"/>
      <c r="N741" s="2"/>
      <c r="O741" s="2"/>
      <c r="P741" s="2"/>
      <c r="Q741" s="157"/>
      <c r="R741" s="157"/>
      <c r="S741" s="2"/>
      <c r="T741" s="158"/>
      <c r="U741" s="2"/>
      <c r="V741" s="2"/>
      <c r="W741" s="2"/>
      <c r="X741" s="2"/>
      <c r="Y741" s="2"/>
      <c r="Z741" s="2"/>
    </row>
    <row r="742" ht="13.5" customHeight="1">
      <c r="A742" s="2"/>
      <c r="B742" s="2"/>
      <c r="C742" s="2"/>
      <c r="D742" s="2"/>
      <c r="E742" s="2"/>
      <c r="F742" s="2"/>
      <c r="G742" s="2"/>
      <c r="H742" s="2"/>
      <c r="I742" s="2"/>
      <c r="J742" s="2"/>
      <c r="K742" s="181"/>
      <c r="L742" s="2"/>
      <c r="M742" s="2"/>
      <c r="N742" s="2"/>
      <c r="O742" s="2"/>
      <c r="P742" s="2"/>
      <c r="Q742" s="157"/>
      <c r="R742" s="157"/>
      <c r="S742" s="2"/>
      <c r="T742" s="158"/>
      <c r="U742" s="2"/>
      <c r="V742" s="2"/>
      <c r="W742" s="2"/>
      <c r="X742" s="2"/>
      <c r="Y742" s="2"/>
      <c r="Z742" s="2"/>
    </row>
    <row r="743" ht="13.5" customHeight="1">
      <c r="A743" s="2"/>
      <c r="B743" s="2"/>
      <c r="C743" s="2"/>
      <c r="D743" s="2"/>
      <c r="E743" s="2"/>
      <c r="F743" s="2"/>
      <c r="G743" s="2"/>
      <c r="H743" s="2"/>
      <c r="I743" s="2"/>
      <c r="J743" s="2"/>
      <c r="K743" s="181"/>
      <c r="L743" s="2"/>
      <c r="M743" s="2"/>
      <c r="N743" s="2"/>
      <c r="O743" s="2"/>
      <c r="P743" s="2"/>
      <c r="Q743" s="157"/>
      <c r="R743" s="157"/>
      <c r="S743" s="2"/>
      <c r="T743" s="158"/>
      <c r="U743" s="2"/>
      <c r="V743" s="2"/>
      <c r="W743" s="2"/>
      <c r="X743" s="2"/>
      <c r="Y743" s="2"/>
      <c r="Z743" s="2"/>
    </row>
    <row r="744" ht="13.5" customHeight="1">
      <c r="A744" s="2"/>
      <c r="B744" s="2"/>
      <c r="C744" s="2"/>
      <c r="D744" s="2"/>
      <c r="E744" s="2"/>
      <c r="F744" s="2"/>
      <c r="G744" s="2"/>
      <c r="H744" s="2"/>
      <c r="I744" s="2"/>
      <c r="J744" s="2"/>
      <c r="K744" s="181"/>
      <c r="L744" s="2"/>
      <c r="M744" s="2"/>
      <c r="N744" s="2"/>
      <c r="O744" s="2"/>
      <c r="P744" s="2"/>
      <c r="Q744" s="157"/>
      <c r="R744" s="157"/>
      <c r="S744" s="2"/>
      <c r="T744" s="158"/>
      <c r="U744" s="2"/>
      <c r="V744" s="2"/>
      <c r="W744" s="2"/>
      <c r="X744" s="2"/>
      <c r="Y744" s="2"/>
      <c r="Z744" s="2"/>
    </row>
    <row r="745" ht="13.5" customHeight="1">
      <c r="A745" s="2"/>
      <c r="B745" s="2"/>
      <c r="C745" s="2"/>
      <c r="D745" s="2"/>
      <c r="E745" s="2"/>
      <c r="F745" s="2"/>
      <c r="G745" s="2"/>
      <c r="H745" s="2"/>
      <c r="I745" s="2"/>
      <c r="J745" s="2"/>
      <c r="K745" s="181"/>
      <c r="L745" s="2"/>
      <c r="M745" s="2"/>
      <c r="N745" s="2"/>
      <c r="O745" s="2"/>
      <c r="P745" s="2"/>
      <c r="Q745" s="157"/>
      <c r="R745" s="157"/>
      <c r="S745" s="2"/>
      <c r="T745" s="158"/>
      <c r="U745" s="2"/>
      <c r="V745" s="2"/>
      <c r="W745" s="2"/>
      <c r="X745" s="2"/>
      <c r="Y745" s="2"/>
      <c r="Z745" s="2"/>
    </row>
    <row r="746" ht="13.5" customHeight="1">
      <c r="A746" s="2"/>
      <c r="B746" s="2"/>
      <c r="C746" s="2"/>
      <c r="D746" s="2"/>
      <c r="E746" s="2"/>
      <c r="F746" s="2"/>
      <c r="G746" s="2"/>
      <c r="H746" s="2"/>
      <c r="I746" s="2"/>
      <c r="J746" s="2"/>
      <c r="K746" s="181"/>
      <c r="L746" s="2"/>
      <c r="M746" s="2"/>
      <c r="N746" s="2"/>
      <c r="O746" s="2"/>
      <c r="P746" s="2"/>
      <c r="Q746" s="157"/>
      <c r="R746" s="157"/>
      <c r="S746" s="2"/>
      <c r="T746" s="158"/>
      <c r="U746" s="2"/>
      <c r="V746" s="2"/>
      <c r="W746" s="2"/>
      <c r="X746" s="2"/>
      <c r="Y746" s="2"/>
      <c r="Z746" s="2"/>
    </row>
    <row r="747" ht="13.5" customHeight="1">
      <c r="A747" s="2"/>
      <c r="B747" s="2"/>
      <c r="C747" s="2"/>
      <c r="D747" s="2"/>
      <c r="E747" s="2"/>
      <c r="F747" s="2"/>
      <c r="G747" s="2"/>
      <c r="H747" s="2"/>
      <c r="I747" s="2"/>
      <c r="J747" s="2"/>
      <c r="K747" s="181"/>
      <c r="L747" s="2"/>
      <c r="M747" s="2"/>
      <c r="N747" s="2"/>
      <c r="O747" s="2"/>
      <c r="P747" s="2"/>
      <c r="Q747" s="157"/>
      <c r="R747" s="157"/>
      <c r="S747" s="2"/>
      <c r="T747" s="158"/>
      <c r="U747" s="2"/>
      <c r="V747" s="2"/>
      <c r="W747" s="2"/>
      <c r="X747" s="2"/>
      <c r="Y747" s="2"/>
      <c r="Z747" s="2"/>
    </row>
    <row r="748" ht="13.5" customHeight="1">
      <c r="A748" s="2"/>
      <c r="B748" s="2"/>
      <c r="C748" s="2"/>
      <c r="D748" s="2"/>
      <c r="E748" s="2"/>
      <c r="F748" s="2"/>
      <c r="G748" s="2"/>
      <c r="H748" s="2"/>
      <c r="I748" s="2"/>
      <c r="J748" s="2"/>
      <c r="K748" s="181"/>
      <c r="L748" s="2"/>
      <c r="M748" s="2"/>
      <c r="N748" s="2"/>
      <c r="O748" s="2"/>
      <c r="P748" s="2"/>
      <c r="Q748" s="157"/>
      <c r="R748" s="157"/>
      <c r="S748" s="2"/>
      <c r="T748" s="158"/>
      <c r="U748" s="2"/>
      <c r="V748" s="2"/>
      <c r="W748" s="2"/>
      <c r="X748" s="2"/>
      <c r="Y748" s="2"/>
      <c r="Z748" s="2"/>
    </row>
    <row r="749" ht="13.5" customHeight="1">
      <c r="A749" s="2"/>
      <c r="B749" s="2"/>
      <c r="C749" s="2"/>
      <c r="D749" s="2"/>
      <c r="E749" s="2"/>
      <c r="F749" s="2"/>
      <c r="G749" s="2"/>
      <c r="H749" s="2"/>
      <c r="I749" s="2"/>
      <c r="J749" s="2"/>
      <c r="K749" s="181"/>
      <c r="L749" s="2"/>
      <c r="M749" s="2"/>
      <c r="N749" s="2"/>
      <c r="O749" s="2"/>
      <c r="P749" s="2"/>
      <c r="Q749" s="157"/>
      <c r="R749" s="157"/>
      <c r="S749" s="2"/>
      <c r="T749" s="158"/>
      <c r="U749" s="2"/>
      <c r="V749" s="2"/>
      <c r="W749" s="2"/>
      <c r="X749" s="2"/>
      <c r="Y749" s="2"/>
      <c r="Z749" s="2"/>
    </row>
    <row r="750" ht="13.5" customHeight="1">
      <c r="A750" s="2"/>
      <c r="B750" s="2"/>
      <c r="C750" s="2"/>
      <c r="D750" s="2"/>
      <c r="E750" s="2"/>
      <c r="F750" s="2"/>
      <c r="G750" s="2"/>
      <c r="H750" s="2"/>
      <c r="I750" s="2"/>
      <c r="J750" s="2"/>
      <c r="K750" s="181"/>
      <c r="L750" s="2"/>
      <c r="M750" s="2"/>
      <c r="N750" s="2"/>
      <c r="O750" s="2"/>
      <c r="P750" s="2"/>
      <c r="Q750" s="157"/>
      <c r="R750" s="157"/>
      <c r="S750" s="2"/>
      <c r="T750" s="158"/>
      <c r="U750" s="2"/>
      <c r="V750" s="2"/>
      <c r="W750" s="2"/>
      <c r="X750" s="2"/>
      <c r="Y750" s="2"/>
      <c r="Z750" s="2"/>
    </row>
    <row r="751" ht="13.5" customHeight="1">
      <c r="A751" s="2"/>
      <c r="B751" s="2"/>
      <c r="C751" s="2"/>
      <c r="D751" s="2"/>
      <c r="E751" s="2"/>
      <c r="F751" s="2"/>
      <c r="G751" s="2"/>
      <c r="H751" s="2"/>
      <c r="I751" s="2"/>
      <c r="J751" s="2"/>
      <c r="K751" s="181"/>
      <c r="L751" s="2"/>
      <c r="M751" s="2"/>
      <c r="N751" s="2"/>
      <c r="O751" s="2"/>
      <c r="P751" s="2"/>
      <c r="Q751" s="157"/>
      <c r="R751" s="157"/>
      <c r="S751" s="2"/>
      <c r="T751" s="158"/>
      <c r="U751" s="2"/>
      <c r="V751" s="2"/>
      <c r="W751" s="2"/>
      <c r="X751" s="2"/>
      <c r="Y751" s="2"/>
      <c r="Z751" s="2"/>
    </row>
    <row r="752" ht="13.5" customHeight="1">
      <c r="A752" s="2"/>
      <c r="B752" s="2"/>
      <c r="C752" s="2"/>
      <c r="D752" s="2"/>
      <c r="E752" s="2"/>
      <c r="F752" s="2"/>
      <c r="G752" s="2"/>
      <c r="H752" s="2"/>
      <c r="I752" s="2"/>
      <c r="J752" s="2"/>
      <c r="K752" s="181"/>
      <c r="L752" s="2"/>
      <c r="M752" s="2"/>
      <c r="N752" s="2"/>
      <c r="O752" s="2"/>
      <c r="P752" s="2"/>
      <c r="Q752" s="157"/>
      <c r="R752" s="157"/>
      <c r="S752" s="2"/>
      <c r="T752" s="158"/>
      <c r="U752" s="2"/>
      <c r="V752" s="2"/>
      <c r="W752" s="2"/>
      <c r="X752" s="2"/>
      <c r="Y752" s="2"/>
      <c r="Z752" s="2"/>
    </row>
    <row r="753" ht="13.5" customHeight="1">
      <c r="A753" s="2"/>
      <c r="B753" s="2"/>
      <c r="C753" s="2"/>
      <c r="D753" s="2"/>
      <c r="E753" s="2"/>
      <c r="F753" s="2"/>
      <c r="G753" s="2"/>
      <c r="H753" s="2"/>
      <c r="I753" s="2"/>
      <c r="J753" s="2"/>
      <c r="K753" s="181"/>
      <c r="L753" s="2"/>
      <c r="M753" s="2"/>
      <c r="N753" s="2"/>
      <c r="O753" s="2"/>
      <c r="P753" s="2"/>
      <c r="Q753" s="157"/>
      <c r="R753" s="157"/>
      <c r="S753" s="2"/>
      <c r="T753" s="158"/>
      <c r="U753" s="2"/>
      <c r="V753" s="2"/>
      <c r="W753" s="2"/>
      <c r="X753" s="2"/>
      <c r="Y753" s="2"/>
      <c r="Z753" s="2"/>
    </row>
    <row r="754" ht="13.5" customHeight="1">
      <c r="A754" s="2"/>
      <c r="B754" s="2"/>
      <c r="C754" s="2"/>
      <c r="D754" s="2"/>
      <c r="E754" s="2"/>
      <c r="F754" s="2"/>
      <c r="G754" s="2"/>
      <c r="H754" s="2"/>
      <c r="I754" s="2"/>
      <c r="J754" s="2"/>
      <c r="K754" s="181"/>
      <c r="L754" s="2"/>
      <c r="M754" s="2"/>
      <c r="N754" s="2"/>
      <c r="O754" s="2"/>
      <c r="P754" s="2"/>
      <c r="Q754" s="157"/>
      <c r="R754" s="157"/>
      <c r="S754" s="2"/>
      <c r="T754" s="158"/>
      <c r="U754" s="2"/>
      <c r="V754" s="2"/>
      <c r="W754" s="2"/>
      <c r="X754" s="2"/>
      <c r="Y754" s="2"/>
      <c r="Z754" s="2"/>
    </row>
    <row r="755" ht="13.5" customHeight="1">
      <c r="A755" s="2"/>
      <c r="B755" s="2"/>
      <c r="C755" s="2"/>
      <c r="D755" s="2"/>
      <c r="E755" s="2"/>
      <c r="F755" s="2"/>
      <c r="G755" s="2"/>
      <c r="H755" s="2"/>
      <c r="I755" s="2"/>
      <c r="J755" s="2"/>
      <c r="K755" s="181"/>
      <c r="L755" s="2"/>
      <c r="M755" s="2"/>
      <c r="N755" s="2"/>
      <c r="O755" s="2"/>
      <c r="P755" s="2"/>
      <c r="Q755" s="157"/>
      <c r="R755" s="157"/>
      <c r="S755" s="2"/>
      <c r="T755" s="158"/>
      <c r="U755" s="2"/>
      <c r="V755" s="2"/>
      <c r="W755" s="2"/>
      <c r="X755" s="2"/>
      <c r="Y755" s="2"/>
      <c r="Z755" s="2"/>
    </row>
    <row r="756" ht="13.5" customHeight="1">
      <c r="A756" s="2"/>
      <c r="B756" s="2"/>
      <c r="C756" s="2"/>
      <c r="D756" s="2"/>
      <c r="E756" s="2"/>
      <c r="F756" s="2"/>
      <c r="G756" s="2"/>
      <c r="H756" s="2"/>
      <c r="I756" s="2"/>
      <c r="J756" s="2"/>
      <c r="K756" s="181"/>
      <c r="L756" s="2"/>
      <c r="M756" s="2"/>
      <c r="N756" s="2"/>
      <c r="O756" s="2"/>
      <c r="P756" s="2"/>
      <c r="Q756" s="157"/>
      <c r="R756" s="157"/>
      <c r="S756" s="2"/>
      <c r="T756" s="158"/>
      <c r="U756" s="2"/>
      <c r="V756" s="2"/>
      <c r="W756" s="2"/>
      <c r="X756" s="2"/>
      <c r="Y756" s="2"/>
      <c r="Z756" s="2"/>
    </row>
    <row r="757" ht="13.5" customHeight="1">
      <c r="A757" s="2"/>
      <c r="B757" s="2"/>
      <c r="C757" s="2"/>
      <c r="D757" s="2"/>
      <c r="E757" s="2"/>
      <c r="F757" s="2"/>
      <c r="G757" s="2"/>
      <c r="H757" s="2"/>
      <c r="I757" s="2"/>
      <c r="J757" s="2"/>
      <c r="K757" s="181"/>
      <c r="L757" s="2"/>
      <c r="M757" s="2"/>
      <c r="N757" s="2"/>
      <c r="O757" s="2"/>
      <c r="P757" s="2"/>
      <c r="Q757" s="157"/>
      <c r="R757" s="157"/>
      <c r="S757" s="2"/>
      <c r="T757" s="158"/>
      <c r="U757" s="2"/>
      <c r="V757" s="2"/>
      <c r="W757" s="2"/>
      <c r="X757" s="2"/>
      <c r="Y757" s="2"/>
      <c r="Z757" s="2"/>
    </row>
    <row r="758" ht="13.5" customHeight="1">
      <c r="A758" s="2"/>
      <c r="B758" s="2"/>
      <c r="C758" s="2"/>
      <c r="D758" s="2"/>
      <c r="E758" s="2"/>
      <c r="F758" s="2"/>
      <c r="G758" s="2"/>
      <c r="H758" s="2"/>
      <c r="I758" s="2"/>
      <c r="J758" s="2"/>
      <c r="K758" s="181"/>
      <c r="L758" s="2"/>
      <c r="M758" s="2"/>
      <c r="N758" s="2"/>
      <c r="O758" s="2"/>
      <c r="P758" s="2"/>
      <c r="Q758" s="157"/>
      <c r="R758" s="157"/>
      <c r="S758" s="2"/>
      <c r="T758" s="158"/>
      <c r="U758" s="2"/>
      <c r="V758" s="2"/>
      <c r="W758" s="2"/>
      <c r="X758" s="2"/>
      <c r="Y758" s="2"/>
      <c r="Z758" s="2"/>
    </row>
    <row r="759" ht="13.5" customHeight="1">
      <c r="A759" s="2"/>
      <c r="B759" s="2"/>
      <c r="C759" s="2"/>
      <c r="D759" s="2"/>
      <c r="E759" s="2"/>
      <c r="F759" s="2"/>
      <c r="G759" s="2"/>
      <c r="H759" s="2"/>
      <c r="I759" s="2"/>
      <c r="J759" s="2"/>
      <c r="K759" s="181"/>
      <c r="L759" s="2"/>
      <c r="M759" s="2"/>
      <c r="N759" s="2"/>
      <c r="O759" s="2"/>
      <c r="P759" s="2"/>
      <c r="Q759" s="157"/>
      <c r="R759" s="157"/>
      <c r="S759" s="2"/>
      <c r="T759" s="158"/>
      <c r="U759" s="2"/>
      <c r="V759" s="2"/>
      <c r="W759" s="2"/>
      <c r="X759" s="2"/>
      <c r="Y759" s="2"/>
      <c r="Z759" s="2"/>
    </row>
    <row r="760" ht="13.5" customHeight="1">
      <c r="A760" s="2"/>
      <c r="B760" s="2"/>
      <c r="C760" s="2"/>
      <c r="D760" s="2"/>
      <c r="E760" s="2"/>
      <c r="F760" s="2"/>
      <c r="G760" s="2"/>
      <c r="H760" s="2"/>
      <c r="I760" s="2"/>
      <c r="J760" s="2"/>
      <c r="K760" s="181"/>
      <c r="L760" s="2"/>
      <c r="M760" s="2"/>
      <c r="N760" s="2"/>
      <c r="O760" s="2"/>
      <c r="P760" s="2"/>
      <c r="Q760" s="157"/>
      <c r="R760" s="157"/>
      <c r="S760" s="2"/>
      <c r="T760" s="158"/>
      <c r="U760" s="2"/>
      <c r="V760" s="2"/>
      <c r="W760" s="2"/>
      <c r="X760" s="2"/>
      <c r="Y760" s="2"/>
      <c r="Z760" s="2"/>
    </row>
    <row r="761" ht="13.5" customHeight="1">
      <c r="A761" s="2"/>
      <c r="B761" s="2"/>
      <c r="C761" s="2"/>
      <c r="D761" s="2"/>
      <c r="E761" s="2"/>
      <c r="F761" s="2"/>
      <c r="G761" s="2"/>
      <c r="H761" s="2"/>
      <c r="I761" s="2"/>
      <c r="J761" s="2"/>
      <c r="K761" s="181"/>
      <c r="L761" s="2"/>
      <c r="M761" s="2"/>
      <c r="N761" s="2"/>
      <c r="O761" s="2"/>
      <c r="P761" s="2"/>
      <c r="Q761" s="157"/>
      <c r="R761" s="157"/>
      <c r="S761" s="2"/>
      <c r="T761" s="158"/>
      <c r="U761" s="2"/>
      <c r="V761" s="2"/>
      <c r="W761" s="2"/>
      <c r="X761" s="2"/>
      <c r="Y761" s="2"/>
      <c r="Z761" s="2"/>
    </row>
    <row r="762" ht="13.5" customHeight="1">
      <c r="A762" s="2"/>
      <c r="B762" s="2"/>
      <c r="C762" s="2"/>
      <c r="D762" s="2"/>
      <c r="E762" s="2"/>
      <c r="F762" s="2"/>
      <c r="G762" s="2"/>
      <c r="H762" s="2"/>
      <c r="I762" s="2"/>
      <c r="J762" s="2"/>
      <c r="K762" s="181"/>
      <c r="L762" s="2"/>
      <c r="M762" s="2"/>
      <c r="N762" s="2"/>
      <c r="O762" s="2"/>
      <c r="P762" s="2"/>
      <c r="Q762" s="157"/>
      <c r="R762" s="157"/>
      <c r="S762" s="2"/>
      <c r="T762" s="158"/>
      <c r="U762" s="2"/>
      <c r="V762" s="2"/>
      <c r="W762" s="2"/>
      <c r="X762" s="2"/>
      <c r="Y762" s="2"/>
      <c r="Z762" s="2"/>
    </row>
    <row r="763" ht="13.5" customHeight="1">
      <c r="A763" s="2"/>
      <c r="B763" s="2"/>
      <c r="C763" s="2"/>
      <c r="D763" s="2"/>
      <c r="E763" s="2"/>
      <c r="F763" s="2"/>
      <c r="G763" s="2"/>
      <c r="H763" s="2"/>
      <c r="I763" s="2"/>
      <c r="J763" s="2"/>
      <c r="K763" s="181"/>
      <c r="L763" s="2"/>
      <c r="M763" s="2"/>
      <c r="N763" s="2"/>
      <c r="O763" s="2"/>
      <c r="P763" s="2"/>
      <c r="Q763" s="157"/>
      <c r="R763" s="157"/>
      <c r="S763" s="2"/>
      <c r="T763" s="158"/>
      <c r="U763" s="2"/>
      <c r="V763" s="2"/>
      <c r="W763" s="2"/>
      <c r="X763" s="2"/>
      <c r="Y763" s="2"/>
      <c r="Z763" s="2"/>
    </row>
    <row r="764" ht="13.5" customHeight="1">
      <c r="A764" s="2"/>
      <c r="B764" s="2"/>
      <c r="C764" s="2"/>
      <c r="D764" s="2"/>
      <c r="E764" s="2"/>
      <c r="F764" s="2"/>
      <c r="G764" s="2"/>
      <c r="H764" s="2"/>
      <c r="I764" s="2"/>
      <c r="J764" s="2"/>
      <c r="K764" s="181"/>
      <c r="L764" s="2"/>
      <c r="M764" s="2"/>
      <c r="N764" s="2"/>
      <c r="O764" s="2"/>
      <c r="P764" s="2"/>
      <c r="Q764" s="157"/>
      <c r="R764" s="157"/>
      <c r="S764" s="2"/>
      <c r="T764" s="158"/>
      <c r="U764" s="2"/>
      <c r="V764" s="2"/>
      <c r="W764" s="2"/>
      <c r="X764" s="2"/>
      <c r="Y764" s="2"/>
      <c r="Z764" s="2"/>
    </row>
    <row r="765" ht="13.5" customHeight="1">
      <c r="A765" s="2"/>
      <c r="B765" s="2"/>
      <c r="C765" s="2"/>
      <c r="D765" s="2"/>
      <c r="E765" s="2"/>
      <c r="F765" s="2"/>
      <c r="G765" s="2"/>
      <c r="H765" s="2"/>
      <c r="I765" s="2"/>
      <c r="J765" s="2"/>
      <c r="K765" s="181"/>
      <c r="L765" s="2"/>
      <c r="M765" s="2"/>
      <c r="N765" s="2"/>
      <c r="O765" s="2"/>
      <c r="P765" s="2"/>
      <c r="Q765" s="157"/>
      <c r="R765" s="157"/>
      <c r="S765" s="2"/>
      <c r="T765" s="158"/>
      <c r="U765" s="2"/>
      <c r="V765" s="2"/>
      <c r="W765" s="2"/>
      <c r="X765" s="2"/>
      <c r="Y765" s="2"/>
      <c r="Z765" s="2"/>
    </row>
    <row r="766" ht="13.5" customHeight="1">
      <c r="A766" s="2"/>
      <c r="B766" s="2"/>
      <c r="C766" s="2"/>
      <c r="D766" s="2"/>
      <c r="E766" s="2"/>
      <c r="F766" s="2"/>
      <c r="G766" s="2"/>
      <c r="H766" s="2"/>
      <c r="I766" s="2"/>
      <c r="J766" s="2"/>
      <c r="K766" s="181"/>
      <c r="L766" s="2"/>
      <c r="M766" s="2"/>
      <c r="N766" s="2"/>
      <c r="O766" s="2"/>
      <c r="P766" s="2"/>
      <c r="Q766" s="157"/>
      <c r="R766" s="157"/>
      <c r="S766" s="2"/>
      <c r="T766" s="158"/>
      <c r="U766" s="2"/>
      <c r="V766" s="2"/>
      <c r="W766" s="2"/>
      <c r="X766" s="2"/>
      <c r="Y766" s="2"/>
      <c r="Z766" s="2"/>
    </row>
    <row r="767" ht="13.5" customHeight="1">
      <c r="A767" s="2"/>
      <c r="B767" s="2"/>
      <c r="C767" s="2"/>
      <c r="D767" s="2"/>
      <c r="E767" s="2"/>
      <c r="F767" s="2"/>
      <c r="G767" s="2"/>
      <c r="H767" s="2"/>
      <c r="I767" s="2"/>
      <c r="J767" s="2"/>
      <c r="K767" s="181"/>
      <c r="L767" s="2"/>
      <c r="M767" s="2"/>
      <c r="N767" s="2"/>
      <c r="O767" s="2"/>
      <c r="P767" s="2"/>
      <c r="Q767" s="157"/>
      <c r="R767" s="157"/>
      <c r="S767" s="2"/>
      <c r="T767" s="158"/>
      <c r="U767" s="2"/>
      <c r="V767" s="2"/>
      <c r="W767" s="2"/>
      <c r="X767" s="2"/>
      <c r="Y767" s="2"/>
      <c r="Z767" s="2"/>
    </row>
    <row r="768" ht="13.5" customHeight="1">
      <c r="A768" s="2"/>
      <c r="B768" s="2"/>
      <c r="C768" s="2"/>
      <c r="D768" s="2"/>
      <c r="E768" s="2"/>
      <c r="F768" s="2"/>
      <c r="G768" s="2"/>
      <c r="H768" s="2"/>
      <c r="I768" s="2"/>
      <c r="J768" s="2"/>
      <c r="K768" s="181"/>
      <c r="L768" s="2"/>
      <c r="M768" s="2"/>
      <c r="N768" s="2"/>
      <c r="O768" s="2"/>
      <c r="P768" s="2"/>
      <c r="Q768" s="157"/>
      <c r="R768" s="157"/>
      <c r="S768" s="2"/>
      <c r="T768" s="158"/>
      <c r="U768" s="2"/>
      <c r="V768" s="2"/>
      <c r="W768" s="2"/>
      <c r="X768" s="2"/>
      <c r="Y768" s="2"/>
      <c r="Z768" s="2"/>
    </row>
    <row r="769" ht="13.5" customHeight="1">
      <c r="A769" s="2"/>
      <c r="B769" s="2"/>
      <c r="C769" s="2"/>
      <c r="D769" s="2"/>
      <c r="E769" s="2"/>
      <c r="F769" s="2"/>
      <c r="G769" s="2"/>
      <c r="H769" s="2"/>
      <c r="I769" s="2"/>
      <c r="J769" s="2"/>
      <c r="K769" s="181"/>
      <c r="L769" s="2"/>
      <c r="M769" s="2"/>
      <c r="N769" s="2"/>
      <c r="O769" s="2"/>
      <c r="P769" s="2"/>
      <c r="Q769" s="157"/>
      <c r="R769" s="157"/>
      <c r="S769" s="2"/>
      <c r="T769" s="158"/>
      <c r="U769" s="2"/>
      <c r="V769" s="2"/>
      <c r="W769" s="2"/>
      <c r="X769" s="2"/>
      <c r="Y769" s="2"/>
      <c r="Z769" s="2"/>
    </row>
    <row r="770" ht="13.5" customHeight="1">
      <c r="A770" s="2"/>
      <c r="B770" s="2"/>
      <c r="C770" s="2"/>
      <c r="D770" s="2"/>
      <c r="E770" s="2"/>
      <c r="F770" s="2"/>
      <c r="G770" s="2"/>
      <c r="H770" s="2"/>
      <c r="I770" s="2"/>
      <c r="J770" s="2"/>
      <c r="K770" s="181"/>
      <c r="L770" s="2"/>
      <c r="M770" s="2"/>
      <c r="N770" s="2"/>
      <c r="O770" s="2"/>
      <c r="P770" s="2"/>
      <c r="Q770" s="157"/>
      <c r="R770" s="157"/>
      <c r="S770" s="2"/>
      <c r="T770" s="158"/>
      <c r="U770" s="2"/>
      <c r="V770" s="2"/>
      <c r="W770" s="2"/>
      <c r="X770" s="2"/>
      <c r="Y770" s="2"/>
      <c r="Z770" s="2"/>
    </row>
    <row r="771" ht="13.5" customHeight="1">
      <c r="A771" s="2"/>
      <c r="B771" s="2"/>
      <c r="C771" s="2"/>
      <c r="D771" s="2"/>
      <c r="E771" s="2"/>
      <c r="F771" s="2"/>
      <c r="G771" s="2"/>
      <c r="H771" s="2"/>
      <c r="I771" s="2"/>
      <c r="J771" s="2"/>
      <c r="K771" s="181"/>
      <c r="L771" s="2"/>
      <c r="M771" s="2"/>
      <c r="N771" s="2"/>
      <c r="O771" s="2"/>
      <c r="P771" s="2"/>
      <c r="Q771" s="157"/>
      <c r="R771" s="157"/>
      <c r="S771" s="2"/>
      <c r="T771" s="158"/>
      <c r="U771" s="2"/>
      <c r="V771" s="2"/>
      <c r="W771" s="2"/>
      <c r="X771" s="2"/>
      <c r="Y771" s="2"/>
      <c r="Z771" s="2"/>
    </row>
    <row r="772" ht="13.5" customHeight="1">
      <c r="A772" s="2"/>
      <c r="B772" s="2"/>
      <c r="C772" s="2"/>
      <c r="D772" s="2"/>
      <c r="E772" s="2"/>
      <c r="F772" s="2"/>
      <c r="G772" s="2"/>
      <c r="H772" s="2"/>
      <c r="I772" s="2"/>
      <c r="J772" s="2"/>
      <c r="K772" s="181"/>
      <c r="L772" s="2"/>
      <c r="M772" s="2"/>
      <c r="N772" s="2"/>
      <c r="O772" s="2"/>
      <c r="P772" s="2"/>
      <c r="Q772" s="157"/>
      <c r="R772" s="157"/>
      <c r="S772" s="2"/>
      <c r="T772" s="158"/>
      <c r="U772" s="2"/>
      <c r="V772" s="2"/>
      <c r="W772" s="2"/>
      <c r="X772" s="2"/>
      <c r="Y772" s="2"/>
      <c r="Z772" s="2"/>
    </row>
    <row r="773" ht="13.5" customHeight="1">
      <c r="A773" s="2"/>
      <c r="B773" s="2"/>
      <c r="C773" s="2"/>
      <c r="D773" s="2"/>
      <c r="E773" s="2"/>
      <c r="F773" s="2"/>
      <c r="G773" s="2"/>
      <c r="H773" s="2"/>
      <c r="I773" s="2"/>
      <c r="J773" s="2"/>
      <c r="K773" s="181"/>
      <c r="L773" s="2"/>
      <c r="M773" s="2"/>
      <c r="N773" s="2"/>
      <c r="O773" s="2"/>
      <c r="P773" s="2"/>
      <c r="Q773" s="157"/>
      <c r="R773" s="157"/>
      <c r="S773" s="2"/>
      <c r="T773" s="158"/>
      <c r="U773" s="2"/>
      <c r="V773" s="2"/>
      <c r="W773" s="2"/>
      <c r="X773" s="2"/>
      <c r="Y773" s="2"/>
      <c r="Z773" s="2"/>
    </row>
    <row r="774" ht="13.5" customHeight="1">
      <c r="A774" s="2"/>
      <c r="B774" s="2"/>
      <c r="C774" s="2"/>
      <c r="D774" s="2"/>
      <c r="E774" s="2"/>
      <c r="F774" s="2"/>
      <c r="G774" s="2"/>
      <c r="H774" s="2"/>
      <c r="I774" s="2"/>
      <c r="J774" s="2"/>
      <c r="K774" s="181"/>
      <c r="L774" s="2"/>
      <c r="M774" s="2"/>
      <c r="N774" s="2"/>
      <c r="O774" s="2"/>
      <c r="P774" s="2"/>
      <c r="Q774" s="157"/>
      <c r="R774" s="157"/>
      <c r="S774" s="2"/>
      <c r="T774" s="158"/>
      <c r="U774" s="2"/>
      <c r="V774" s="2"/>
      <c r="W774" s="2"/>
      <c r="X774" s="2"/>
      <c r="Y774" s="2"/>
      <c r="Z774" s="2"/>
    </row>
    <row r="775" ht="13.5" customHeight="1">
      <c r="A775" s="2"/>
      <c r="B775" s="2"/>
      <c r="C775" s="2"/>
      <c r="D775" s="2"/>
      <c r="E775" s="2"/>
      <c r="F775" s="2"/>
      <c r="G775" s="2"/>
      <c r="H775" s="2"/>
      <c r="I775" s="2"/>
      <c r="J775" s="2"/>
      <c r="K775" s="181"/>
      <c r="L775" s="2"/>
      <c r="M775" s="2"/>
      <c r="N775" s="2"/>
      <c r="O775" s="2"/>
      <c r="P775" s="2"/>
      <c r="Q775" s="157"/>
      <c r="R775" s="157"/>
      <c r="S775" s="2"/>
      <c r="T775" s="158"/>
      <c r="U775" s="2"/>
      <c r="V775" s="2"/>
      <c r="W775" s="2"/>
      <c r="X775" s="2"/>
      <c r="Y775" s="2"/>
      <c r="Z775" s="2"/>
    </row>
    <row r="776" ht="13.5" customHeight="1">
      <c r="A776" s="2"/>
      <c r="B776" s="2"/>
      <c r="C776" s="2"/>
      <c r="D776" s="2"/>
      <c r="E776" s="2"/>
      <c r="F776" s="2"/>
      <c r="G776" s="2"/>
      <c r="H776" s="2"/>
      <c r="I776" s="2"/>
      <c r="J776" s="2"/>
      <c r="K776" s="181"/>
      <c r="L776" s="2"/>
      <c r="M776" s="2"/>
      <c r="N776" s="2"/>
      <c r="O776" s="2"/>
      <c r="P776" s="2"/>
      <c r="Q776" s="157"/>
      <c r="R776" s="157"/>
      <c r="S776" s="2"/>
      <c r="T776" s="158"/>
      <c r="U776" s="2"/>
      <c r="V776" s="2"/>
      <c r="W776" s="2"/>
      <c r="X776" s="2"/>
      <c r="Y776" s="2"/>
      <c r="Z776" s="2"/>
    </row>
    <row r="777" ht="13.5" customHeight="1">
      <c r="A777" s="2"/>
      <c r="B777" s="2"/>
      <c r="C777" s="2"/>
      <c r="D777" s="2"/>
      <c r="E777" s="2"/>
      <c r="F777" s="2"/>
      <c r="G777" s="2"/>
      <c r="H777" s="2"/>
      <c r="I777" s="2"/>
      <c r="J777" s="2"/>
      <c r="K777" s="181"/>
      <c r="L777" s="2"/>
      <c r="M777" s="2"/>
      <c r="N777" s="2"/>
      <c r="O777" s="2"/>
      <c r="P777" s="2"/>
      <c r="Q777" s="157"/>
      <c r="R777" s="157"/>
      <c r="S777" s="2"/>
      <c r="T777" s="158"/>
      <c r="U777" s="2"/>
      <c r="V777" s="2"/>
      <c r="W777" s="2"/>
      <c r="X777" s="2"/>
      <c r="Y777" s="2"/>
      <c r="Z777" s="2"/>
    </row>
    <row r="778" ht="13.5" customHeight="1">
      <c r="A778" s="2"/>
      <c r="B778" s="2"/>
      <c r="C778" s="2"/>
      <c r="D778" s="2"/>
      <c r="E778" s="2"/>
      <c r="F778" s="2"/>
      <c r="G778" s="2"/>
      <c r="H778" s="2"/>
      <c r="I778" s="2"/>
      <c r="J778" s="2"/>
      <c r="K778" s="181"/>
      <c r="L778" s="2"/>
      <c r="M778" s="2"/>
      <c r="N778" s="2"/>
      <c r="O778" s="2"/>
      <c r="P778" s="2"/>
      <c r="Q778" s="157"/>
      <c r="R778" s="157"/>
      <c r="S778" s="2"/>
      <c r="T778" s="158"/>
      <c r="U778" s="2"/>
      <c r="V778" s="2"/>
      <c r="W778" s="2"/>
      <c r="X778" s="2"/>
      <c r="Y778" s="2"/>
      <c r="Z778" s="2"/>
    </row>
    <row r="779" ht="13.5" customHeight="1">
      <c r="A779" s="2"/>
      <c r="B779" s="2"/>
      <c r="C779" s="2"/>
      <c r="D779" s="2"/>
      <c r="E779" s="2"/>
      <c r="F779" s="2"/>
      <c r="G779" s="2"/>
      <c r="H779" s="2"/>
      <c r="I779" s="2"/>
      <c r="J779" s="2"/>
      <c r="K779" s="181"/>
      <c r="L779" s="2"/>
      <c r="M779" s="2"/>
      <c r="N779" s="2"/>
      <c r="O779" s="2"/>
      <c r="P779" s="2"/>
      <c r="Q779" s="157"/>
      <c r="R779" s="157"/>
      <c r="S779" s="2"/>
      <c r="T779" s="158"/>
      <c r="U779" s="2"/>
      <c r="V779" s="2"/>
      <c r="W779" s="2"/>
      <c r="X779" s="2"/>
      <c r="Y779" s="2"/>
      <c r="Z779" s="2"/>
    </row>
    <row r="780" ht="13.5" customHeight="1">
      <c r="A780" s="2"/>
      <c r="B780" s="2"/>
      <c r="C780" s="2"/>
      <c r="D780" s="2"/>
      <c r="E780" s="2"/>
      <c r="F780" s="2"/>
      <c r="G780" s="2"/>
      <c r="H780" s="2"/>
      <c r="I780" s="2"/>
      <c r="J780" s="2"/>
      <c r="K780" s="181"/>
      <c r="L780" s="2"/>
      <c r="M780" s="2"/>
      <c r="N780" s="2"/>
      <c r="O780" s="2"/>
      <c r="P780" s="2"/>
      <c r="Q780" s="157"/>
      <c r="R780" s="157"/>
      <c r="S780" s="2"/>
      <c r="T780" s="158"/>
      <c r="U780" s="2"/>
      <c r="V780" s="2"/>
      <c r="W780" s="2"/>
      <c r="X780" s="2"/>
      <c r="Y780" s="2"/>
      <c r="Z780" s="2"/>
    </row>
    <row r="781" ht="13.5" customHeight="1">
      <c r="A781" s="2"/>
      <c r="B781" s="2"/>
      <c r="C781" s="2"/>
      <c r="D781" s="2"/>
      <c r="E781" s="2"/>
      <c r="F781" s="2"/>
      <c r="G781" s="2"/>
      <c r="H781" s="2"/>
      <c r="I781" s="2"/>
      <c r="J781" s="2"/>
      <c r="K781" s="181"/>
      <c r="L781" s="2"/>
      <c r="M781" s="2"/>
      <c r="N781" s="2"/>
      <c r="O781" s="2"/>
      <c r="P781" s="2"/>
      <c r="Q781" s="157"/>
      <c r="R781" s="157"/>
      <c r="S781" s="2"/>
      <c r="T781" s="158"/>
      <c r="U781" s="2"/>
      <c r="V781" s="2"/>
      <c r="W781" s="2"/>
      <c r="X781" s="2"/>
      <c r="Y781" s="2"/>
      <c r="Z781" s="2"/>
    </row>
    <row r="782" ht="13.5" customHeight="1">
      <c r="A782" s="2"/>
      <c r="B782" s="2"/>
      <c r="C782" s="2"/>
      <c r="D782" s="2"/>
      <c r="E782" s="2"/>
      <c r="F782" s="2"/>
      <c r="G782" s="2"/>
      <c r="H782" s="2"/>
      <c r="I782" s="2"/>
      <c r="J782" s="2"/>
      <c r="K782" s="181"/>
      <c r="L782" s="2"/>
      <c r="M782" s="2"/>
      <c r="N782" s="2"/>
      <c r="O782" s="2"/>
      <c r="P782" s="2"/>
      <c r="Q782" s="157"/>
      <c r="R782" s="157"/>
      <c r="S782" s="2"/>
      <c r="T782" s="158"/>
      <c r="U782" s="2"/>
      <c r="V782" s="2"/>
      <c r="W782" s="2"/>
      <c r="X782" s="2"/>
      <c r="Y782" s="2"/>
      <c r="Z782" s="2"/>
    </row>
    <row r="783" ht="13.5" customHeight="1">
      <c r="A783" s="2"/>
      <c r="B783" s="2"/>
      <c r="C783" s="2"/>
      <c r="D783" s="2"/>
      <c r="E783" s="2"/>
      <c r="F783" s="2"/>
      <c r="G783" s="2"/>
      <c r="H783" s="2"/>
      <c r="I783" s="2"/>
      <c r="J783" s="2"/>
      <c r="K783" s="181"/>
      <c r="L783" s="2"/>
      <c r="M783" s="2"/>
      <c r="N783" s="2"/>
      <c r="O783" s="2"/>
      <c r="P783" s="2"/>
      <c r="Q783" s="157"/>
      <c r="R783" s="157"/>
      <c r="S783" s="2"/>
      <c r="T783" s="158"/>
      <c r="U783" s="2"/>
      <c r="V783" s="2"/>
      <c r="W783" s="2"/>
      <c r="X783" s="2"/>
      <c r="Y783" s="2"/>
      <c r="Z783" s="2"/>
    </row>
    <row r="784" ht="13.5" customHeight="1">
      <c r="A784" s="2"/>
      <c r="B784" s="2"/>
      <c r="C784" s="2"/>
      <c r="D784" s="2"/>
      <c r="E784" s="2"/>
      <c r="F784" s="2"/>
      <c r="G784" s="2"/>
      <c r="H784" s="2"/>
      <c r="I784" s="2"/>
      <c r="J784" s="2"/>
      <c r="K784" s="181"/>
      <c r="L784" s="2"/>
      <c r="M784" s="2"/>
      <c r="N784" s="2"/>
      <c r="O784" s="2"/>
      <c r="P784" s="2"/>
      <c r="Q784" s="157"/>
      <c r="R784" s="157"/>
      <c r="S784" s="2"/>
      <c r="T784" s="158"/>
      <c r="U784" s="2"/>
      <c r="V784" s="2"/>
      <c r="W784" s="2"/>
      <c r="X784" s="2"/>
      <c r="Y784" s="2"/>
      <c r="Z784" s="2"/>
    </row>
    <row r="785" ht="13.5" customHeight="1">
      <c r="A785" s="2"/>
      <c r="B785" s="2"/>
      <c r="C785" s="2"/>
      <c r="D785" s="2"/>
      <c r="E785" s="2"/>
      <c r="F785" s="2"/>
      <c r="G785" s="2"/>
      <c r="H785" s="2"/>
      <c r="I785" s="2"/>
      <c r="J785" s="2"/>
      <c r="K785" s="181"/>
      <c r="L785" s="2"/>
      <c r="M785" s="2"/>
      <c r="N785" s="2"/>
      <c r="O785" s="2"/>
      <c r="P785" s="2"/>
      <c r="Q785" s="157"/>
      <c r="R785" s="157"/>
      <c r="S785" s="2"/>
      <c r="T785" s="158"/>
      <c r="U785" s="2"/>
      <c r="V785" s="2"/>
      <c r="W785" s="2"/>
      <c r="X785" s="2"/>
      <c r="Y785" s="2"/>
      <c r="Z785" s="2"/>
    </row>
    <row r="786" ht="13.5" customHeight="1">
      <c r="A786" s="2"/>
      <c r="B786" s="2"/>
      <c r="C786" s="2"/>
      <c r="D786" s="2"/>
      <c r="E786" s="2"/>
      <c r="F786" s="2"/>
      <c r="G786" s="2"/>
      <c r="H786" s="2"/>
      <c r="I786" s="2"/>
      <c r="J786" s="2"/>
      <c r="K786" s="181"/>
      <c r="L786" s="2"/>
      <c r="M786" s="2"/>
      <c r="N786" s="2"/>
      <c r="O786" s="2"/>
      <c r="P786" s="2"/>
      <c r="Q786" s="157"/>
      <c r="R786" s="157"/>
      <c r="S786" s="2"/>
      <c r="T786" s="158"/>
      <c r="U786" s="2"/>
      <c r="V786" s="2"/>
      <c r="W786" s="2"/>
      <c r="X786" s="2"/>
      <c r="Y786" s="2"/>
      <c r="Z786" s="2"/>
    </row>
    <row r="787" ht="13.5" customHeight="1">
      <c r="A787" s="2"/>
      <c r="B787" s="2"/>
      <c r="C787" s="2"/>
      <c r="D787" s="2"/>
      <c r="E787" s="2"/>
      <c r="F787" s="2"/>
      <c r="G787" s="2"/>
      <c r="H787" s="2"/>
      <c r="I787" s="2"/>
      <c r="J787" s="2"/>
      <c r="K787" s="181"/>
      <c r="L787" s="2"/>
      <c r="M787" s="2"/>
      <c r="N787" s="2"/>
      <c r="O787" s="2"/>
      <c r="P787" s="2"/>
      <c r="Q787" s="157"/>
      <c r="R787" s="157"/>
      <c r="S787" s="2"/>
      <c r="T787" s="158"/>
      <c r="U787" s="2"/>
      <c r="V787" s="2"/>
      <c r="W787" s="2"/>
      <c r="X787" s="2"/>
      <c r="Y787" s="2"/>
      <c r="Z787" s="2"/>
    </row>
    <row r="788" ht="13.5" customHeight="1">
      <c r="A788" s="2"/>
      <c r="B788" s="2"/>
      <c r="C788" s="2"/>
      <c r="D788" s="2"/>
      <c r="E788" s="2"/>
      <c r="F788" s="2"/>
      <c r="G788" s="2"/>
      <c r="H788" s="2"/>
      <c r="I788" s="2"/>
      <c r="J788" s="2"/>
      <c r="K788" s="181"/>
      <c r="L788" s="2"/>
      <c r="M788" s="2"/>
      <c r="N788" s="2"/>
      <c r="O788" s="2"/>
      <c r="P788" s="2"/>
      <c r="Q788" s="157"/>
      <c r="R788" s="157"/>
      <c r="S788" s="2"/>
      <c r="T788" s="158"/>
      <c r="U788" s="2"/>
      <c r="V788" s="2"/>
      <c r="W788" s="2"/>
      <c r="X788" s="2"/>
      <c r="Y788" s="2"/>
      <c r="Z788" s="2"/>
    </row>
    <row r="789" ht="13.5" customHeight="1">
      <c r="A789" s="2"/>
      <c r="B789" s="2"/>
      <c r="C789" s="2"/>
      <c r="D789" s="2"/>
      <c r="E789" s="2"/>
      <c r="F789" s="2"/>
      <c r="G789" s="2"/>
      <c r="H789" s="2"/>
      <c r="I789" s="2"/>
      <c r="J789" s="2"/>
      <c r="K789" s="181"/>
      <c r="L789" s="2"/>
      <c r="M789" s="2"/>
      <c r="N789" s="2"/>
      <c r="O789" s="2"/>
      <c r="P789" s="2"/>
      <c r="Q789" s="157"/>
      <c r="R789" s="157"/>
      <c r="S789" s="2"/>
      <c r="T789" s="158"/>
      <c r="U789" s="2"/>
      <c r="V789" s="2"/>
      <c r="W789" s="2"/>
      <c r="X789" s="2"/>
      <c r="Y789" s="2"/>
      <c r="Z789" s="2"/>
    </row>
    <row r="790" ht="13.5" customHeight="1">
      <c r="A790" s="2"/>
      <c r="B790" s="2"/>
      <c r="C790" s="2"/>
      <c r="D790" s="2"/>
      <c r="E790" s="2"/>
      <c r="F790" s="2"/>
      <c r="G790" s="2"/>
      <c r="H790" s="2"/>
      <c r="I790" s="2"/>
      <c r="J790" s="2"/>
      <c r="K790" s="181"/>
      <c r="L790" s="2"/>
      <c r="M790" s="2"/>
      <c r="N790" s="2"/>
      <c r="O790" s="2"/>
      <c r="P790" s="2"/>
      <c r="Q790" s="157"/>
      <c r="R790" s="157"/>
      <c r="S790" s="2"/>
      <c r="T790" s="158"/>
      <c r="U790" s="2"/>
      <c r="V790" s="2"/>
      <c r="W790" s="2"/>
      <c r="X790" s="2"/>
      <c r="Y790" s="2"/>
      <c r="Z790" s="2"/>
    </row>
    <row r="791" ht="13.5" customHeight="1">
      <c r="A791" s="2"/>
      <c r="B791" s="2"/>
      <c r="C791" s="2"/>
      <c r="D791" s="2"/>
      <c r="E791" s="2"/>
      <c r="F791" s="2"/>
      <c r="G791" s="2"/>
      <c r="H791" s="2"/>
      <c r="I791" s="2"/>
      <c r="J791" s="2"/>
      <c r="K791" s="181"/>
      <c r="L791" s="2"/>
      <c r="M791" s="2"/>
      <c r="N791" s="2"/>
      <c r="O791" s="2"/>
      <c r="P791" s="2"/>
      <c r="Q791" s="157"/>
      <c r="R791" s="157"/>
      <c r="S791" s="2"/>
      <c r="T791" s="158"/>
      <c r="U791" s="2"/>
      <c r="V791" s="2"/>
      <c r="W791" s="2"/>
      <c r="X791" s="2"/>
      <c r="Y791" s="2"/>
      <c r="Z791" s="2"/>
    </row>
    <row r="792" ht="13.5" customHeight="1">
      <c r="A792" s="2"/>
      <c r="B792" s="2"/>
      <c r="C792" s="2"/>
      <c r="D792" s="2"/>
      <c r="E792" s="2"/>
      <c r="F792" s="2"/>
      <c r="G792" s="2"/>
      <c r="H792" s="2"/>
      <c r="I792" s="2"/>
      <c r="J792" s="2"/>
      <c r="K792" s="181"/>
      <c r="L792" s="2"/>
      <c r="M792" s="2"/>
      <c r="N792" s="2"/>
      <c r="O792" s="2"/>
      <c r="P792" s="2"/>
      <c r="Q792" s="157"/>
      <c r="R792" s="157"/>
      <c r="S792" s="2"/>
      <c r="T792" s="158"/>
      <c r="U792" s="2"/>
      <c r="V792" s="2"/>
      <c r="W792" s="2"/>
      <c r="X792" s="2"/>
      <c r="Y792" s="2"/>
      <c r="Z792" s="2"/>
    </row>
    <row r="793" ht="13.5" customHeight="1">
      <c r="A793" s="2"/>
      <c r="B793" s="2"/>
      <c r="C793" s="2"/>
      <c r="D793" s="2"/>
      <c r="E793" s="2"/>
      <c r="F793" s="2"/>
      <c r="G793" s="2"/>
      <c r="H793" s="2"/>
      <c r="I793" s="2"/>
      <c r="J793" s="2"/>
      <c r="K793" s="181"/>
      <c r="L793" s="2"/>
      <c r="M793" s="2"/>
      <c r="N793" s="2"/>
      <c r="O793" s="2"/>
      <c r="P793" s="2"/>
      <c r="Q793" s="157"/>
      <c r="R793" s="157"/>
      <c r="S793" s="2"/>
      <c r="T793" s="158"/>
      <c r="U793" s="2"/>
      <c r="V793" s="2"/>
      <c r="W793" s="2"/>
      <c r="X793" s="2"/>
      <c r="Y793" s="2"/>
      <c r="Z793" s="2"/>
    </row>
    <row r="794" ht="13.5" customHeight="1">
      <c r="A794" s="2"/>
      <c r="B794" s="2"/>
      <c r="C794" s="2"/>
      <c r="D794" s="2"/>
      <c r="E794" s="2"/>
      <c r="F794" s="2"/>
      <c r="G794" s="2"/>
      <c r="H794" s="2"/>
      <c r="I794" s="2"/>
      <c r="J794" s="2"/>
      <c r="K794" s="181"/>
      <c r="L794" s="2"/>
      <c r="M794" s="2"/>
      <c r="N794" s="2"/>
      <c r="O794" s="2"/>
      <c r="P794" s="2"/>
      <c r="Q794" s="157"/>
      <c r="R794" s="157"/>
      <c r="S794" s="2"/>
      <c r="T794" s="158"/>
      <c r="U794" s="2"/>
      <c r="V794" s="2"/>
      <c r="W794" s="2"/>
      <c r="X794" s="2"/>
      <c r="Y794" s="2"/>
      <c r="Z794" s="2"/>
    </row>
    <row r="795" ht="13.5" customHeight="1">
      <c r="A795" s="2"/>
      <c r="B795" s="2"/>
      <c r="C795" s="2"/>
      <c r="D795" s="2"/>
      <c r="E795" s="2"/>
      <c r="F795" s="2"/>
      <c r="G795" s="2"/>
      <c r="H795" s="2"/>
      <c r="I795" s="2"/>
      <c r="J795" s="2"/>
      <c r="K795" s="181"/>
      <c r="L795" s="2"/>
      <c r="M795" s="2"/>
      <c r="N795" s="2"/>
      <c r="O795" s="2"/>
      <c r="P795" s="2"/>
      <c r="Q795" s="157"/>
      <c r="R795" s="157"/>
      <c r="S795" s="2"/>
      <c r="T795" s="158"/>
      <c r="U795" s="2"/>
      <c r="V795" s="2"/>
      <c r="W795" s="2"/>
      <c r="X795" s="2"/>
      <c r="Y795" s="2"/>
      <c r="Z795" s="2"/>
    </row>
    <row r="796" ht="13.5" customHeight="1">
      <c r="A796" s="2"/>
      <c r="B796" s="2"/>
      <c r="C796" s="2"/>
      <c r="D796" s="2"/>
      <c r="E796" s="2"/>
      <c r="F796" s="2"/>
      <c r="G796" s="2"/>
      <c r="H796" s="2"/>
      <c r="I796" s="2"/>
      <c r="J796" s="2"/>
      <c r="K796" s="181"/>
      <c r="L796" s="2"/>
      <c r="M796" s="2"/>
      <c r="N796" s="2"/>
      <c r="O796" s="2"/>
      <c r="P796" s="2"/>
      <c r="Q796" s="157"/>
      <c r="R796" s="157"/>
      <c r="S796" s="2"/>
      <c r="T796" s="158"/>
      <c r="U796" s="2"/>
      <c r="V796" s="2"/>
      <c r="W796" s="2"/>
      <c r="X796" s="2"/>
      <c r="Y796" s="2"/>
      <c r="Z796" s="2"/>
    </row>
    <row r="797" ht="13.5" customHeight="1">
      <c r="A797" s="2"/>
      <c r="B797" s="2"/>
      <c r="C797" s="2"/>
      <c r="D797" s="2"/>
      <c r="E797" s="2"/>
      <c r="F797" s="2"/>
      <c r="G797" s="2"/>
      <c r="H797" s="2"/>
      <c r="I797" s="2"/>
      <c r="J797" s="2"/>
      <c r="K797" s="181"/>
      <c r="L797" s="2"/>
      <c r="M797" s="2"/>
      <c r="N797" s="2"/>
      <c r="O797" s="2"/>
      <c r="P797" s="2"/>
      <c r="Q797" s="157"/>
      <c r="R797" s="157"/>
      <c r="S797" s="2"/>
      <c r="T797" s="158"/>
      <c r="U797" s="2"/>
      <c r="V797" s="2"/>
      <c r="W797" s="2"/>
      <c r="X797" s="2"/>
      <c r="Y797" s="2"/>
      <c r="Z797" s="2"/>
    </row>
    <row r="798" ht="13.5" customHeight="1">
      <c r="A798" s="2"/>
      <c r="B798" s="2"/>
      <c r="C798" s="2"/>
      <c r="D798" s="2"/>
      <c r="E798" s="2"/>
      <c r="F798" s="2"/>
      <c r="G798" s="2"/>
      <c r="H798" s="2"/>
      <c r="I798" s="2"/>
      <c r="J798" s="2"/>
      <c r="K798" s="181"/>
      <c r="L798" s="2"/>
      <c r="M798" s="2"/>
      <c r="N798" s="2"/>
      <c r="O798" s="2"/>
      <c r="P798" s="2"/>
      <c r="Q798" s="157"/>
      <c r="R798" s="157"/>
      <c r="S798" s="2"/>
      <c r="T798" s="158"/>
      <c r="U798" s="2"/>
      <c r="V798" s="2"/>
      <c r="W798" s="2"/>
      <c r="X798" s="2"/>
      <c r="Y798" s="2"/>
      <c r="Z798" s="2"/>
    </row>
    <row r="799" ht="13.5" customHeight="1">
      <c r="A799" s="2"/>
      <c r="B799" s="2"/>
      <c r="C799" s="2"/>
      <c r="D799" s="2"/>
      <c r="E799" s="2"/>
      <c r="F799" s="2"/>
      <c r="G799" s="2"/>
      <c r="H799" s="2"/>
      <c r="I799" s="2"/>
      <c r="J799" s="2"/>
      <c r="K799" s="181"/>
      <c r="L799" s="2"/>
      <c r="M799" s="2"/>
      <c r="N799" s="2"/>
      <c r="O799" s="2"/>
      <c r="P799" s="2"/>
      <c r="Q799" s="157"/>
      <c r="R799" s="157"/>
      <c r="S799" s="2"/>
      <c r="T799" s="158"/>
      <c r="U799" s="2"/>
      <c r="V799" s="2"/>
      <c r="W799" s="2"/>
      <c r="X799" s="2"/>
      <c r="Y799" s="2"/>
      <c r="Z799" s="2"/>
    </row>
    <row r="800" ht="13.5" customHeight="1">
      <c r="A800" s="2"/>
      <c r="B800" s="2"/>
      <c r="C800" s="2"/>
      <c r="D800" s="2"/>
      <c r="E800" s="2"/>
      <c r="F800" s="2"/>
      <c r="G800" s="2"/>
      <c r="H800" s="2"/>
      <c r="I800" s="2"/>
      <c r="J800" s="2"/>
      <c r="K800" s="181"/>
      <c r="L800" s="2"/>
      <c r="M800" s="2"/>
      <c r="N800" s="2"/>
      <c r="O800" s="2"/>
      <c r="P800" s="2"/>
      <c r="Q800" s="157"/>
      <c r="R800" s="157"/>
      <c r="S800" s="2"/>
      <c r="T800" s="158"/>
      <c r="U800" s="2"/>
      <c r="V800" s="2"/>
      <c r="W800" s="2"/>
      <c r="X800" s="2"/>
      <c r="Y800" s="2"/>
      <c r="Z800" s="2"/>
    </row>
    <row r="801" ht="13.5" customHeight="1">
      <c r="A801" s="2"/>
      <c r="B801" s="2"/>
      <c r="C801" s="2"/>
      <c r="D801" s="2"/>
      <c r="E801" s="2"/>
      <c r="F801" s="2"/>
      <c r="G801" s="2"/>
      <c r="H801" s="2"/>
      <c r="I801" s="2"/>
      <c r="J801" s="2"/>
      <c r="K801" s="181"/>
      <c r="L801" s="2"/>
      <c r="M801" s="2"/>
      <c r="N801" s="2"/>
      <c r="O801" s="2"/>
      <c r="P801" s="2"/>
      <c r="Q801" s="157"/>
      <c r="R801" s="157"/>
      <c r="S801" s="2"/>
      <c r="T801" s="158"/>
      <c r="U801" s="2"/>
      <c r="V801" s="2"/>
      <c r="W801" s="2"/>
      <c r="X801" s="2"/>
      <c r="Y801" s="2"/>
      <c r="Z801" s="2"/>
    </row>
    <row r="802" ht="13.5" customHeight="1">
      <c r="A802" s="2"/>
      <c r="B802" s="2"/>
      <c r="C802" s="2"/>
      <c r="D802" s="2"/>
      <c r="E802" s="2"/>
      <c r="F802" s="2"/>
      <c r="G802" s="2"/>
      <c r="H802" s="2"/>
      <c r="I802" s="2"/>
      <c r="J802" s="2"/>
      <c r="K802" s="181"/>
      <c r="L802" s="2"/>
      <c r="M802" s="2"/>
      <c r="N802" s="2"/>
      <c r="O802" s="2"/>
      <c r="P802" s="2"/>
      <c r="Q802" s="157"/>
      <c r="R802" s="157"/>
      <c r="S802" s="2"/>
      <c r="T802" s="158"/>
      <c r="U802" s="2"/>
      <c r="V802" s="2"/>
      <c r="W802" s="2"/>
      <c r="X802" s="2"/>
      <c r="Y802" s="2"/>
      <c r="Z802" s="2"/>
    </row>
    <row r="803" ht="13.5" customHeight="1">
      <c r="A803" s="2"/>
      <c r="B803" s="2"/>
      <c r="C803" s="2"/>
      <c r="D803" s="2"/>
      <c r="E803" s="2"/>
      <c r="F803" s="2"/>
      <c r="G803" s="2"/>
      <c r="H803" s="2"/>
      <c r="I803" s="2"/>
      <c r="J803" s="2"/>
      <c r="K803" s="181"/>
      <c r="L803" s="2"/>
      <c r="M803" s="2"/>
      <c r="N803" s="2"/>
      <c r="O803" s="2"/>
      <c r="P803" s="2"/>
      <c r="Q803" s="157"/>
      <c r="R803" s="157"/>
      <c r="S803" s="2"/>
      <c r="T803" s="158"/>
      <c r="U803" s="2"/>
      <c r="V803" s="2"/>
      <c r="W803" s="2"/>
      <c r="X803" s="2"/>
      <c r="Y803" s="2"/>
      <c r="Z803" s="2"/>
    </row>
    <row r="804" ht="13.5" customHeight="1">
      <c r="A804" s="2"/>
      <c r="B804" s="2"/>
      <c r="C804" s="2"/>
      <c r="D804" s="2"/>
      <c r="E804" s="2"/>
      <c r="F804" s="2"/>
      <c r="G804" s="2"/>
      <c r="H804" s="2"/>
      <c r="I804" s="2"/>
      <c r="J804" s="2"/>
      <c r="K804" s="181"/>
      <c r="L804" s="2"/>
      <c r="M804" s="2"/>
      <c r="N804" s="2"/>
      <c r="O804" s="2"/>
      <c r="P804" s="2"/>
      <c r="Q804" s="157"/>
      <c r="R804" s="157"/>
      <c r="S804" s="2"/>
      <c r="T804" s="158"/>
      <c r="U804" s="2"/>
      <c r="V804" s="2"/>
      <c r="W804" s="2"/>
      <c r="X804" s="2"/>
      <c r="Y804" s="2"/>
      <c r="Z804" s="2"/>
    </row>
    <row r="805" ht="13.5" customHeight="1">
      <c r="A805" s="2"/>
      <c r="B805" s="2"/>
      <c r="C805" s="2"/>
      <c r="D805" s="2"/>
      <c r="E805" s="2"/>
      <c r="F805" s="2"/>
      <c r="G805" s="2"/>
      <c r="H805" s="2"/>
      <c r="I805" s="2"/>
      <c r="J805" s="2"/>
      <c r="K805" s="181"/>
      <c r="L805" s="2"/>
      <c r="M805" s="2"/>
      <c r="N805" s="2"/>
      <c r="O805" s="2"/>
      <c r="P805" s="2"/>
      <c r="Q805" s="157"/>
      <c r="R805" s="157"/>
      <c r="S805" s="2"/>
      <c r="T805" s="158"/>
      <c r="U805" s="2"/>
      <c r="V805" s="2"/>
      <c r="W805" s="2"/>
      <c r="X805" s="2"/>
      <c r="Y805" s="2"/>
      <c r="Z805" s="2"/>
    </row>
    <row r="806" ht="13.5" customHeight="1">
      <c r="A806" s="2"/>
      <c r="B806" s="2"/>
      <c r="C806" s="2"/>
      <c r="D806" s="2"/>
      <c r="E806" s="2"/>
      <c r="F806" s="2"/>
      <c r="G806" s="2"/>
      <c r="H806" s="2"/>
      <c r="I806" s="2"/>
      <c r="J806" s="2"/>
      <c r="K806" s="181"/>
      <c r="L806" s="2"/>
      <c r="M806" s="2"/>
      <c r="N806" s="2"/>
      <c r="O806" s="2"/>
      <c r="P806" s="2"/>
      <c r="Q806" s="157"/>
      <c r="R806" s="157"/>
      <c r="S806" s="2"/>
      <c r="T806" s="158"/>
      <c r="U806" s="2"/>
      <c r="V806" s="2"/>
      <c r="W806" s="2"/>
      <c r="X806" s="2"/>
      <c r="Y806" s="2"/>
      <c r="Z806" s="2"/>
    </row>
    <row r="807" ht="13.5" customHeight="1">
      <c r="A807" s="2"/>
      <c r="B807" s="2"/>
      <c r="C807" s="2"/>
      <c r="D807" s="2"/>
      <c r="E807" s="2"/>
      <c r="F807" s="2"/>
      <c r="G807" s="2"/>
      <c r="H807" s="2"/>
      <c r="I807" s="2"/>
      <c r="J807" s="2"/>
      <c r="K807" s="181"/>
      <c r="L807" s="2"/>
      <c r="M807" s="2"/>
      <c r="N807" s="2"/>
      <c r="O807" s="2"/>
      <c r="P807" s="2"/>
      <c r="Q807" s="157"/>
      <c r="R807" s="157"/>
      <c r="S807" s="2"/>
      <c r="T807" s="158"/>
      <c r="U807" s="2"/>
      <c r="V807" s="2"/>
      <c r="W807" s="2"/>
      <c r="X807" s="2"/>
      <c r="Y807" s="2"/>
      <c r="Z807" s="2"/>
    </row>
    <row r="808" ht="13.5" customHeight="1">
      <c r="A808" s="2"/>
      <c r="B808" s="2"/>
      <c r="C808" s="2"/>
      <c r="D808" s="2"/>
      <c r="E808" s="2"/>
      <c r="F808" s="2"/>
      <c r="G808" s="2"/>
      <c r="H808" s="2"/>
      <c r="I808" s="2"/>
      <c r="J808" s="2"/>
      <c r="K808" s="181"/>
      <c r="L808" s="2"/>
      <c r="M808" s="2"/>
      <c r="N808" s="2"/>
      <c r="O808" s="2"/>
      <c r="P808" s="2"/>
      <c r="Q808" s="157"/>
      <c r="R808" s="157"/>
      <c r="S808" s="2"/>
      <c r="T808" s="158"/>
      <c r="U808" s="2"/>
      <c r="V808" s="2"/>
      <c r="W808" s="2"/>
      <c r="X808" s="2"/>
      <c r="Y808" s="2"/>
      <c r="Z808" s="2"/>
    </row>
    <row r="809" ht="13.5" customHeight="1">
      <c r="A809" s="2"/>
      <c r="B809" s="2"/>
      <c r="C809" s="2"/>
      <c r="D809" s="2"/>
      <c r="E809" s="2"/>
      <c r="F809" s="2"/>
      <c r="G809" s="2"/>
      <c r="H809" s="2"/>
      <c r="I809" s="2"/>
      <c r="J809" s="2"/>
      <c r="K809" s="181"/>
      <c r="L809" s="2"/>
      <c r="M809" s="2"/>
      <c r="N809" s="2"/>
      <c r="O809" s="2"/>
      <c r="P809" s="2"/>
      <c r="Q809" s="157"/>
      <c r="R809" s="157"/>
      <c r="S809" s="2"/>
      <c r="T809" s="158"/>
      <c r="U809" s="2"/>
      <c r="V809" s="2"/>
      <c r="W809" s="2"/>
      <c r="X809" s="2"/>
      <c r="Y809" s="2"/>
      <c r="Z809" s="2"/>
    </row>
    <row r="810" ht="13.5" customHeight="1">
      <c r="A810" s="2"/>
      <c r="B810" s="2"/>
      <c r="C810" s="2"/>
      <c r="D810" s="2"/>
      <c r="E810" s="2"/>
      <c r="F810" s="2"/>
      <c r="G810" s="2"/>
      <c r="H810" s="2"/>
      <c r="I810" s="2"/>
      <c r="J810" s="2"/>
      <c r="K810" s="181"/>
      <c r="L810" s="2"/>
      <c r="M810" s="2"/>
      <c r="N810" s="2"/>
      <c r="O810" s="2"/>
      <c r="P810" s="2"/>
      <c r="Q810" s="157"/>
      <c r="R810" s="157"/>
      <c r="S810" s="2"/>
      <c r="T810" s="158"/>
      <c r="U810" s="2"/>
      <c r="V810" s="2"/>
      <c r="W810" s="2"/>
      <c r="X810" s="2"/>
      <c r="Y810" s="2"/>
      <c r="Z810" s="2"/>
    </row>
    <row r="811" ht="13.5" customHeight="1">
      <c r="A811" s="2"/>
      <c r="B811" s="2"/>
      <c r="C811" s="2"/>
      <c r="D811" s="2"/>
      <c r="E811" s="2"/>
      <c r="F811" s="2"/>
      <c r="G811" s="2"/>
      <c r="H811" s="2"/>
      <c r="I811" s="2"/>
      <c r="J811" s="2"/>
      <c r="K811" s="181"/>
      <c r="L811" s="2"/>
      <c r="M811" s="2"/>
      <c r="N811" s="2"/>
      <c r="O811" s="2"/>
      <c r="P811" s="2"/>
      <c r="Q811" s="157"/>
      <c r="R811" s="157"/>
      <c r="S811" s="2"/>
      <c r="T811" s="158"/>
      <c r="U811" s="2"/>
      <c r="V811" s="2"/>
      <c r="W811" s="2"/>
      <c r="X811" s="2"/>
      <c r="Y811" s="2"/>
      <c r="Z811" s="2"/>
    </row>
    <row r="812" ht="13.5" customHeight="1">
      <c r="A812" s="2"/>
      <c r="B812" s="2"/>
      <c r="C812" s="2"/>
      <c r="D812" s="2"/>
      <c r="E812" s="2"/>
      <c r="F812" s="2"/>
      <c r="G812" s="2"/>
      <c r="H812" s="2"/>
      <c r="I812" s="2"/>
      <c r="J812" s="2"/>
      <c r="K812" s="181"/>
      <c r="L812" s="2"/>
      <c r="M812" s="2"/>
      <c r="N812" s="2"/>
      <c r="O812" s="2"/>
      <c r="P812" s="2"/>
      <c r="Q812" s="157"/>
      <c r="R812" s="157"/>
      <c r="S812" s="2"/>
      <c r="T812" s="158"/>
      <c r="U812" s="2"/>
      <c r="V812" s="2"/>
      <c r="W812" s="2"/>
      <c r="X812" s="2"/>
      <c r="Y812" s="2"/>
      <c r="Z812" s="2"/>
    </row>
    <row r="813" ht="13.5" customHeight="1">
      <c r="A813" s="2"/>
      <c r="B813" s="2"/>
      <c r="C813" s="2"/>
      <c r="D813" s="2"/>
      <c r="E813" s="2"/>
      <c r="F813" s="2"/>
      <c r="G813" s="2"/>
      <c r="H813" s="2"/>
      <c r="I813" s="2"/>
      <c r="J813" s="2"/>
      <c r="K813" s="181"/>
      <c r="L813" s="2"/>
      <c r="M813" s="2"/>
      <c r="N813" s="2"/>
      <c r="O813" s="2"/>
      <c r="P813" s="2"/>
      <c r="Q813" s="157"/>
      <c r="R813" s="157"/>
      <c r="S813" s="2"/>
      <c r="T813" s="158"/>
      <c r="U813" s="2"/>
      <c r="V813" s="2"/>
      <c r="W813" s="2"/>
      <c r="X813" s="2"/>
      <c r="Y813" s="2"/>
      <c r="Z813" s="2"/>
    </row>
    <row r="814" ht="13.5" customHeight="1">
      <c r="A814" s="2"/>
      <c r="B814" s="2"/>
      <c r="C814" s="2"/>
      <c r="D814" s="2"/>
      <c r="E814" s="2"/>
      <c r="F814" s="2"/>
      <c r="G814" s="2"/>
      <c r="H814" s="2"/>
      <c r="I814" s="2"/>
      <c r="J814" s="2"/>
      <c r="K814" s="181"/>
      <c r="L814" s="2"/>
      <c r="M814" s="2"/>
      <c r="N814" s="2"/>
      <c r="O814" s="2"/>
      <c r="P814" s="2"/>
      <c r="Q814" s="157"/>
      <c r="R814" s="157"/>
      <c r="S814" s="2"/>
      <c r="T814" s="158"/>
      <c r="U814" s="2"/>
      <c r="V814" s="2"/>
      <c r="W814" s="2"/>
      <c r="X814" s="2"/>
      <c r="Y814" s="2"/>
      <c r="Z814" s="2"/>
    </row>
    <row r="815" ht="13.5" customHeight="1">
      <c r="A815" s="2"/>
      <c r="B815" s="2"/>
      <c r="C815" s="2"/>
      <c r="D815" s="2"/>
      <c r="E815" s="2"/>
      <c r="F815" s="2"/>
      <c r="G815" s="2"/>
      <c r="H815" s="2"/>
      <c r="I815" s="2"/>
      <c r="J815" s="2"/>
      <c r="K815" s="181"/>
      <c r="L815" s="2"/>
      <c r="M815" s="2"/>
      <c r="N815" s="2"/>
      <c r="O815" s="2"/>
      <c r="P815" s="2"/>
      <c r="Q815" s="157"/>
      <c r="R815" s="157"/>
      <c r="S815" s="2"/>
      <c r="T815" s="158"/>
      <c r="U815" s="2"/>
      <c r="V815" s="2"/>
      <c r="W815" s="2"/>
      <c r="X815" s="2"/>
      <c r="Y815" s="2"/>
      <c r="Z815" s="2"/>
    </row>
    <row r="816" ht="13.5" customHeight="1">
      <c r="A816" s="2"/>
      <c r="B816" s="2"/>
      <c r="C816" s="2"/>
      <c r="D816" s="2"/>
      <c r="E816" s="2"/>
      <c r="F816" s="2"/>
      <c r="G816" s="2"/>
      <c r="H816" s="2"/>
      <c r="I816" s="2"/>
      <c r="J816" s="2"/>
      <c r="K816" s="181"/>
      <c r="L816" s="2"/>
      <c r="M816" s="2"/>
      <c r="N816" s="2"/>
      <c r="O816" s="2"/>
      <c r="P816" s="2"/>
      <c r="Q816" s="157"/>
      <c r="R816" s="157"/>
      <c r="S816" s="2"/>
      <c r="T816" s="158"/>
      <c r="U816" s="2"/>
      <c r="V816" s="2"/>
      <c r="W816" s="2"/>
      <c r="X816" s="2"/>
      <c r="Y816" s="2"/>
      <c r="Z816" s="2"/>
    </row>
    <row r="817" ht="13.5" customHeight="1">
      <c r="A817" s="2"/>
      <c r="B817" s="2"/>
      <c r="C817" s="2"/>
      <c r="D817" s="2"/>
      <c r="E817" s="2"/>
      <c r="F817" s="2"/>
      <c r="G817" s="2"/>
      <c r="H817" s="2"/>
      <c r="I817" s="2"/>
      <c r="J817" s="2"/>
      <c r="K817" s="181"/>
      <c r="L817" s="2"/>
      <c r="M817" s="2"/>
      <c r="N817" s="2"/>
      <c r="O817" s="2"/>
      <c r="P817" s="2"/>
      <c r="Q817" s="157"/>
      <c r="R817" s="157"/>
      <c r="S817" s="2"/>
      <c r="T817" s="158"/>
      <c r="U817" s="2"/>
      <c r="V817" s="2"/>
      <c r="W817" s="2"/>
      <c r="X817" s="2"/>
      <c r="Y817" s="2"/>
      <c r="Z817" s="2"/>
    </row>
    <row r="818" ht="13.5" customHeight="1">
      <c r="A818" s="2"/>
      <c r="B818" s="2"/>
      <c r="C818" s="2"/>
      <c r="D818" s="2"/>
      <c r="E818" s="2"/>
      <c r="F818" s="2"/>
      <c r="G818" s="2"/>
      <c r="H818" s="2"/>
      <c r="I818" s="2"/>
      <c r="J818" s="2"/>
      <c r="K818" s="181"/>
      <c r="L818" s="2"/>
      <c r="M818" s="2"/>
      <c r="N818" s="2"/>
      <c r="O818" s="2"/>
      <c r="P818" s="2"/>
      <c r="Q818" s="157"/>
      <c r="R818" s="157"/>
      <c r="S818" s="2"/>
      <c r="T818" s="158"/>
      <c r="U818" s="2"/>
      <c r="V818" s="2"/>
      <c r="W818" s="2"/>
      <c r="X818" s="2"/>
      <c r="Y818" s="2"/>
      <c r="Z818" s="2"/>
    </row>
    <row r="819" ht="13.5" customHeight="1">
      <c r="A819" s="2"/>
      <c r="B819" s="2"/>
      <c r="C819" s="2"/>
      <c r="D819" s="2"/>
      <c r="E819" s="2"/>
      <c r="F819" s="2"/>
      <c r="G819" s="2"/>
      <c r="H819" s="2"/>
      <c r="I819" s="2"/>
      <c r="J819" s="2"/>
      <c r="K819" s="181"/>
      <c r="L819" s="2"/>
      <c r="M819" s="2"/>
      <c r="N819" s="2"/>
      <c r="O819" s="2"/>
      <c r="P819" s="2"/>
      <c r="Q819" s="157"/>
      <c r="R819" s="157"/>
      <c r="S819" s="2"/>
      <c r="T819" s="158"/>
      <c r="U819" s="2"/>
      <c r="V819" s="2"/>
      <c r="W819" s="2"/>
      <c r="X819" s="2"/>
      <c r="Y819" s="2"/>
      <c r="Z819" s="2"/>
    </row>
    <row r="820" ht="13.5" customHeight="1">
      <c r="A820" s="2"/>
      <c r="B820" s="2"/>
      <c r="C820" s="2"/>
      <c r="D820" s="2"/>
      <c r="E820" s="2"/>
      <c r="F820" s="2"/>
      <c r="G820" s="2"/>
      <c r="H820" s="2"/>
      <c r="I820" s="2"/>
      <c r="J820" s="2"/>
      <c r="K820" s="181"/>
      <c r="L820" s="2"/>
      <c r="M820" s="2"/>
      <c r="N820" s="2"/>
      <c r="O820" s="2"/>
      <c r="P820" s="2"/>
      <c r="Q820" s="157"/>
      <c r="R820" s="157"/>
      <c r="S820" s="2"/>
      <c r="T820" s="158"/>
      <c r="U820" s="2"/>
      <c r="V820" s="2"/>
      <c r="W820" s="2"/>
      <c r="X820" s="2"/>
      <c r="Y820" s="2"/>
      <c r="Z820" s="2"/>
    </row>
    <row r="821" ht="13.5" customHeight="1">
      <c r="A821" s="2"/>
      <c r="B821" s="2"/>
      <c r="C821" s="2"/>
      <c r="D821" s="2"/>
      <c r="E821" s="2"/>
      <c r="F821" s="2"/>
      <c r="G821" s="2"/>
      <c r="H821" s="2"/>
      <c r="I821" s="2"/>
      <c r="J821" s="2"/>
      <c r="K821" s="181"/>
      <c r="L821" s="2"/>
      <c r="M821" s="2"/>
      <c r="N821" s="2"/>
      <c r="O821" s="2"/>
      <c r="P821" s="2"/>
      <c r="Q821" s="157"/>
      <c r="R821" s="157"/>
      <c r="S821" s="2"/>
      <c r="T821" s="158"/>
      <c r="U821" s="2"/>
      <c r="V821" s="2"/>
      <c r="W821" s="2"/>
      <c r="X821" s="2"/>
      <c r="Y821" s="2"/>
      <c r="Z821" s="2"/>
    </row>
    <row r="822" ht="13.5" customHeight="1">
      <c r="A822" s="2"/>
      <c r="B822" s="2"/>
      <c r="C822" s="2"/>
      <c r="D822" s="2"/>
      <c r="E822" s="2"/>
      <c r="F822" s="2"/>
      <c r="G822" s="2"/>
      <c r="H822" s="2"/>
      <c r="I822" s="2"/>
      <c r="J822" s="2"/>
      <c r="K822" s="181"/>
      <c r="L822" s="2"/>
      <c r="M822" s="2"/>
      <c r="N822" s="2"/>
      <c r="O822" s="2"/>
      <c r="P822" s="2"/>
      <c r="Q822" s="157"/>
      <c r="R822" s="157"/>
      <c r="S822" s="2"/>
      <c r="T822" s="158"/>
      <c r="U822" s="2"/>
      <c r="V822" s="2"/>
      <c r="W822" s="2"/>
      <c r="X822" s="2"/>
      <c r="Y822" s="2"/>
      <c r="Z822" s="2"/>
    </row>
    <row r="823" ht="13.5" customHeight="1">
      <c r="A823" s="2"/>
      <c r="B823" s="2"/>
      <c r="C823" s="2"/>
      <c r="D823" s="2"/>
      <c r="E823" s="2"/>
      <c r="F823" s="2"/>
      <c r="G823" s="2"/>
      <c r="H823" s="2"/>
      <c r="I823" s="2"/>
      <c r="J823" s="2"/>
      <c r="K823" s="181"/>
      <c r="L823" s="2"/>
      <c r="M823" s="2"/>
      <c r="N823" s="2"/>
      <c r="O823" s="2"/>
      <c r="P823" s="2"/>
      <c r="Q823" s="157"/>
      <c r="R823" s="157"/>
      <c r="S823" s="2"/>
      <c r="T823" s="158"/>
      <c r="U823" s="2"/>
      <c r="V823" s="2"/>
      <c r="W823" s="2"/>
      <c r="X823" s="2"/>
      <c r="Y823" s="2"/>
      <c r="Z823" s="2"/>
    </row>
    <row r="824" ht="13.5" customHeight="1">
      <c r="A824" s="2"/>
      <c r="B824" s="2"/>
      <c r="C824" s="2"/>
      <c r="D824" s="2"/>
      <c r="E824" s="2"/>
      <c r="F824" s="2"/>
      <c r="G824" s="2"/>
      <c r="H824" s="2"/>
      <c r="I824" s="2"/>
      <c r="J824" s="2"/>
      <c r="K824" s="181"/>
      <c r="L824" s="2"/>
      <c r="M824" s="2"/>
      <c r="N824" s="2"/>
      <c r="O824" s="2"/>
      <c r="P824" s="2"/>
      <c r="Q824" s="157"/>
      <c r="R824" s="157"/>
      <c r="S824" s="2"/>
      <c r="T824" s="158"/>
      <c r="U824" s="2"/>
      <c r="V824" s="2"/>
      <c r="W824" s="2"/>
      <c r="X824" s="2"/>
      <c r="Y824" s="2"/>
      <c r="Z824" s="2"/>
    </row>
    <row r="825" ht="13.5" customHeight="1">
      <c r="A825" s="2"/>
      <c r="B825" s="2"/>
      <c r="C825" s="2"/>
      <c r="D825" s="2"/>
      <c r="E825" s="2"/>
      <c r="F825" s="2"/>
      <c r="G825" s="2"/>
      <c r="H825" s="2"/>
      <c r="I825" s="2"/>
      <c r="J825" s="2"/>
      <c r="K825" s="181"/>
      <c r="L825" s="2"/>
      <c r="M825" s="2"/>
      <c r="N825" s="2"/>
      <c r="O825" s="2"/>
      <c r="P825" s="2"/>
      <c r="Q825" s="157"/>
      <c r="R825" s="157"/>
      <c r="S825" s="2"/>
      <c r="T825" s="158"/>
      <c r="U825" s="2"/>
      <c r="V825" s="2"/>
      <c r="W825" s="2"/>
      <c r="X825" s="2"/>
      <c r="Y825" s="2"/>
      <c r="Z825" s="2"/>
    </row>
    <row r="826" ht="13.5" customHeight="1">
      <c r="A826" s="2"/>
      <c r="B826" s="2"/>
      <c r="C826" s="2"/>
      <c r="D826" s="2"/>
      <c r="E826" s="2"/>
      <c r="F826" s="2"/>
      <c r="G826" s="2"/>
      <c r="H826" s="2"/>
      <c r="I826" s="2"/>
      <c r="J826" s="2"/>
      <c r="K826" s="181"/>
      <c r="L826" s="2"/>
      <c r="M826" s="2"/>
      <c r="N826" s="2"/>
      <c r="O826" s="2"/>
      <c r="P826" s="2"/>
      <c r="Q826" s="157"/>
      <c r="R826" s="157"/>
      <c r="S826" s="2"/>
      <c r="T826" s="158"/>
      <c r="U826" s="2"/>
      <c r="V826" s="2"/>
      <c r="W826" s="2"/>
      <c r="X826" s="2"/>
      <c r="Y826" s="2"/>
      <c r="Z826" s="2"/>
    </row>
    <row r="827" ht="13.5" customHeight="1">
      <c r="A827" s="2"/>
      <c r="B827" s="2"/>
      <c r="C827" s="2"/>
      <c r="D827" s="2"/>
      <c r="E827" s="2"/>
      <c r="F827" s="2"/>
      <c r="G827" s="2"/>
      <c r="H827" s="2"/>
      <c r="I827" s="2"/>
      <c r="J827" s="2"/>
      <c r="K827" s="181"/>
      <c r="L827" s="2"/>
      <c r="M827" s="2"/>
      <c r="N827" s="2"/>
      <c r="O827" s="2"/>
      <c r="P827" s="2"/>
      <c r="Q827" s="157"/>
      <c r="R827" s="157"/>
      <c r="S827" s="2"/>
      <c r="T827" s="158"/>
      <c r="U827" s="2"/>
      <c r="V827" s="2"/>
      <c r="W827" s="2"/>
      <c r="X827" s="2"/>
      <c r="Y827" s="2"/>
      <c r="Z827" s="2"/>
    </row>
    <row r="828" ht="13.5" customHeight="1">
      <c r="A828" s="2"/>
      <c r="B828" s="2"/>
      <c r="C828" s="2"/>
      <c r="D828" s="2"/>
      <c r="E828" s="2"/>
      <c r="F828" s="2"/>
      <c r="G828" s="2"/>
      <c r="H828" s="2"/>
      <c r="I828" s="2"/>
      <c r="J828" s="2"/>
      <c r="K828" s="181"/>
      <c r="L828" s="2"/>
      <c r="M828" s="2"/>
      <c r="N828" s="2"/>
      <c r="O828" s="2"/>
      <c r="P828" s="2"/>
      <c r="Q828" s="157"/>
      <c r="R828" s="157"/>
      <c r="S828" s="2"/>
      <c r="T828" s="158"/>
      <c r="U828" s="2"/>
      <c r="V828" s="2"/>
      <c r="W828" s="2"/>
      <c r="X828" s="2"/>
      <c r="Y828" s="2"/>
      <c r="Z828" s="2"/>
    </row>
    <row r="829" ht="13.5" customHeight="1">
      <c r="A829" s="2"/>
      <c r="B829" s="2"/>
      <c r="C829" s="2"/>
      <c r="D829" s="2"/>
      <c r="E829" s="2"/>
      <c r="F829" s="2"/>
      <c r="G829" s="2"/>
      <c r="H829" s="2"/>
      <c r="I829" s="2"/>
      <c r="J829" s="2"/>
      <c r="K829" s="181"/>
      <c r="L829" s="2"/>
      <c r="M829" s="2"/>
      <c r="N829" s="2"/>
      <c r="O829" s="2"/>
      <c r="P829" s="2"/>
      <c r="Q829" s="157"/>
      <c r="R829" s="157"/>
      <c r="S829" s="2"/>
      <c r="T829" s="158"/>
      <c r="U829" s="2"/>
      <c r="V829" s="2"/>
      <c r="W829" s="2"/>
      <c r="X829" s="2"/>
      <c r="Y829" s="2"/>
      <c r="Z829" s="2"/>
    </row>
    <row r="830" ht="13.5" customHeight="1">
      <c r="A830" s="2"/>
      <c r="B830" s="2"/>
      <c r="C830" s="2"/>
      <c r="D830" s="2"/>
      <c r="E830" s="2"/>
      <c r="F830" s="2"/>
      <c r="G830" s="2"/>
      <c r="H830" s="2"/>
      <c r="I830" s="2"/>
      <c r="J830" s="2"/>
      <c r="K830" s="181"/>
      <c r="L830" s="2"/>
      <c r="M830" s="2"/>
      <c r="N830" s="2"/>
      <c r="O830" s="2"/>
      <c r="P830" s="2"/>
      <c r="Q830" s="157"/>
      <c r="R830" s="157"/>
      <c r="S830" s="2"/>
      <c r="T830" s="158"/>
      <c r="U830" s="2"/>
      <c r="V830" s="2"/>
      <c r="W830" s="2"/>
      <c r="X830" s="2"/>
      <c r="Y830" s="2"/>
      <c r="Z830" s="2"/>
    </row>
    <row r="831" ht="13.5" customHeight="1">
      <c r="A831" s="2"/>
      <c r="B831" s="2"/>
      <c r="C831" s="2"/>
      <c r="D831" s="2"/>
      <c r="E831" s="2"/>
      <c r="F831" s="2"/>
      <c r="G831" s="2"/>
      <c r="H831" s="2"/>
      <c r="I831" s="2"/>
      <c r="J831" s="2"/>
      <c r="K831" s="181"/>
      <c r="L831" s="2"/>
      <c r="M831" s="2"/>
      <c r="N831" s="2"/>
      <c r="O831" s="2"/>
      <c r="P831" s="2"/>
      <c r="Q831" s="157"/>
      <c r="R831" s="157"/>
      <c r="S831" s="2"/>
      <c r="T831" s="158"/>
      <c r="U831" s="2"/>
      <c r="V831" s="2"/>
      <c r="W831" s="2"/>
      <c r="X831" s="2"/>
      <c r="Y831" s="2"/>
      <c r="Z831" s="2"/>
    </row>
    <row r="832" ht="13.5" customHeight="1">
      <c r="A832" s="2"/>
      <c r="B832" s="2"/>
      <c r="C832" s="2"/>
      <c r="D832" s="2"/>
      <c r="E832" s="2"/>
      <c r="F832" s="2"/>
      <c r="G832" s="2"/>
      <c r="H832" s="2"/>
      <c r="I832" s="2"/>
      <c r="J832" s="2"/>
      <c r="K832" s="181"/>
      <c r="L832" s="2"/>
      <c r="M832" s="2"/>
      <c r="N832" s="2"/>
      <c r="O832" s="2"/>
      <c r="P832" s="2"/>
      <c r="Q832" s="157"/>
      <c r="R832" s="157"/>
      <c r="S832" s="2"/>
      <c r="T832" s="158"/>
      <c r="U832" s="2"/>
      <c r="V832" s="2"/>
      <c r="W832" s="2"/>
      <c r="X832" s="2"/>
      <c r="Y832" s="2"/>
      <c r="Z832" s="2"/>
    </row>
    <row r="833" ht="13.5" customHeight="1">
      <c r="A833" s="2"/>
      <c r="B833" s="2"/>
      <c r="C833" s="2"/>
      <c r="D833" s="2"/>
      <c r="E833" s="2"/>
      <c r="F833" s="2"/>
      <c r="G833" s="2"/>
      <c r="H833" s="2"/>
      <c r="I833" s="2"/>
      <c r="J833" s="2"/>
      <c r="K833" s="181"/>
      <c r="L833" s="2"/>
      <c r="M833" s="2"/>
      <c r="N833" s="2"/>
      <c r="O833" s="2"/>
      <c r="P833" s="2"/>
      <c r="Q833" s="157"/>
      <c r="R833" s="157"/>
      <c r="S833" s="2"/>
      <c r="T833" s="158"/>
      <c r="U833" s="2"/>
      <c r="V833" s="2"/>
      <c r="W833" s="2"/>
      <c r="X833" s="2"/>
      <c r="Y833" s="2"/>
      <c r="Z833" s="2"/>
    </row>
    <row r="834" ht="13.5" customHeight="1">
      <c r="A834" s="2"/>
      <c r="B834" s="2"/>
      <c r="C834" s="2"/>
      <c r="D834" s="2"/>
      <c r="E834" s="2"/>
      <c r="F834" s="2"/>
      <c r="G834" s="2"/>
      <c r="H834" s="2"/>
      <c r="I834" s="2"/>
      <c r="J834" s="2"/>
      <c r="K834" s="181"/>
      <c r="L834" s="2"/>
      <c r="M834" s="2"/>
      <c r="N834" s="2"/>
      <c r="O834" s="2"/>
      <c r="P834" s="2"/>
      <c r="Q834" s="157"/>
      <c r="R834" s="157"/>
      <c r="S834" s="2"/>
      <c r="T834" s="158"/>
      <c r="U834" s="2"/>
      <c r="V834" s="2"/>
      <c r="W834" s="2"/>
      <c r="X834" s="2"/>
      <c r="Y834" s="2"/>
      <c r="Z834" s="2"/>
    </row>
    <row r="835" ht="13.5" customHeight="1">
      <c r="A835" s="2"/>
      <c r="B835" s="2"/>
      <c r="C835" s="2"/>
      <c r="D835" s="2"/>
      <c r="E835" s="2"/>
      <c r="F835" s="2"/>
      <c r="G835" s="2"/>
      <c r="H835" s="2"/>
      <c r="I835" s="2"/>
      <c r="J835" s="2"/>
      <c r="K835" s="181"/>
      <c r="L835" s="2"/>
      <c r="M835" s="2"/>
      <c r="N835" s="2"/>
      <c r="O835" s="2"/>
      <c r="P835" s="2"/>
      <c r="Q835" s="157"/>
      <c r="R835" s="157"/>
      <c r="S835" s="2"/>
      <c r="T835" s="158"/>
      <c r="U835" s="2"/>
      <c r="V835" s="2"/>
      <c r="W835" s="2"/>
      <c r="X835" s="2"/>
      <c r="Y835" s="2"/>
      <c r="Z835" s="2"/>
    </row>
    <row r="836" ht="13.5" customHeight="1">
      <c r="A836" s="2"/>
      <c r="B836" s="2"/>
      <c r="C836" s="2"/>
      <c r="D836" s="2"/>
      <c r="E836" s="2"/>
      <c r="F836" s="2"/>
      <c r="G836" s="2"/>
      <c r="H836" s="2"/>
      <c r="I836" s="2"/>
      <c r="J836" s="2"/>
      <c r="K836" s="181"/>
      <c r="L836" s="2"/>
      <c r="M836" s="2"/>
      <c r="N836" s="2"/>
      <c r="O836" s="2"/>
      <c r="P836" s="2"/>
      <c r="Q836" s="157"/>
      <c r="R836" s="157"/>
      <c r="S836" s="2"/>
      <c r="T836" s="158"/>
      <c r="U836" s="2"/>
      <c r="V836" s="2"/>
      <c r="W836" s="2"/>
      <c r="X836" s="2"/>
      <c r="Y836" s="2"/>
      <c r="Z836" s="2"/>
    </row>
    <row r="837" ht="13.5" customHeight="1">
      <c r="A837" s="2"/>
      <c r="B837" s="2"/>
      <c r="C837" s="2"/>
      <c r="D837" s="2"/>
      <c r="E837" s="2"/>
      <c r="F837" s="2"/>
      <c r="G837" s="2"/>
      <c r="H837" s="2"/>
      <c r="I837" s="2"/>
      <c r="J837" s="2"/>
      <c r="K837" s="181"/>
      <c r="L837" s="2"/>
      <c r="M837" s="2"/>
      <c r="N837" s="2"/>
      <c r="O837" s="2"/>
      <c r="P837" s="2"/>
      <c r="Q837" s="157"/>
      <c r="R837" s="157"/>
      <c r="S837" s="2"/>
      <c r="T837" s="158"/>
      <c r="U837" s="2"/>
      <c r="V837" s="2"/>
      <c r="W837" s="2"/>
      <c r="X837" s="2"/>
      <c r="Y837" s="2"/>
      <c r="Z837" s="2"/>
    </row>
    <row r="838" ht="13.5" customHeight="1">
      <c r="A838" s="2"/>
      <c r="B838" s="2"/>
      <c r="C838" s="2"/>
      <c r="D838" s="2"/>
      <c r="E838" s="2"/>
      <c r="F838" s="2"/>
      <c r="G838" s="2"/>
      <c r="H838" s="2"/>
      <c r="I838" s="2"/>
      <c r="J838" s="2"/>
      <c r="K838" s="181"/>
      <c r="L838" s="2"/>
      <c r="M838" s="2"/>
      <c r="N838" s="2"/>
      <c r="O838" s="2"/>
      <c r="P838" s="2"/>
      <c r="Q838" s="157"/>
      <c r="R838" s="157"/>
      <c r="S838" s="2"/>
      <c r="T838" s="158"/>
      <c r="U838" s="2"/>
      <c r="V838" s="2"/>
      <c r="W838" s="2"/>
      <c r="X838" s="2"/>
      <c r="Y838" s="2"/>
      <c r="Z838" s="2"/>
    </row>
    <row r="839" ht="13.5" customHeight="1">
      <c r="A839" s="2"/>
      <c r="B839" s="2"/>
      <c r="C839" s="2"/>
      <c r="D839" s="2"/>
      <c r="E839" s="2"/>
      <c r="F839" s="2"/>
      <c r="G839" s="2"/>
      <c r="H839" s="2"/>
      <c r="I839" s="2"/>
      <c r="J839" s="2"/>
      <c r="K839" s="181"/>
      <c r="L839" s="2"/>
      <c r="M839" s="2"/>
      <c r="N839" s="2"/>
      <c r="O839" s="2"/>
      <c r="P839" s="2"/>
      <c r="Q839" s="157"/>
      <c r="R839" s="157"/>
      <c r="S839" s="2"/>
      <c r="T839" s="158"/>
      <c r="U839" s="2"/>
      <c r="V839" s="2"/>
      <c r="W839" s="2"/>
      <c r="X839" s="2"/>
      <c r="Y839" s="2"/>
      <c r="Z839" s="2"/>
    </row>
    <row r="840" ht="13.5" customHeight="1">
      <c r="A840" s="2"/>
      <c r="B840" s="2"/>
      <c r="C840" s="2"/>
      <c r="D840" s="2"/>
      <c r="E840" s="2"/>
      <c r="F840" s="2"/>
      <c r="G840" s="2"/>
      <c r="H840" s="2"/>
      <c r="I840" s="2"/>
      <c r="J840" s="2"/>
      <c r="K840" s="181"/>
      <c r="L840" s="2"/>
      <c r="M840" s="2"/>
      <c r="N840" s="2"/>
      <c r="O840" s="2"/>
      <c r="P840" s="2"/>
      <c r="Q840" s="157"/>
      <c r="R840" s="157"/>
      <c r="S840" s="2"/>
      <c r="T840" s="158"/>
      <c r="U840" s="2"/>
      <c r="V840" s="2"/>
      <c r="W840" s="2"/>
      <c r="X840" s="2"/>
      <c r="Y840" s="2"/>
      <c r="Z840" s="2"/>
    </row>
    <row r="841" ht="13.5" customHeight="1">
      <c r="A841" s="2"/>
      <c r="B841" s="2"/>
      <c r="C841" s="2"/>
      <c r="D841" s="2"/>
      <c r="E841" s="2"/>
      <c r="F841" s="2"/>
      <c r="G841" s="2"/>
      <c r="H841" s="2"/>
      <c r="I841" s="2"/>
      <c r="J841" s="2"/>
      <c r="K841" s="181"/>
      <c r="L841" s="2"/>
      <c r="M841" s="2"/>
      <c r="N841" s="2"/>
      <c r="O841" s="2"/>
      <c r="P841" s="2"/>
      <c r="Q841" s="157"/>
      <c r="R841" s="157"/>
      <c r="S841" s="2"/>
      <c r="T841" s="158"/>
      <c r="U841" s="2"/>
      <c r="V841" s="2"/>
      <c r="W841" s="2"/>
      <c r="X841" s="2"/>
      <c r="Y841" s="2"/>
      <c r="Z841" s="2"/>
    </row>
    <row r="842" ht="13.5" customHeight="1">
      <c r="A842" s="2"/>
      <c r="B842" s="2"/>
      <c r="C842" s="2"/>
      <c r="D842" s="2"/>
      <c r="E842" s="2"/>
      <c r="F842" s="2"/>
      <c r="G842" s="2"/>
      <c r="H842" s="2"/>
      <c r="I842" s="2"/>
      <c r="J842" s="2"/>
      <c r="K842" s="181"/>
      <c r="L842" s="2"/>
      <c r="M842" s="2"/>
      <c r="N842" s="2"/>
      <c r="O842" s="2"/>
      <c r="P842" s="2"/>
      <c r="Q842" s="157"/>
      <c r="R842" s="157"/>
      <c r="S842" s="2"/>
      <c r="T842" s="158"/>
      <c r="U842" s="2"/>
      <c r="V842" s="2"/>
      <c r="W842" s="2"/>
      <c r="X842" s="2"/>
      <c r="Y842" s="2"/>
      <c r="Z842" s="2"/>
    </row>
    <row r="843" ht="13.5" customHeight="1">
      <c r="A843" s="2"/>
      <c r="B843" s="2"/>
      <c r="C843" s="2"/>
      <c r="D843" s="2"/>
      <c r="E843" s="2"/>
      <c r="F843" s="2"/>
      <c r="G843" s="2"/>
      <c r="H843" s="2"/>
      <c r="I843" s="2"/>
      <c r="J843" s="2"/>
      <c r="K843" s="181"/>
      <c r="L843" s="2"/>
      <c r="M843" s="2"/>
      <c r="N843" s="2"/>
      <c r="O843" s="2"/>
      <c r="P843" s="2"/>
      <c r="Q843" s="157"/>
      <c r="R843" s="157"/>
      <c r="S843" s="2"/>
      <c r="T843" s="158"/>
      <c r="U843" s="2"/>
      <c r="V843" s="2"/>
      <c r="W843" s="2"/>
      <c r="X843" s="2"/>
      <c r="Y843" s="2"/>
      <c r="Z843" s="2"/>
    </row>
    <row r="844" ht="13.5" customHeight="1">
      <c r="A844" s="2"/>
      <c r="B844" s="2"/>
      <c r="C844" s="2"/>
      <c r="D844" s="2"/>
      <c r="E844" s="2"/>
      <c r="F844" s="2"/>
      <c r="G844" s="2"/>
      <c r="H844" s="2"/>
      <c r="I844" s="2"/>
      <c r="J844" s="2"/>
      <c r="K844" s="181"/>
      <c r="L844" s="2"/>
      <c r="M844" s="2"/>
      <c r="N844" s="2"/>
      <c r="O844" s="2"/>
      <c r="P844" s="2"/>
      <c r="Q844" s="157"/>
      <c r="R844" s="157"/>
      <c r="S844" s="2"/>
      <c r="T844" s="158"/>
      <c r="U844" s="2"/>
      <c r="V844" s="2"/>
      <c r="W844" s="2"/>
      <c r="X844" s="2"/>
      <c r="Y844" s="2"/>
      <c r="Z844" s="2"/>
    </row>
    <row r="845" ht="13.5" customHeight="1">
      <c r="A845" s="2"/>
      <c r="B845" s="2"/>
      <c r="C845" s="2"/>
      <c r="D845" s="2"/>
      <c r="E845" s="2"/>
      <c r="F845" s="2"/>
      <c r="G845" s="2"/>
      <c r="H845" s="2"/>
      <c r="I845" s="2"/>
      <c r="J845" s="2"/>
      <c r="K845" s="181"/>
      <c r="L845" s="2"/>
      <c r="M845" s="2"/>
      <c r="N845" s="2"/>
      <c r="O845" s="2"/>
      <c r="P845" s="2"/>
      <c r="Q845" s="157"/>
      <c r="R845" s="157"/>
      <c r="S845" s="2"/>
      <c r="T845" s="158"/>
      <c r="U845" s="2"/>
      <c r="V845" s="2"/>
      <c r="W845" s="2"/>
      <c r="X845" s="2"/>
      <c r="Y845" s="2"/>
      <c r="Z845" s="2"/>
    </row>
    <row r="846" ht="13.5" customHeight="1">
      <c r="A846" s="2"/>
      <c r="B846" s="2"/>
      <c r="C846" s="2"/>
      <c r="D846" s="2"/>
      <c r="E846" s="2"/>
      <c r="F846" s="2"/>
      <c r="G846" s="2"/>
      <c r="H846" s="2"/>
      <c r="I846" s="2"/>
      <c r="J846" s="2"/>
      <c r="K846" s="181"/>
      <c r="L846" s="2"/>
      <c r="M846" s="2"/>
      <c r="N846" s="2"/>
      <c r="O846" s="2"/>
      <c r="P846" s="2"/>
      <c r="Q846" s="157"/>
      <c r="R846" s="157"/>
      <c r="S846" s="2"/>
      <c r="T846" s="158"/>
      <c r="U846" s="2"/>
      <c r="V846" s="2"/>
      <c r="W846" s="2"/>
      <c r="X846" s="2"/>
      <c r="Y846" s="2"/>
      <c r="Z846" s="2"/>
    </row>
    <row r="847" ht="13.5" customHeight="1">
      <c r="A847" s="2"/>
      <c r="B847" s="2"/>
      <c r="C847" s="2"/>
      <c r="D847" s="2"/>
      <c r="E847" s="2"/>
      <c r="F847" s="2"/>
      <c r="G847" s="2"/>
      <c r="H847" s="2"/>
      <c r="I847" s="2"/>
      <c r="J847" s="2"/>
      <c r="K847" s="181"/>
      <c r="L847" s="2"/>
      <c r="M847" s="2"/>
      <c r="N847" s="2"/>
      <c r="O847" s="2"/>
      <c r="P847" s="2"/>
      <c r="Q847" s="157"/>
      <c r="R847" s="157"/>
      <c r="S847" s="2"/>
      <c r="T847" s="158"/>
      <c r="U847" s="2"/>
      <c r="V847" s="2"/>
      <c r="W847" s="2"/>
      <c r="X847" s="2"/>
      <c r="Y847" s="2"/>
      <c r="Z847" s="2"/>
    </row>
    <row r="848" ht="13.5" customHeight="1">
      <c r="A848" s="2"/>
      <c r="B848" s="2"/>
      <c r="C848" s="2"/>
      <c r="D848" s="2"/>
      <c r="E848" s="2"/>
      <c r="F848" s="2"/>
      <c r="G848" s="2"/>
      <c r="H848" s="2"/>
      <c r="I848" s="2"/>
      <c r="J848" s="2"/>
      <c r="K848" s="181"/>
      <c r="L848" s="2"/>
      <c r="M848" s="2"/>
      <c r="N848" s="2"/>
      <c r="O848" s="2"/>
      <c r="P848" s="2"/>
      <c r="Q848" s="157"/>
      <c r="R848" s="157"/>
      <c r="S848" s="2"/>
      <c r="T848" s="158"/>
      <c r="U848" s="2"/>
      <c r="V848" s="2"/>
      <c r="W848" s="2"/>
      <c r="X848" s="2"/>
      <c r="Y848" s="2"/>
      <c r="Z848" s="2"/>
    </row>
    <row r="849" ht="13.5" customHeight="1">
      <c r="A849" s="2"/>
      <c r="B849" s="2"/>
      <c r="C849" s="2"/>
      <c r="D849" s="2"/>
      <c r="E849" s="2"/>
      <c r="F849" s="2"/>
      <c r="G849" s="2"/>
      <c r="H849" s="2"/>
      <c r="I849" s="2"/>
      <c r="J849" s="2"/>
      <c r="K849" s="181"/>
      <c r="L849" s="2"/>
      <c r="M849" s="2"/>
      <c r="N849" s="2"/>
      <c r="O849" s="2"/>
      <c r="P849" s="2"/>
      <c r="Q849" s="157"/>
      <c r="R849" s="157"/>
      <c r="S849" s="2"/>
      <c r="T849" s="158"/>
      <c r="U849" s="2"/>
      <c r="V849" s="2"/>
      <c r="W849" s="2"/>
      <c r="X849" s="2"/>
      <c r="Y849" s="2"/>
      <c r="Z849" s="2"/>
    </row>
    <row r="850" ht="13.5" customHeight="1">
      <c r="A850" s="2"/>
      <c r="B850" s="2"/>
      <c r="C850" s="2"/>
      <c r="D850" s="2"/>
      <c r="E850" s="2"/>
      <c r="F850" s="2"/>
      <c r="G850" s="2"/>
      <c r="H850" s="2"/>
      <c r="I850" s="2"/>
      <c r="J850" s="2"/>
      <c r="K850" s="181"/>
      <c r="L850" s="2"/>
      <c r="M850" s="2"/>
      <c r="N850" s="2"/>
      <c r="O850" s="2"/>
      <c r="P850" s="2"/>
      <c r="Q850" s="157"/>
      <c r="R850" s="157"/>
      <c r="S850" s="2"/>
      <c r="T850" s="158"/>
      <c r="U850" s="2"/>
      <c r="V850" s="2"/>
      <c r="W850" s="2"/>
      <c r="X850" s="2"/>
      <c r="Y850" s="2"/>
      <c r="Z850" s="2"/>
    </row>
    <row r="851" ht="13.5" customHeight="1">
      <c r="A851" s="2"/>
      <c r="B851" s="2"/>
      <c r="C851" s="2"/>
      <c r="D851" s="2"/>
      <c r="E851" s="2"/>
      <c r="F851" s="2"/>
      <c r="G851" s="2"/>
      <c r="H851" s="2"/>
      <c r="I851" s="2"/>
      <c r="J851" s="2"/>
      <c r="K851" s="181"/>
      <c r="L851" s="2"/>
      <c r="M851" s="2"/>
      <c r="N851" s="2"/>
      <c r="O851" s="2"/>
      <c r="P851" s="2"/>
      <c r="Q851" s="157"/>
      <c r="R851" s="157"/>
      <c r="S851" s="2"/>
      <c r="T851" s="158"/>
      <c r="U851" s="2"/>
      <c r="V851" s="2"/>
      <c r="W851" s="2"/>
      <c r="X851" s="2"/>
      <c r="Y851" s="2"/>
      <c r="Z851" s="2"/>
    </row>
    <row r="852" ht="13.5" customHeight="1">
      <c r="A852" s="2"/>
      <c r="B852" s="2"/>
      <c r="C852" s="2"/>
      <c r="D852" s="2"/>
      <c r="E852" s="2"/>
      <c r="F852" s="2"/>
      <c r="G852" s="2"/>
      <c r="H852" s="2"/>
      <c r="I852" s="2"/>
      <c r="J852" s="2"/>
      <c r="K852" s="181"/>
      <c r="L852" s="2"/>
      <c r="M852" s="2"/>
      <c r="N852" s="2"/>
      <c r="O852" s="2"/>
      <c r="P852" s="2"/>
      <c r="Q852" s="157"/>
      <c r="R852" s="157"/>
      <c r="S852" s="2"/>
      <c r="T852" s="158"/>
      <c r="U852" s="2"/>
      <c r="V852" s="2"/>
      <c r="W852" s="2"/>
      <c r="X852" s="2"/>
      <c r="Y852" s="2"/>
      <c r="Z852" s="2"/>
    </row>
    <row r="853" ht="13.5" customHeight="1">
      <c r="A853" s="2"/>
      <c r="B853" s="2"/>
      <c r="C853" s="2"/>
      <c r="D853" s="2"/>
      <c r="E853" s="2"/>
      <c r="F853" s="2"/>
      <c r="G853" s="2"/>
      <c r="H853" s="2"/>
      <c r="I853" s="2"/>
      <c r="J853" s="2"/>
      <c r="K853" s="181"/>
      <c r="L853" s="2"/>
      <c r="M853" s="2"/>
      <c r="N853" s="2"/>
      <c r="O853" s="2"/>
      <c r="P853" s="2"/>
      <c r="Q853" s="157"/>
      <c r="R853" s="157"/>
      <c r="S853" s="2"/>
      <c r="T853" s="158"/>
      <c r="U853" s="2"/>
      <c r="V853" s="2"/>
      <c r="W853" s="2"/>
      <c r="X853" s="2"/>
      <c r="Y853" s="2"/>
      <c r="Z853" s="2"/>
    </row>
    <row r="854" ht="13.5" customHeight="1">
      <c r="A854" s="2"/>
      <c r="B854" s="2"/>
      <c r="C854" s="2"/>
      <c r="D854" s="2"/>
      <c r="E854" s="2"/>
      <c r="F854" s="2"/>
      <c r="G854" s="2"/>
      <c r="H854" s="2"/>
      <c r="I854" s="2"/>
      <c r="J854" s="2"/>
      <c r="K854" s="181"/>
      <c r="L854" s="2"/>
      <c r="M854" s="2"/>
      <c r="N854" s="2"/>
      <c r="O854" s="2"/>
      <c r="P854" s="2"/>
      <c r="Q854" s="157"/>
      <c r="R854" s="157"/>
      <c r="S854" s="2"/>
      <c r="T854" s="158"/>
      <c r="U854" s="2"/>
      <c r="V854" s="2"/>
      <c r="W854" s="2"/>
      <c r="X854" s="2"/>
      <c r="Y854" s="2"/>
      <c r="Z854" s="2"/>
    </row>
    <row r="855" ht="13.5" customHeight="1">
      <c r="A855" s="2"/>
      <c r="B855" s="2"/>
      <c r="C855" s="2"/>
      <c r="D855" s="2"/>
      <c r="E855" s="2"/>
      <c r="F855" s="2"/>
      <c r="G855" s="2"/>
      <c r="H855" s="2"/>
      <c r="I855" s="2"/>
      <c r="J855" s="2"/>
      <c r="K855" s="181"/>
      <c r="L855" s="2"/>
      <c r="M855" s="2"/>
      <c r="N855" s="2"/>
      <c r="O855" s="2"/>
      <c r="P855" s="2"/>
      <c r="Q855" s="157"/>
      <c r="R855" s="157"/>
      <c r="S855" s="2"/>
      <c r="T855" s="158"/>
      <c r="U855" s="2"/>
      <c r="V855" s="2"/>
      <c r="W855" s="2"/>
      <c r="X855" s="2"/>
      <c r="Y855" s="2"/>
      <c r="Z855" s="2"/>
    </row>
    <row r="856" ht="13.5" customHeight="1">
      <c r="A856" s="2"/>
      <c r="B856" s="2"/>
      <c r="C856" s="2"/>
      <c r="D856" s="2"/>
      <c r="E856" s="2"/>
      <c r="F856" s="2"/>
      <c r="G856" s="2"/>
      <c r="H856" s="2"/>
      <c r="I856" s="2"/>
      <c r="J856" s="2"/>
      <c r="K856" s="181"/>
      <c r="L856" s="2"/>
      <c r="M856" s="2"/>
      <c r="N856" s="2"/>
      <c r="O856" s="2"/>
      <c r="P856" s="2"/>
      <c r="Q856" s="157"/>
      <c r="R856" s="157"/>
      <c r="S856" s="2"/>
      <c r="T856" s="158"/>
      <c r="U856" s="2"/>
      <c r="V856" s="2"/>
      <c r="W856" s="2"/>
      <c r="X856" s="2"/>
      <c r="Y856" s="2"/>
      <c r="Z856" s="2"/>
    </row>
    <row r="857" ht="13.5" customHeight="1">
      <c r="A857" s="2"/>
      <c r="B857" s="2"/>
      <c r="C857" s="2"/>
      <c r="D857" s="2"/>
      <c r="E857" s="2"/>
      <c r="F857" s="2"/>
      <c r="G857" s="2"/>
      <c r="H857" s="2"/>
      <c r="I857" s="2"/>
      <c r="J857" s="2"/>
      <c r="K857" s="181"/>
      <c r="L857" s="2"/>
      <c r="M857" s="2"/>
      <c r="N857" s="2"/>
      <c r="O857" s="2"/>
      <c r="P857" s="2"/>
      <c r="Q857" s="157"/>
      <c r="R857" s="157"/>
      <c r="S857" s="2"/>
      <c r="T857" s="158"/>
      <c r="U857" s="2"/>
      <c r="V857" s="2"/>
      <c r="W857" s="2"/>
      <c r="X857" s="2"/>
      <c r="Y857" s="2"/>
      <c r="Z857" s="2"/>
    </row>
    <row r="858" ht="13.5" customHeight="1">
      <c r="A858" s="2"/>
      <c r="B858" s="2"/>
      <c r="C858" s="2"/>
      <c r="D858" s="2"/>
      <c r="E858" s="2"/>
      <c r="F858" s="2"/>
      <c r="G858" s="2"/>
      <c r="H858" s="2"/>
      <c r="I858" s="2"/>
      <c r="J858" s="2"/>
      <c r="K858" s="181"/>
      <c r="L858" s="2"/>
      <c r="M858" s="2"/>
      <c r="N858" s="2"/>
      <c r="O858" s="2"/>
      <c r="P858" s="2"/>
      <c r="Q858" s="157"/>
      <c r="R858" s="157"/>
      <c r="S858" s="2"/>
      <c r="T858" s="158"/>
      <c r="U858" s="2"/>
      <c r="V858" s="2"/>
      <c r="W858" s="2"/>
      <c r="X858" s="2"/>
      <c r="Y858" s="2"/>
      <c r="Z858" s="2"/>
    </row>
    <row r="859" ht="13.5" customHeight="1">
      <c r="A859" s="2"/>
      <c r="B859" s="2"/>
      <c r="C859" s="2"/>
      <c r="D859" s="2"/>
      <c r="E859" s="2"/>
      <c r="F859" s="2"/>
      <c r="G859" s="2"/>
      <c r="H859" s="2"/>
      <c r="I859" s="2"/>
      <c r="J859" s="2"/>
      <c r="K859" s="181"/>
      <c r="L859" s="2"/>
      <c r="M859" s="2"/>
      <c r="N859" s="2"/>
      <c r="O859" s="2"/>
      <c r="P859" s="2"/>
      <c r="Q859" s="157"/>
      <c r="R859" s="157"/>
      <c r="S859" s="2"/>
      <c r="T859" s="158"/>
      <c r="U859" s="2"/>
      <c r="V859" s="2"/>
      <c r="W859" s="2"/>
      <c r="X859" s="2"/>
      <c r="Y859" s="2"/>
      <c r="Z859" s="2"/>
    </row>
    <row r="860" ht="13.5" customHeight="1">
      <c r="A860" s="2"/>
      <c r="B860" s="2"/>
      <c r="C860" s="2"/>
      <c r="D860" s="2"/>
      <c r="E860" s="2"/>
      <c r="F860" s="2"/>
      <c r="G860" s="2"/>
      <c r="H860" s="2"/>
      <c r="I860" s="2"/>
      <c r="J860" s="2"/>
      <c r="K860" s="181"/>
      <c r="L860" s="2"/>
      <c r="M860" s="2"/>
      <c r="N860" s="2"/>
      <c r="O860" s="2"/>
      <c r="P860" s="2"/>
      <c r="Q860" s="157"/>
      <c r="R860" s="157"/>
      <c r="S860" s="2"/>
      <c r="T860" s="158"/>
      <c r="U860" s="2"/>
      <c r="V860" s="2"/>
      <c r="W860" s="2"/>
      <c r="X860" s="2"/>
      <c r="Y860" s="2"/>
      <c r="Z860" s="2"/>
    </row>
    <row r="861" ht="13.5" customHeight="1">
      <c r="A861" s="2"/>
      <c r="B861" s="2"/>
      <c r="C861" s="2"/>
      <c r="D861" s="2"/>
      <c r="E861" s="2"/>
      <c r="F861" s="2"/>
      <c r="G861" s="2"/>
      <c r="H861" s="2"/>
      <c r="I861" s="2"/>
      <c r="J861" s="2"/>
      <c r="K861" s="181"/>
      <c r="L861" s="2"/>
      <c r="M861" s="2"/>
      <c r="N861" s="2"/>
      <c r="O861" s="2"/>
      <c r="P861" s="2"/>
      <c r="Q861" s="157"/>
      <c r="R861" s="157"/>
      <c r="S861" s="2"/>
      <c r="T861" s="158"/>
      <c r="U861" s="2"/>
      <c r="V861" s="2"/>
      <c r="W861" s="2"/>
      <c r="X861" s="2"/>
      <c r="Y861" s="2"/>
      <c r="Z861" s="2"/>
    </row>
    <row r="862" ht="13.5" customHeight="1">
      <c r="A862" s="2"/>
      <c r="B862" s="2"/>
      <c r="C862" s="2"/>
      <c r="D862" s="2"/>
      <c r="E862" s="2"/>
      <c r="F862" s="2"/>
      <c r="G862" s="2"/>
      <c r="H862" s="2"/>
      <c r="I862" s="2"/>
      <c r="J862" s="2"/>
      <c r="K862" s="181"/>
      <c r="L862" s="2"/>
      <c r="M862" s="2"/>
      <c r="N862" s="2"/>
      <c r="O862" s="2"/>
      <c r="P862" s="2"/>
      <c r="Q862" s="157"/>
      <c r="R862" s="157"/>
      <c r="S862" s="2"/>
      <c r="T862" s="158"/>
      <c r="U862" s="2"/>
      <c r="V862" s="2"/>
      <c r="W862" s="2"/>
      <c r="X862" s="2"/>
      <c r="Y862" s="2"/>
      <c r="Z862" s="2"/>
    </row>
    <row r="863" ht="13.5" customHeight="1">
      <c r="A863" s="2"/>
      <c r="B863" s="2"/>
      <c r="C863" s="2"/>
      <c r="D863" s="2"/>
      <c r="E863" s="2"/>
      <c r="F863" s="2"/>
      <c r="G863" s="2"/>
      <c r="H863" s="2"/>
      <c r="I863" s="2"/>
      <c r="J863" s="2"/>
      <c r="K863" s="181"/>
      <c r="L863" s="2"/>
      <c r="M863" s="2"/>
      <c r="N863" s="2"/>
      <c r="O863" s="2"/>
      <c r="P863" s="2"/>
      <c r="Q863" s="157"/>
      <c r="R863" s="157"/>
      <c r="S863" s="2"/>
      <c r="T863" s="158"/>
      <c r="U863" s="2"/>
      <c r="V863" s="2"/>
      <c r="W863" s="2"/>
      <c r="X863" s="2"/>
      <c r="Y863" s="2"/>
      <c r="Z863" s="2"/>
    </row>
    <row r="864" ht="13.5" customHeight="1">
      <c r="A864" s="2"/>
      <c r="B864" s="2"/>
      <c r="C864" s="2"/>
      <c r="D864" s="2"/>
      <c r="E864" s="2"/>
      <c r="F864" s="2"/>
      <c r="G864" s="2"/>
      <c r="H864" s="2"/>
      <c r="I864" s="2"/>
      <c r="J864" s="2"/>
      <c r="K864" s="181"/>
      <c r="L864" s="2"/>
      <c r="M864" s="2"/>
      <c r="N864" s="2"/>
      <c r="O864" s="2"/>
      <c r="P864" s="2"/>
      <c r="Q864" s="157"/>
      <c r="R864" s="157"/>
      <c r="S864" s="2"/>
      <c r="T864" s="158"/>
      <c r="U864" s="2"/>
      <c r="V864" s="2"/>
      <c r="W864" s="2"/>
      <c r="X864" s="2"/>
      <c r="Y864" s="2"/>
      <c r="Z864" s="2"/>
    </row>
    <row r="865" ht="13.5" customHeight="1">
      <c r="A865" s="2"/>
      <c r="B865" s="2"/>
      <c r="C865" s="2"/>
      <c r="D865" s="2"/>
      <c r="E865" s="2"/>
      <c r="F865" s="2"/>
      <c r="G865" s="2"/>
      <c r="H865" s="2"/>
      <c r="I865" s="2"/>
      <c r="J865" s="2"/>
      <c r="K865" s="181"/>
      <c r="L865" s="2"/>
      <c r="M865" s="2"/>
      <c r="N865" s="2"/>
      <c r="O865" s="2"/>
      <c r="P865" s="2"/>
      <c r="Q865" s="157"/>
      <c r="R865" s="157"/>
      <c r="S865" s="2"/>
      <c r="T865" s="158"/>
      <c r="U865" s="2"/>
      <c r="V865" s="2"/>
      <c r="W865" s="2"/>
      <c r="X865" s="2"/>
      <c r="Y865" s="2"/>
      <c r="Z865" s="2"/>
    </row>
    <row r="866" ht="13.5" customHeight="1">
      <c r="A866" s="2"/>
      <c r="B866" s="2"/>
      <c r="C866" s="2"/>
      <c r="D866" s="2"/>
      <c r="E866" s="2"/>
      <c r="F866" s="2"/>
      <c r="G866" s="2"/>
      <c r="H866" s="2"/>
      <c r="I866" s="2"/>
      <c r="J866" s="2"/>
      <c r="K866" s="181"/>
      <c r="L866" s="2"/>
      <c r="M866" s="2"/>
      <c r="N866" s="2"/>
      <c r="O866" s="2"/>
      <c r="P866" s="2"/>
      <c r="Q866" s="157"/>
      <c r="R866" s="157"/>
      <c r="S866" s="2"/>
      <c r="T866" s="158"/>
      <c r="U866" s="2"/>
      <c r="V866" s="2"/>
      <c r="W866" s="2"/>
      <c r="X866" s="2"/>
      <c r="Y866" s="2"/>
      <c r="Z866" s="2"/>
    </row>
    <row r="867" ht="13.5" customHeight="1">
      <c r="A867" s="2"/>
      <c r="B867" s="2"/>
      <c r="C867" s="2"/>
      <c r="D867" s="2"/>
      <c r="E867" s="2"/>
      <c r="F867" s="2"/>
      <c r="G867" s="2"/>
      <c r="H867" s="2"/>
      <c r="I867" s="2"/>
      <c r="J867" s="2"/>
      <c r="K867" s="181"/>
      <c r="L867" s="2"/>
      <c r="M867" s="2"/>
      <c r="N867" s="2"/>
      <c r="O867" s="2"/>
      <c r="P867" s="2"/>
      <c r="Q867" s="157"/>
      <c r="R867" s="157"/>
      <c r="S867" s="2"/>
      <c r="T867" s="158"/>
      <c r="U867" s="2"/>
      <c r="V867" s="2"/>
      <c r="W867" s="2"/>
      <c r="X867" s="2"/>
      <c r="Y867" s="2"/>
      <c r="Z867" s="2"/>
    </row>
    <row r="868" ht="13.5" customHeight="1">
      <c r="A868" s="2"/>
      <c r="B868" s="2"/>
      <c r="C868" s="2"/>
      <c r="D868" s="2"/>
      <c r="E868" s="2"/>
      <c r="F868" s="2"/>
      <c r="G868" s="2"/>
      <c r="H868" s="2"/>
      <c r="I868" s="2"/>
      <c r="J868" s="2"/>
      <c r="K868" s="181"/>
      <c r="L868" s="2"/>
      <c r="M868" s="2"/>
      <c r="N868" s="2"/>
      <c r="O868" s="2"/>
      <c r="P868" s="2"/>
      <c r="Q868" s="157"/>
      <c r="R868" s="157"/>
      <c r="S868" s="2"/>
      <c r="T868" s="158"/>
      <c r="U868" s="2"/>
      <c r="V868" s="2"/>
      <c r="W868" s="2"/>
      <c r="X868" s="2"/>
      <c r="Y868" s="2"/>
      <c r="Z868" s="2"/>
    </row>
    <row r="869" ht="13.5" customHeight="1">
      <c r="A869" s="2"/>
      <c r="B869" s="2"/>
      <c r="C869" s="2"/>
      <c r="D869" s="2"/>
      <c r="E869" s="2"/>
      <c r="F869" s="2"/>
      <c r="G869" s="2"/>
      <c r="H869" s="2"/>
      <c r="I869" s="2"/>
      <c r="J869" s="2"/>
      <c r="K869" s="181"/>
      <c r="L869" s="2"/>
      <c r="M869" s="2"/>
      <c r="N869" s="2"/>
      <c r="O869" s="2"/>
      <c r="P869" s="2"/>
      <c r="Q869" s="157"/>
      <c r="R869" s="157"/>
      <c r="S869" s="2"/>
      <c r="T869" s="158"/>
      <c r="U869" s="2"/>
      <c r="V869" s="2"/>
      <c r="W869" s="2"/>
      <c r="X869" s="2"/>
      <c r="Y869" s="2"/>
      <c r="Z869" s="2"/>
    </row>
    <row r="870" ht="13.5" customHeight="1">
      <c r="A870" s="2"/>
      <c r="B870" s="2"/>
      <c r="C870" s="2"/>
      <c r="D870" s="2"/>
      <c r="E870" s="2"/>
      <c r="F870" s="2"/>
      <c r="G870" s="2"/>
      <c r="H870" s="2"/>
      <c r="I870" s="2"/>
      <c r="J870" s="2"/>
      <c r="K870" s="181"/>
      <c r="L870" s="2"/>
      <c r="M870" s="2"/>
      <c r="N870" s="2"/>
      <c r="O870" s="2"/>
      <c r="P870" s="2"/>
      <c r="Q870" s="157"/>
      <c r="R870" s="157"/>
      <c r="S870" s="2"/>
      <c r="T870" s="158"/>
      <c r="U870" s="2"/>
      <c r="V870" s="2"/>
      <c r="W870" s="2"/>
      <c r="X870" s="2"/>
      <c r="Y870" s="2"/>
      <c r="Z870" s="2"/>
    </row>
    <row r="871" ht="13.5" customHeight="1">
      <c r="A871" s="2"/>
      <c r="B871" s="2"/>
      <c r="C871" s="2"/>
      <c r="D871" s="2"/>
      <c r="E871" s="2"/>
      <c r="F871" s="2"/>
      <c r="G871" s="2"/>
      <c r="H871" s="2"/>
      <c r="I871" s="2"/>
      <c r="J871" s="2"/>
      <c r="K871" s="181"/>
      <c r="L871" s="2"/>
      <c r="M871" s="2"/>
      <c r="N871" s="2"/>
      <c r="O871" s="2"/>
      <c r="P871" s="2"/>
      <c r="Q871" s="157"/>
      <c r="R871" s="157"/>
      <c r="S871" s="2"/>
      <c r="T871" s="158"/>
      <c r="U871" s="2"/>
      <c r="V871" s="2"/>
      <c r="W871" s="2"/>
      <c r="X871" s="2"/>
      <c r="Y871" s="2"/>
      <c r="Z871" s="2"/>
    </row>
    <row r="872" ht="13.5" customHeight="1">
      <c r="A872" s="2"/>
      <c r="B872" s="2"/>
      <c r="C872" s="2"/>
      <c r="D872" s="2"/>
      <c r="E872" s="2"/>
      <c r="F872" s="2"/>
      <c r="G872" s="2"/>
      <c r="H872" s="2"/>
      <c r="I872" s="2"/>
      <c r="J872" s="2"/>
      <c r="K872" s="181"/>
      <c r="L872" s="2"/>
      <c r="M872" s="2"/>
      <c r="N872" s="2"/>
      <c r="O872" s="2"/>
      <c r="P872" s="2"/>
      <c r="Q872" s="157"/>
      <c r="R872" s="157"/>
      <c r="S872" s="2"/>
      <c r="T872" s="158"/>
      <c r="U872" s="2"/>
      <c r="V872" s="2"/>
      <c r="W872" s="2"/>
      <c r="X872" s="2"/>
      <c r="Y872" s="2"/>
      <c r="Z872" s="2"/>
    </row>
    <row r="873" ht="13.5" customHeight="1">
      <c r="A873" s="2"/>
      <c r="B873" s="2"/>
      <c r="C873" s="2"/>
      <c r="D873" s="2"/>
      <c r="E873" s="2"/>
      <c r="F873" s="2"/>
      <c r="G873" s="2"/>
      <c r="H873" s="2"/>
      <c r="I873" s="2"/>
      <c r="J873" s="2"/>
      <c r="K873" s="181"/>
      <c r="L873" s="2"/>
      <c r="M873" s="2"/>
      <c r="N873" s="2"/>
      <c r="O873" s="2"/>
      <c r="P873" s="2"/>
      <c r="Q873" s="157"/>
      <c r="R873" s="157"/>
      <c r="S873" s="2"/>
      <c r="T873" s="158"/>
      <c r="U873" s="2"/>
      <c r="V873" s="2"/>
      <c r="W873" s="2"/>
      <c r="X873" s="2"/>
      <c r="Y873" s="2"/>
      <c r="Z873" s="2"/>
    </row>
    <row r="874" ht="13.5" customHeight="1">
      <c r="A874" s="2"/>
      <c r="B874" s="2"/>
      <c r="C874" s="2"/>
      <c r="D874" s="2"/>
      <c r="E874" s="2"/>
      <c r="F874" s="2"/>
      <c r="G874" s="2"/>
      <c r="H874" s="2"/>
      <c r="I874" s="2"/>
      <c r="J874" s="2"/>
      <c r="K874" s="181"/>
      <c r="L874" s="2"/>
      <c r="M874" s="2"/>
      <c r="N874" s="2"/>
      <c r="O874" s="2"/>
      <c r="P874" s="2"/>
      <c r="Q874" s="157"/>
      <c r="R874" s="157"/>
      <c r="S874" s="2"/>
      <c r="T874" s="158"/>
      <c r="U874" s="2"/>
      <c r="V874" s="2"/>
      <c r="W874" s="2"/>
      <c r="X874" s="2"/>
      <c r="Y874" s="2"/>
      <c r="Z874" s="2"/>
    </row>
    <row r="875" ht="13.5" customHeight="1">
      <c r="A875" s="2"/>
      <c r="B875" s="2"/>
      <c r="C875" s="2"/>
      <c r="D875" s="2"/>
      <c r="E875" s="2"/>
      <c r="F875" s="2"/>
      <c r="G875" s="2"/>
      <c r="H875" s="2"/>
      <c r="I875" s="2"/>
      <c r="J875" s="2"/>
      <c r="K875" s="181"/>
      <c r="L875" s="2"/>
      <c r="M875" s="2"/>
      <c r="N875" s="2"/>
      <c r="O875" s="2"/>
      <c r="P875" s="2"/>
      <c r="Q875" s="157"/>
      <c r="R875" s="157"/>
      <c r="S875" s="2"/>
      <c r="T875" s="158"/>
      <c r="U875" s="2"/>
      <c r="V875" s="2"/>
      <c r="W875" s="2"/>
      <c r="X875" s="2"/>
      <c r="Y875" s="2"/>
      <c r="Z875" s="2"/>
    </row>
    <row r="876" ht="13.5" customHeight="1">
      <c r="A876" s="2"/>
      <c r="B876" s="2"/>
      <c r="C876" s="2"/>
      <c r="D876" s="2"/>
      <c r="E876" s="2"/>
      <c r="F876" s="2"/>
      <c r="G876" s="2"/>
      <c r="H876" s="2"/>
      <c r="I876" s="2"/>
      <c r="J876" s="2"/>
      <c r="K876" s="181"/>
      <c r="L876" s="2"/>
      <c r="M876" s="2"/>
      <c r="N876" s="2"/>
      <c r="O876" s="2"/>
      <c r="P876" s="2"/>
      <c r="Q876" s="157"/>
      <c r="R876" s="157"/>
      <c r="S876" s="2"/>
      <c r="T876" s="158"/>
      <c r="U876" s="2"/>
      <c r="V876" s="2"/>
      <c r="W876" s="2"/>
      <c r="X876" s="2"/>
      <c r="Y876" s="2"/>
      <c r="Z876" s="2"/>
    </row>
    <row r="877" ht="13.5" customHeight="1">
      <c r="A877" s="2"/>
      <c r="B877" s="2"/>
      <c r="C877" s="2"/>
      <c r="D877" s="2"/>
      <c r="E877" s="2"/>
      <c r="F877" s="2"/>
      <c r="G877" s="2"/>
      <c r="H877" s="2"/>
      <c r="I877" s="2"/>
      <c r="J877" s="2"/>
      <c r="K877" s="181"/>
      <c r="L877" s="2"/>
      <c r="M877" s="2"/>
      <c r="N877" s="2"/>
      <c r="O877" s="2"/>
      <c r="P877" s="2"/>
      <c r="Q877" s="157"/>
      <c r="R877" s="157"/>
      <c r="S877" s="2"/>
      <c r="T877" s="158"/>
      <c r="U877" s="2"/>
      <c r="V877" s="2"/>
      <c r="W877" s="2"/>
      <c r="X877" s="2"/>
      <c r="Y877" s="2"/>
      <c r="Z877" s="2"/>
    </row>
    <row r="878" ht="13.5" customHeight="1">
      <c r="A878" s="2"/>
      <c r="B878" s="2"/>
      <c r="C878" s="2"/>
      <c r="D878" s="2"/>
      <c r="E878" s="2"/>
      <c r="F878" s="2"/>
      <c r="G878" s="2"/>
      <c r="H878" s="2"/>
      <c r="I878" s="2"/>
      <c r="J878" s="2"/>
      <c r="K878" s="181"/>
      <c r="L878" s="2"/>
      <c r="M878" s="2"/>
      <c r="N878" s="2"/>
      <c r="O878" s="2"/>
      <c r="P878" s="2"/>
      <c r="Q878" s="157"/>
      <c r="R878" s="157"/>
      <c r="S878" s="2"/>
      <c r="T878" s="158"/>
      <c r="U878" s="2"/>
      <c r="V878" s="2"/>
      <c r="W878" s="2"/>
      <c r="X878" s="2"/>
      <c r="Y878" s="2"/>
      <c r="Z878" s="2"/>
    </row>
    <row r="879" ht="13.5" customHeight="1">
      <c r="A879" s="2"/>
      <c r="B879" s="2"/>
      <c r="C879" s="2"/>
      <c r="D879" s="2"/>
      <c r="E879" s="2"/>
      <c r="F879" s="2"/>
      <c r="G879" s="2"/>
      <c r="H879" s="2"/>
      <c r="I879" s="2"/>
      <c r="J879" s="2"/>
      <c r="K879" s="181"/>
      <c r="L879" s="2"/>
      <c r="M879" s="2"/>
      <c r="N879" s="2"/>
      <c r="O879" s="2"/>
      <c r="P879" s="2"/>
      <c r="Q879" s="157"/>
      <c r="R879" s="157"/>
      <c r="S879" s="2"/>
      <c r="T879" s="158"/>
      <c r="U879" s="2"/>
      <c r="V879" s="2"/>
      <c r="W879" s="2"/>
      <c r="X879" s="2"/>
      <c r="Y879" s="2"/>
      <c r="Z879" s="2"/>
    </row>
    <row r="880" ht="13.5" customHeight="1">
      <c r="A880" s="2"/>
      <c r="B880" s="2"/>
      <c r="C880" s="2"/>
      <c r="D880" s="2"/>
      <c r="E880" s="2"/>
      <c r="F880" s="2"/>
      <c r="G880" s="2"/>
      <c r="H880" s="2"/>
      <c r="I880" s="2"/>
      <c r="J880" s="2"/>
      <c r="K880" s="181"/>
      <c r="L880" s="2"/>
      <c r="M880" s="2"/>
      <c r="N880" s="2"/>
      <c r="O880" s="2"/>
      <c r="P880" s="2"/>
      <c r="Q880" s="157"/>
      <c r="R880" s="157"/>
      <c r="S880" s="2"/>
      <c r="T880" s="158"/>
      <c r="U880" s="2"/>
      <c r="V880" s="2"/>
      <c r="W880" s="2"/>
      <c r="X880" s="2"/>
      <c r="Y880" s="2"/>
      <c r="Z880" s="2"/>
    </row>
    <row r="881" ht="13.5" customHeight="1">
      <c r="A881" s="2"/>
      <c r="B881" s="2"/>
      <c r="C881" s="2"/>
      <c r="D881" s="2"/>
      <c r="E881" s="2"/>
      <c r="F881" s="2"/>
      <c r="G881" s="2"/>
      <c r="H881" s="2"/>
      <c r="I881" s="2"/>
      <c r="J881" s="2"/>
      <c r="K881" s="181"/>
      <c r="L881" s="2"/>
      <c r="M881" s="2"/>
      <c r="N881" s="2"/>
      <c r="O881" s="2"/>
      <c r="P881" s="2"/>
      <c r="Q881" s="157"/>
      <c r="R881" s="157"/>
      <c r="S881" s="2"/>
      <c r="T881" s="158"/>
      <c r="U881" s="2"/>
      <c r="V881" s="2"/>
      <c r="W881" s="2"/>
      <c r="X881" s="2"/>
      <c r="Y881" s="2"/>
      <c r="Z881" s="2"/>
    </row>
    <row r="882" ht="13.5" customHeight="1">
      <c r="A882" s="2"/>
      <c r="B882" s="2"/>
      <c r="C882" s="2"/>
      <c r="D882" s="2"/>
      <c r="E882" s="2"/>
      <c r="F882" s="2"/>
      <c r="G882" s="2"/>
      <c r="H882" s="2"/>
      <c r="I882" s="2"/>
      <c r="J882" s="2"/>
      <c r="K882" s="181"/>
      <c r="L882" s="2"/>
      <c r="M882" s="2"/>
      <c r="N882" s="2"/>
      <c r="O882" s="2"/>
      <c r="P882" s="2"/>
      <c r="Q882" s="157"/>
      <c r="R882" s="157"/>
      <c r="S882" s="2"/>
      <c r="T882" s="158"/>
      <c r="U882" s="2"/>
      <c r="V882" s="2"/>
      <c r="W882" s="2"/>
      <c r="X882" s="2"/>
      <c r="Y882" s="2"/>
      <c r="Z882" s="2"/>
    </row>
    <row r="883" ht="13.5" customHeight="1">
      <c r="A883" s="2"/>
      <c r="B883" s="2"/>
      <c r="C883" s="2"/>
      <c r="D883" s="2"/>
      <c r="E883" s="2"/>
      <c r="F883" s="2"/>
      <c r="G883" s="2"/>
      <c r="H883" s="2"/>
      <c r="I883" s="2"/>
      <c r="J883" s="2"/>
      <c r="K883" s="181"/>
      <c r="L883" s="2"/>
      <c r="M883" s="2"/>
      <c r="N883" s="2"/>
      <c r="O883" s="2"/>
      <c r="P883" s="2"/>
      <c r="Q883" s="157"/>
      <c r="R883" s="157"/>
      <c r="S883" s="2"/>
      <c r="T883" s="158"/>
      <c r="U883" s="2"/>
      <c r="V883" s="2"/>
      <c r="W883" s="2"/>
      <c r="X883" s="2"/>
      <c r="Y883" s="2"/>
      <c r="Z883" s="2"/>
    </row>
    <row r="884" ht="13.5" customHeight="1">
      <c r="A884" s="2"/>
      <c r="B884" s="2"/>
      <c r="C884" s="2"/>
      <c r="D884" s="2"/>
      <c r="E884" s="2"/>
      <c r="F884" s="2"/>
      <c r="G884" s="2"/>
      <c r="H884" s="2"/>
      <c r="I884" s="2"/>
      <c r="J884" s="2"/>
      <c r="K884" s="181"/>
      <c r="L884" s="2"/>
      <c r="M884" s="2"/>
      <c r="N884" s="2"/>
      <c r="O884" s="2"/>
      <c r="P884" s="2"/>
      <c r="Q884" s="157"/>
      <c r="R884" s="157"/>
      <c r="S884" s="2"/>
      <c r="T884" s="158"/>
      <c r="U884" s="2"/>
      <c r="V884" s="2"/>
      <c r="W884" s="2"/>
      <c r="X884" s="2"/>
      <c r="Y884" s="2"/>
      <c r="Z884" s="2"/>
    </row>
    <row r="885" ht="13.5" customHeight="1">
      <c r="A885" s="2"/>
      <c r="B885" s="2"/>
      <c r="C885" s="2"/>
      <c r="D885" s="2"/>
      <c r="E885" s="2"/>
      <c r="F885" s="2"/>
      <c r="G885" s="2"/>
      <c r="H885" s="2"/>
      <c r="I885" s="2"/>
      <c r="J885" s="2"/>
      <c r="K885" s="181"/>
      <c r="L885" s="2"/>
      <c r="M885" s="2"/>
      <c r="N885" s="2"/>
      <c r="O885" s="2"/>
      <c r="P885" s="2"/>
      <c r="Q885" s="157"/>
      <c r="R885" s="157"/>
      <c r="S885" s="2"/>
      <c r="T885" s="158"/>
      <c r="U885" s="2"/>
      <c r="V885" s="2"/>
      <c r="W885" s="2"/>
      <c r="X885" s="2"/>
      <c r="Y885" s="2"/>
      <c r="Z885" s="2"/>
    </row>
    <row r="886" ht="13.5" customHeight="1">
      <c r="A886" s="2"/>
      <c r="B886" s="2"/>
      <c r="C886" s="2"/>
      <c r="D886" s="2"/>
      <c r="E886" s="2"/>
      <c r="F886" s="2"/>
      <c r="G886" s="2"/>
      <c r="H886" s="2"/>
      <c r="I886" s="2"/>
      <c r="J886" s="2"/>
      <c r="K886" s="181"/>
      <c r="L886" s="2"/>
      <c r="M886" s="2"/>
      <c r="N886" s="2"/>
      <c r="O886" s="2"/>
      <c r="P886" s="2"/>
      <c r="Q886" s="157"/>
      <c r="R886" s="157"/>
      <c r="S886" s="2"/>
      <c r="T886" s="158"/>
      <c r="U886" s="2"/>
      <c r="V886" s="2"/>
      <c r="W886" s="2"/>
      <c r="X886" s="2"/>
      <c r="Y886" s="2"/>
      <c r="Z886" s="2"/>
    </row>
    <row r="887" ht="13.5" customHeight="1">
      <c r="A887" s="2"/>
      <c r="B887" s="2"/>
      <c r="C887" s="2"/>
      <c r="D887" s="2"/>
      <c r="E887" s="2"/>
      <c r="F887" s="2"/>
      <c r="G887" s="2"/>
      <c r="H887" s="2"/>
      <c r="I887" s="2"/>
      <c r="J887" s="2"/>
      <c r="K887" s="181"/>
      <c r="L887" s="2"/>
      <c r="M887" s="2"/>
      <c r="N887" s="2"/>
      <c r="O887" s="2"/>
      <c r="P887" s="2"/>
      <c r="Q887" s="157"/>
      <c r="R887" s="157"/>
      <c r="S887" s="2"/>
      <c r="T887" s="158"/>
      <c r="U887" s="2"/>
      <c r="V887" s="2"/>
      <c r="W887" s="2"/>
      <c r="X887" s="2"/>
      <c r="Y887" s="2"/>
      <c r="Z887" s="2"/>
    </row>
    <row r="888" ht="13.5" customHeight="1">
      <c r="A888" s="2"/>
      <c r="B888" s="2"/>
      <c r="C888" s="2"/>
      <c r="D888" s="2"/>
      <c r="E888" s="2"/>
      <c r="F888" s="2"/>
      <c r="G888" s="2"/>
      <c r="H888" s="2"/>
      <c r="I888" s="2"/>
      <c r="J888" s="2"/>
      <c r="K888" s="181"/>
      <c r="L888" s="2"/>
      <c r="M888" s="2"/>
      <c r="N888" s="2"/>
      <c r="O888" s="2"/>
      <c r="P888" s="2"/>
      <c r="Q888" s="157"/>
      <c r="R888" s="157"/>
      <c r="S888" s="2"/>
      <c r="T888" s="158"/>
      <c r="U888" s="2"/>
      <c r="V888" s="2"/>
      <c r="W888" s="2"/>
      <c r="X888" s="2"/>
      <c r="Y888" s="2"/>
      <c r="Z888" s="2"/>
    </row>
    <row r="889" ht="13.5" customHeight="1">
      <c r="A889" s="2"/>
      <c r="B889" s="2"/>
      <c r="C889" s="2"/>
      <c r="D889" s="2"/>
      <c r="E889" s="2"/>
      <c r="F889" s="2"/>
      <c r="G889" s="2"/>
      <c r="H889" s="2"/>
      <c r="I889" s="2"/>
      <c r="J889" s="2"/>
      <c r="K889" s="181"/>
      <c r="L889" s="2"/>
      <c r="M889" s="2"/>
      <c r="N889" s="2"/>
      <c r="O889" s="2"/>
      <c r="P889" s="2"/>
      <c r="Q889" s="157"/>
      <c r="R889" s="157"/>
      <c r="S889" s="2"/>
      <c r="T889" s="158"/>
      <c r="U889" s="2"/>
      <c r="V889" s="2"/>
      <c r="W889" s="2"/>
      <c r="X889" s="2"/>
      <c r="Y889" s="2"/>
      <c r="Z889" s="2"/>
    </row>
    <row r="890" ht="13.5" customHeight="1">
      <c r="A890" s="2"/>
      <c r="B890" s="2"/>
      <c r="C890" s="2"/>
      <c r="D890" s="2"/>
      <c r="E890" s="2"/>
      <c r="F890" s="2"/>
      <c r="G890" s="2"/>
      <c r="H890" s="2"/>
      <c r="I890" s="2"/>
      <c r="J890" s="2"/>
      <c r="K890" s="181"/>
      <c r="L890" s="2"/>
      <c r="M890" s="2"/>
      <c r="N890" s="2"/>
      <c r="O890" s="2"/>
      <c r="P890" s="2"/>
      <c r="Q890" s="157"/>
      <c r="R890" s="157"/>
      <c r="S890" s="2"/>
      <c r="T890" s="158"/>
      <c r="U890" s="2"/>
      <c r="V890" s="2"/>
      <c r="W890" s="2"/>
      <c r="X890" s="2"/>
      <c r="Y890" s="2"/>
      <c r="Z890" s="2"/>
    </row>
    <row r="891" ht="13.5" customHeight="1">
      <c r="A891" s="2"/>
      <c r="B891" s="2"/>
      <c r="C891" s="2"/>
      <c r="D891" s="2"/>
      <c r="E891" s="2"/>
      <c r="F891" s="2"/>
      <c r="G891" s="2"/>
      <c r="H891" s="2"/>
      <c r="I891" s="2"/>
      <c r="J891" s="2"/>
      <c r="K891" s="181"/>
      <c r="L891" s="2"/>
      <c r="M891" s="2"/>
      <c r="N891" s="2"/>
      <c r="O891" s="2"/>
      <c r="P891" s="2"/>
      <c r="Q891" s="157"/>
      <c r="R891" s="157"/>
      <c r="S891" s="2"/>
      <c r="T891" s="158"/>
      <c r="U891" s="2"/>
      <c r="V891" s="2"/>
      <c r="W891" s="2"/>
      <c r="X891" s="2"/>
      <c r="Y891" s="2"/>
      <c r="Z891" s="2"/>
    </row>
    <row r="892" ht="13.5" customHeight="1">
      <c r="A892" s="2"/>
      <c r="B892" s="2"/>
      <c r="C892" s="2"/>
      <c r="D892" s="2"/>
      <c r="E892" s="2"/>
      <c r="F892" s="2"/>
      <c r="G892" s="2"/>
      <c r="H892" s="2"/>
      <c r="I892" s="2"/>
      <c r="J892" s="2"/>
      <c r="K892" s="181"/>
      <c r="L892" s="2"/>
      <c r="M892" s="2"/>
      <c r="N892" s="2"/>
      <c r="O892" s="2"/>
      <c r="P892" s="2"/>
      <c r="Q892" s="157"/>
      <c r="R892" s="157"/>
      <c r="S892" s="2"/>
      <c r="T892" s="158"/>
      <c r="U892" s="2"/>
      <c r="V892" s="2"/>
      <c r="W892" s="2"/>
      <c r="X892" s="2"/>
      <c r="Y892" s="2"/>
      <c r="Z892" s="2"/>
    </row>
    <row r="893" ht="13.5" customHeight="1">
      <c r="A893" s="2"/>
      <c r="B893" s="2"/>
      <c r="C893" s="2"/>
      <c r="D893" s="2"/>
      <c r="E893" s="2"/>
      <c r="F893" s="2"/>
      <c r="G893" s="2"/>
      <c r="H893" s="2"/>
      <c r="I893" s="2"/>
      <c r="J893" s="2"/>
      <c r="K893" s="181"/>
      <c r="L893" s="2"/>
      <c r="M893" s="2"/>
      <c r="N893" s="2"/>
      <c r="O893" s="2"/>
      <c r="P893" s="2"/>
      <c r="Q893" s="157"/>
      <c r="R893" s="157"/>
      <c r="S893" s="2"/>
      <c r="T893" s="158"/>
      <c r="U893" s="2"/>
      <c r="V893" s="2"/>
      <c r="W893" s="2"/>
      <c r="X893" s="2"/>
      <c r="Y893" s="2"/>
      <c r="Z893" s="2"/>
    </row>
    <row r="894" ht="13.5" customHeight="1">
      <c r="A894" s="2"/>
      <c r="B894" s="2"/>
      <c r="C894" s="2"/>
      <c r="D894" s="2"/>
      <c r="E894" s="2"/>
      <c r="F894" s="2"/>
      <c r="G894" s="2"/>
      <c r="H894" s="2"/>
      <c r="I894" s="2"/>
      <c r="J894" s="2"/>
      <c r="K894" s="181"/>
      <c r="L894" s="2"/>
      <c r="M894" s="2"/>
      <c r="N894" s="2"/>
      <c r="O894" s="2"/>
      <c r="P894" s="2"/>
      <c r="Q894" s="157"/>
      <c r="R894" s="157"/>
      <c r="S894" s="2"/>
      <c r="T894" s="158"/>
      <c r="U894" s="2"/>
      <c r="V894" s="2"/>
      <c r="W894" s="2"/>
      <c r="X894" s="2"/>
      <c r="Y894" s="2"/>
      <c r="Z894" s="2"/>
    </row>
    <row r="895" ht="13.5" customHeight="1">
      <c r="A895" s="2"/>
      <c r="B895" s="2"/>
      <c r="C895" s="2"/>
      <c r="D895" s="2"/>
      <c r="E895" s="2"/>
      <c r="F895" s="2"/>
      <c r="G895" s="2"/>
      <c r="H895" s="2"/>
      <c r="I895" s="2"/>
      <c r="J895" s="2"/>
      <c r="K895" s="181"/>
      <c r="L895" s="2"/>
      <c r="M895" s="2"/>
      <c r="N895" s="2"/>
      <c r="O895" s="2"/>
      <c r="P895" s="2"/>
      <c r="Q895" s="157"/>
      <c r="R895" s="157"/>
      <c r="S895" s="2"/>
      <c r="T895" s="158"/>
      <c r="U895" s="2"/>
      <c r="V895" s="2"/>
      <c r="W895" s="2"/>
      <c r="X895" s="2"/>
      <c r="Y895" s="2"/>
      <c r="Z895" s="2"/>
    </row>
    <row r="896" ht="13.5" customHeight="1">
      <c r="A896" s="2"/>
      <c r="B896" s="2"/>
      <c r="C896" s="2"/>
      <c r="D896" s="2"/>
      <c r="E896" s="2"/>
      <c r="F896" s="2"/>
      <c r="G896" s="2"/>
      <c r="H896" s="2"/>
      <c r="I896" s="2"/>
      <c r="J896" s="2"/>
      <c r="K896" s="181"/>
      <c r="L896" s="2"/>
      <c r="M896" s="2"/>
      <c r="N896" s="2"/>
      <c r="O896" s="2"/>
      <c r="P896" s="2"/>
      <c r="Q896" s="157"/>
      <c r="R896" s="157"/>
      <c r="S896" s="2"/>
      <c r="T896" s="158"/>
      <c r="U896" s="2"/>
      <c r="V896" s="2"/>
      <c r="W896" s="2"/>
      <c r="X896" s="2"/>
      <c r="Y896" s="2"/>
      <c r="Z896" s="2"/>
    </row>
    <row r="897" ht="13.5" customHeight="1">
      <c r="A897" s="2"/>
      <c r="B897" s="2"/>
      <c r="C897" s="2"/>
      <c r="D897" s="2"/>
      <c r="E897" s="2"/>
      <c r="F897" s="2"/>
      <c r="G897" s="2"/>
      <c r="H897" s="2"/>
      <c r="I897" s="2"/>
      <c r="J897" s="2"/>
      <c r="K897" s="181"/>
      <c r="L897" s="2"/>
      <c r="M897" s="2"/>
      <c r="N897" s="2"/>
      <c r="O897" s="2"/>
      <c r="P897" s="2"/>
      <c r="Q897" s="157"/>
      <c r="R897" s="157"/>
      <c r="S897" s="2"/>
      <c r="T897" s="158"/>
      <c r="U897" s="2"/>
      <c r="V897" s="2"/>
      <c r="W897" s="2"/>
      <c r="X897" s="2"/>
      <c r="Y897" s="2"/>
      <c r="Z897" s="2"/>
    </row>
    <row r="898" ht="13.5" customHeight="1">
      <c r="A898" s="2"/>
      <c r="B898" s="2"/>
      <c r="C898" s="2"/>
      <c r="D898" s="2"/>
      <c r="E898" s="2"/>
      <c r="F898" s="2"/>
      <c r="G898" s="2"/>
      <c r="H898" s="2"/>
      <c r="I898" s="2"/>
      <c r="J898" s="2"/>
      <c r="K898" s="181"/>
      <c r="L898" s="2"/>
      <c r="M898" s="2"/>
      <c r="N898" s="2"/>
      <c r="O898" s="2"/>
      <c r="P898" s="2"/>
      <c r="Q898" s="157"/>
      <c r="R898" s="157"/>
      <c r="S898" s="2"/>
      <c r="T898" s="158"/>
      <c r="U898" s="2"/>
      <c r="V898" s="2"/>
      <c r="W898" s="2"/>
      <c r="X898" s="2"/>
      <c r="Y898" s="2"/>
      <c r="Z898" s="2"/>
    </row>
    <row r="899" ht="13.5" customHeight="1">
      <c r="A899" s="2"/>
      <c r="B899" s="2"/>
      <c r="C899" s="2"/>
      <c r="D899" s="2"/>
      <c r="E899" s="2"/>
      <c r="F899" s="2"/>
      <c r="G899" s="2"/>
      <c r="H899" s="2"/>
      <c r="I899" s="2"/>
      <c r="J899" s="2"/>
      <c r="K899" s="181"/>
      <c r="L899" s="2"/>
      <c r="M899" s="2"/>
      <c r="N899" s="2"/>
      <c r="O899" s="2"/>
      <c r="P899" s="2"/>
      <c r="Q899" s="157"/>
      <c r="R899" s="157"/>
      <c r="S899" s="2"/>
      <c r="T899" s="158"/>
      <c r="U899" s="2"/>
      <c r="V899" s="2"/>
      <c r="W899" s="2"/>
      <c r="X899" s="2"/>
      <c r="Y899" s="2"/>
      <c r="Z899" s="2"/>
    </row>
    <row r="900" ht="13.5" customHeight="1">
      <c r="A900" s="2"/>
      <c r="B900" s="2"/>
      <c r="C900" s="2"/>
      <c r="D900" s="2"/>
      <c r="E900" s="2"/>
      <c r="F900" s="2"/>
      <c r="G900" s="2"/>
      <c r="H900" s="2"/>
      <c r="I900" s="2"/>
      <c r="J900" s="2"/>
      <c r="K900" s="181"/>
      <c r="L900" s="2"/>
      <c r="M900" s="2"/>
      <c r="N900" s="2"/>
      <c r="O900" s="2"/>
      <c r="P900" s="2"/>
      <c r="Q900" s="157"/>
      <c r="R900" s="157"/>
      <c r="S900" s="2"/>
      <c r="T900" s="158"/>
      <c r="U900" s="2"/>
      <c r="V900" s="2"/>
      <c r="W900" s="2"/>
      <c r="X900" s="2"/>
      <c r="Y900" s="2"/>
      <c r="Z900" s="2"/>
    </row>
    <row r="901" ht="13.5" customHeight="1">
      <c r="A901" s="2"/>
      <c r="B901" s="2"/>
      <c r="C901" s="2"/>
      <c r="D901" s="2"/>
      <c r="E901" s="2"/>
      <c r="F901" s="2"/>
      <c r="G901" s="2"/>
      <c r="H901" s="2"/>
      <c r="I901" s="2"/>
      <c r="J901" s="2"/>
      <c r="K901" s="181"/>
      <c r="L901" s="2"/>
      <c r="M901" s="2"/>
      <c r="N901" s="2"/>
      <c r="O901" s="2"/>
      <c r="P901" s="2"/>
      <c r="Q901" s="157"/>
      <c r="R901" s="157"/>
      <c r="S901" s="2"/>
      <c r="T901" s="158"/>
      <c r="U901" s="2"/>
      <c r="V901" s="2"/>
      <c r="W901" s="2"/>
      <c r="X901" s="2"/>
      <c r="Y901" s="2"/>
      <c r="Z901" s="2"/>
    </row>
    <row r="902" ht="13.5" customHeight="1">
      <c r="A902" s="2"/>
      <c r="B902" s="2"/>
      <c r="C902" s="2"/>
      <c r="D902" s="2"/>
      <c r="E902" s="2"/>
      <c r="F902" s="2"/>
      <c r="G902" s="2"/>
      <c r="H902" s="2"/>
      <c r="I902" s="2"/>
      <c r="J902" s="2"/>
      <c r="K902" s="181"/>
      <c r="L902" s="2"/>
      <c r="M902" s="2"/>
      <c r="N902" s="2"/>
      <c r="O902" s="2"/>
      <c r="P902" s="2"/>
      <c r="Q902" s="157"/>
      <c r="R902" s="157"/>
      <c r="S902" s="2"/>
      <c r="T902" s="158"/>
      <c r="U902" s="2"/>
      <c r="V902" s="2"/>
      <c r="W902" s="2"/>
      <c r="X902" s="2"/>
      <c r="Y902" s="2"/>
      <c r="Z902" s="2"/>
    </row>
    <row r="903" ht="13.5" customHeight="1">
      <c r="A903" s="2"/>
      <c r="B903" s="2"/>
      <c r="C903" s="2"/>
      <c r="D903" s="2"/>
      <c r="E903" s="2"/>
      <c r="F903" s="2"/>
      <c r="G903" s="2"/>
      <c r="H903" s="2"/>
      <c r="I903" s="2"/>
      <c r="J903" s="2"/>
      <c r="K903" s="181"/>
      <c r="L903" s="2"/>
      <c r="M903" s="2"/>
      <c r="N903" s="2"/>
      <c r="O903" s="2"/>
      <c r="P903" s="2"/>
      <c r="Q903" s="157"/>
      <c r="R903" s="157"/>
      <c r="S903" s="2"/>
      <c r="T903" s="158"/>
      <c r="U903" s="2"/>
      <c r="V903" s="2"/>
      <c r="W903" s="2"/>
      <c r="X903" s="2"/>
      <c r="Y903" s="2"/>
      <c r="Z903" s="2"/>
    </row>
    <row r="904" ht="13.5" customHeight="1">
      <c r="A904" s="2"/>
      <c r="B904" s="2"/>
      <c r="C904" s="2"/>
      <c r="D904" s="2"/>
      <c r="E904" s="2"/>
      <c r="F904" s="2"/>
      <c r="G904" s="2"/>
      <c r="H904" s="2"/>
      <c r="I904" s="2"/>
      <c r="J904" s="2"/>
      <c r="K904" s="181"/>
      <c r="L904" s="2"/>
      <c r="M904" s="2"/>
      <c r="N904" s="2"/>
      <c r="O904" s="2"/>
      <c r="P904" s="2"/>
      <c r="Q904" s="157"/>
      <c r="R904" s="157"/>
      <c r="S904" s="2"/>
      <c r="T904" s="158"/>
      <c r="U904" s="2"/>
      <c r="V904" s="2"/>
      <c r="W904" s="2"/>
      <c r="X904" s="2"/>
      <c r="Y904" s="2"/>
      <c r="Z904" s="2"/>
    </row>
    <row r="905" ht="13.5" customHeight="1">
      <c r="A905" s="2"/>
      <c r="B905" s="2"/>
      <c r="C905" s="2"/>
      <c r="D905" s="2"/>
      <c r="E905" s="2"/>
      <c r="F905" s="2"/>
      <c r="G905" s="2"/>
      <c r="H905" s="2"/>
      <c r="I905" s="2"/>
      <c r="J905" s="2"/>
      <c r="K905" s="181"/>
      <c r="L905" s="2"/>
      <c r="M905" s="2"/>
      <c r="N905" s="2"/>
      <c r="O905" s="2"/>
      <c r="P905" s="2"/>
      <c r="Q905" s="157"/>
      <c r="R905" s="157"/>
      <c r="S905" s="2"/>
      <c r="T905" s="158"/>
      <c r="U905" s="2"/>
      <c r="V905" s="2"/>
      <c r="W905" s="2"/>
      <c r="X905" s="2"/>
      <c r="Y905" s="2"/>
      <c r="Z905" s="2"/>
    </row>
    <row r="906" ht="13.5" customHeight="1">
      <c r="A906" s="2"/>
      <c r="B906" s="2"/>
      <c r="C906" s="2"/>
      <c r="D906" s="2"/>
      <c r="E906" s="2"/>
      <c r="F906" s="2"/>
      <c r="G906" s="2"/>
      <c r="H906" s="2"/>
      <c r="I906" s="2"/>
      <c r="J906" s="2"/>
      <c r="K906" s="181"/>
      <c r="L906" s="2"/>
      <c r="M906" s="2"/>
      <c r="N906" s="2"/>
      <c r="O906" s="2"/>
      <c r="P906" s="2"/>
      <c r="Q906" s="157"/>
      <c r="R906" s="157"/>
      <c r="S906" s="2"/>
      <c r="T906" s="158"/>
      <c r="U906" s="2"/>
      <c r="V906" s="2"/>
      <c r="W906" s="2"/>
      <c r="X906" s="2"/>
      <c r="Y906" s="2"/>
      <c r="Z906" s="2"/>
    </row>
    <row r="907" ht="13.5" customHeight="1">
      <c r="A907" s="2"/>
      <c r="B907" s="2"/>
      <c r="C907" s="2"/>
      <c r="D907" s="2"/>
      <c r="E907" s="2"/>
      <c r="F907" s="2"/>
      <c r="G907" s="2"/>
      <c r="H907" s="2"/>
      <c r="I907" s="2"/>
      <c r="J907" s="2"/>
      <c r="K907" s="181"/>
      <c r="L907" s="2"/>
      <c r="M907" s="2"/>
      <c r="N907" s="2"/>
      <c r="O907" s="2"/>
      <c r="P907" s="2"/>
      <c r="Q907" s="157"/>
      <c r="R907" s="157"/>
      <c r="S907" s="2"/>
      <c r="T907" s="158"/>
      <c r="U907" s="2"/>
      <c r="V907" s="2"/>
      <c r="W907" s="2"/>
      <c r="X907" s="2"/>
      <c r="Y907" s="2"/>
      <c r="Z907" s="2"/>
    </row>
    <row r="908" ht="13.5" customHeight="1">
      <c r="A908" s="2"/>
      <c r="B908" s="2"/>
      <c r="C908" s="2"/>
      <c r="D908" s="2"/>
      <c r="E908" s="2"/>
      <c r="F908" s="2"/>
      <c r="G908" s="2"/>
      <c r="H908" s="2"/>
      <c r="I908" s="2"/>
      <c r="J908" s="2"/>
      <c r="K908" s="181"/>
      <c r="L908" s="2"/>
      <c r="M908" s="2"/>
      <c r="N908" s="2"/>
      <c r="O908" s="2"/>
      <c r="P908" s="2"/>
      <c r="Q908" s="157"/>
      <c r="R908" s="157"/>
      <c r="S908" s="2"/>
      <c r="T908" s="158"/>
      <c r="U908" s="2"/>
      <c r="V908" s="2"/>
      <c r="W908" s="2"/>
      <c r="X908" s="2"/>
      <c r="Y908" s="2"/>
      <c r="Z908" s="2"/>
    </row>
    <row r="909" ht="13.5" customHeight="1">
      <c r="A909" s="2"/>
      <c r="B909" s="2"/>
      <c r="C909" s="2"/>
      <c r="D909" s="2"/>
      <c r="E909" s="2"/>
      <c r="F909" s="2"/>
      <c r="G909" s="2"/>
      <c r="H909" s="2"/>
      <c r="I909" s="2"/>
      <c r="J909" s="2"/>
      <c r="K909" s="181"/>
      <c r="L909" s="2"/>
      <c r="M909" s="2"/>
      <c r="N909" s="2"/>
      <c r="O909" s="2"/>
      <c r="P909" s="2"/>
      <c r="Q909" s="157"/>
      <c r="R909" s="157"/>
      <c r="S909" s="2"/>
      <c r="T909" s="158"/>
      <c r="U909" s="2"/>
      <c r="V909" s="2"/>
      <c r="W909" s="2"/>
      <c r="X909" s="2"/>
      <c r="Y909" s="2"/>
      <c r="Z909" s="2"/>
    </row>
    <row r="910" ht="13.5" customHeight="1">
      <c r="A910" s="2"/>
      <c r="B910" s="2"/>
      <c r="C910" s="2"/>
      <c r="D910" s="2"/>
      <c r="E910" s="2"/>
      <c r="F910" s="2"/>
      <c r="G910" s="2"/>
      <c r="H910" s="2"/>
      <c r="I910" s="2"/>
      <c r="J910" s="2"/>
      <c r="K910" s="181"/>
      <c r="L910" s="2"/>
      <c r="M910" s="2"/>
      <c r="N910" s="2"/>
      <c r="O910" s="2"/>
      <c r="P910" s="2"/>
      <c r="Q910" s="157"/>
      <c r="R910" s="157"/>
      <c r="S910" s="2"/>
      <c r="T910" s="158"/>
      <c r="U910" s="2"/>
      <c r="V910" s="2"/>
      <c r="W910" s="2"/>
      <c r="X910" s="2"/>
      <c r="Y910" s="2"/>
      <c r="Z910" s="2"/>
    </row>
    <row r="911" ht="13.5" customHeight="1">
      <c r="A911" s="2"/>
      <c r="B911" s="2"/>
      <c r="C911" s="2"/>
      <c r="D911" s="2"/>
      <c r="E911" s="2"/>
      <c r="F911" s="2"/>
      <c r="G911" s="2"/>
      <c r="H911" s="2"/>
      <c r="I911" s="2"/>
      <c r="J911" s="2"/>
      <c r="K911" s="181"/>
      <c r="L911" s="2"/>
      <c r="M911" s="2"/>
      <c r="N911" s="2"/>
      <c r="O911" s="2"/>
      <c r="P911" s="2"/>
      <c r="Q911" s="157"/>
      <c r="R911" s="157"/>
      <c r="S911" s="2"/>
      <c r="T911" s="158"/>
      <c r="U911" s="2"/>
      <c r="V911" s="2"/>
      <c r="W911" s="2"/>
      <c r="X911" s="2"/>
      <c r="Y911" s="2"/>
      <c r="Z911" s="2"/>
    </row>
    <row r="912" ht="13.5" customHeight="1">
      <c r="A912" s="2"/>
      <c r="B912" s="2"/>
      <c r="C912" s="2"/>
      <c r="D912" s="2"/>
      <c r="E912" s="2"/>
      <c r="F912" s="2"/>
      <c r="G912" s="2"/>
      <c r="H912" s="2"/>
      <c r="I912" s="2"/>
      <c r="J912" s="2"/>
      <c r="K912" s="181"/>
      <c r="L912" s="2"/>
      <c r="M912" s="2"/>
      <c r="N912" s="2"/>
      <c r="O912" s="2"/>
      <c r="P912" s="2"/>
      <c r="Q912" s="157"/>
      <c r="R912" s="157"/>
      <c r="S912" s="2"/>
      <c r="T912" s="158"/>
      <c r="U912" s="2"/>
      <c r="V912" s="2"/>
      <c r="W912" s="2"/>
      <c r="X912" s="2"/>
      <c r="Y912" s="2"/>
      <c r="Z912" s="2"/>
    </row>
    <row r="913" ht="13.5" customHeight="1">
      <c r="A913" s="2"/>
      <c r="B913" s="2"/>
      <c r="C913" s="2"/>
      <c r="D913" s="2"/>
      <c r="E913" s="2"/>
      <c r="F913" s="2"/>
      <c r="G913" s="2"/>
      <c r="H913" s="2"/>
      <c r="I913" s="2"/>
      <c r="J913" s="2"/>
      <c r="K913" s="181"/>
      <c r="L913" s="2"/>
      <c r="M913" s="2"/>
      <c r="N913" s="2"/>
      <c r="O913" s="2"/>
      <c r="P913" s="2"/>
      <c r="Q913" s="157"/>
      <c r="R913" s="157"/>
      <c r="S913" s="2"/>
      <c r="T913" s="158"/>
      <c r="U913" s="2"/>
      <c r="V913" s="2"/>
      <c r="W913" s="2"/>
      <c r="X913" s="2"/>
      <c r="Y913" s="2"/>
      <c r="Z913" s="2"/>
    </row>
    <row r="914" ht="13.5" customHeight="1">
      <c r="A914" s="2"/>
      <c r="B914" s="2"/>
      <c r="C914" s="2"/>
      <c r="D914" s="2"/>
      <c r="E914" s="2"/>
      <c r="F914" s="2"/>
      <c r="G914" s="2"/>
      <c r="H914" s="2"/>
      <c r="I914" s="2"/>
      <c r="J914" s="2"/>
      <c r="K914" s="181"/>
      <c r="L914" s="2"/>
      <c r="M914" s="2"/>
      <c r="N914" s="2"/>
      <c r="O914" s="2"/>
      <c r="P914" s="2"/>
      <c r="Q914" s="157"/>
      <c r="R914" s="157"/>
      <c r="S914" s="2"/>
      <c r="T914" s="158"/>
      <c r="U914" s="2"/>
      <c r="V914" s="2"/>
      <c r="W914" s="2"/>
      <c r="X914" s="2"/>
      <c r="Y914" s="2"/>
      <c r="Z914" s="2"/>
    </row>
    <row r="915" ht="13.5" customHeight="1">
      <c r="A915" s="2"/>
      <c r="B915" s="2"/>
      <c r="C915" s="2"/>
      <c r="D915" s="2"/>
      <c r="E915" s="2"/>
      <c r="F915" s="2"/>
      <c r="G915" s="2"/>
      <c r="H915" s="2"/>
      <c r="I915" s="2"/>
      <c r="J915" s="2"/>
      <c r="K915" s="181"/>
      <c r="L915" s="2"/>
      <c r="M915" s="2"/>
      <c r="N915" s="2"/>
      <c r="O915" s="2"/>
      <c r="P915" s="2"/>
      <c r="Q915" s="157"/>
      <c r="R915" s="157"/>
      <c r="S915" s="2"/>
      <c r="T915" s="158"/>
      <c r="U915" s="2"/>
      <c r="V915" s="2"/>
      <c r="W915" s="2"/>
      <c r="X915" s="2"/>
      <c r="Y915" s="2"/>
      <c r="Z915" s="2"/>
    </row>
    <row r="916" ht="13.5" customHeight="1">
      <c r="A916" s="2"/>
      <c r="B916" s="2"/>
      <c r="C916" s="2"/>
      <c r="D916" s="2"/>
      <c r="E916" s="2"/>
      <c r="F916" s="2"/>
      <c r="G916" s="2"/>
      <c r="H916" s="2"/>
      <c r="I916" s="2"/>
      <c r="J916" s="2"/>
      <c r="K916" s="181"/>
      <c r="L916" s="2"/>
      <c r="M916" s="2"/>
      <c r="N916" s="2"/>
      <c r="O916" s="2"/>
      <c r="P916" s="2"/>
      <c r="Q916" s="157"/>
      <c r="R916" s="157"/>
      <c r="S916" s="2"/>
      <c r="T916" s="158"/>
      <c r="U916" s="2"/>
      <c r="V916" s="2"/>
      <c r="W916" s="2"/>
      <c r="X916" s="2"/>
      <c r="Y916" s="2"/>
      <c r="Z916" s="2"/>
    </row>
    <row r="917" ht="13.5" customHeight="1">
      <c r="A917" s="2"/>
      <c r="B917" s="2"/>
      <c r="C917" s="2"/>
      <c r="D917" s="2"/>
      <c r="E917" s="2"/>
      <c r="F917" s="2"/>
      <c r="G917" s="2"/>
      <c r="H917" s="2"/>
      <c r="I917" s="2"/>
      <c r="J917" s="2"/>
      <c r="K917" s="181"/>
      <c r="L917" s="2"/>
      <c r="M917" s="2"/>
      <c r="N917" s="2"/>
      <c r="O917" s="2"/>
      <c r="P917" s="2"/>
      <c r="Q917" s="157"/>
      <c r="R917" s="157"/>
      <c r="S917" s="2"/>
      <c r="T917" s="158"/>
      <c r="U917" s="2"/>
      <c r="V917" s="2"/>
      <c r="W917" s="2"/>
      <c r="X917" s="2"/>
      <c r="Y917" s="2"/>
      <c r="Z917" s="2"/>
    </row>
    <row r="918" ht="13.5" customHeight="1">
      <c r="A918" s="2"/>
      <c r="B918" s="2"/>
      <c r="C918" s="2"/>
      <c r="D918" s="2"/>
      <c r="E918" s="2"/>
      <c r="F918" s="2"/>
      <c r="G918" s="2"/>
      <c r="H918" s="2"/>
      <c r="I918" s="2"/>
      <c r="J918" s="2"/>
      <c r="K918" s="181"/>
      <c r="L918" s="2"/>
      <c r="M918" s="2"/>
      <c r="N918" s="2"/>
      <c r="O918" s="2"/>
      <c r="P918" s="2"/>
      <c r="Q918" s="157"/>
      <c r="R918" s="157"/>
      <c r="S918" s="2"/>
      <c r="T918" s="158"/>
      <c r="U918" s="2"/>
      <c r="V918" s="2"/>
      <c r="W918" s="2"/>
      <c r="X918" s="2"/>
      <c r="Y918" s="2"/>
      <c r="Z918" s="2"/>
    </row>
    <row r="919" ht="13.5" customHeight="1">
      <c r="A919" s="2"/>
      <c r="B919" s="2"/>
      <c r="C919" s="2"/>
      <c r="D919" s="2"/>
      <c r="E919" s="2"/>
      <c r="F919" s="2"/>
      <c r="G919" s="2"/>
      <c r="H919" s="2"/>
      <c r="I919" s="2"/>
      <c r="J919" s="2"/>
      <c r="K919" s="181"/>
      <c r="L919" s="2"/>
      <c r="M919" s="2"/>
      <c r="N919" s="2"/>
      <c r="O919" s="2"/>
      <c r="P919" s="2"/>
      <c r="Q919" s="157"/>
      <c r="R919" s="157"/>
      <c r="S919" s="2"/>
      <c r="T919" s="158"/>
      <c r="U919" s="2"/>
      <c r="V919" s="2"/>
      <c r="W919" s="2"/>
      <c r="X919" s="2"/>
      <c r="Y919" s="2"/>
      <c r="Z919" s="2"/>
    </row>
    <row r="920" ht="13.5" customHeight="1">
      <c r="A920" s="2"/>
      <c r="B920" s="2"/>
      <c r="C920" s="2"/>
      <c r="D920" s="2"/>
      <c r="E920" s="2"/>
      <c r="F920" s="2"/>
      <c r="G920" s="2"/>
      <c r="H920" s="2"/>
      <c r="I920" s="2"/>
      <c r="J920" s="2"/>
      <c r="K920" s="181"/>
      <c r="L920" s="2"/>
      <c r="M920" s="2"/>
      <c r="N920" s="2"/>
      <c r="O920" s="2"/>
      <c r="P920" s="2"/>
      <c r="Q920" s="157"/>
      <c r="R920" s="157"/>
      <c r="S920" s="2"/>
      <c r="T920" s="158"/>
      <c r="U920" s="2"/>
      <c r="V920" s="2"/>
      <c r="W920" s="2"/>
      <c r="X920" s="2"/>
      <c r="Y920" s="2"/>
      <c r="Z920" s="2"/>
    </row>
    <row r="921" ht="13.5" customHeight="1">
      <c r="A921" s="2"/>
      <c r="B921" s="2"/>
      <c r="C921" s="2"/>
      <c r="D921" s="2"/>
      <c r="E921" s="2"/>
      <c r="F921" s="2"/>
      <c r="G921" s="2"/>
      <c r="H921" s="2"/>
      <c r="I921" s="2"/>
      <c r="J921" s="2"/>
      <c r="K921" s="181"/>
      <c r="L921" s="2"/>
      <c r="M921" s="2"/>
      <c r="N921" s="2"/>
      <c r="O921" s="2"/>
      <c r="P921" s="2"/>
      <c r="Q921" s="157"/>
      <c r="R921" s="157"/>
      <c r="S921" s="2"/>
      <c r="T921" s="158"/>
      <c r="U921" s="2"/>
      <c r="V921" s="2"/>
      <c r="W921" s="2"/>
      <c r="X921" s="2"/>
      <c r="Y921" s="2"/>
      <c r="Z921" s="2"/>
    </row>
    <row r="922" ht="13.5" customHeight="1">
      <c r="A922" s="2"/>
      <c r="B922" s="2"/>
      <c r="C922" s="2"/>
      <c r="D922" s="2"/>
      <c r="E922" s="2"/>
      <c r="F922" s="2"/>
      <c r="G922" s="2"/>
      <c r="H922" s="2"/>
      <c r="I922" s="2"/>
      <c r="J922" s="2"/>
      <c r="K922" s="181"/>
      <c r="L922" s="2"/>
      <c r="M922" s="2"/>
      <c r="N922" s="2"/>
      <c r="O922" s="2"/>
      <c r="P922" s="2"/>
      <c r="Q922" s="157"/>
      <c r="R922" s="157"/>
      <c r="S922" s="2"/>
      <c r="T922" s="158"/>
      <c r="U922" s="2"/>
      <c r="V922" s="2"/>
      <c r="W922" s="2"/>
      <c r="X922" s="2"/>
      <c r="Y922" s="2"/>
      <c r="Z922" s="2"/>
    </row>
    <row r="923" ht="13.5" customHeight="1">
      <c r="A923" s="2"/>
      <c r="B923" s="2"/>
      <c r="C923" s="2"/>
      <c r="D923" s="2"/>
      <c r="E923" s="2"/>
      <c r="F923" s="2"/>
      <c r="G923" s="2"/>
      <c r="H923" s="2"/>
      <c r="I923" s="2"/>
      <c r="J923" s="2"/>
      <c r="K923" s="181"/>
      <c r="L923" s="2"/>
      <c r="M923" s="2"/>
      <c r="N923" s="2"/>
      <c r="O923" s="2"/>
      <c r="P923" s="2"/>
      <c r="Q923" s="157"/>
      <c r="R923" s="157"/>
      <c r="S923" s="2"/>
      <c r="T923" s="158"/>
      <c r="U923" s="2"/>
      <c r="V923" s="2"/>
      <c r="W923" s="2"/>
      <c r="X923" s="2"/>
      <c r="Y923" s="2"/>
      <c r="Z923" s="2"/>
    </row>
    <row r="924" ht="13.5" customHeight="1">
      <c r="A924" s="2"/>
      <c r="B924" s="2"/>
      <c r="C924" s="2"/>
      <c r="D924" s="2"/>
      <c r="E924" s="2"/>
      <c r="F924" s="2"/>
      <c r="G924" s="2"/>
      <c r="H924" s="2"/>
      <c r="I924" s="2"/>
      <c r="J924" s="2"/>
      <c r="K924" s="181"/>
      <c r="L924" s="2"/>
      <c r="M924" s="2"/>
      <c r="N924" s="2"/>
      <c r="O924" s="2"/>
      <c r="P924" s="2"/>
      <c r="Q924" s="157"/>
      <c r="R924" s="157"/>
      <c r="S924" s="2"/>
      <c r="T924" s="158"/>
      <c r="U924" s="2"/>
      <c r="V924" s="2"/>
      <c r="W924" s="2"/>
      <c r="X924" s="2"/>
      <c r="Y924" s="2"/>
      <c r="Z924" s="2"/>
    </row>
    <row r="925" ht="13.5" customHeight="1">
      <c r="A925" s="2"/>
      <c r="B925" s="2"/>
      <c r="C925" s="2"/>
      <c r="D925" s="2"/>
      <c r="E925" s="2"/>
      <c r="F925" s="2"/>
      <c r="G925" s="2"/>
      <c r="H925" s="2"/>
      <c r="I925" s="2"/>
      <c r="J925" s="2"/>
      <c r="K925" s="181"/>
      <c r="L925" s="2"/>
      <c r="M925" s="2"/>
      <c r="N925" s="2"/>
      <c r="O925" s="2"/>
      <c r="P925" s="2"/>
      <c r="Q925" s="157"/>
      <c r="R925" s="157"/>
      <c r="S925" s="2"/>
      <c r="T925" s="158"/>
      <c r="U925" s="2"/>
      <c r="V925" s="2"/>
      <c r="W925" s="2"/>
      <c r="X925" s="2"/>
      <c r="Y925" s="2"/>
      <c r="Z925" s="2"/>
    </row>
    <row r="926" ht="13.5" customHeight="1">
      <c r="A926" s="2"/>
      <c r="B926" s="2"/>
      <c r="C926" s="2"/>
      <c r="D926" s="2"/>
      <c r="E926" s="2"/>
      <c r="F926" s="2"/>
      <c r="G926" s="2"/>
      <c r="H926" s="2"/>
      <c r="I926" s="2"/>
      <c r="J926" s="2"/>
      <c r="K926" s="181"/>
      <c r="L926" s="2"/>
      <c r="M926" s="2"/>
      <c r="N926" s="2"/>
      <c r="O926" s="2"/>
      <c r="P926" s="2"/>
      <c r="Q926" s="157"/>
      <c r="R926" s="157"/>
      <c r="S926" s="2"/>
      <c r="T926" s="158"/>
      <c r="U926" s="2"/>
      <c r="V926" s="2"/>
      <c r="W926" s="2"/>
      <c r="X926" s="2"/>
      <c r="Y926" s="2"/>
      <c r="Z926" s="2"/>
    </row>
    <row r="927" ht="13.5" customHeight="1">
      <c r="A927" s="2"/>
      <c r="B927" s="2"/>
      <c r="C927" s="2"/>
      <c r="D927" s="2"/>
      <c r="E927" s="2"/>
      <c r="F927" s="2"/>
      <c r="G927" s="2"/>
      <c r="H927" s="2"/>
      <c r="I927" s="2"/>
      <c r="J927" s="2"/>
      <c r="K927" s="181"/>
      <c r="L927" s="2"/>
      <c r="M927" s="2"/>
      <c r="N927" s="2"/>
      <c r="O927" s="2"/>
      <c r="P927" s="2"/>
      <c r="Q927" s="157"/>
      <c r="R927" s="157"/>
      <c r="S927" s="2"/>
      <c r="T927" s="158"/>
      <c r="U927" s="2"/>
      <c r="V927" s="2"/>
      <c r="W927" s="2"/>
      <c r="X927" s="2"/>
      <c r="Y927" s="2"/>
      <c r="Z927" s="2"/>
    </row>
    <row r="928" ht="13.5" customHeight="1">
      <c r="A928" s="2"/>
      <c r="B928" s="2"/>
      <c r="C928" s="2"/>
      <c r="D928" s="2"/>
      <c r="E928" s="2"/>
      <c r="F928" s="2"/>
      <c r="G928" s="2"/>
      <c r="H928" s="2"/>
      <c r="I928" s="2"/>
      <c r="J928" s="2"/>
      <c r="K928" s="181"/>
      <c r="L928" s="2"/>
      <c r="M928" s="2"/>
      <c r="N928" s="2"/>
      <c r="O928" s="2"/>
      <c r="P928" s="2"/>
      <c r="Q928" s="157"/>
      <c r="R928" s="157"/>
      <c r="S928" s="2"/>
      <c r="T928" s="158"/>
      <c r="U928" s="2"/>
      <c r="V928" s="2"/>
      <c r="W928" s="2"/>
      <c r="X928" s="2"/>
      <c r="Y928" s="2"/>
      <c r="Z928" s="2"/>
    </row>
    <row r="929" ht="13.5" customHeight="1">
      <c r="A929" s="2"/>
      <c r="B929" s="2"/>
      <c r="C929" s="2"/>
      <c r="D929" s="2"/>
      <c r="E929" s="2"/>
      <c r="F929" s="2"/>
      <c r="G929" s="2"/>
      <c r="H929" s="2"/>
      <c r="I929" s="2"/>
      <c r="J929" s="2"/>
      <c r="K929" s="181"/>
      <c r="L929" s="2"/>
      <c r="M929" s="2"/>
      <c r="N929" s="2"/>
      <c r="O929" s="2"/>
      <c r="P929" s="2"/>
      <c r="Q929" s="157"/>
      <c r="R929" s="157"/>
      <c r="S929" s="2"/>
      <c r="T929" s="158"/>
      <c r="U929" s="2"/>
      <c r="V929" s="2"/>
      <c r="W929" s="2"/>
      <c r="X929" s="2"/>
      <c r="Y929" s="2"/>
      <c r="Z929" s="2"/>
    </row>
    <row r="930" ht="13.5" customHeight="1">
      <c r="A930" s="2"/>
      <c r="B930" s="2"/>
      <c r="C930" s="2"/>
      <c r="D930" s="2"/>
      <c r="E930" s="2"/>
      <c r="F930" s="2"/>
      <c r="G930" s="2"/>
      <c r="H930" s="2"/>
      <c r="I930" s="2"/>
      <c r="J930" s="2"/>
      <c r="K930" s="181"/>
      <c r="L930" s="2"/>
      <c r="M930" s="2"/>
      <c r="N930" s="2"/>
      <c r="O930" s="2"/>
      <c r="P930" s="2"/>
      <c r="Q930" s="157"/>
      <c r="R930" s="157"/>
      <c r="S930" s="2"/>
      <c r="T930" s="158"/>
      <c r="U930" s="2"/>
      <c r="V930" s="2"/>
      <c r="W930" s="2"/>
      <c r="X930" s="2"/>
      <c r="Y930" s="2"/>
      <c r="Z930" s="2"/>
    </row>
    <row r="931" ht="13.5" customHeight="1">
      <c r="A931" s="2"/>
      <c r="B931" s="2"/>
      <c r="C931" s="2"/>
      <c r="D931" s="2"/>
      <c r="E931" s="2"/>
      <c r="F931" s="2"/>
      <c r="G931" s="2"/>
      <c r="H931" s="2"/>
      <c r="I931" s="2"/>
      <c r="J931" s="2"/>
      <c r="K931" s="181"/>
      <c r="L931" s="2"/>
      <c r="M931" s="2"/>
      <c r="N931" s="2"/>
      <c r="O931" s="2"/>
      <c r="P931" s="2"/>
      <c r="Q931" s="157"/>
      <c r="R931" s="157"/>
      <c r="S931" s="2"/>
      <c r="T931" s="158"/>
      <c r="U931" s="2"/>
      <c r="V931" s="2"/>
      <c r="W931" s="2"/>
      <c r="X931" s="2"/>
      <c r="Y931" s="2"/>
      <c r="Z931" s="2"/>
    </row>
    <row r="932" ht="13.5" customHeight="1">
      <c r="A932" s="2"/>
      <c r="B932" s="2"/>
      <c r="C932" s="2"/>
      <c r="D932" s="2"/>
      <c r="E932" s="2"/>
      <c r="F932" s="2"/>
      <c r="G932" s="2"/>
      <c r="H932" s="2"/>
      <c r="I932" s="2"/>
      <c r="J932" s="2"/>
      <c r="K932" s="181"/>
      <c r="L932" s="2"/>
      <c r="M932" s="2"/>
      <c r="N932" s="2"/>
      <c r="O932" s="2"/>
      <c r="P932" s="2"/>
      <c r="Q932" s="157"/>
      <c r="R932" s="157"/>
      <c r="S932" s="2"/>
      <c r="T932" s="158"/>
      <c r="U932" s="2"/>
      <c r="V932" s="2"/>
      <c r="W932" s="2"/>
      <c r="X932" s="2"/>
      <c r="Y932" s="2"/>
      <c r="Z932" s="2"/>
    </row>
    <row r="933" ht="13.5" customHeight="1">
      <c r="A933" s="2"/>
      <c r="B933" s="2"/>
      <c r="C933" s="2"/>
      <c r="D933" s="2"/>
      <c r="E933" s="2"/>
      <c r="F933" s="2"/>
      <c r="G933" s="2"/>
      <c r="H933" s="2"/>
      <c r="I933" s="2"/>
      <c r="J933" s="2"/>
      <c r="K933" s="181"/>
      <c r="L933" s="2"/>
      <c r="M933" s="2"/>
      <c r="N933" s="2"/>
      <c r="O933" s="2"/>
      <c r="P933" s="2"/>
      <c r="Q933" s="157"/>
      <c r="R933" s="157"/>
      <c r="S933" s="2"/>
      <c r="T933" s="158"/>
      <c r="U933" s="2"/>
      <c r="V933" s="2"/>
      <c r="W933" s="2"/>
      <c r="X933" s="2"/>
      <c r="Y933" s="2"/>
      <c r="Z933" s="2"/>
    </row>
    <row r="934" ht="13.5" customHeight="1">
      <c r="A934" s="2"/>
      <c r="B934" s="2"/>
      <c r="C934" s="2"/>
      <c r="D934" s="2"/>
      <c r="E934" s="2"/>
      <c r="F934" s="2"/>
      <c r="G934" s="2"/>
      <c r="H934" s="2"/>
      <c r="I934" s="2"/>
      <c r="J934" s="2"/>
      <c r="K934" s="181"/>
      <c r="L934" s="2"/>
      <c r="M934" s="2"/>
      <c r="N934" s="2"/>
      <c r="O934" s="2"/>
      <c r="P934" s="2"/>
      <c r="Q934" s="157"/>
      <c r="R934" s="157"/>
      <c r="S934" s="2"/>
      <c r="T934" s="158"/>
      <c r="U934" s="2"/>
      <c r="V934" s="2"/>
      <c r="W934" s="2"/>
      <c r="X934" s="2"/>
      <c r="Y934" s="2"/>
      <c r="Z934" s="2"/>
    </row>
    <row r="935" ht="13.5" customHeight="1">
      <c r="A935" s="2"/>
      <c r="B935" s="2"/>
      <c r="C935" s="2"/>
      <c r="D935" s="2"/>
      <c r="E935" s="2"/>
      <c r="F935" s="2"/>
      <c r="G935" s="2"/>
      <c r="H935" s="2"/>
      <c r="I935" s="2"/>
      <c r="J935" s="2"/>
      <c r="K935" s="181"/>
      <c r="L935" s="2"/>
      <c r="M935" s="2"/>
      <c r="N935" s="2"/>
      <c r="O935" s="2"/>
      <c r="P935" s="2"/>
      <c r="Q935" s="157"/>
      <c r="R935" s="157"/>
      <c r="S935" s="2"/>
      <c r="T935" s="158"/>
      <c r="U935" s="2"/>
      <c r="V935" s="2"/>
      <c r="W935" s="2"/>
      <c r="X935" s="2"/>
      <c r="Y935" s="2"/>
      <c r="Z935" s="2"/>
    </row>
    <row r="936" ht="13.5" customHeight="1">
      <c r="A936" s="2"/>
      <c r="B936" s="2"/>
      <c r="C936" s="2"/>
      <c r="D936" s="2"/>
      <c r="E936" s="2"/>
      <c r="F936" s="2"/>
      <c r="G936" s="2"/>
      <c r="H936" s="2"/>
      <c r="I936" s="2"/>
      <c r="J936" s="2"/>
      <c r="K936" s="181"/>
      <c r="L936" s="2"/>
      <c r="M936" s="2"/>
      <c r="N936" s="2"/>
      <c r="O936" s="2"/>
      <c r="P936" s="2"/>
      <c r="Q936" s="157"/>
      <c r="R936" s="157"/>
      <c r="S936" s="2"/>
      <c r="T936" s="158"/>
      <c r="U936" s="2"/>
      <c r="V936" s="2"/>
      <c r="W936" s="2"/>
      <c r="X936" s="2"/>
      <c r="Y936" s="2"/>
      <c r="Z936" s="2"/>
    </row>
    <row r="937" ht="13.5" customHeight="1">
      <c r="A937" s="2"/>
      <c r="B937" s="2"/>
      <c r="C937" s="2"/>
      <c r="D937" s="2"/>
      <c r="E937" s="2"/>
      <c r="F937" s="2"/>
      <c r="G937" s="2"/>
      <c r="H937" s="2"/>
      <c r="I937" s="2"/>
      <c r="J937" s="2"/>
      <c r="K937" s="181"/>
      <c r="L937" s="2"/>
      <c r="M937" s="2"/>
      <c r="N937" s="2"/>
      <c r="O937" s="2"/>
      <c r="P937" s="2"/>
      <c r="Q937" s="157"/>
      <c r="R937" s="157"/>
      <c r="S937" s="2"/>
      <c r="T937" s="158"/>
      <c r="U937" s="2"/>
      <c r="V937" s="2"/>
      <c r="W937" s="2"/>
      <c r="X937" s="2"/>
      <c r="Y937" s="2"/>
      <c r="Z937" s="2"/>
    </row>
    <row r="938" ht="13.5" customHeight="1">
      <c r="A938" s="2"/>
      <c r="B938" s="2"/>
      <c r="C938" s="2"/>
      <c r="D938" s="2"/>
      <c r="E938" s="2"/>
      <c r="F938" s="2"/>
      <c r="G938" s="2"/>
      <c r="H938" s="2"/>
      <c r="I938" s="2"/>
      <c r="J938" s="2"/>
      <c r="K938" s="181"/>
      <c r="L938" s="2"/>
      <c r="M938" s="2"/>
      <c r="N938" s="2"/>
      <c r="O938" s="2"/>
      <c r="P938" s="2"/>
      <c r="Q938" s="157"/>
      <c r="R938" s="157"/>
      <c r="S938" s="2"/>
      <c r="T938" s="158"/>
      <c r="U938" s="2"/>
      <c r="V938" s="2"/>
      <c r="W938" s="2"/>
      <c r="X938" s="2"/>
      <c r="Y938" s="2"/>
      <c r="Z938" s="2"/>
    </row>
    <row r="939" ht="13.5" customHeight="1">
      <c r="A939" s="2"/>
      <c r="B939" s="2"/>
      <c r="C939" s="2"/>
      <c r="D939" s="2"/>
      <c r="E939" s="2"/>
      <c r="F939" s="2"/>
      <c r="G939" s="2"/>
      <c r="H939" s="2"/>
      <c r="I939" s="2"/>
      <c r="J939" s="2"/>
      <c r="K939" s="181"/>
      <c r="L939" s="2"/>
      <c r="M939" s="2"/>
      <c r="N939" s="2"/>
      <c r="O939" s="2"/>
      <c r="P939" s="2"/>
      <c r="Q939" s="157"/>
      <c r="R939" s="157"/>
      <c r="S939" s="2"/>
      <c r="T939" s="158"/>
      <c r="U939" s="2"/>
      <c r="V939" s="2"/>
      <c r="W939" s="2"/>
      <c r="X939" s="2"/>
      <c r="Y939" s="2"/>
      <c r="Z939" s="2"/>
    </row>
    <row r="940" ht="13.5" customHeight="1">
      <c r="A940" s="2"/>
      <c r="B940" s="2"/>
      <c r="C940" s="2"/>
      <c r="D940" s="2"/>
      <c r="E940" s="2"/>
      <c r="F940" s="2"/>
      <c r="G940" s="2"/>
      <c r="H940" s="2"/>
      <c r="I940" s="2"/>
      <c r="J940" s="2"/>
      <c r="K940" s="181"/>
      <c r="L940" s="2"/>
      <c r="M940" s="2"/>
      <c r="N940" s="2"/>
      <c r="O940" s="2"/>
      <c r="P940" s="2"/>
      <c r="Q940" s="157"/>
      <c r="R940" s="157"/>
      <c r="S940" s="2"/>
      <c r="T940" s="158"/>
      <c r="U940" s="2"/>
      <c r="V940" s="2"/>
      <c r="W940" s="2"/>
      <c r="X940" s="2"/>
      <c r="Y940" s="2"/>
      <c r="Z940" s="2"/>
    </row>
    <row r="941" ht="13.5" customHeight="1">
      <c r="A941" s="2"/>
      <c r="B941" s="2"/>
      <c r="C941" s="2"/>
      <c r="D941" s="2"/>
      <c r="E941" s="2"/>
      <c r="F941" s="2"/>
      <c r="G941" s="2"/>
      <c r="H941" s="2"/>
      <c r="I941" s="2"/>
      <c r="J941" s="2"/>
      <c r="K941" s="181"/>
      <c r="L941" s="2"/>
      <c r="M941" s="2"/>
      <c r="N941" s="2"/>
      <c r="O941" s="2"/>
      <c r="P941" s="2"/>
      <c r="Q941" s="157"/>
      <c r="R941" s="157"/>
      <c r="S941" s="2"/>
      <c r="T941" s="158"/>
      <c r="U941" s="2"/>
      <c r="V941" s="2"/>
      <c r="W941" s="2"/>
      <c r="X941" s="2"/>
      <c r="Y941" s="2"/>
      <c r="Z941" s="2"/>
    </row>
    <row r="942" ht="13.5" customHeight="1">
      <c r="A942" s="2"/>
      <c r="B942" s="2"/>
      <c r="C942" s="2"/>
      <c r="D942" s="2"/>
      <c r="E942" s="2"/>
      <c r="F942" s="2"/>
      <c r="G942" s="2"/>
      <c r="H942" s="2"/>
      <c r="I942" s="2"/>
      <c r="J942" s="2"/>
      <c r="K942" s="181"/>
      <c r="L942" s="2"/>
      <c r="M942" s="2"/>
      <c r="N942" s="2"/>
      <c r="O942" s="2"/>
      <c r="P942" s="2"/>
      <c r="Q942" s="157"/>
      <c r="R942" s="157"/>
      <c r="S942" s="2"/>
      <c r="T942" s="158"/>
      <c r="U942" s="2"/>
      <c r="V942" s="2"/>
      <c r="W942" s="2"/>
      <c r="X942" s="2"/>
      <c r="Y942" s="2"/>
      <c r="Z942" s="2"/>
    </row>
    <row r="943" ht="13.5" customHeight="1">
      <c r="A943" s="2"/>
      <c r="B943" s="2"/>
      <c r="C943" s="2"/>
      <c r="D943" s="2"/>
      <c r="E943" s="2"/>
      <c r="F943" s="2"/>
      <c r="G943" s="2"/>
      <c r="H943" s="2"/>
      <c r="I943" s="2"/>
      <c r="J943" s="2"/>
      <c r="K943" s="181"/>
      <c r="L943" s="2"/>
      <c r="M943" s="2"/>
      <c r="N943" s="2"/>
      <c r="O943" s="2"/>
      <c r="P943" s="2"/>
      <c r="Q943" s="157"/>
      <c r="R943" s="157"/>
      <c r="S943" s="2"/>
      <c r="T943" s="158"/>
      <c r="U943" s="2"/>
      <c r="V943" s="2"/>
      <c r="W943" s="2"/>
      <c r="X943" s="2"/>
      <c r="Y943" s="2"/>
      <c r="Z943" s="2"/>
    </row>
    <row r="944" ht="13.5" customHeight="1">
      <c r="A944" s="2"/>
      <c r="B944" s="2"/>
      <c r="C944" s="2"/>
      <c r="D944" s="2"/>
      <c r="E944" s="2"/>
      <c r="F944" s="2"/>
      <c r="G944" s="2"/>
      <c r="H944" s="2"/>
      <c r="I944" s="2"/>
      <c r="J944" s="2"/>
      <c r="K944" s="181"/>
      <c r="L944" s="2"/>
      <c r="M944" s="2"/>
      <c r="N944" s="2"/>
      <c r="O944" s="2"/>
      <c r="P944" s="2"/>
      <c r="Q944" s="157"/>
      <c r="R944" s="157"/>
      <c r="S944" s="2"/>
      <c r="T944" s="158"/>
      <c r="U944" s="2"/>
      <c r="V944" s="2"/>
      <c r="W944" s="2"/>
      <c r="X944" s="2"/>
      <c r="Y944" s="2"/>
      <c r="Z944" s="2"/>
    </row>
    <row r="945" ht="13.5" customHeight="1">
      <c r="A945" s="2"/>
      <c r="B945" s="2"/>
      <c r="C945" s="2"/>
      <c r="D945" s="2"/>
      <c r="E945" s="2"/>
      <c r="F945" s="2"/>
      <c r="G945" s="2"/>
      <c r="H945" s="2"/>
      <c r="I945" s="2"/>
      <c r="J945" s="2"/>
      <c r="K945" s="181"/>
      <c r="L945" s="2"/>
      <c r="M945" s="2"/>
      <c r="N945" s="2"/>
      <c r="O945" s="2"/>
      <c r="P945" s="2"/>
      <c r="Q945" s="157"/>
      <c r="R945" s="157"/>
      <c r="S945" s="2"/>
      <c r="T945" s="158"/>
      <c r="U945" s="2"/>
      <c r="V945" s="2"/>
      <c r="W945" s="2"/>
      <c r="X945" s="2"/>
      <c r="Y945" s="2"/>
      <c r="Z945" s="2"/>
    </row>
    <row r="946" ht="13.5" customHeight="1">
      <c r="A946" s="2"/>
      <c r="B946" s="2"/>
      <c r="C946" s="2"/>
      <c r="D946" s="2"/>
      <c r="E946" s="2"/>
      <c r="F946" s="2"/>
      <c r="G946" s="2"/>
      <c r="H946" s="2"/>
      <c r="I946" s="2"/>
      <c r="J946" s="2"/>
      <c r="K946" s="181"/>
      <c r="L946" s="2"/>
      <c r="M946" s="2"/>
      <c r="N946" s="2"/>
      <c r="O946" s="2"/>
      <c r="P946" s="2"/>
      <c r="Q946" s="157"/>
      <c r="R946" s="157"/>
      <c r="S946" s="2"/>
      <c r="T946" s="158"/>
      <c r="U946" s="2"/>
      <c r="V946" s="2"/>
      <c r="W946" s="2"/>
      <c r="X946" s="2"/>
      <c r="Y946" s="2"/>
      <c r="Z946" s="2"/>
    </row>
    <row r="947" ht="13.5" customHeight="1">
      <c r="A947" s="2"/>
      <c r="B947" s="2"/>
      <c r="C947" s="2"/>
      <c r="D947" s="2"/>
      <c r="E947" s="2"/>
      <c r="F947" s="2"/>
      <c r="G947" s="2"/>
      <c r="H947" s="2"/>
      <c r="I947" s="2"/>
      <c r="J947" s="2"/>
      <c r="K947" s="181"/>
      <c r="L947" s="2"/>
      <c r="M947" s="2"/>
      <c r="N947" s="2"/>
      <c r="O947" s="2"/>
      <c r="P947" s="2"/>
      <c r="Q947" s="157"/>
      <c r="R947" s="157"/>
      <c r="S947" s="2"/>
      <c r="T947" s="158"/>
      <c r="U947" s="2"/>
      <c r="V947" s="2"/>
      <c r="W947" s="2"/>
      <c r="X947" s="2"/>
      <c r="Y947" s="2"/>
      <c r="Z947" s="2"/>
    </row>
    <row r="948" ht="13.5" customHeight="1">
      <c r="A948" s="2"/>
      <c r="B948" s="2"/>
      <c r="C948" s="2"/>
      <c r="D948" s="2"/>
      <c r="E948" s="2"/>
      <c r="F948" s="2"/>
      <c r="G948" s="2"/>
      <c r="H948" s="2"/>
      <c r="I948" s="2"/>
      <c r="J948" s="2"/>
      <c r="K948" s="181"/>
      <c r="L948" s="2"/>
      <c r="M948" s="2"/>
      <c r="N948" s="2"/>
      <c r="O948" s="2"/>
      <c r="P948" s="2"/>
      <c r="Q948" s="157"/>
      <c r="R948" s="157"/>
      <c r="S948" s="2"/>
      <c r="T948" s="158"/>
      <c r="U948" s="2"/>
      <c r="V948" s="2"/>
      <c r="W948" s="2"/>
      <c r="X948" s="2"/>
      <c r="Y948" s="2"/>
      <c r="Z948" s="2"/>
    </row>
    <row r="949" ht="13.5" customHeight="1">
      <c r="A949" s="2"/>
      <c r="B949" s="2"/>
      <c r="C949" s="2"/>
      <c r="D949" s="2"/>
      <c r="E949" s="2"/>
      <c r="F949" s="2"/>
      <c r="G949" s="2"/>
      <c r="H949" s="2"/>
      <c r="I949" s="2"/>
      <c r="J949" s="2"/>
      <c r="K949" s="181"/>
      <c r="L949" s="2"/>
      <c r="M949" s="2"/>
      <c r="N949" s="2"/>
      <c r="O949" s="2"/>
      <c r="P949" s="2"/>
      <c r="Q949" s="157"/>
      <c r="R949" s="157"/>
      <c r="S949" s="2"/>
      <c r="T949" s="158"/>
      <c r="U949" s="2"/>
      <c r="V949" s="2"/>
      <c r="W949" s="2"/>
      <c r="X949" s="2"/>
      <c r="Y949" s="2"/>
      <c r="Z949" s="2"/>
    </row>
    <row r="950" ht="13.5" customHeight="1">
      <c r="A950" s="2"/>
      <c r="B950" s="2"/>
      <c r="C950" s="2"/>
      <c r="D950" s="2"/>
      <c r="E950" s="2"/>
      <c r="F950" s="2"/>
      <c r="G950" s="2"/>
      <c r="H950" s="2"/>
      <c r="I950" s="2"/>
      <c r="J950" s="2"/>
      <c r="K950" s="181"/>
      <c r="L950" s="2"/>
      <c r="M950" s="2"/>
      <c r="N950" s="2"/>
      <c r="O950" s="2"/>
      <c r="P950" s="2"/>
      <c r="Q950" s="157"/>
      <c r="R950" s="157"/>
      <c r="S950" s="2"/>
      <c r="T950" s="158"/>
      <c r="U950" s="2"/>
      <c r="V950" s="2"/>
      <c r="W950" s="2"/>
      <c r="X950" s="2"/>
      <c r="Y950" s="2"/>
      <c r="Z950" s="2"/>
    </row>
    <row r="951" ht="13.5" customHeight="1">
      <c r="A951" s="2"/>
      <c r="B951" s="2"/>
      <c r="C951" s="2"/>
      <c r="D951" s="2"/>
      <c r="E951" s="2"/>
      <c r="F951" s="2"/>
      <c r="G951" s="2"/>
      <c r="H951" s="2"/>
      <c r="I951" s="2"/>
      <c r="J951" s="2"/>
      <c r="K951" s="181"/>
      <c r="L951" s="2"/>
      <c r="M951" s="2"/>
      <c r="N951" s="2"/>
      <c r="O951" s="2"/>
      <c r="P951" s="2"/>
      <c r="Q951" s="157"/>
      <c r="R951" s="157"/>
      <c r="S951" s="2"/>
      <c r="T951" s="158"/>
      <c r="U951" s="2"/>
      <c r="V951" s="2"/>
      <c r="W951" s="2"/>
      <c r="X951" s="2"/>
      <c r="Y951" s="2"/>
      <c r="Z951" s="2"/>
    </row>
    <row r="952" ht="13.5" customHeight="1">
      <c r="A952" s="2"/>
      <c r="B952" s="2"/>
      <c r="C952" s="2"/>
      <c r="D952" s="2"/>
      <c r="E952" s="2"/>
      <c r="F952" s="2"/>
      <c r="G952" s="2"/>
      <c r="H952" s="2"/>
      <c r="I952" s="2"/>
      <c r="J952" s="2"/>
      <c r="K952" s="181"/>
      <c r="L952" s="2"/>
      <c r="M952" s="2"/>
      <c r="N952" s="2"/>
      <c r="O952" s="2"/>
      <c r="P952" s="2"/>
      <c r="Q952" s="157"/>
      <c r="R952" s="157"/>
      <c r="S952" s="2"/>
      <c r="T952" s="158"/>
      <c r="U952" s="2"/>
      <c r="V952" s="2"/>
      <c r="W952" s="2"/>
      <c r="X952" s="2"/>
      <c r="Y952" s="2"/>
      <c r="Z952" s="2"/>
    </row>
    <row r="953" ht="13.5" customHeight="1">
      <c r="A953" s="2"/>
      <c r="B953" s="2"/>
      <c r="C953" s="2"/>
      <c r="D953" s="2"/>
      <c r="E953" s="2"/>
      <c r="F953" s="2"/>
      <c r="G953" s="2"/>
      <c r="H953" s="2"/>
      <c r="I953" s="2"/>
      <c r="J953" s="2"/>
      <c r="K953" s="181"/>
      <c r="L953" s="2"/>
      <c r="M953" s="2"/>
      <c r="N953" s="2"/>
      <c r="O953" s="2"/>
      <c r="P953" s="2"/>
      <c r="Q953" s="157"/>
      <c r="R953" s="157"/>
      <c r="S953" s="2"/>
      <c r="T953" s="158"/>
      <c r="U953" s="2"/>
      <c r="V953" s="2"/>
      <c r="W953" s="2"/>
      <c r="X953" s="2"/>
      <c r="Y953" s="2"/>
      <c r="Z953" s="2"/>
    </row>
    <row r="954" ht="13.5" customHeight="1">
      <c r="A954" s="2"/>
      <c r="B954" s="2"/>
      <c r="C954" s="2"/>
      <c r="D954" s="2"/>
      <c r="E954" s="2"/>
      <c r="F954" s="2"/>
      <c r="G954" s="2"/>
      <c r="H954" s="2"/>
      <c r="I954" s="2"/>
      <c r="J954" s="2"/>
      <c r="K954" s="181"/>
      <c r="L954" s="2"/>
      <c r="M954" s="2"/>
      <c r="N954" s="2"/>
      <c r="O954" s="2"/>
      <c r="P954" s="2"/>
      <c r="Q954" s="157"/>
      <c r="R954" s="157"/>
      <c r="S954" s="2"/>
      <c r="T954" s="158"/>
      <c r="U954" s="2"/>
      <c r="V954" s="2"/>
      <c r="W954" s="2"/>
      <c r="X954" s="2"/>
      <c r="Y954" s="2"/>
      <c r="Z954" s="2"/>
    </row>
    <row r="955" ht="13.5" customHeight="1">
      <c r="A955" s="2"/>
      <c r="B955" s="2"/>
      <c r="C955" s="2"/>
      <c r="D955" s="2"/>
      <c r="E955" s="2"/>
      <c r="F955" s="2"/>
      <c r="G955" s="2"/>
      <c r="H955" s="2"/>
      <c r="I955" s="2"/>
      <c r="J955" s="2"/>
      <c r="K955" s="181"/>
      <c r="L955" s="2"/>
      <c r="M955" s="2"/>
      <c r="N955" s="2"/>
      <c r="O955" s="2"/>
      <c r="P955" s="2"/>
      <c r="Q955" s="157"/>
      <c r="R955" s="157"/>
      <c r="S955" s="2"/>
      <c r="T955" s="158"/>
      <c r="U955" s="2"/>
      <c r="V955" s="2"/>
      <c r="W955" s="2"/>
      <c r="X955" s="2"/>
      <c r="Y955" s="2"/>
      <c r="Z955" s="2"/>
    </row>
    <row r="956" ht="13.5" customHeight="1">
      <c r="A956" s="2"/>
      <c r="B956" s="2"/>
      <c r="C956" s="2"/>
      <c r="D956" s="2"/>
      <c r="E956" s="2"/>
      <c r="F956" s="2"/>
      <c r="G956" s="2"/>
      <c r="H956" s="2"/>
      <c r="I956" s="2"/>
      <c r="J956" s="2"/>
      <c r="K956" s="181"/>
      <c r="L956" s="2"/>
      <c r="M956" s="2"/>
      <c r="N956" s="2"/>
      <c r="O956" s="2"/>
      <c r="P956" s="2"/>
      <c r="Q956" s="157"/>
      <c r="R956" s="157"/>
      <c r="S956" s="2"/>
      <c r="T956" s="158"/>
      <c r="U956" s="2"/>
      <c r="V956" s="2"/>
      <c r="W956" s="2"/>
      <c r="X956" s="2"/>
      <c r="Y956" s="2"/>
      <c r="Z956" s="2"/>
    </row>
    <row r="957" ht="13.5" customHeight="1">
      <c r="A957" s="2"/>
      <c r="B957" s="2"/>
      <c r="C957" s="2"/>
      <c r="D957" s="2"/>
      <c r="E957" s="2"/>
      <c r="F957" s="2"/>
      <c r="G957" s="2"/>
      <c r="H957" s="2"/>
      <c r="I957" s="2"/>
      <c r="J957" s="2"/>
      <c r="K957" s="181"/>
      <c r="L957" s="2"/>
      <c r="M957" s="2"/>
      <c r="N957" s="2"/>
      <c r="O957" s="2"/>
      <c r="P957" s="2"/>
      <c r="Q957" s="157"/>
      <c r="R957" s="157"/>
      <c r="S957" s="2"/>
      <c r="T957" s="158"/>
      <c r="U957" s="2"/>
      <c r="V957" s="2"/>
      <c r="W957" s="2"/>
      <c r="X957" s="2"/>
      <c r="Y957" s="2"/>
      <c r="Z957" s="2"/>
    </row>
    <row r="958" ht="13.5" customHeight="1">
      <c r="A958" s="2"/>
      <c r="B958" s="2"/>
      <c r="C958" s="2"/>
      <c r="D958" s="2"/>
      <c r="E958" s="2"/>
      <c r="F958" s="2"/>
      <c r="G958" s="2"/>
      <c r="H958" s="2"/>
      <c r="I958" s="2"/>
      <c r="J958" s="2"/>
      <c r="K958" s="181"/>
      <c r="L958" s="2"/>
      <c r="M958" s="2"/>
      <c r="N958" s="2"/>
      <c r="O958" s="2"/>
      <c r="P958" s="2"/>
      <c r="Q958" s="157"/>
      <c r="R958" s="157"/>
      <c r="S958" s="2"/>
      <c r="T958" s="158"/>
      <c r="U958" s="2"/>
      <c r="V958" s="2"/>
      <c r="W958" s="2"/>
      <c r="X958" s="2"/>
      <c r="Y958" s="2"/>
      <c r="Z958" s="2"/>
    </row>
    <row r="959" ht="13.5" customHeight="1">
      <c r="A959" s="2"/>
      <c r="B959" s="2"/>
      <c r="C959" s="2"/>
      <c r="D959" s="2"/>
      <c r="E959" s="2"/>
      <c r="F959" s="2"/>
      <c r="G959" s="2"/>
      <c r="H959" s="2"/>
      <c r="I959" s="2"/>
      <c r="J959" s="2"/>
      <c r="K959" s="181"/>
      <c r="L959" s="2"/>
      <c r="M959" s="2"/>
      <c r="N959" s="2"/>
      <c r="O959" s="2"/>
      <c r="P959" s="2"/>
      <c r="Q959" s="157"/>
      <c r="R959" s="157"/>
      <c r="S959" s="2"/>
      <c r="T959" s="158"/>
      <c r="U959" s="2"/>
      <c r="V959" s="2"/>
      <c r="W959" s="2"/>
      <c r="X959" s="2"/>
      <c r="Y959" s="2"/>
      <c r="Z959" s="2"/>
    </row>
    <row r="960" ht="13.5" customHeight="1">
      <c r="A960" s="2"/>
      <c r="B960" s="2"/>
      <c r="C960" s="2"/>
      <c r="D960" s="2"/>
      <c r="E960" s="2"/>
      <c r="F960" s="2"/>
      <c r="G960" s="2"/>
      <c r="H960" s="2"/>
      <c r="I960" s="2"/>
      <c r="J960" s="2"/>
      <c r="K960" s="181"/>
      <c r="L960" s="2"/>
      <c r="M960" s="2"/>
      <c r="N960" s="2"/>
      <c r="O960" s="2"/>
      <c r="P960" s="2"/>
      <c r="Q960" s="157"/>
      <c r="R960" s="157"/>
      <c r="S960" s="2"/>
      <c r="T960" s="158"/>
      <c r="U960" s="2"/>
      <c r="V960" s="2"/>
      <c r="W960" s="2"/>
      <c r="X960" s="2"/>
      <c r="Y960" s="2"/>
      <c r="Z960" s="2"/>
    </row>
    <row r="961" ht="13.5" customHeight="1">
      <c r="A961" s="2"/>
      <c r="B961" s="2"/>
      <c r="C961" s="2"/>
      <c r="D961" s="2"/>
      <c r="E961" s="2"/>
      <c r="F961" s="2"/>
      <c r="G961" s="2"/>
      <c r="H961" s="2"/>
      <c r="I961" s="2"/>
      <c r="J961" s="2"/>
      <c r="K961" s="181"/>
      <c r="L961" s="2"/>
      <c r="M961" s="2"/>
      <c r="N961" s="2"/>
      <c r="O961" s="2"/>
      <c r="P961" s="2"/>
      <c r="Q961" s="157"/>
      <c r="R961" s="157"/>
      <c r="S961" s="2"/>
      <c r="T961" s="158"/>
      <c r="U961" s="2"/>
      <c r="V961" s="2"/>
      <c r="W961" s="2"/>
      <c r="X961" s="2"/>
      <c r="Y961" s="2"/>
      <c r="Z961" s="2"/>
    </row>
    <row r="962" ht="13.5" customHeight="1">
      <c r="A962" s="2"/>
      <c r="B962" s="2"/>
      <c r="C962" s="2"/>
      <c r="D962" s="2"/>
      <c r="E962" s="2"/>
      <c r="F962" s="2"/>
      <c r="G962" s="2"/>
      <c r="H962" s="2"/>
      <c r="I962" s="2"/>
      <c r="J962" s="2"/>
      <c r="K962" s="181"/>
      <c r="L962" s="2"/>
      <c r="M962" s="2"/>
      <c r="N962" s="2"/>
      <c r="O962" s="2"/>
      <c r="P962" s="2"/>
      <c r="Q962" s="157"/>
      <c r="R962" s="157"/>
      <c r="S962" s="2"/>
      <c r="T962" s="158"/>
      <c r="U962" s="2"/>
      <c r="V962" s="2"/>
      <c r="W962" s="2"/>
      <c r="X962" s="2"/>
      <c r="Y962" s="2"/>
      <c r="Z962" s="2"/>
    </row>
    <row r="963" ht="13.5" customHeight="1">
      <c r="A963" s="2"/>
      <c r="B963" s="2"/>
      <c r="C963" s="2"/>
      <c r="D963" s="2"/>
      <c r="E963" s="2"/>
      <c r="F963" s="2"/>
      <c r="G963" s="2"/>
      <c r="H963" s="2"/>
      <c r="I963" s="2"/>
      <c r="J963" s="2"/>
      <c r="K963" s="181"/>
      <c r="L963" s="2"/>
      <c r="M963" s="2"/>
      <c r="N963" s="2"/>
      <c r="O963" s="2"/>
      <c r="P963" s="2"/>
      <c r="Q963" s="157"/>
      <c r="R963" s="157"/>
      <c r="S963" s="2"/>
      <c r="T963" s="158"/>
      <c r="U963" s="2"/>
      <c r="V963" s="2"/>
      <c r="W963" s="2"/>
      <c r="X963" s="2"/>
      <c r="Y963" s="2"/>
      <c r="Z963" s="2"/>
    </row>
    <row r="964" ht="13.5" customHeight="1">
      <c r="A964" s="2"/>
      <c r="B964" s="2"/>
      <c r="C964" s="2"/>
      <c r="D964" s="2"/>
      <c r="E964" s="2"/>
      <c r="F964" s="2"/>
      <c r="G964" s="2"/>
      <c r="H964" s="2"/>
      <c r="I964" s="2"/>
      <c r="J964" s="2"/>
      <c r="K964" s="181"/>
      <c r="L964" s="2"/>
      <c r="M964" s="2"/>
      <c r="N964" s="2"/>
      <c r="O964" s="2"/>
      <c r="P964" s="2"/>
      <c r="Q964" s="157"/>
      <c r="R964" s="157"/>
      <c r="S964" s="2"/>
      <c r="T964" s="158"/>
      <c r="U964" s="2"/>
      <c r="V964" s="2"/>
      <c r="W964" s="2"/>
      <c r="X964" s="2"/>
      <c r="Y964" s="2"/>
      <c r="Z964" s="2"/>
    </row>
    <row r="965" ht="13.5" customHeight="1">
      <c r="A965" s="2"/>
      <c r="B965" s="2"/>
      <c r="C965" s="2"/>
      <c r="D965" s="2"/>
      <c r="E965" s="2"/>
      <c r="F965" s="2"/>
      <c r="G965" s="2"/>
      <c r="H965" s="2"/>
      <c r="I965" s="2"/>
      <c r="J965" s="2"/>
      <c r="K965" s="181"/>
      <c r="L965" s="2"/>
      <c r="M965" s="2"/>
      <c r="N965" s="2"/>
      <c r="O965" s="2"/>
      <c r="P965" s="2"/>
      <c r="Q965" s="157"/>
      <c r="R965" s="157"/>
      <c r="S965" s="2"/>
      <c r="T965" s="158"/>
      <c r="U965" s="2"/>
      <c r="V965" s="2"/>
      <c r="W965" s="2"/>
      <c r="X965" s="2"/>
      <c r="Y965" s="2"/>
      <c r="Z965" s="2"/>
    </row>
    <row r="966" ht="13.5" customHeight="1">
      <c r="A966" s="2"/>
      <c r="B966" s="2"/>
      <c r="C966" s="2"/>
      <c r="D966" s="2"/>
      <c r="E966" s="2"/>
      <c r="F966" s="2"/>
      <c r="G966" s="2"/>
      <c r="H966" s="2"/>
      <c r="I966" s="2"/>
      <c r="J966" s="2"/>
      <c r="K966" s="181"/>
      <c r="L966" s="2"/>
      <c r="M966" s="2"/>
      <c r="N966" s="2"/>
      <c r="O966" s="2"/>
      <c r="P966" s="2"/>
      <c r="Q966" s="157"/>
      <c r="R966" s="157"/>
      <c r="S966" s="2"/>
      <c r="T966" s="158"/>
      <c r="U966" s="2"/>
      <c r="V966" s="2"/>
      <c r="W966" s="2"/>
      <c r="X966" s="2"/>
      <c r="Y966" s="2"/>
      <c r="Z966" s="2"/>
    </row>
    <row r="967" ht="13.5" customHeight="1">
      <c r="A967" s="2"/>
      <c r="B967" s="2"/>
      <c r="C967" s="2"/>
      <c r="D967" s="2"/>
      <c r="E967" s="2"/>
      <c r="F967" s="2"/>
      <c r="G967" s="2"/>
      <c r="H967" s="2"/>
      <c r="I967" s="2"/>
      <c r="J967" s="2"/>
      <c r="K967" s="181"/>
      <c r="L967" s="2"/>
      <c r="M967" s="2"/>
      <c r="N967" s="2"/>
      <c r="O967" s="2"/>
      <c r="P967" s="2"/>
      <c r="Q967" s="157"/>
      <c r="R967" s="157"/>
      <c r="S967" s="2"/>
      <c r="T967" s="158"/>
      <c r="U967" s="2"/>
      <c r="V967" s="2"/>
      <c r="W967" s="2"/>
      <c r="X967" s="2"/>
      <c r="Y967" s="2"/>
      <c r="Z967" s="2"/>
    </row>
    <row r="968" ht="13.5" customHeight="1">
      <c r="A968" s="2"/>
      <c r="B968" s="2"/>
      <c r="C968" s="2"/>
      <c r="D968" s="2"/>
      <c r="E968" s="2"/>
      <c r="F968" s="2"/>
      <c r="G968" s="2"/>
      <c r="H968" s="2"/>
      <c r="I968" s="2"/>
      <c r="J968" s="2"/>
      <c r="K968" s="181"/>
      <c r="L968" s="2"/>
      <c r="M968" s="2"/>
      <c r="N968" s="2"/>
      <c r="O968" s="2"/>
      <c r="P968" s="2"/>
      <c r="Q968" s="157"/>
      <c r="R968" s="157"/>
      <c r="S968" s="2"/>
      <c r="T968" s="158"/>
      <c r="U968" s="2"/>
      <c r="V968" s="2"/>
      <c r="W968" s="2"/>
      <c r="X968" s="2"/>
      <c r="Y968" s="2"/>
      <c r="Z968" s="2"/>
    </row>
    <row r="969" ht="13.5" customHeight="1">
      <c r="A969" s="2"/>
      <c r="B969" s="2"/>
      <c r="C969" s="2"/>
      <c r="D969" s="2"/>
      <c r="E969" s="2"/>
      <c r="F969" s="2"/>
      <c r="G969" s="2"/>
      <c r="H969" s="2"/>
      <c r="I969" s="2"/>
      <c r="J969" s="2"/>
      <c r="K969" s="181"/>
      <c r="L969" s="2"/>
      <c r="M969" s="2"/>
      <c r="N969" s="2"/>
      <c r="O969" s="2"/>
      <c r="P969" s="2"/>
      <c r="Q969" s="157"/>
      <c r="R969" s="157"/>
      <c r="S969" s="2"/>
      <c r="T969" s="158"/>
      <c r="U969" s="2"/>
      <c r="V969" s="2"/>
      <c r="W969" s="2"/>
      <c r="X969" s="2"/>
      <c r="Y969" s="2"/>
      <c r="Z969" s="2"/>
    </row>
    <row r="970" ht="13.5" customHeight="1">
      <c r="A970" s="2"/>
      <c r="B970" s="2"/>
      <c r="C970" s="2"/>
      <c r="D970" s="2"/>
      <c r="E970" s="2"/>
      <c r="F970" s="2"/>
      <c r="G970" s="2"/>
      <c r="H970" s="2"/>
      <c r="I970" s="2"/>
      <c r="J970" s="2"/>
      <c r="K970" s="181"/>
      <c r="L970" s="2"/>
      <c r="M970" s="2"/>
      <c r="N970" s="2"/>
      <c r="O970" s="2"/>
      <c r="P970" s="2"/>
      <c r="Q970" s="157"/>
      <c r="R970" s="157"/>
      <c r="S970" s="2"/>
      <c r="T970" s="158"/>
      <c r="U970" s="2"/>
      <c r="V970" s="2"/>
      <c r="W970" s="2"/>
      <c r="X970" s="2"/>
      <c r="Y970" s="2"/>
      <c r="Z970" s="2"/>
    </row>
    <row r="971" ht="13.5" customHeight="1">
      <c r="A971" s="2"/>
      <c r="B971" s="2"/>
      <c r="C971" s="2"/>
      <c r="D971" s="2"/>
      <c r="E971" s="2"/>
      <c r="F971" s="2"/>
      <c r="G971" s="2"/>
      <c r="H971" s="2"/>
      <c r="I971" s="2"/>
      <c r="J971" s="2"/>
      <c r="K971" s="181"/>
      <c r="L971" s="2"/>
      <c r="M971" s="2"/>
      <c r="N971" s="2"/>
      <c r="O971" s="2"/>
      <c r="P971" s="2"/>
      <c r="Q971" s="157"/>
      <c r="R971" s="157"/>
      <c r="S971" s="2"/>
      <c r="T971" s="158"/>
      <c r="U971" s="2"/>
      <c r="V971" s="2"/>
      <c r="W971" s="2"/>
      <c r="X971" s="2"/>
      <c r="Y971" s="2"/>
      <c r="Z971" s="2"/>
    </row>
    <row r="972" ht="13.5" customHeight="1">
      <c r="A972" s="2"/>
      <c r="B972" s="2"/>
      <c r="C972" s="2"/>
      <c r="D972" s="2"/>
      <c r="E972" s="2"/>
      <c r="F972" s="2"/>
      <c r="G972" s="2"/>
      <c r="H972" s="2"/>
      <c r="I972" s="2"/>
      <c r="J972" s="2"/>
      <c r="K972" s="181"/>
      <c r="L972" s="2"/>
      <c r="M972" s="2"/>
      <c r="N972" s="2"/>
      <c r="O972" s="2"/>
      <c r="P972" s="2"/>
      <c r="Q972" s="157"/>
      <c r="R972" s="157"/>
      <c r="S972" s="2"/>
      <c r="T972" s="158"/>
      <c r="U972" s="2"/>
      <c r="V972" s="2"/>
      <c r="W972" s="2"/>
      <c r="X972" s="2"/>
      <c r="Y972" s="2"/>
      <c r="Z972" s="2"/>
    </row>
    <row r="973" ht="13.5" customHeight="1">
      <c r="A973" s="2"/>
      <c r="B973" s="2"/>
      <c r="C973" s="2"/>
      <c r="D973" s="2"/>
      <c r="E973" s="2"/>
      <c r="F973" s="2"/>
      <c r="G973" s="2"/>
      <c r="H973" s="2"/>
      <c r="I973" s="2"/>
      <c r="J973" s="2"/>
      <c r="K973" s="181"/>
      <c r="L973" s="2"/>
      <c r="M973" s="2"/>
      <c r="N973" s="2"/>
      <c r="O973" s="2"/>
      <c r="P973" s="2"/>
      <c r="Q973" s="157"/>
      <c r="R973" s="157"/>
      <c r="S973" s="2"/>
      <c r="T973" s="158"/>
      <c r="U973" s="2"/>
      <c r="V973" s="2"/>
      <c r="W973" s="2"/>
      <c r="X973" s="2"/>
      <c r="Y973" s="2"/>
      <c r="Z973" s="2"/>
    </row>
    <row r="974" ht="13.5" customHeight="1">
      <c r="A974" s="2"/>
      <c r="B974" s="2"/>
      <c r="C974" s="2"/>
      <c r="D974" s="2"/>
      <c r="E974" s="2"/>
      <c r="F974" s="2"/>
      <c r="G974" s="2"/>
      <c r="H974" s="2"/>
      <c r="I974" s="2"/>
      <c r="J974" s="2"/>
      <c r="K974" s="181"/>
      <c r="L974" s="2"/>
      <c r="M974" s="2"/>
      <c r="N974" s="2"/>
      <c r="O974" s="2"/>
      <c r="P974" s="2"/>
      <c r="Q974" s="157"/>
      <c r="R974" s="157"/>
      <c r="S974" s="2"/>
      <c r="T974" s="158"/>
      <c r="U974" s="2"/>
      <c r="V974" s="2"/>
      <c r="W974" s="2"/>
      <c r="X974" s="2"/>
      <c r="Y974" s="2"/>
      <c r="Z974" s="2"/>
    </row>
    <row r="975" ht="13.5" customHeight="1">
      <c r="A975" s="2"/>
      <c r="B975" s="2"/>
      <c r="C975" s="2"/>
      <c r="D975" s="2"/>
      <c r="E975" s="2"/>
      <c r="F975" s="2"/>
      <c r="G975" s="2"/>
      <c r="H975" s="2"/>
      <c r="I975" s="2"/>
      <c r="J975" s="2"/>
      <c r="K975" s="181"/>
      <c r="L975" s="2"/>
      <c r="M975" s="2"/>
      <c r="N975" s="2"/>
      <c r="O975" s="2"/>
      <c r="P975" s="2"/>
      <c r="Q975" s="157"/>
      <c r="R975" s="157"/>
      <c r="S975" s="2"/>
      <c r="T975" s="158"/>
      <c r="U975" s="2"/>
      <c r="V975" s="2"/>
      <c r="W975" s="2"/>
      <c r="X975" s="2"/>
      <c r="Y975" s="2"/>
      <c r="Z975" s="2"/>
    </row>
    <row r="976" ht="13.5" customHeight="1">
      <c r="A976" s="2"/>
      <c r="B976" s="2"/>
      <c r="C976" s="2"/>
      <c r="D976" s="2"/>
      <c r="E976" s="2"/>
      <c r="F976" s="2"/>
      <c r="G976" s="2"/>
      <c r="H976" s="2"/>
      <c r="I976" s="2"/>
      <c r="J976" s="2"/>
      <c r="K976" s="181"/>
      <c r="L976" s="2"/>
      <c r="M976" s="2"/>
      <c r="N976" s="2"/>
      <c r="O976" s="2"/>
      <c r="P976" s="2"/>
      <c r="Q976" s="157"/>
      <c r="R976" s="157"/>
      <c r="S976" s="2"/>
      <c r="T976" s="158"/>
      <c r="U976" s="2"/>
      <c r="V976" s="2"/>
      <c r="W976" s="2"/>
      <c r="X976" s="2"/>
      <c r="Y976" s="2"/>
      <c r="Z976" s="2"/>
    </row>
    <row r="977" ht="13.5" customHeight="1">
      <c r="A977" s="2"/>
      <c r="B977" s="2"/>
      <c r="C977" s="2"/>
      <c r="D977" s="2"/>
      <c r="E977" s="2"/>
      <c r="F977" s="2"/>
      <c r="G977" s="2"/>
      <c r="H977" s="2"/>
      <c r="I977" s="2"/>
      <c r="J977" s="2"/>
      <c r="K977" s="181"/>
      <c r="L977" s="2"/>
      <c r="M977" s="2"/>
      <c r="N977" s="2"/>
      <c r="O977" s="2"/>
      <c r="P977" s="2"/>
      <c r="Q977" s="157"/>
      <c r="R977" s="157"/>
      <c r="S977" s="2"/>
      <c r="T977" s="158"/>
      <c r="U977" s="2"/>
      <c r="V977" s="2"/>
      <c r="W977" s="2"/>
      <c r="X977" s="2"/>
      <c r="Y977" s="2"/>
      <c r="Z977" s="2"/>
    </row>
    <row r="978" ht="13.5" customHeight="1">
      <c r="A978" s="2"/>
      <c r="B978" s="2"/>
      <c r="C978" s="2"/>
      <c r="D978" s="2"/>
      <c r="E978" s="2"/>
      <c r="F978" s="2"/>
      <c r="G978" s="2"/>
      <c r="H978" s="2"/>
      <c r="I978" s="2"/>
      <c r="J978" s="2"/>
      <c r="K978" s="181"/>
      <c r="L978" s="2"/>
      <c r="M978" s="2"/>
      <c r="N978" s="2"/>
      <c r="O978" s="2"/>
      <c r="P978" s="2"/>
      <c r="Q978" s="157"/>
      <c r="R978" s="157"/>
      <c r="S978" s="2"/>
      <c r="T978" s="158"/>
      <c r="U978" s="2"/>
      <c r="V978" s="2"/>
      <c r="W978" s="2"/>
      <c r="X978" s="2"/>
      <c r="Y978" s="2"/>
      <c r="Z978" s="2"/>
    </row>
    <row r="979" ht="13.5" customHeight="1">
      <c r="A979" s="2"/>
      <c r="B979" s="2"/>
      <c r="C979" s="2"/>
      <c r="D979" s="2"/>
      <c r="E979" s="2"/>
      <c r="F979" s="2"/>
      <c r="G979" s="2"/>
      <c r="H979" s="2"/>
      <c r="I979" s="2"/>
      <c r="J979" s="2"/>
      <c r="K979" s="181"/>
      <c r="L979" s="2"/>
      <c r="M979" s="2"/>
      <c r="N979" s="2"/>
      <c r="O979" s="2"/>
      <c r="P979" s="2"/>
      <c r="Q979" s="157"/>
      <c r="R979" s="157"/>
      <c r="S979" s="2"/>
      <c r="T979" s="158"/>
      <c r="U979" s="2"/>
      <c r="V979" s="2"/>
      <c r="W979" s="2"/>
      <c r="X979" s="2"/>
      <c r="Y979" s="2"/>
      <c r="Z979" s="2"/>
    </row>
    <row r="980" ht="13.5" customHeight="1">
      <c r="A980" s="2"/>
      <c r="B980" s="2"/>
      <c r="C980" s="2"/>
      <c r="D980" s="2"/>
      <c r="E980" s="2"/>
      <c r="F980" s="2"/>
      <c r="G980" s="2"/>
      <c r="H980" s="2"/>
      <c r="I980" s="2"/>
      <c r="J980" s="2"/>
      <c r="K980" s="181"/>
      <c r="L980" s="2"/>
      <c r="M980" s="2"/>
      <c r="N980" s="2"/>
      <c r="O980" s="2"/>
      <c r="P980" s="2"/>
      <c r="Q980" s="157"/>
      <c r="R980" s="157"/>
      <c r="S980" s="2"/>
      <c r="T980" s="158"/>
      <c r="U980" s="2"/>
      <c r="V980" s="2"/>
      <c r="W980" s="2"/>
      <c r="X980" s="2"/>
      <c r="Y980" s="2"/>
      <c r="Z980" s="2"/>
    </row>
    <row r="981" ht="13.5" customHeight="1">
      <c r="A981" s="2"/>
      <c r="B981" s="2"/>
      <c r="C981" s="2"/>
      <c r="D981" s="2"/>
      <c r="E981" s="2"/>
      <c r="F981" s="2"/>
      <c r="G981" s="2"/>
      <c r="H981" s="2"/>
      <c r="I981" s="2"/>
      <c r="J981" s="2"/>
      <c r="K981" s="181"/>
      <c r="L981" s="2"/>
      <c r="M981" s="2"/>
      <c r="N981" s="2"/>
      <c r="O981" s="2"/>
      <c r="P981" s="2"/>
      <c r="Q981" s="157"/>
      <c r="R981" s="157"/>
      <c r="S981" s="2"/>
      <c r="T981" s="158"/>
      <c r="U981" s="2"/>
      <c r="V981" s="2"/>
      <c r="W981" s="2"/>
      <c r="X981" s="2"/>
      <c r="Y981" s="2"/>
      <c r="Z981" s="2"/>
    </row>
    <row r="982" ht="13.5" customHeight="1">
      <c r="A982" s="2"/>
      <c r="B982" s="2"/>
      <c r="C982" s="2"/>
      <c r="D982" s="2"/>
      <c r="E982" s="2"/>
      <c r="F982" s="2"/>
      <c r="G982" s="2"/>
      <c r="H982" s="2"/>
      <c r="I982" s="2"/>
      <c r="J982" s="2"/>
      <c r="K982" s="181"/>
      <c r="L982" s="2"/>
      <c r="M982" s="2"/>
      <c r="N982" s="2"/>
      <c r="O982" s="2"/>
      <c r="P982" s="2"/>
      <c r="Q982" s="157"/>
      <c r="R982" s="157"/>
      <c r="S982" s="2"/>
      <c r="T982" s="158"/>
      <c r="U982" s="2"/>
      <c r="V982" s="2"/>
      <c r="W982" s="2"/>
      <c r="X982" s="2"/>
      <c r="Y982" s="2"/>
      <c r="Z982" s="2"/>
    </row>
    <row r="983" ht="13.5" customHeight="1">
      <c r="A983" s="2"/>
      <c r="B983" s="2"/>
      <c r="C983" s="2"/>
      <c r="D983" s="2"/>
      <c r="E983" s="2"/>
      <c r="F983" s="2"/>
      <c r="G983" s="2"/>
      <c r="H983" s="2"/>
      <c r="I983" s="2"/>
      <c r="J983" s="2"/>
      <c r="K983" s="181"/>
      <c r="L983" s="2"/>
      <c r="M983" s="2"/>
      <c r="N983" s="2"/>
      <c r="O983" s="2"/>
      <c r="P983" s="2"/>
      <c r="Q983" s="157"/>
      <c r="R983" s="157"/>
      <c r="S983" s="2"/>
      <c r="T983" s="158"/>
      <c r="U983" s="2"/>
      <c r="V983" s="2"/>
      <c r="W983" s="2"/>
      <c r="X983" s="2"/>
      <c r="Y983" s="2"/>
      <c r="Z983" s="2"/>
    </row>
    <row r="984" ht="13.5" customHeight="1">
      <c r="A984" s="2"/>
      <c r="B984" s="2"/>
      <c r="C984" s="2"/>
      <c r="D984" s="2"/>
      <c r="E984" s="2"/>
      <c r="F984" s="2"/>
      <c r="G984" s="2"/>
      <c r="H984" s="2"/>
      <c r="I984" s="2"/>
      <c r="J984" s="2"/>
      <c r="K984" s="181"/>
      <c r="L984" s="2"/>
      <c r="M984" s="2"/>
      <c r="N984" s="2"/>
      <c r="O984" s="2"/>
      <c r="P984" s="2"/>
      <c r="Q984" s="157"/>
      <c r="R984" s="157"/>
      <c r="S984" s="2"/>
      <c r="T984" s="158"/>
      <c r="U984" s="2"/>
      <c r="V984" s="2"/>
      <c r="W984" s="2"/>
      <c r="X984" s="2"/>
      <c r="Y984" s="2"/>
      <c r="Z984" s="2"/>
    </row>
    <row r="985" ht="13.5" customHeight="1">
      <c r="A985" s="2"/>
      <c r="B985" s="2"/>
      <c r="C985" s="2"/>
      <c r="D985" s="2"/>
      <c r="E985" s="2"/>
      <c r="F985" s="2"/>
      <c r="G985" s="2"/>
      <c r="H985" s="2"/>
      <c r="I985" s="2"/>
      <c r="J985" s="2"/>
      <c r="K985" s="181"/>
      <c r="L985" s="2"/>
      <c r="M985" s="2"/>
      <c r="N985" s="2"/>
      <c r="O985" s="2"/>
      <c r="P985" s="2"/>
      <c r="Q985" s="157"/>
      <c r="R985" s="157"/>
      <c r="S985" s="2"/>
      <c r="T985" s="158"/>
      <c r="U985" s="2"/>
      <c r="V985" s="2"/>
      <c r="W985" s="2"/>
      <c r="X985" s="2"/>
      <c r="Y985" s="2"/>
      <c r="Z985" s="2"/>
    </row>
    <row r="986" ht="13.5" customHeight="1">
      <c r="A986" s="2"/>
      <c r="B986" s="2"/>
      <c r="C986" s="2"/>
      <c r="D986" s="2"/>
      <c r="E986" s="2"/>
      <c r="F986" s="2"/>
      <c r="G986" s="2"/>
      <c r="H986" s="2"/>
      <c r="I986" s="2"/>
      <c r="J986" s="2"/>
      <c r="K986" s="181"/>
      <c r="L986" s="2"/>
      <c r="M986" s="2"/>
      <c r="N986" s="2"/>
      <c r="O986" s="2"/>
      <c r="P986" s="2"/>
      <c r="Q986" s="157"/>
      <c r="R986" s="157"/>
      <c r="S986" s="2"/>
      <c r="T986" s="158"/>
      <c r="U986" s="2"/>
      <c r="V986" s="2"/>
      <c r="W986" s="2"/>
      <c r="X986" s="2"/>
      <c r="Y986" s="2"/>
      <c r="Z986" s="2"/>
    </row>
    <row r="987" ht="13.5" customHeight="1">
      <c r="A987" s="2"/>
      <c r="B987" s="2"/>
      <c r="C987" s="2"/>
      <c r="D987" s="2"/>
      <c r="E987" s="2"/>
      <c r="F987" s="2"/>
      <c r="G987" s="2"/>
      <c r="H987" s="2"/>
      <c r="I987" s="2"/>
      <c r="J987" s="2"/>
      <c r="K987" s="181"/>
      <c r="L987" s="2"/>
      <c r="M987" s="2"/>
      <c r="N987" s="2"/>
      <c r="O987" s="2"/>
      <c r="P987" s="2"/>
      <c r="Q987" s="157"/>
      <c r="R987" s="157"/>
      <c r="S987" s="2"/>
      <c r="T987" s="158"/>
      <c r="U987" s="2"/>
      <c r="V987" s="2"/>
      <c r="W987" s="2"/>
      <c r="X987" s="2"/>
      <c r="Y987" s="2"/>
      <c r="Z987" s="2"/>
    </row>
    <row r="988" ht="13.5" customHeight="1">
      <c r="A988" s="2"/>
      <c r="B988" s="2"/>
      <c r="C988" s="2"/>
      <c r="D988" s="2"/>
      <c r="E988" s="2"/>
      <c r="F988" s="2"/>
      <c r="G988" s="2"/>
      <c r="H988" s="2"/>
      <c r="I988" s="2"/>
      <c r="J988" s="2"/>
      <c r="K988" s="181"/>
      <c r="L988" s="2"/>
      <c r="M988" s="2"/>
      <c r="N988" s="2"/>
      <c r="O988" s="2"/>
      <c r="P988" s="2"/>
      <c r="Q988" s="157"/>
      <c r="R988" s="157"/>
      <c r="S988" s="2"/>
      <c r="T988" s="158"/>
      <c r="U988" s="2"/>
      <c r="V988" s="2"/>
      <c r="W988" s="2"/>
      <c r="X988" s="2"/>
      <c r="Y988" s="2"/>
      <c r="Z988" s="2"/>
    </row>
    <row r="989" ht="13.5" customHeight="1">
      <c r="A989" s="2"/>
      <c r="B989" s="2"/>
      <c r="C989" s="2"/>
      <c r="D989" s="2"/>
      <c r="E989" s="2"/>
      <c r="F989" s="2"/>
      <c r="G989" s="2"/>
      <c r="H989" s="2"/>
      <c r="I989" s="2"/>
      <c r="J989" s="2"/>
      <c r="K989" s="181"/>
      <c r="L989" s="2"/>
      <c r="M989" s="2"/>
      <c r="N989" s="2"/>
      <c r="O989" s="2"/>
      <c r="P989" s="2"/>
      <c r="Q989" s="157"/>
      <c r="R989" s="157"/>
      <c r="S989" s="2"/>
      <c r="T989" s="158"/>
      <c r="U989" s="2"/>
      <c r="V989" s="2"/>
      <c r="W989" s="2"/>
      <c r="X989" s="2"/>
      <c r="Y989" s="2"/>
      <c r="Z989" s="2"/>
    </row>
    <row r="990" ht="13.5" customHeight="1">
      <c r="A990" s="2"/>
      <c r="B990" s="2"/>
      <c r="C990" s="2"/>
      <c r="D990" s="2"/>
      <c r="E990" s="2"/>
      <c r="F990" s="2"/>
      <c r="G990" s="2"/>
      <c r="H990" s="2"/>
      <c r="I990" s="2"/>
      <c r="J990" s="2"/>
      <c r="K990" s="181"/>
      <c r="L990" s="2"/>
      <c r="M990" s="2"/>
      <c r="N990" s="2"/>
      <c r="O990" s="2"/>
      <c r="P990" s="2"/>
      <c r="Q990" s="157"/>
      <c r="R990" s="157"/>
      <c r="S990" s="2"/>
      <c r="T990" s="158"/>
      <c r="U990" s="2"/>
      <c r="V990" s="2"/>
      <c r="W990" s="2"/>
      <c r="X990" s="2"/>
      <c r="Y990" s="2"/>
      <c r="Z990" s="2"/>
    </row>
    <row r="991" ht="13.5" customHeight="1">
      <c r="A991" s="2"/>
      <c r="B991" s="2"/>
      <c r="C991" s="2"/>
      <c r="D991" s="2"/>
      <c r="E991" s="2"/>
      <c r="F991" s="2"/>
      <c r="G991" s="2"/>
      <c r="H991" s="2"/>
      <c r="I991" s="2"/>
      <c r="J991" s="2"/>
      <c r="K991" s="181"/>
      <c r="L991" s="2"/>
      <c r="M991" s="2"/>
      <c r="N991" s="2"/>
      <c r="O991" s="2"/>
      <c r="P991" s="2"/>
      <c r="Q991" s="157"/>
      <c r="R991" s="157"/>
      <c r="S991" s="2"/>
      <c r="T991" s="158"/>
      <c r="U991" s="2"/>
      <c r="V991" s="2"/>
      <c r="W991" s="2"/>
      <c r="X991" s="2"/>
      <c r="Y991" s="2"/>
      <c r="Z991" s="2"/>
    </row>
    <row r="992" ht="13.5" customHeight="1">
      <c r="A992" s="2"/>
      <c r="B992" s="2"/>
      <c r="C992" s="2"/>
      <c r="D992" s="2"/>
      <c r="E992" s="2"/>
      <c r="F992" s="2"/>
      <c r="G992" s="2"/>
      <c r="H992" s="2"/>
      <c r="I992" s="2"/>
      <c r="J992" s="2"/>
      <c r="K992" s="181"/>
      <c r="L992" s="2"/>
      <c r="M992" s="2"/>
      <c r="N992" s="2"/>
      <c r="O992" s="2"/>
      <c r="P992" s="2"/>
      <c r="Q992" s="157"/>
      <c r="R992" s="157"/>
      <c r="S992" s="2"/>
      <c r="T992" s="158"/>
      <c r="U992" s="2"/>
      <c r="V992" s="2"/>
      <c r="W992" s="2"/>
      <c r="X992" s="2"/>
      <c r="Y992" s="2"/>
      <c r="Z992" s="2"/>
    </row>
    <row r="993" ht="13.5" customHeight="1">
      <c r="A993" s="2"/>
      <c r="B993" s="2"/>
      <c r="C993" s="2"/>
      <c r="D993" s="2"/>
      <c r="E993" s="2"/>
      <c r="F993" s="2"/>
      <c r="G993" s="2"/>
      <c r="H993" s="2"/>
      <c r="I993" s="2"/>
      <c r="J993" s="2"/>
      <c r="K993" s="181"/>
      <c r="L993" s="2"/>
      <c r="M993" s="2"/>
      <c r="N993" s="2"/>
      <c r="O993" s="2"/>
      <c r="P993" s="2"/>
      <c r="Q993" s="157"/>
      <c r="R993" s="157"/>
      <c r="S993" s="2"/>
      <c r="T993" s="158"/>
      <c r="U993" s="2"/>
      <c r="V993" s="2"/>
      <c r="W993" s="2"/>
      <c r="X993" s="2"/>
      <c r="Y993" s="2"/>
      <c r="Z993" s="2"/>
    </row>
    <row r="994" ht="13.5" customHeight="1">
      <c r="A994" s="2"/>
      <c r="B994" s="2"/>
      <c r="C994" s="2"/>
      <c r="D994" s="2"/>
      <c r="E994" s="2"/>
      <c r="F994" s="2"/>
      <c r="G994" s="2"/>
      <c r="H994" s="2"/>
      <c r="I994" s="2"/>
      <c r="J994" s="2"/>
      <c r="K994" s="181"/>
      <c r="L994" s="2"/>
      <c r="M994" s="2"/>
      <c r="N994" s="2"/>
      <c r="O994" s="2"/>
      <c r="P994" s="2"/>
      <c r="Q994" s="157"/>
      <c r="R994" s="157"/>
      <c r="S994" s="2"/>
      <c r="T994" s="158"/>
      <c r="U994" s="2"/>
      <c r="V994" s="2"/>
      <c r="W994" s="2"/>
      <c r="X994" s="2"/>
      <c r="Y994" s="2"/>
      <c r="Z994" s="2"/>
    </row>
    <row r="995" ht="13.5" customHeight="1">
      <c r="A995" s="2"/>
      <c r="B995" s="2"/>
      <c r="C995" s="2"/>
      <c r="D995" s="2"/>
      <c r="E995" s="2"/>
      <c r="F995" s="2"/>
      <c r="G995" s="2"/>
      <c r="H995" s="2"/>
      <c r="I995" s="2"/>
      <c r="J995" s="2"/>
      <c r="K995" s="181"/>
      <c r="L995" s="2"/>
      <c r="M995" s="2"/>
      <c r="N995" s="2"/>
      <c r="O995" s="2"/>
      <c r="P995" s="2"/>
      <c r="Q995" s="157"/>
      <c r="R995" s="157"/>
      <c r="S995" s="2"/>
      <c r="T995" s="158"/>
      <c r="U995" s="2"/>
      <c r="V995" s="2"/>
      <c r="W995" s="2"/>
      <c r="X995" s="2"/>
      <c r="Y995" s="2"/>
      <c r="Z995" s="2"/>
    </row>
    <row r="996" ht="13.5" customHeight="1">
      <c r="A996" s="2"/>
      <c r="B996" s="2"/>
      <c r="C996" s="2"/>
      <c r="D996" s="2"/>
      <c r="E996" s="2"/>
      <c r="F996" s="2"/>
      <c r="G996" s="2"/>
      <c r="H996" s="2"/>
      <c r="I996" s="2"/>
      <c r="J996" s="2"/>
      <c r="K996" s="181"/>
      <c r="L996" s="2"/>
      <c r="M996" s="2"/>
      <c r="N996" s="2"/>
      <c r="O996" s="2"/>
      <c r="P996" s="2"/>
      <c r="Q996" s="157"/>
      <c r="R996" s="157"/>
      <c r="S996" s="2"/>
      <c r="T996" s="158"/>
      <c r="U996" s="2"/>
      <c r="V996" s="2"/>
      <c r="W996" s="2"/>
      <c r="X996" s="2"/>
      <c r="Y996" s="2"/>
      <c r="Z996" s="2"/>
    </row>
    <row r="997" ht="13.5" customHeight="1">
      <c r="A997" s="2"/>
      <c r="B997" s="2"/>
      <c r="C997" s="2"/>
      <c r="D997" s="2"/>
      <c r="E997" s="2"/>
      <c r="F997" s="2"/>
      <c r="G997" s="2"/>
      <c r="H997" s="2"/>
      <c r="I997" s="2"/>
      <c r="J997" s="2"/>
      <c r="K997" s="181"/>
      <c r="L997" s="2"/>
      <c r="M997" s="2"/>
      <c r="N997" s="2"/>
      <c r="O997" s="2"/>
      <c r="P997" s="2"/>
      <c r="Q997" s="157"/>
      <c r="R997" s="157"/>
      <c r="S997" s="2"/>
      <c r="T997" s="158"/>
      <c r="U997" s="2"/>
      <c r="V997" s="2"/>
      <c r="W997" s="2"/>
      <c r="X997" s="2"/>
      <c r="Y997" s="2"/>
      <c r="Z997" s="2"/>
    </row>
    <row r="998" ht="13.5" customHeight="1">
      <c r="A998" s="2"/>
      <c r="B998" s="2"/>
      <c r="C998" s="2"/>
      <c r="D998" s="2"/>
      <c r="E998" s="2"/>
      <c r="F998" s="2"/>
      <c r="G998" s="2"/>
      <c r="H998" s="2"/>
      <c r="I998" s="2"/>
      <c r="J998" s="2"/>
      <c r="K998" s="181"/>
      <c r="L998" s="2"/>
      <c r="M998" s="2"/>
      <c r="N998" s="2"/>
      <c r="O998" s="2"/>
      <c r="P998" s="2"/>
      <c r="Q998" s="157"/>
      <c r="R998" s="157"/>
      <c r="S998" s="2"/>
      <c r="T998" s="158"/>
      <c r="U998" s="2"/>
      <c r="V998" s="2"/>
      <c r="W998" s="2"/>
      <c r="X998" s="2"/>
      <c r="Y998" s="2"/>
      <c r="Z998" s="2"/>
    </row>
    <row r="999" ht="13.5" customHeight="1">
      <c r="A999" s="2"/>
      <c r="B999" s="2"/>
      <c r="C999" s="2"/>
      <c r="D999" s="2"/>
      <c r="E999" s="2"/>
      <c r="F999" s="2"/>
      <c r="G999" s="2"/>
      <c r="H999" s="2"/>
      <c r="I999" s="2"/>
      <c r="J999" s="2"/>
      <c r="K999" s="181"/>
      <c r="L999" s="2"/>
      <c r="M999" s="2"/>
      <c r="N999" s="2"/>
      <c r="O999" s="2"/>
      <c r="P999" s="2"/>
      <c r="Q999" s="157"/>
      <c r="R999" s="157"/>
      <c r="S999" s="2"/>
      <c r="T999" s="158"/>
      <c r="U999" s="2"/>
      <c r="V999" s="2"/>
      <c r="W999" s="2"/>
      <c r="X999" s="2"/>
      <c r="Y999" s="2"/>
      <c r="Z999" s="2"/>
    </row>
    <row r="1000" ht="13.5" customHeight="1">
      <c r="A1000" s="2"/>
      <c r="B1000" s="2"/>
      <c r="C1000" s="2"/>
      <c r="D1000" s="2"/>
      <c r="E1000" s="2"/>
      <c r="F1000" s="2"/>
      <c r="G1000" s="2"/>
      <c r="H1000" s="2"/>
      <c r="I1000" s="2"/>
      <c r="J1000" s="2"/>
      <c r="K1000" s="181"/>
      <c r="L1000" s="2"/>
      <c r="M1000" s="2"/>
      <c r="N1000" s="2"/>
      <c r="O1000" s="2"/>
      <c r="P1000" s="2"/>
      <c r="Q1000" s="157"/>
      <c r="R1000" s="157"/>
      <c r="S1000" s="2"/>
      <c r="T1000" s="158"/>
      <c r="U1000" s="2"/>
      <c r="V1000" s="2"/>
      <c r="W1000" s="2"/>
      <c r="X1000" s="2"/>
      <c r="Y1000" s="2"/>
      <c r="Z1000" s="2"/>
    </row>
  </sheetData>
  <mergeCells count="33">
    <mergeCell ref="A1:T1"/>
    <mergeCell ref="A2:C2"/>
    <mergeCell ref="D2:G2"/>
    <mergeCell ref="H2:J2"/>
    <mergeCell ref="K2:O2"/>
    <mergeCell ref="P2:R2"/>
    <mergeCell ref="S2:T2"/>
    <mergeCell ref="K3:O3"/>
    <mergeCell ref="L6:L11"/>
    <mergeCell ref="L12:L15"/>
    <mergeCell ref="L16:L19"/>
    <mergeCell ref="L20:L27"/>
    <mergeCell ref="A3:C3"/>
    <mergeCell ref="D3:G3"/>
    <mergeCell ref="H3:J3"/>
    <mergeCell ref="P3:R3"/>
    <mergeCell ref="S3:T3"/>
    <mergeCell ref="A6:A11"/>
    <mergeCell ref="D6:D11"/>
    <mergeCell ref="B16:B19"/>
    <mergeCell ref="C16:C19"/>
    <mergeCell ref="A20:A27"/>
    <mergeCell ref="B20:B27"/>
    <mergeCell ref="C20:C27"/>
    <mergeCell ref="D20:D27"/>
    <mergeCell ref="B6:B11"/>
    <mergeCell ref="C6:C11"/>
    <mergeCell ref="A12:A15"/>
    <mergeCell ref="B12:B15"/>
    <mergeCell ref="C12:C15"/>
    <mergeCell ref="D12:D15"/>
    <mergeCell ref="A16:A19"/>
    <mergeCell ref="D16:D19"/>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42.75"/>
    <col customWidth="1" min="11" max="11" width="47.38"/>
    <col customWidth="1" hidden="1" min="12" max="12" width="18.88"/>
    <col customWidth="1" hidden="1" min="13" max="13" width="31.75"/>
    <col hidden="1" min="14" max="16" width="12.63"/>
    <col customWidth="1" min="17" max="17" width="12.63"/>
    <col customWidth="1" min="18" max="19" width="15.75"/>
    <col customWidth="1" min="20" max="20" width="20.75"/>
    <col customWidth="1" min="21" max="26" width="12.63"/>
  </cols>
  <sheetData>
    <row r="1" ht="30.0" customHeight="1">
      <c r="A1" s="21" t="s">
        <v>1909</v>
      </c>
      <c r="B1" s="24"/>
      <c r="C1" s="24"/>
      <c r="D1" s="24"/>
      <c r="E1" s="24"/>
      <c r="F1" s="24"/>
      <c r="G1" s="24"/>
      <c r="H1" s="24"/>
      <c r="I1" s="24"/>
      <c r="J1" s="24"/>
      <c r="K1" s="24"/>
      <c r="L1" s="24"/>
      <c r="M1" s="24"/>
      <c r="N1" s="24"/>
      <c r="O1" s="24"/>
      <c r="P1" s="24"/>
      <c r="Q1" s="24"/>
      <c r="R1" s="24"/>
      <c r="S1" s="24"/>
      <c r="T1" s="27"/>
      <c r="U1" s="143"/>
      <c r="V1" s="143"/>
      <c r="W1" s="143"/>
      <c r="X1" s="143"/>
      <c r="Y1" s="143"/>
      <c r="Z1" s="143"/>
    </row>
    <row r="2" ht="19.5" customHeight="1">
      <c r="A2" s="35" t="s">
        <v>38</v>
      </c>
      <c r="B2" s="37"/>
      <c r="C2" s="39"/>
      <c r="D2" s="40" t="s">
        <v>47</v>
      </c>
      <c r="E2" s="37"/>
      <c r="F2" s="37"/>
      <c r="G2" s="39"/>
      <c r="H2" s="35" t="s">
        <v>50</v>
      </c>
      <c r="I2" s="37"/>
      <c r="J2" s="39"/>
      <c r="K2" s="40" t="s">
        <v>2669</v>
      </c>
      <c r="L2" s="37"/>
      <c r="M2" s="37"/>
      <c r="N2" s="37"/>
      <c r="O2" s="39"/>
      <c r="P2" s="35" t="s">
        <v>6</v>
      </c>
      <c r="Q2" s="37"/>
      <c r="R2" s="39"/>
      <c r="S2" s="40" t="s">
        <v>33</v>
      </c>
      <c r="T2" s="39"/>
      <c r="U2" s="143"/>
      <c r="V2" s="143"/>
      <c r="W2" s="143"/>
      <c r="X2" s="143"/>
      <c r="Y2" s="143"/>
      <c r="Z2" s="143"/>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143"/>
      <c r="W3" s="143"/>
      <c r="X3" s="143"/>
      <c r="Y3" s="143"/>
      <c r="Z3" s="143"/>
    </row>
    <row r="4" ht="13.5" customHeight="1">
      <c r="A4" s="49"/>
      <c r="B4" s="49"/>
      <c r="C4" s="49"/>
      <c r="D4" s="49"/>
      <c r="E4" s="49"/>
      <c r="F4" s="49"/>
      <c r="G4" s="49"/>
      <c r="H4" s="49"/>
      <c r="I4" s="49"/>
      <c r="J4" s="49"/>
      <c r="K4" s="49"/>
      <c r="L4" s="49"/>
      <c r="M4" s="49"/>
      <c r="N4" s="49"/>
      <c r="O4" s="49"/>
      <c r="P4" s="49"/>
      <c r="Q4" s="51"/>
      <c r="R4" s="51"/>
      <c r="S4" s="51"/>
      <c r="T4" s="52"/>
      <c r="U4" s="143"/>
      <c r="V4" s="143"/>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8" t="s">
        <v>82</v>
      </c>
      <c r="U5" s="143"/>
      <c r="V5" s="143"/>
      <c r="W5" s="143"/>
      <c r="X5" s="143"/>
      <c r="Y5" s="143"/>
      <c r="Z5" s="143"/>
    </row>
    <row r="6" ht="13.5" customHeight="1">
      <c r="A6" s="59" t="s">
        <v>2669</v>
      </c>
      <c r="B6" s="59" t="s">
        <v>566</v>
      </c>
      <c r="C6" s="60" t="s">
        <v>568</v>
      </c>
      <c r="D6" s="60" t="s">
        <v>2670</v>
      </c>
      <c r="E6" s="61" t="s">
        <v>2671</v>
      </c>
      <c r="F6" s="62" t="s">
        <v>2672</v>
      </c>
      <c r="G6" s="63" t="s">
        <v>2673</v>
      </c>
      <c r="H6" s="61" t="s">
        <v>88</v>
      </c>
      <c r="I6" s="61" t="s">
        <v>2674</v>
      </c>
      <c r="J6" s="151" t="s">
        <v>2675</v>
      </c>
      <c r="K6" s="90"/>
      <c r="L6" s="63" t="s">
        <v>2676</v>
      </c>
      <c r="M6" s="61"/>
      <c r="N6" s="61"/>
      <c r="O6" s="61"/>
      <c r="P6" s="61"/>
      <c r="Q6" s="61" t="s">
        <v>93</v>
      </c>
      <c r="R6" s="61" t="s">
        <v>94</v>
      </c>
      <c r="S6" s="61" t="s">
        <v>94</v>
      </c>
      <c r="T6" s="66">
        <v>46246.0</v>
      </c>
      <c r="U6" s="143"/>
      <c r="V6" s="143"/>
      <c r="W6" s="143"/>
      <c r="X6" s="143"/>
      <c r="Y6" s="143"/>
      <c r="Z6" s="143"/>
    </row>
    <row r="7" ht="45.0" customHeight="1">
      <c r="A7" s="77"/>
      <c r="B7" s="77"/>
      <c r="C7" s="77"/>
      <c r="D7" s="77"/>
      <c r="E7" s="61" t="s">
        <v>2677</v>
      </c>
      <c r="F7" s="62"/>
      <c r="G7" s="63" t="s">
        <v>2678</v>
      </c>
      <c r="H7" s="61" t="s">
        <v>88</v>
      </c>
      <c r="I7" s="61" t="s">
        <v>2674</v>
      </c>
      <c r="J7" s="151" t="s">
        <v>2679</v>
      </c>
      <c r="K7" s="90"/>
      <c r="L7" s="63" t="s">
        <v>2680</v>
      </c>
      <c r="M7" s="61"/>
      <c r="N7" s="61"/>
      <c r="O7" s="61"/>
      <c r="P7" s="61"/>
      <c r="Q7" s="61" t="s">
        <v>93</v>
      </c>
      <c r="R7" s="61" t="s">
        <v>94</v>
      </c>
      <c r="S7" s="61" t="s">
        <v>94</v>
      </c>
      <c r="T7" s="66">
        <v>46246.0</v>
      </c>
      <c r="U7" s="143"/>
      <c r="V7" s="143"/>
      <c r="W7" s="143"/>
      <c r="X7" s="143"/>
      <c r="Y7" s="143"/>
      <c r="Z7" s="143"/>
    </row>
    <row r="8" ht="45.0" customHeight="1">
      <c r="A8" s="78" t="s">
        <v>2669</v>
      </c>
      <c r="B8" s="78" t="s">
        <v>575</v>
      </c>
      <c r="C8" s="79" t="s">
        <v>2681</v>
      </c>
      <c r="D8" s="79" t="s">
        <v>2682</v>
      </c>
      <c r="E8" s="89" t="s">
        <v>2683</v>
      </c>
      <c r="F8" s="70" t="s">
        <v>2684</v>
      </c>
      <c r="G8" s="83" t="s">
        <v>2685</v>
      </c>
      <c r="H8" s="81" t="s">
        <v>88</v>
      </c>
      <c r="I8" s="81" t="s">
        <v>2674</v>
      </c>
      <c r="J8" s="117" t="s">
        <v>2686</v>
      </c>
      <c r="K8" s="90"/>
      <c r="L8" s="79" t="s">
        <v>2687</v>
      </c>
      <c r="M8" s="147"/>
      <c r="N8" s="147"/>
      <c r="O8" s="147"/>
      <c r="P8" s="147"/>
      <c r="Q8" s="147" t="s">
        <v>93</v>
      </c>
      <c r="R8" s="81" t="s">
        <v>94</v>
      </c>
      <c r="S8" s="81" t="s">
        <v>94</v>
      </c>
      <c r="T8" s="84">
        <v>46246.0</v>
      </c>
      <c r="U8" s="143"/>
      <c r="V8" s="143"/>
      <c r="W8" s="143"/>
      <c r="X8" s="143"/>
      <c r="Y8" s="143"/>
      <c r="Z8" s="143"/>
    </row>
    <row r="9" ht="45.0" customHeight="1">
      <c r="A9" s="67"/>
      <c r="B9" s="67"/>
      <c r="C9" s="67"/>
      <c r="D9" s="67"/>
      <c r="E9" s="89" t="s">
        <v>2688</v>
      </c>
      <c r="F9" s="70"/>
      <c r="G9" s="83" t="s">
        <v>2689</v>
      </c>
      <c r="H9" s="81" t="s">
        <v>88</v>
      </c>
      <c r="I9" s="81" t="s">
        <v>2674</v>
      </c>
      <c r="J9" s="117" t="s">
        <v>2690</v>
      </c>
      <c r="K9" s="90"/>
      <c r="L9" s="67"/>
      <c r="M9" s="147"/>
      <c r="N9" s="147"/>
      <c r="O9" s="147"/>
      <c r="P9" s="147"/>
      <c r="Q9" s="147" t="s">
        <v>93</v>
      </c>
      <c r="R9" s="81" t="s">
        <v>94</v>
      </c>
      <c r="S9" s="81" t="s">
        <v>94</v>
      </c>
      <c r="T9" s="84">
        <v>46246.0</v>
      </c>
      <c r="U9" s="143"/>
      <c r="V9" s="143"/>
      <c r="W9" s="143"/>
      <c r="X9" s="143"/>
      <c r="Y9" s="143"/>
      <c r="Z9" s="143"/>
    </row>
    <row r="10" ht="45.0" customHeight="1">
      <c r="A10" s="67"/>
      <c r="B10" s="67"/>
      <c r="C10" s="67"/>
      <c r="D10" s="67"/>
      <c r="E10" s="89" t="s">
        <v>2691</v>
      </c>
      <c r="F10" s="70"/>
      <c r="G10" s="83" t="s">
        <v>2692</v>
      </c>
      <c r="H10" s="81" t="s">
        <v>88</v>
      </c>
      <c r="I10" s="81" t="s">
        <v>2674</v>
      </c>
      <c r="J10" s="117" t="s">
        <v>2693</v>
      </c>
      <c r="K10" s="90"/>
      <c r="L10" s="67"/>
      <c r="M10" s="147"/>
      <c r="N10" s="147"/>
      <c r="O10" s="147"/>
      <c r="P10" s="147"/>
      <c r="Q10" s="147" t="s">
        <v>93</v>
      </c>
      <c r="R10" s="147" t="s">
        <v>94</v>
      </c>
      <c r="S10" s="147" t="s">
        <v>94</v>
      </c>
      <c r="T10" s="148">
        <v>46246.0</v>
      </c>
      <c r="U10" s="143"/>
      <c r="V10" s="143"/>
      <c r="W10" s="143"/>
      <c r="X10" s="143"/>
      <c r="Y10" s="143"/>
      <c r="Z10" s="143"/>
    </row>
    <row r="11" ht="45.0" customHeight="1">
      <c r="A11" s="77"/>
      <c r="B11" s="77"/>
      <c r="C11" s="77"/>
      <c r="D11" s="77"/>
      <c r="E11" s="89" t="s">
        <v>2694</v>
      </c>
      <c r="F11" s="70"/>
      <c r="G11" s="83" t="s">
        <v>2695</v>
      </c>
      <c r="H11" s="81" t="s">
        <v>88</v>
      </c>
      <c r="I11" s="81" t="s">
        <v>2674</v>
      </c>
      <c r="J11" s="117" t="s">
        <v>2696</v>
      </c>
      <c r="K11" s="90"/>
      <c r="L11" s="77"/>
      <c r="M11" s="147"/>
      <c r="N11" s="147"/>
      <c r="O11" s="147"/>
      <c r="P11" s="147"/>
      <c r="Q11" s="147" t="s">
        <v>93</v>
      </c>
      <c r="R11" s="147" t="s">
        <v>94</v>
      </c>
      <c r="S11" s="147" t="s">
        <v>94</v>
      </c>
      <c r="T11" s="148">
        <v>46246.0</v>
      </c>
      <c r="U11" s="143"/>
      <c r="V11" s="143"/>
      <c r="W11" s="143"/>
      <c r="X11" s="143"/>
      <c r="Y11" s="143"/>
      <c r="Z11" s="143"/>
    </row>
    <row r="12" ht="13.5" customHeight="1">
      <c r="A12" s="59" t="s">
        <v>2669</v>
      </c>
      <c r="B12" s="59" t="s">
        <v>580</v>
      </c>
      <c r="C12" s="60" t="s">
        <v>581</v>
      </c>
      <c r="D12" s="60" t="s">
        <v>2697</v>
      </c>
      <c r="E12" s="61" t="s">
        <v>2698</v>
      </c>
      <c r="F12" s="62" t="s">
        <v>2699</v>
      </c>
      <c r="G12" s="63" t="s">
        <v>2700</v>
      </c>
      <c r="H12" s="61" t="s">
        <v>88</v>
      </c>
      <c r="I12" s="61" t="s">
        <v>2674</v>
      </c>
      <c r="J12" s="63" t="s">
        <v>2701</v>
      </c>
      <c r="K12" s="90"/>
      <c r="L12" s="60" t="s">
        <v>2702</v>
      </c>
      <c r="M12" s="61"/>
      <c r="N12" s="61"/>
      <c r="O12" s="61"/>
      <c r="P12" s="61"/>
      <c r="Q12" s="61" t="s">
        <v>93</v>
      </c>
      <c r="R12" s="61" t="s">
        <v>94</v>
      </c>
      <c r="S12" s="61" t="s">
        <v>94</v>
      </c>
      <c r="T12" s="66">
        <v>46246.0</v>
      </c>
      <c r="U12" s="143"/>
      <c r="V12" s="143"/>
      <c r="W12" s="143"/>
      <c r="X12" s="143"/>
      <c r="Y12" s="143"/>
      <c r="Z12" s="143"/>
    </row>
    <row r="13" ht="13.5" customHeight="1">
      <c r="A13" s="67"/>
      <c r="B13" s="67"/>
      <c r="C13" s="67"/>
      <c r="D13" s="67"/>
      <c r="E13" s="61" t="s">
        <v>2703</v>
      </c>
      <c r="F13" s="62"/>
      <c r="G13" s="63" t="s">
        <v>2704</v>
      </c>
      <c r="H13" s="61" t="s">
        <v>88</v>
      </c>
      <c r="I13" s="61" t="s">
        <v>2674</v>
      </c>
      <c r="J13" s="151" t="s">
        <v>2705</v>
      </c>
      <c r="K13" s="90"/>
      <c r="L13" s="67"/>
      <c r="M13" s="61"/>
      <c r="N13" s="61"/>
      <c r="O13" s="61"/>
      <c r="P13" s="61"/>
      <c r="Q13" s="61" t="s">
        <v>93</v>
      </c>
      <c r="R13" s="61" t="s">
        <v>94</v>
      </c>
      <c r="S13" s="61" t="s">
        <v>94</v>
      </c>
      <c r="T13" s="66">
        <v>46246.0</v>
      </c>
      <c r="U13" s="143"/>
      <c r="V13" s="143"/>
      <c r="W13" s="143"/>
      <c r="X13" s="143"/>
      <c r="Y13" s="143"/>
      <c r="Z13" s="143"/>
    </row>
    <row r="14" ht="45.0" customHeight="1">
      <c r="A14" s="67"/>
      <c r="B14" s="67"/>
      <c r="C14" s="67"/>
      <c r="D14" s="67"/>
      <c r="E14" s="61" t="s">
        <v>2706</v>
      </c>
      <c r="F14" s="62" t="s">
        <v>2707</v>
      </c>
      <c r="G14" s="63" t="s">
        <v>2708</v>
      </c>
      <c r="H14" s="61" t="s">
        <v>88</v>
      </c>
      <c r="I14" s="61" t="s">
        <v>2674</v>
      </c>
      <c r="J14" s="151" t="s">
        <v>2709</v>
      </c>
      <c r="K14" s="90"/>
      <c r="L14" s="67"/>
      <c r="M14" s="61"/>
      <c r="N14" s="61"/>
      <c r="O14" s="61"/>
      <c r="P14" s="61"/>
      <c r="Q14" s="61" t="s">
        <v>93</v>
      </c>
      <c r="R14" s="61" t="s">
        <v>94</v>
      </c>
      <c r="S14" s="61" t="s">
        <v>94</v>
      </c>
      <c r="T14" s="66">
        <v>46246.0</v>
      </c>
      <c r="U14" s="143"/>
      <c r="V14" s="143"/>
      <c r="W14" s="143"/>
      <c r="X14" s="143"/>
      <c r="Y14" s="143"/>
      <c r="Z14" s="143"/>
    </row>
    <row r="15" ht="45.0" customHeight="1">
      <c r="A15" s="67"/>
      <c r="B15" s="67"/>
      <c r="C15" s="67"/>
      <c r="D15" s="67"/>
      <c r="E15" s="61" t="s">
        <v>2710</v>
      </c>
      <c r="F15" s="62"/>
      <c r="G15" s="63" t="s">
        <v>2711</v>
      </c>
      <c r="H15" s="61" t="s">
        <v>88</v>
      </c>
      <c r="I15" s="61" t="s">
        <v>2674</v>
      </c>
      <c r="J15" s="151" t="s">
        <v>2712</v>
      </c>
      <c r="K15" s="90"/>
      <c r="L15" s="67"/>
      <c r="M15" s="61"/>
      <c r="N15" s="61"/>
      <c r="O15" s="61"/>
      <c r="P15" s="61"/>
      <c r="Q15" s="61" t="s">
        <v>93</v>
      </c>
      <c r="R15" s="61" t="s">
        <v>94</v>
      </c>
      <c r="S15" s="61" t="s">
        <v>94</v>
      </c>
      <c r="T15" s="66">
        <v>46246.0</v>
      </c>
      <c r="U15" s="143"/>
      <c r="V15" s="143"/>
      <c r="W15" s="143"/>
      <c r="X15" s="143"/>
      <c r="Y15" s="143"/>
      <c r="Z15" s="143"/>
    </row>
    <row r="16" ht="13.5" customHeight="1">
      <c r="A16" s="77"/>
      <c r="B16" s="77"/>
      <c r="C16" s="77"/>
      <c r="D16" s="77"/>
      <c r="E16" s="61" t="s">
        <v>2713</v>
      </c>
      <c r="F16" s="62"/>
      <c r="G16" s="63" t="s">
        <v>2714</v>
      </c>
      <c r="H16" s="61" t="s">
        <v>88</v>
      </c>
      <c r="I16" s="61" t="s">
        <v>2674</v>
      </c>
      <c r="J16" s="151" t="s">
        <v>2715</v>
      </c>
      <c r="K16" s="90"/>
      <c r="L16" s="77"/>
      <c r="M16" s="61"/>
      <c r="N16" s="61"/>
      <c r="O16" s="61"/>
      <c r="P16" s="61"/>
      <c r="Q16" s="61" t="s">
        <v>93</v>
      </c>
      <c r="R16" s="61" t="s">
        <v>94</v>
      </c>
      <c r="S16" s="61" t="s">
        <v>94</v>
      </c>
      <c r="T16" s="66">
        <v>46246.0</v>
      </c>
      <c r="U16" s="143"/>
      <c r="V16" s="143"/>
      <c r="W16" s="143"/>
      <c r="X16" s="143"/>
      <c r="Y16" s="143"/>
      <c r="Z16" s="143"/>
    </row>
    <row r="17" ht="45.0" customHeight="1">
      <c r="A17" s="78" t="s">
        <v>2669</v>
      </c>
      <c r="B17" s="78" t="s">
        <v>588</v>
      </c>
      <c r="C17" s="79" t="s">
        <v>2716</v>
      </c>
      <c r="D17" s="79" t="s">
        <v>2717</v>
      </c>
      <c r="E17" s="89" t="s">
        <v>2718</v>
      </c>
      <c r="F17" s="70" t="s">
        <v>2719</v>
      </c>
      <c r="G17" s="83" t="s">
        <v>2720</v>
      </c>
      <c r="H17" s="81" t="s">
        <v>88</v>
      </c>
      <c r="I17" s="81" t="s">
        <v>60</v>
      </c>
      <c r="J17" s="117" t="s">
        <v>2721</v>
      </c>
      <c r="K17" s="90"/>
      <c r="L17" s="79" t="s">
        <v>2722</v>
      </c>
      <c r="M17" s="147"/>
      <c r="N17" s="147"/>
      <c r="O17" s="147"/>
      <c r="P17" s="147"/>
      <c r="Q17" s="147" t="s">
        <v>93</v>
      </c>
      <c r="R17" s="81" t="s">
        <v>94</v>
      </c>
      <c r="S17" s="81" t="s">
        <v>94</v>
      </c>
      <c r="T17" s="84">
        <v>46246.0</v>
      </c>
      <c r="U17" s="143"/>
      <c r="V17" s="143"/>
      <c r="W17" s="143"/>
      <c r="X17" s="143"/>
      <c r="Y17" s="143"/>
      <c r="Z17" s="143"/>
    </row>
    <row r="18" ht="45.0" customHeight="1">
      <c r="A18" s="67"/>
      <c r="B18" s="67"/>
      <c r="C18" s="67"/>
      <c r="D18" s="67"/>
      <c r="E18" s="89" t="s">
        <v>2723</v>
      </c>
      <c r="F18" s="70"/>
      <c r="G18" s="83" t="s">
        <v>2724</v>
      </c>
      <c r="H18" s="81" t="s">
        <v>88</v>
      </c>
      <c r="I18" s="81" t="s">
        <v>60</v>
      </c>
      <c r="J18" s="117" t="s">
        <v>2725</v>
      </c>
      <c r="K18" s="90"/>
      <c r="L18" s="67"/>
      <c r="M18" s="147"/>
      <c r="N18" s="147"/>
      <c r="O18" s="147"/>
      <c r="P18" s="147"/>
      <c r="Q18" s="147" t="s">
        <v>93</v>
      </c>
      <c r="R18" s="147" t="s">
        <v>94</v>
      </c>
      <c r="S18" s="147" t="s">
        <v>94</v>
      </c>
      <c r="T18" s="148">
        <v>46246.0</v>
      </c>
      <c r="U18" s="143"/>
      <c r="V18" s="143"/>
      <c r="W18" s="143"/>
      <c r="X18" s="143"/>
      <c r="Y18" s="143"/>
      <c r="Z18" s="143"/>
    </row>
    <row r="19" ht="45.0" customHeight="1">
      <c r="A19" s="67"/>
      <c r="B19" s="67"/>
      <c r="C19" s="67"/>
      <c r="D19" s="67"/>
      <c r="E19" s="89" t="s">
        <v>2726</v>
      </c>
      <c r="F19" s="70"/>
      <c r="G19" s="83" t="s">
        <v>2727</v>
      </c>
      <c r="H19" s="81" t="s">
        <v>88</v>
      </c>
      <c r="I19" s="81" t="s">
        <v>60</v>
      </c>
      <c r="J19" s="117" t="s">
        <v>2728</v>
      </c>
      <c r="K19" s="90"/>
      <c r="L19" s="67"/>
      <c r="M19" s="147"/>
      <c r="N19" s="147"/>
      <c r="O19" s="147"/>
      <c r="P19" s="147"/>
      <c r="Q19" s="147" t="s">
        <v>93</v>
      </c>
      <c r="R19" s="147" t="s">
        <v>94</v>
      </c>
      <c r="S19" s="147" t="s">
        <v>94</v>
      </c>
      <c r="T19" s="148">
        <v>46246.0</v>
      </c>
      <c r="U19" s="143"/>
      <c r="V19" s="143"/>
      <c r="W19" s="143"/>
      <c r="X19" s="143"/>
      <c r="Y19" s="143"/>
      <c r="Z19" s="143"/>
    </row>
    <row r="20" ht="45.0" customHeight="1">
      <c r="A20" s="67"/>
      <c r="B20" s="67"/>
      <c r="C20" s="67"/>
      <c r="D20" s="67"/>
      <c r="E20" s="89" t="s">
        <v>2729</v>
      </c>
      <c r="F20" s="70" t="s">
        <v>2730</v>
      </c>
      <c r="G20" s="83" t="s">
        <v>2731</v>
      </c>
      <c r="H20" s="81" t="s">
        <v>88</v>
      </c>
      <c r="I20" s="81" t="s">
        <v>60</v>
      </c>
      <c r="J20" s="117" t="s">
        <v>2732</v>
      </c>
      <c r="K20" s="90"/>
      <c r="L20" s="67"/>
      <c r="M20" s="147"/>
      <c r="N20" s="147"/>
      <c r="O20" s="147"/>
      <c r="P20" s="147"/>
      <c r="Q20" s="147" t="s">
        <v>93</v>
      </c>
      <c r="R20" s="147" t="s">
        <v>94</v>
      </c>
      <c r="S20" s="147" t="s">
        <v>94</v>
      </c>
      <c r="T20" s="148">
        <v>46246.0</v>
      </c>
      <c r="U20" s="143"/>
      <c r="V20" s="143"/>
      <c r="W20" s="143"/>
      <c r="X20" s="143"/>
      <c r="Y20" s="143"/>
      <c r="Z20" s="143"/>
    </row>
    <row r="21" ht="45.0" customHeight="1">
      <c r="A21" s="67"/>
      <c r="B21" s="67"/>
      <c r="C21" s="67"/>
      <c r="D21" s="67"/>
      <c r="E21" s="89" t="s">
        <v>2733</v>
      </c>
      <c r="F21" s="70"/>
      <c r="G21" s="83" t="s">
        <v>2734</v>
      </c>
      <c r="H21" s="81" t="s">
        <v>88</v>
      </c>
      <c r="I21" s="81" t="s">
        <v>60</v>
      </c>
      <c r="J21" s="117" t="s">
        <v>2735</v>
      </c>
      <c r="K21" s="90"/>
      <c r="L21" s="67"/>
      <c r="M21" s="147"/>
      <c r="N21" s="147"/>
      <c r="O21" s="147"/>
      <c r="P21" s="147"/>
      <c r="Q21" s="147" t="s">
        <v>93</v>
      </c>
      <c r="R21" s="147" t="s">
        <v>94</v>
      </c>
      <c r="S21" s="147" t="s">
        <v>94</v>
      </c>
      <c r="T21" s="148">
        <v>46246.0</v>
      </c>
      <c r="U21" s="143"/>
      <c r="V21" s="143"/>
      <c r="W21" s="143"/>
      <c r="X21" s="143"/>
      <c r="Y21" s="143"/>
      <c r="Z21" s="143"/>
    </row>
    <row r="22" ht="45.0" customHeight="1">
      <c r="A22" s="77"/>
      <c r="B22" s="77"/>
      <c r="C22" s="77"/>
      <c r="D22" s="77"/>
      <c r="E22" s="89" t="s">
        <v>2736</v>
      </c>
      <c r="F22" s="70"/>
      <c r="G22" s="83" t="s">
        <v>2737</v>
      </c>
      <c r="H22" s="81" t="s">
        <v>88</v>
      </c>
      <c r="I22" s="81" t="s">
        <v>60</v>
      </c>
      <c r="J22" s="117" t="s">
        <v>2738</v>
      </c>
      <c r="K22" s="90"/>
      <c r="L22" s="77"/>
      <c r="M22" s="147"/>
      <c r="N22" s="147"/>
      <c r="O22" s="147"/>
      <c r="P22" s="147"/>
      <c r="Q22" s="147" t="s">
        <v>93</v>
      </c>
      <c r="R22" s="147" t="s">
        <v>94</v>
      </c>
      <c r="S22" s="147" t="s">
        <v>94</v>
      </c>
      <c r="T22" s="148">
        <v>46246.0</v>
      </c>
      <c r="U22" s="143"/>
      <c r="V22" s="143"/>
      <c r="W22" s="143"/>
      <c r="X22" s="143"/>
      <c r="Y22" s="143"/>
      <c r="Z22" s="143"/>
    </row>
    <row r="23" ht="45.0" customHeight="1">
      <c r="A23" s="59" t="s">
        <v>2669</v>
      </c>
      <c r="B23" s="59" t="s">
        <v>595</v>
      </c>
      <c r="C23" s="60" t="s">
        <v>597</v>
      </c>
      <c r="D23" s="60" t="s">
        <v>597</v>
      </c>
      <c r="E23" s="61" t="s">
        <v>2739</v>
      </c>
      <c r="F23" s="62" t="s">
        <v>2740</v>
      </c>
      <c r="G23" s="63" t="s">
        <v>2741</v>
      </c>
      <c r="H23" s="61" t="s">
        <v>88</v>
      </c>
      <c r="I23" s="61" t="s">
        <v>2742</v>
      </c>
      <c r="J23" s="151" t="s">
        <v>2743</v>
      </c>
      <c r="K23" s="90"/>
      <c r="L23" s="60" t="s">
        <v>2744</v>
      </c>
      <c r="M23" s="61"/>
      <c r="N23" s="61"/>
      <c r="O23" s="61"/>
      <c r="P23" s="61"/>
      <c r="Q23" s="61" t="s">
        <v>93</v>
      </c>
      <c r="R23" s="166" t="s">
        <v>94</v>
      </c>
      <c r="S23" s="166" t="s">
        <v>94</v>
      </c>
      <c r="T23" s="169">
        <v>46246.0</v>
      </c>
      <c r="U23" s="143"/>
      <c r="V23" s="143"/>
      <c r="W23" s="143"/>
      <c r="X23" s="143"/>
      <c r="Y23" s="143"/>
      <c r="Z23" s="143"/>
    </row>
    <row r="24" ht="72.75" customHeight="1">
      <c r="A24" s="67"/>
      <c r="B24" s="67"/>
      <c r="C24" s="67"/>
      <c r="D24" s="67"/>
      <c r="E24" s="61" t="s">
        <v>2745</v>
      </c>
      <c r="F24" s="62"/>
      <c r="G24" s="63" t="s">
        <v>2746</v>
      </c>
      <c r="H24" s="61" t="s">
        <v>88</v>
      </c>
      <c r="I24" s="61" t="s">
        <v>2742</v>
      </c>
      <c r="J24" s="151" t="s">
        <v>2747</v>
      </c>
      <c r="K24" s="90"/>
      <c r="L24" s="67"/>
      <c r="M24" s="61"/>
      <c r="N24" s="61"/>
      <c r="O24" s="61"/>
      <c r="P24" s="61"/>
      <c r="Q24" s="61" t="s">
        <v>93</v>
      </c>
      <c r="R24" s="166" t="s">
        <v>94</v>
      </c>
      <c r="S24" s="166" t="s">
        <v>94</v>
      </c>
      <c r="T24" s="169">
        <v>46246.0</v>
      </c>
      <c r="U24" s="143"/>
      <c r="V24" s="143"/>
      <c r="W24" s="143"/>
      <c r="X24" s="143"/>
      <c r="Y24" s="143"/>
      <c r="Z24" s="143"/>
    </row>
    <row r="25" ht="45.0" customHeight="1">
      <c r="A25" s="77"/>
      <c r="B25" s="77"/>
      <c r="C25" s="77"/>
      <c r="D25" s="77"/>
      <c r="E25" s="61" t="s">
        <v>2748</v>
      </c>
      <c r="F25" s="62" t="s">
        <v>2749</v>
      </c>
      <c r="G25" s="63" t="s">
        <v>2750</v>
      </c>
      <c r="H25" s="61" t="s">
        <v>88</v>
      </c>
      <c r="I25" s="61" t="s">
        <v>2742</v>
      </c>
      <c r="J25" s="63" t="s">
        <v>2751</v>
      </c>
      <c r="K25" s="90"/>
      <c r="L25" s="77"/>
      <c r="M25" s="61"/>
      <c r="N25" s="61"/>
      <c r="O25" s="61"/>
      <c r="P25" s="61"/>
      <c r="Q25" s="61" t="s">
        <v>93</v>
      </c>
      <c r="R25" s="61" t="s">
        <v>94</v>
      </c>
      <c r="S25" s="61" t="s">
        <v>94</v>
      </c>
      <c r="T25" s="66">
        <v>46246.0</v>
      </c>
      <c r="U25" s="143"/>
      <c r="V25" s="143"/>
      <c r="W25" s="143"/>
      <c r="X25" s="143"/>
      <c r="Y25" s="143"/>
      <c r="Z25" s="143"/>
    </row>
    <row r="26" ht="13.5" customHeight="1">
      <c r="A26" s="49"/>
      <c r="B26" s="49"/>
      <c r="C26" s="49"/>
      <c r="D26" s="49"/>
      <c r="E26" s="49"/>
      <c r="F26" s="49"/>
      <c r="G26" s="49"/>
      <c r="H26" s="49"/>
      <c r="I26" s="49"/>
      <c r="J26" s="49"/>
      <c r="K26" s="49"/>
      <c r="L26" s="49"/>
      <c r="M26" s="49"/>
      <c r="N26" s="49"/>
      <c r="O26" s="49"/>
      <c r="P26" s="49"/>
      <c r="Q26" s="51"/>
      <c r="R26" s="51"/>
      <c r="S26" s="51"/>
      <c r="T26" s="52"/>
      <c r="U26" s="143"/>
      <c r="V26" s="143"/>
      <c r="W26" s="143"/>
      <c r="X26" s="143"/>
      <c r="Y26" s="143"/>
      <c r="Z26" s="143"/>
    </row>
    <row r="27" ht="13.5" customHeight="1">
      <c r="A27" s="49"/>
      <c r="B27" s="49"/>
      <c r="C27" s="49"/>
      <c r="D27" s="49"/>
      <c r="E27" s="49"/>
      <c r="F27" s="49"/>
      <c r="G27" s="49"/>
      <c r="H27" s="49"/>
      <c r="I27" s="49"/>
      <c r="J27" s="49"/>
      <c r="K27" s="49"/>
      <c r="L27" s="49"/>
      <c r="M27" s="49"/>
      <c r="N27" s="49"/>
      <c r="O27" s="49"/>
      <c r="P27" s="49"/>
      <c r="Q27" s="51"/>
      <c r="R27" s="51"/>
      <c r="S27" s="51"/>
      <c r="T27" s="52"/>
      <c r="U27" s="143"/>
      <c r="V27" s="143"/>
      <c r="W27" s="143"/>
      <c r="X27" s="143"/>
      <c r="Y27" s="143"/>
      <c r="Z27" s="143"/>
    </row>
    <row r="28" ht="13.5" customHeight="1">
      <c r="A28" s="49"/>
      <c r="B28" s="49"/>
      <c r="C28" s="49"/>
      <c r="D28" s="49"/>
      <c r="E28" s="49"/>
      <c r="F28" s="49"/>
      <c r="G28" s="49"/>
      <c r="H28" s="49"/>
      <c r="I28" s="49"/>
      <c r="J28" s="49"/>
      <c r="K28" s="49"/>
      <c r="L28" s="49"/>
      <c r="M28" s="49"/>
      <c r="N28" s="49"/>
      <c r="O28" s="49"/>
      <c r="P28" s="49"/>
      <c r="Q28" s="51"/>
      <c r="R28" s="51"/>
      <c r="S28" s="51"/>
      <c r="T28" s="52"/>
      <c r="U28" s="143"/>
      <c r="V28" s="143"/>
      <c r="W28" s="143"/>
      <c r="X28" s="143"/>
      <c r="Y28" s="143"/>
      <c r="Z28" s="143"/>
    </row>
    <row r="29" ht="13.5" customHeight="1">
      <c r="A29" s="49"/>
      <c r="B29" s="49"/>
      <c r="C29" s="49"/>
      <c r="D29" s="49"/>
      <c r="E29" s="49"/>
      <c r="F29" s="49"/>
      <c r="G29" s="49"/>
      <c r="H29" s="49"/>
      <c r="I29" s="49"/>
      <c r="J29" s="49"/>
      <c r="K29" s="49"/>
      <c r="L29" s="49"/>
      <c r="M29" s="49"/>
      <c r="N29" s="49"/>
      <c r="O29" s="49"/>
      <c r="P29" s="49"/>
      <c r="Q29" s="51"/>
      <c r="R29" s="51"/>
      <c r="S29" s="51"/>
      <c r="T29" s="52"/>
      <c r="U29" s="143"/>
      <c r="V29" s="143"/>
      <c r="W29" s="143"/>
      <c r="X29" s="143"/>
      <c r="Y29" s="143"/>
      <c r="Z29" s="143"/>
    </row>
    <row r="30" ht="13.5" customHeight="1">
      <c r="A30" s="49"/>
      <c r="B30" s="49"/>
      <c r="C30" s="49"/>
      <c r="D30" s="49"/>
      <c r="E30" s="49"/>
      <c r="F30" s="49"/>
      <c r="G30" s="49"/>
      <c r="H30" s="49"/>
      <c r="I30" s="49"/>
      <c r="J30" s="49"/>
      <c r="K30" s="49"/>
      <c r="L30" s="49"/>
      <c r="M30" s="49"/>
      <c r="N30" s="49"/>
      <c r="O30" s="49"/>
      <c r="P30" s="49"/>
      <c r="Q30" s="51"/>
      <c r="R30" s="51"/>
      <c r="S30" s="51"/>
      <c r="T30" s="52"/>
      <c r="U30" s="143"/>
      <c r="V30" s="143"/>
      <c r="W30" s="143"/>
      <c r="X30" s="143"/>
      <c r="Y30" s="143"/>
      <c r="Z30" s="143"/>
    </row>
    <row r="31" ht="13.5" customHeight="1">
      <c r="A31" s="49"/>
      <c r="B31" s="49"/>
      <c r="C31" s="49"/>
      <c r="D31" s="49"/>
      <c r="E31" s="49"/>
      <c r="F31" s="49"/>
      <c r="G31" s="49"/>
      <c r="H31" s="49"/>
      <c r="I31" s="49"/>
      <c r="J31" s="49"/>
      <c r="K31" s="49"/>
      <c r="L31" s="49"/>
      <c r="M31" s="49"/>
      <c r="N31" s="49"/>
      <c r="O31" s="49"/>
      <c r="P31" s="49"/>
      <c r="Q31" s="51"/>
      <c r="R31" s="51"/>
      <c r="S31" s="51"/>
      <c r="T31" s="52"/>
      <c r="U31" s="143"/>
      <c r="V31" s="143"/>
      <c r="W31" s="143"/>
      <c r="X31" s="143"/>
      <c r="Y31" s="143"/>
      <c r="Z31" s="143"/>
    </row>
    <row r="32" ht="13.5" customHeight="1">
      <c r="A32" s="49"/>
      <c r="B32" s="49"/>
      <c r="C32" s="49"/>
      <c r="D32" s="49"/>
      <c r="E32" s="49"/>
      <c r="F32" s="49"/>
      <c r="G32" s="49"/>
      <c r="H32" s="49"/>
      <c r="I32" s="49"/>
      <c r="J32" s="49"/>
      <c r="K32" s="49"/>
      <c r="L32" s="49"/>
      <c r="M32" s="49"/>
      <c r="N32" s="49"/>
      <c r="O32" s="49"/>
      <c r="P32" s="49"/>
      <c r="Q32" s="51"/>
      <c r="R32" s="51"/>
      <c r="S32" s="51"/>
      <c r="T32" s="52"/>
      <c r="U32" s="143"/>
      <c r="V32" s="143"/>
      <c r="W32" s="143"/>
      <c r="X32" s="143"/>
      <c r="Y32" s="143"/>
      <c r="Z32" s="143"/>
    </row>
    <row r="33" ht="13.5" customHeight="1">
      <c r="A33" s="49"/>
      <c r="B33" s="49"/>
      <c r="C33" s="49"/>
      <c r="D33" s="49"/>
      <c r="E33" s="49"/>
      <c r="F33" s="49"/>
      <c r="G33" s="49"/>
      <c r="H33" s="49"/>
      <c r="I33" s="49"/>
      <c r="J33" s="49"/>
      <c r="K33" s="49"/>
      <c r="L33" s="49"/>
      <c r="M33" s="49"/>
      <c r="N33" s="49"/>
      <c r="O33" s="49"/>
      <c r="P33" s="49"/>
      <c r="Q33" s="51"/>
      <c r="R33" s="51"/>
      <c r="S33" s="51"/>
      <c r="T33" s="52"/>
      <c r="U33" s="143"/>
      <c r="V33" s="143"/>
      <c r="W33" s="143"/>
      <c r="X33" s="143"/>
      <c r="Y33" s="143"/>
      <c r="Z33" s="143"/>
    </row>
    <row r="34" ht="13.5" customHeight="1">
      <c r="A34" s="49"/>
      <c r="B34" s="49"/>
      <c r="C34" s="49"/>
      <c r="D34" s="49"/>
      <c r="E34" s="49"/>
      <c r="F34" s="49"/>
      <c r="G34" s="49"/>
      <c r="H34" s="49"/>
      <c r="I34" s="49"/>
      <c r="J34" s="49"/>
      <c r="K34" s="49"/>
      <c r="L34" s="49"/>
      <c r="M34" s="49"/>
      <c r="N34" s="49"/>
      <c r="O34" s="49"/>
      <c r="P34" s="49"/>
      <c r="Q34" s="51"/>
      <c r="R34" s="51"/>
      <c r="S34" s="51"/>
      <c r="T34" s="52"/>
      <c r="U34" s="143"/>
      <c r="V34" s="143"/>
      <c r="W34" s="143"/>
      <c r="X34" s="143"/>
      <c r="Y34" s="143"/>
      <c r="Z34" s="143"/>
    </row>
    <row r="35" ht="13.5" customHeight="1">
      <c r="A35" s="49"/>
      <c r="B35" s="49"/>
      <c r="C35" s="49"/>
      <c r="D35" s="49"/>
      <c r="E35" s="49"/>
      <c r="F35" s="49"/>
      <c r="G35" s="49"/>
      <c r="H35" s="49"/>
      <c r="I35" s="49"/>
      <c r="J35" s="49"/>
      <c r="K35" s="49"/>
      <c r="L35" s="49"/>
      <c r="M35" s="49"/>
      <c r="N35" s="49"/>
      <c r="O35" s="49"/>
      <c r="P35" s="49"/>
      <c r="Q35" s="51"/>
      <c r="R35" s="51"/>
      <c r="S35" s="51"/>
      <c r="T35" s="52"/>
      <c r="U35" s="143"/>
      <c r="V35" s="143"/>
      <c r="W35" s="143"/>
      <c r="X35" s="143"/>
      <c r="Y35" s="143"/>
      <c r="Z35" s="143"/>
    </row>
    <row r="36" ht="13.5" customHeight="1">
      <c r="A36" s="49"/>
      <c r="B36" s="49"/>
      <c r="C36" s="49"/>
      <c r="D36" s="49"/>
      <c r="E36" s="49"/>
      <c r="F36" s="49"/>
      <c r="G36" s="49"/>
      <c r="H36" s="49"/>
      <c r="I36" s="49"/>
      <c r="J36" s="49"/>
      <c r="K36" s="49"/>
      <c r="L36" s="49"/>
      <c r="M36" s="49"/>
      <c r="N36" s="49"/>
      <c r="O36" s="49"/>
      <c r="P36" s="49"/>
      <c r="Q36" s="51"/>
      <c r="R36" s="51"/>
      <c r="S36" s="51"/>
      <c r="T36" s="52"/>
      <c r="U36" s="143"/>
      <c r="V36" s="143"/>
      <c r="W36" s="143"/>
      <c r="X36" s="143"/>
      <c r="Y36" s="143"/>
      <c r="Z36" s="143"/>
    </row>
    <row r="37" ht="13.5" customHeight="1">
      <c r="A37" s="49"/>
      <c r="B37" s="49"/>
      <c r="C37" s="49"/>
      <c r="D37" s="49"/>
      <c r="E37" s="49"/>
      <c r="F37" s="49"/>
      <c r="G37" s="49"/>
      <c r="H37" s="49"/>
      <c r="I37" s="49"/>
      <c r="J37" s="187"/>
      <c r="K37" s="49"/>
      <c r="L37" s="49"/>
      <c r="M37" s="49"/>
      <c r="N37" s="49"/>
      <c r="O37" s="49"/>
      <c r="P37" s="49"/>
      <c r="Q37" s="51"/>
      <c r="R37" s="51"/>
      <c r="S37" s="51"/>
      <c r="T37" s="52"/>
      <c r="U37" s="143"/>
      <c r="V37" s="143"/>
      <c r="W37" s="143"/>
      <c r="X37" s="143"/>
      <c r="Y37" s="143"/>
      <c r="Z37" s="143"/>
    </row>
    <row r="38" ht="13.5" customHeight="1">
      <c r="A38" s="49"/>
      <c r="B38" s="49"/>
      <c r="C38" s="49"/>
      <c r="D38" s="49"/>
      <c r="E38" s="49"/>
      <c r="F38" s="49"/>
      <c r="G38" s="49"/>
      <c r="H38" s="49"/>
      <c r="I38" s="49"/>
      <c r="J38" s="49"/>
      <c r="K38" s="49"/>
      <c r="L38" s="49"/>
      <c r="M38" s="49"/>
      <c r="N38" s="49"/>
      <c r="O38" s="49"/>
      <c r="P38" s="49"/>
      <c r="Q38" s="51"/>
      <c r="R38" s="51"/>
      <c r="S38" s="51"/>
      <c r="T38" s="52"/>
      <c r="U38" s="143"/>
      <c r="V38" s="143"/>
      <c r="W38" s="143"/>
      <c r="X38" s="143"/>
      <c r="Y38" s="143"/>
      <c r="Z38" s="143"/>
    </row>
    <row r="39" ht="13.5" customHeight="1">
      <c r="A39" s="49"/>
      <c r="B39" s="49"/>
      <c r="C39" s="49"/>
      <c r="D39" s="49"/>
      <c r="E39" s="49"/>
      <c r="F39" s="49"/>
      <c r="G39" s="49"/>
      <c r="H39" s="49"/>
      <c r="I39" s="49"/>
      <c r="J39" s="187"/>
      <c r="K39" s="49"/>
      <c r="L39" s="49"/>
      <c r="M39" s="49"/>
      <c r="N39" s="49"/>
      <c r="O39" s="49"/>
      <c r="P39" s="49"/>
      <c r="Q39" s="51"/>
      <c r="R39" s="51"/>
      <c r="S39" s="51"/>
      <c r="T39" s="52"/>
      <c r="U39" s="143"/>
      <c r="V39" s="143"/>
      <c r="W39" s="143"/>
      <c r="X39" s="143"/>
      <c r="Y39" s="143"/>
      <c r="Z39" s="143"/>
    </row>
    <row r="40" ht="13.5" customHeight="1">
      <c r="A40" s="49"/>
      <c r="B40" s="49"/>
      <c r="C40" s="49"/>
      <c r="D40" s="49"/>
      <c r="E40" s="49"/>
      <c r="F40" s="49"/>
      <c r="G40" s="49"/>
      <c r="H40" s="49"/>
      <c r="I40" s="49"/>
      <c r="J40" s="49"/>
      <c r="K40" s="49"/>
      <c r="L40" s="49"/>
      <c r="M40" s="49"/>
      <c r="N40" s="49"/>
      <c r="O40" s="49"/>
      <c r="P40" s="49"/>
      <c r="Q40" s="51"/>
      <c r="R40" s="51"/>
      <c r="S40" s="51"/>
      <c r="T40" s="52"/>
      <c r="U40" s="143"/>
      <c r="V40" s="143"/>
      <c r="W40" s="143"/>
      <c r="X40" s="143"/>
      <c r="Y40" s="143"/>
      <c r="Z40" s="143"/>
    </row>
    <row r="41" ht="13.5" customHeight="1">
      <c r="A41" s="49"/>
      <c r="B41" s="49"/>
      <c r="C41" s="49"/>
      <c r="D41" s="49"/>
      <c r="E41" s="49"/>
      <c r="F41" s="49"/>
      <c r="G41" s="49"/>
      <c r="H41" s="49"/>
      <c r="I41" s="49"/>
      <c r="J41" s="49"/>
      <c r="K41" s="49"/>
      <c r="L41" s="49"/>
      <c r="M41" s="49"/>
      <c r="N41" s="49"/>
      <c r="O41" s="49"/>
      <c r="P41" s="49"/>
      <c r="Q41" s="51"/>
      <c r="R41" s="51"/>
      <c r="S41" s="51"/>
      <c r="T41" s="52"/>
      <c r="U41" s="143"/>
      <c r="V41" s="143"/>
      <c r="W41" s="143"/>
      <c r="X41" s="143"/>
      <c r="Y41" s="143"/>
      <c r="Z41" s="143"/>
    </row>
    <row r="42" ht="13.5" customHeight="1">
      <c r="A42" s="49"/>
      <c r="B42" s="49"/>
      <c r="C42" s="49"/>
      <c r="D42" s="49"/>
      <c r="E42" s="49"/>
      <c r="F42" s="49"/>
      <c r="G42" s="49"/>
      <c r="H42" s="49"/>
      <c r="I42" s="49"/>
      <c r="J42" s="49"/>
      <c r="K42" s="49"/>
      <c r="L42" s="49"/>
      <c r="M42" s="49"/>
      <c r="N42" s="49"/>
      <c r="O42" s="49"/>
      <c r="P42" s="49"/>
      <c r="Q42" s="51"/>
      <c r="R42" s="51"/>
      <c r="S42" s="51"/>
      <c r="T42" s="52"/>
      <c r="U42" s="143"/>
      <c r="V42" s="143"/>
      <c r="W42" s="143"/>
      <c r="X42" s="143"/>
      <c r="Y42" s="143"/>
      <c r="Z42" s="143"/>
    </row>
    <row r="43" ht="13.5" customHeight="1">
      <c r="A43" s="49"/>
      <c r="B43" s="49"/>
      <c r="C43" s="49"/>
      <c r="D43" s="49"/>
      <c r="E43" s="49"/>
      <c r="F43" s="49"/>
      <c r="G43" s="49"/>
      <c r="H43" s="49"/>
      <c r="I43" s="49"/>
      <c r="J43" s="49"/>
      <c r="K43" s="49"/>
      <c r="L43" s="49"/>
      <c r="M43" s="49"/>
      <c r="N43" s="49"/>
      <c r="O43" s="49"/>
      <c r="P43" s="49"/>
      <c r="Q43" s="51"/>
      <c r="R43" s="51"/>
      <c r="S43" s="51"/>
      <c r="T43" s="52"/>
      <c r="U43" s="143"/>
      <c r="V43" s="143"/>
      <c r="W43" s="143"/>
      <c r="X43" s="143"/>
      <c r="Y43" s="143"/>
      <c r="Z43" s="143"/>
    </row>
    <row r="44" ht="13.5" customHeight="1">
      <c r="A44" s="49"/>
      <c r="B44" s="49"/>
      <c r="C44" s="49"/>
      <c r="D44" s="49"/>
      <c r="E44" s="49"/>
      <c r="F44" s="49"/>
      <c r="G44" s="49"/>
      <c r="H44" s="49"/>
      <c r="I44" s="49"/>
      <c r="J44" s="49"/>
      <c r="K44" s="49"/>
      <c r="L44" s="49"/>
      <c r="M44" s="49"/>
      <c r="N44" s="49"/>
      <c r="O44" s="49"/>
      <c r="P44" s="49"/>
      <c r="Q44" s="51"/>
      <c r="R44" s="51"/>
      <c r="S44" s="51"/>
      <c r="T44" s="52"/>
      <c r="U44" s="143"/>
      <c r="V44" s="143"/>
      <c r="W44" s="143"/>
      <c r="X44" s="143"/>
      <c r="Y44" s="143"/>
      <c r="Z44" s="143"/>
    </row>
    <row r="45" ht="13.5" customHeight="1">
      <c r="A45" s="49"/>
      <c r="B45" s="49"/>
      <c r="C45" s="49"/>
      <c r="D45" s="49"/>
      <c r="E45" s="49"/>
      <c r="F45" s="49"/>
      <c r="G45" s="49"/>
      <c r="H45" s="49"/>
      <c r="I45" s="49"/>
      <c r="J45" s="49"/>
      <c r="K45" s="49"/>
      <c r="L45" s="49"/>
      <c r="M45" s="49"/>
      <c r="N45" s="49"/>
      <c r="O45" s="49"/>
      <c r="P45" s="49"/>
      <c r="Q45" s="51"/>
      <c r="R45" s="51"/>
      <c r="S45" s="51"/>
      <c r="T45" s="52"/>
      <c r="U45" s="143"/>
      <c r="V45" s="143"/>
      <c r="W45" s="143"/>
      <c r="X45" s="143"/>
      <c r="Y45" s="143"/>
      <c r="Z45" s="143"/>
    </row>
    <row r="46" ht="13.5" customHeight="1">
      <c r="A46" s="49"/>
      <c r="B46" s="49"/>
      <c r="C46" s="49"/>
      <c r="D46" s="49"/>
      <c r="E46" s="49"/>
      <c r="F46" s="49"/>
      <c r="G46" s="49"/>
      <c r="H46" s="49"/>
      <c r="I46" s="49"/>
      <c r="J46" s="49"/>
      <c r="K46" s="49"/>
      <c r="L46" s="49"/>
      <c r="M46" s="49"/>
      <c r="N46" s="49"/>
      <c r="O46" s="49"/>
      <c r="P46" s="49"/>
      <c r="Q46" s="51"/>
      <c r="R46" s="51"/>
      <c r="S46" s="51"/>
      <c r="T46" s="52"/>
      <c r="U46" s="143"/>
      <c r="V46" s="143"/>
      <c r="W46" s="143"/>
      <c r="X46" s="143"/>
      <c r="Y46" s="143"/>
      <c r="Z46" s="143"/>
    </row>
    <row r="47" ht="13.5" customHeight="1">
      <c r="A47" s="49"/>
      <c r="B47" s="49"/>
      <c r="C47" s="49"/>
      <c r="D47" s="49"/>
      <c r="E47" s="49"/>
      <c r="F47" s="49"/>
      <c r="G47" s="49"/>
      <c r="H47" s="49"/>
      <c r="I47" s="49"/>
      <c r="J47" s="49"/>
      <c r="K47" s="49"/>
      <c r="L47" s="49"/>
      <c r="M47" s="49"/>
      <c r="N47" s="49"/>
      <c r="O47" s="49"/>
      <c r="P47" s="49"/>
      <c r="Q47" s="51"/>
      <c r="R47" s="51"/>
      <c r="S47" s="51"/>
      <c r="T47" s="52"/>
      <c r="U47" s="143"/>
      <c r="V47" s="143"/>
      <c r="W47" s="143"/>
      <c r="X47" s="143"/>
      <c r="Y47" s="143"/>
      <c r="Z47" s="143"/>
    </row>
    <row r="48" ht="13.5" customHeight="1">
      <c r="A48" s="49"/>
      <c r="B48" s="49"/>
      <c r="C48" s="49"/>
      <c r="D48" s="49"/>
      <c r="E48" s="49"/>
      <c r="F48" s="49"/>
      <c r="G48" s="49"/>
      <c r="H48" s="49"/>
      <c r="I48" s="49"/>
      <c r="J48" s="49"/>
      <c r="K48" s="49"/>
      <c r="L48" s="49"/>
      <c r="M48" s="49"/>
      <c r="N48" s="49"/>
      <c r="O48" s="49"/>
      <c r="P48" s="49"/>
      <c r="Q48" s="51"/>
      <c r="R48" s="51"/>
      <c r="S48" s="51"/>
      <c r="T48" s="52"/>
      <c r="U48" s="143"/>
      <c r="V48" s="143"/>
      <c r="W48" s="143"/>
      <c r="X48" s="143"/>
      <c r="Y48" s="143"/>
      <c r="Z48" s="143"/>
    </row>
    <row r="49" ht="13.5" customHeight="1">
      <c r="A49" s="49"/>
      <c r="B49" s="49"/>
      <c r="C49" s="49"/>
      <c r="D49" s="49"/>
      <c r="E49" s="49"/>
      <c r="F49" s="49"/>
      <c r="G49" s="49"/>
      <c r="H49" s="49"/>
      <c r="I49" s="49"/>
      <c r="J49" s="49"/>
      <c r="K49" s="49"/>
      <c r="L49" s="49"/>
      <c r="M49" s="49"/>
      <c r="N49" s="49"/>
      <c r="O49" s="49"/>
      <c r="P49" s="49"/>
      <c r="Q49" s="51"/>
      <c r="R49" s="51"/>
      <c r="S49" s="51"/>
      <c r="T49" s="52"/>
      <c r="U49" s="143"/>
      <c r="V49" s="143"/>
      <c r="W49" s="143"/>
      <c r="X49" s="143"/>
      <c r="Y49" s="143"/>
      <c r="Z49" s="143"/>
    </row>
    <row r="50" ht="13.5" customHeight="1">
      <c r="A50" s="49"/>
      <c r="B50" s="49"/>
      <c r="C50" s="49"/>
      <c r="D50" s="49"/>
      <c r="E50" s="49"/>
      <c r="F50" s="49"/>
      <c r="G50" s="49"/>
      <c r="H50" s="49"/>
      <c r="I50" s="49"/>
      <c r="J50" s="49"/>
      <c r="K50" s="49"/>
      <c r="L50" s="49"/>
      <c r="M50" s="49"/>
      <c r="N50" s="49"/>
      <c r="O50" s="49"/>
      <c r="P50" s="49"/>
      <c r="Q50" s="51"/>
      <c r="R50" s="51"/>
      <c r="S50" s="51"/>
      <c r="T50" s="52"/>
      <c r="U50" s="143"/>
      <c r="V50" s="143"/>
      <c r="W50" s="143"/>
      <c r="X50" s="143"/>
      <c r="Y50" s="143"/>
      <c r="Z50" s="143"/>
    </row>
    <row r="51" ht="13.5" customHeight="1">
      <c r="A51" s="49"/>
      <c r="B51" s="49"/>
      <c r="C51" s="49"/>
      <c r="D51" s="49"/>
      <c r="E51" s="49"/>
      <c r="F51" s="49"/>
      <c r="G51" s="49"/>
      <c r="H51" s="49"/>
      <c r="I51" s="49"/>
      <c r="J51" s="49"/>
      <c r="K51" s="49"/>
      <c r="L51" s="49"/>
      <c r="M51" s="49"/>
      <c r="N51" s="49"/>
      <c r="O51" s="49"/>
      <c r="P51" s="49"/>
      <c r="Q51" s="51"/>
      <c r="R51" s="51"/>
      <c r="S51" s="51"/>
      <c r="T51" s="52"/>
      <c r="U51" s="143"/>
      <c r="V51" s="143"/>
      <c r="W51" s="143"/>
      <c r="X51" s="143"/>
      <c r="Y51" s="143"/>
      <c r="Z51" s="143"/>
    </row>
    <row r="52" ht="13.5" customHeight="1">
      <c r="A52" s="49"/>
      <c r="B52" s="49"/>
      <c r="C52" s="49"/>
      <c r="D52" s="49"/>
      <c r="E52" s="49"/>
      <c r="F52" s="49"/>
      <c r="G52" s="49"/>
      <c r="H52" s="49"/>
      <c r="I52" s="49"/>
      <c r="J52" s="49"/>
      <c r="K52" s="49"/>
      <c r="L52" s="49"/>
      <c r="M52" s="49"/>
      <c r="N52" s="49"/>
      <c r="O52" s="49"/>
      <c r="P52" s="49"/>
      <c r="Q52" s="51"/>
      <c r="R52" s="51"/>
      <c r="S52" s="51"/>
      <c r="T52" s="52"/>
      <c r="U52" s="143"/>
      <c r="V52" s="143"/>
      <c r="W52" s="143"/>
      <c r="X52" s="143"/>
      <c r="Y52" s="143"/>
      <c r="Z52" s="143"/>
    </row>
    <row r="53" ht="13.5" customHeight="1">
      <c r="A53" s="49"/>
      <c r="B53" s="49"/>
      <c r="C53" s="49"/>
      <c r="D53" s="49"/>
      <c r="E53" s="49"/>
      <c r="F53" s="49"/>
      <c r="G53" s="49"/>
      <c r="H53" s="49"/>
      <c r="I53" s="49"/>
      <c r="J53" s="49"/>
      <c r="K53" s="49"/>
      <c r="L53" s="49"/>
      <c r="M53" s="49"/>
      <c r="N53" s="49"/>
      <c r="O53" s="49"/>
      <c r="P53" s="49"/>
      <c r="Q53" s="51"/>
      <c r="R53" s="51"/>
      <c r="S53" s="51"/>
      <c r="T53" s="52"/>
      <c r="U53" s="143"/>
      <c r="V53" s="143"/>
      <c r="W53" s="143"/>
      <c r="X53" s="143"/>
      <c r="Y53" s="143"/>
      <c r="Z53" s="143"/>
    </row>
    <row r="54" ht="13.5" customHeight="1">
      <c r="A54" s="49"/>
      <c r="B54" s="49"/>
      <c r="C54" s="49"/>
      <c r="D54" s="49"/>
      <c r="E54" s="49"/>
      <c r="F54" s="49"/>
      <c r="G54" s="49"/>
      <c r="H54" s="49"/>
      <c r="I54" s="49"/>
      <c r="J54" s="49"/>
      <c r="K54" s="49"/>
      <c r="L54" s="49"/>
      <c r="M54" s="49"/>
      <c r="N54" s="49"/>
      <c r="O54" s="49"/>
      <c r="P54" s="49"/>
      <c r="Q54" s="51"/>
      <c r="R54" s="51"/>
      <c r="S54" s="51"/>
      <c r="T54" s="52"/>
      <c r="U54" s="143"/>
      <c r="V54" s="143"/>
      <c r="W54" s="143"/>
      <c r="X54" s="143"/>
      <c r="Y54" s="143"/>
      <c r="Z54" s="143"/>
    </row>
    <row r="55" ht="13.5" customHeight="1">
      <c r="A55" s="49"/>
      <c r="B55" s="49"/>
      <c r="C55" s="49"/>
      <c r="D55" s="49"/>
      <c r="E55" s="49"/>
      <c r="F55" s="49"/>
      <c r="G55" s="49"/>
      <c r="H55" s="49"/>
      <c r="I55" s="49"/>
      <c r="J55" s="49"/>
      <c r="K55" s="49"/>
      <c r="L55" s="49"/>
      <c r="M55" s="49"/>
      <c r="N55" s="49"/>
      <c r="O55" s="49"/>
      <c r="P55" s="49"/>
      <c r="Q55" s="51"/>
      <c r="R55" s="51"/>
      <c r="S55" s="51"/>
      <c r="T55" s="52"/>
      <c r="U55" s="143"/>
      <c r="V55" s="143"/>
      <c r="W55" s="143"/>
      <c r="X55" s="143"/>
      <c r="Y55" s="143"/>
      <c r="Z55" s="143"/>
    </row>
    <row r="56" ht="13.5" customHeight="1">
      <c r="A56" s="49"/>
      <c r="B56" s="49"/>
      <c r="C56" s="49"/>
      <c r="D56" s="49"/>
      <c r="E56" s="49"/>
      <c r="F56" s="49"/>
      <c r="G56" s="49"/>
      <c r="H56" s="49"/>
      <c r="I56" s="49"/>
      <c r="J56" s="49"/>
      <c r="K56" s="49"/>
      <c r="L56" s="49"/>
      <c r="M56" s="49"/>
      <c r="N56" s="49"/>
      <c r="O56" s="49"/>
      <c r="P56" s="49"/>
      <c r="Q56" s="51"/>
      <c r="R56" s="51"/>
      <c r="S56" s="51"/>
      <c r="T56" s="52"/>
      <c r="U56" s="143"/>
      <c r="V56" s="143"/>
      <c r="W56" s="143"/>
      <c r="X56" s="143"/>
      <c r="Y56" s="143"/>
      <c r="Z56" s="143"/>
    </row>
    <row r="57" ht="13.5" customHeight="1">
      <c r="A57" s="49"/>
      <c r="B57" s="49"/>
      <c r="C57" s="49"/>
      <c r="D57" s="49"/>
      <c r="E57" s="49"/>
      <c r="F57" s="49"/>
      <c r="G57" s="49"/>
      <c r="H57" s="49"/>
      <c r="I57" s="49"/>
      <c r="J57" s="49"/>
      <c r="K57" s="49"/>
      <c r="L57" s="49"/>
      <c r="M57" s="49"/>
      <c r="N57" s="49"/>
      <c r="O57" s="49"/>
      <c r="P57" s="49"/>
      <c r="Q57" s="51"/>
      <c r="R57" s="51"/>
      <c r="S57" s="51"/>
      <c r="T57" s="52"/>
      <c r="U57" s="143"/>
      <c r="V57" s="143"/>
      <c r="W57" s="143"/>
      <c r="X57" s="143"/>
      <c r="Y57" s="143"/>
      <c r="Z57" s="143"/>
    </row>
    <row r="58" ht="13.5" customHeight="1">
      <c r="A58" s="49"/>
      <c r="B58" s="49"/>
      <c r="C58" s="49"/>
      <c r="D58" s="49"/>
      <c r="E58" s="49"/>
      <c r="F58" s="49"/>
      <c r="G58" s="49"/>
      <c r="H58" s="49"/>
      <c r="I58" s="49"/>
      <c r="J58" s="49"/>
      <c r="K58" s="49"/>
      <c r="L58" s="49"/>
      <c r="M58" s="49"/>
      <c r="N58" s="49"/>
      <c r="O58" s="49"/>
      <c r="P58" s="49"/>
      <c r="Q58" s="51"/>
      <c r="R58" s="51"/>
      <c r="S58" s="51"/>
      <c r="T58" s="52"/>
      <c r="U58" s="143"/>
      <c r="V58" s="143"/>
      <c r="W58" s="143"/>
      <c r="X58" s="143"/>
      <c r="Y58" s="143"/>
      <c r="Z58" s="143"/>
    </row>
    <row r="59" ht="13.5" customHeight="1">
      <c r="A59" s="49"/>
      <c r="B59" s="49"/>
      <c r="C59" s="49"/>
      <c r="D59" s="49"/>
      <c r="E59" s="49"/>
      <c r="F59" s="49"/>
      <c r="G59" s="49"/>
      <c r="H59" s="49"/>
      <c r="I59" s="49"/>
      <c r="J59" s="49"/>
      <c r="K59" s="49"/>
      <c r="L59" s="49"/>
      <c r="M59" s="49"/>
      <c r="N59" s="49"/>
      <c r="O59" s="49"/>
      <c r="P59" s="49"/>
      <c r="Q59" s="51"/>
      <c r="R59" s="51"/>
      <c r="S59" s="51"/>
      <c r="T59" s="52"/>
      <c r="U59" s="143"/>
      <c r="V59" s="143"/>
      <c r="W59" s="143"/>
      <c r="X59" s="143"/>
      <c r="Y59" s="143"/>
      <c r="Z59" s="143"/>
    </row>
    <row r="60" ht="13.5" customHeight="1">
      <c r="A60" s="49"/>
      <c r="B60" s="49"/>
      <c r="C60" s="49"/>
      <c r="D60" s="49"/>
      <c r="E60" s="49"/>
      <c r="F60" s="49"/>
      <c r="G60" s="49"/>
      <c r="H60" s="49"/>
      <c r="I60" s="49"/>
      <c r="J60" s="49"/>
      <c r="K60" s="49"/>
      <c r="L60" s="49"/>
      <c r="M60" s="49"/>
      <c r="N60" s="49"/>
      <c r="O60" s="49"/>
      <c r="P60" s="49"/>
      <c r="Q60" s="51"/>
      <c r="R60" s="51"/>
      <c r="S60" s="51"/>
      <c r="T60" s="52"/>
      <c r="U60" s="143"/>
      <c r="V60" s="143"/>
      <c r="W60" s="143"/>
      <c r="X60" s="143"/>
      <c r="Y60" s="143"/>
      <c r="Z60" s="143"/>
    </row>
    <row r="61" ht="13.5" customHeight="1">
      <c r="A61" s="49"/>
      <c r="B61" s="49"/>
      <c r="C61" s="49"/>
      <c r="D61" s="49"/>
      <c r="E61" s="49"/>
      <c r="F61" s="49"/>
      <c r="G61" s="49"/>
      <c r="H61" s="49"/>
      <c r="I61" s="49"/>
      <c r="J61" s="49"/>
      <c r="K61" s="49"/>
      <c r="L61" s="49"/>
      <c r="M61" s="49"/>
      <c r="N61" s="49"/>
      <c r="O61" s="49"/>
      <c r="P61" s="49"/>
      <c r="Q61" s="51"/>
      <c r="R61" s="51"/>
      <c r="S61" s="51"/>
      <c r="T61" s="52"/>
      <c r="U61" s="143"/>
      <c r="V61" s="143"/>
      <c r="W61" s="143"/>
      <c r="X61" s="143"/>
      <c r="Y61" s="143"/>
      <c r="Z61" s="143"/>
    </row>
    <row r="62" ht="13.5" customHeight="1">
      <c r="A62" s="49"/>
      <c r="B62" s="49"/>
      <c r="C62" s="49"/>
      <c r="D62" s="49"/>
      <c r="E62" s="49"/>
      <c r="F62" s="49"/>
      <c r="G62" s="49"/>
      <c r="H62" s="49"/>
      <c r="I62" s="49"/>
      <c r="J62" s="49"/>
      <c r="K62" s="49"/>
      <c r="L62" s="49"/>
      <c r="M62" s="49"/>
      <c r="N62" s="49"/>
      <c r="O62" s="49"/>
      <c r="P62" s="49"/>
      <c r="Q62" s="51"/>
      <c r="R62" s="51"/>
      <c r="S62" s="51"/>
      <c r="T62" s="52"/>
      <c r="U62" s="143"/>
      <c r="V62" s="143"/>
      <c r="W62" s="143"/>
      <c r="X62" s="143"/>
      <c r="Y62" s="143"/>
      <c r="Z62" s="143"/>
    </row>
    <row r="63" ht="13.5" customHeight="1">
      <c r="A63" s="49"/>
      <c r="B63" s="49"/>
      <c r="C63" s="49"/>
      <c r="D63" s="49"/>
      <c r="E63" s="49"/>
      <c r="F63" s="49"/>
      <c r="G63" s="49"/>
      <c r="H63" s="49"/>
      <c r="I63" s="49"/>
      <c r="J63" s="49"/>
      <c r="K63" s="49"/>
      <c r="L63" s="49"/>
      <c r="M63" s="49"/>
      <c r="N63" s="49"/>
      <c r="O63" s="49"/>
      <c r="P63" s="49"/>
      <c r="Q63" s="51"/>
      <c r="R63" s="51"/>
      <c r="S63" s="51"/>
      <c r="T63" s="52"/>
      <c r="U63" s="143"/>
      <c r="V63" s="143"/>
      <c r="W63" s="143"/>
      <c r="X63" s="143"/>
      <c r="Y63" s="143"/>
      <c r="Z63" s="143"/>
    </row>
    <row r="64" ht="13.5" customHeight="1">
      <c r="A64" s="49"/>
      <c r="B64" s="49"/>
      <c r="C64" s="49"/>
      <c r="D64" s="49"/>
      <c r="E64" s="49"/>
      <c r="F64" s="49"/>
      <c r="G64" s="49"/>
      <c r="H64" s="49"/>
      <c r="I64" s="49"/>
      <c r="J64" s="49"/>
      <c r="K64" s="49"/>
      <c r="L64" s="49"/>
      <c r="M64" s="49"/>
      <c r="N64" s="49"/>
      <c r="O64" s="49"/>
      <c r="P64" s="49"/>
      <c r="Q64" s="51"/>
      <c r="R64" s="51"/>
      <c r="S64" s="51"/>
      <c r="T64" s="52"/>
      <c r="U64" s="143"/>
      <c r="V64" s="143"/>
      <c r="W64" s="143"/>
      <c r="X64" s="143"/>
      <c r="Y64" s="143"/>
      <c r="Z64" s="143"/>
    </row>
    <row r="65" ht="13.5" customHeight="1">
      <c r="A65" s="49"/>
      <c r="B65" s="49"/>
      <c r="C65" s="49"/>
      <c r="D65" s="49"/>
      <c r="E65" s="49"/>
      <c r="F65" s="49"/>
      <c r="G65" s="49"/>
      <c r="H65" s="49"/>
      <c r="I65" s="49"/>
      <c r="J65" s="49"/>
      <c r="K65" s="49"/>
      <c r="L65" s="49"/>
      <c r="M65" s="49"/>
      <c r="N65" s="49"/>
      <c r="O65" s="49"/>
      <c r="P65" s="49"/>
      <c r="Q65" s="51"/>
      <c r="R65" s="51"/>
      <c r="S65" s="51"/>
      <c r="T65" s="52"/>
      <c r="U65" s="143"/>
      <c r="V65" s="143"/>
      <c r="W65" s="143"/>
      <c r="X65" s="143"/>
      <c r="Y65" s="143"/>
      <c r="Z65" s="143"/>
    </row>
    <row r="66" ht="13.5" customHeight="1">
      <c r="A66" s="49"/>
      <c r="B66" s="49"/>
      <c r="C66" s="49"/>
      <c r="D66" s="49"/>
      <c r="E66" s="49"/>
      <c r="F66" s="49"/>
      <c r="G66" s="49"/>
      <c r="H66" s="49"/>
      <c r="I66" s="49"/>
      <c r="J66" s="49"/>
      <c r="K66" s="49"/>
      <c r="L66" s="49"/>
      <c r="M66" s="49"/>
      <c r="N66" s="49"/>
      <c r="O66" s="49"/>
      <c r="P66" s="49"/>
      <c r="Q66" s="51"/>
      <c r="R66" s="51"/>
      <c r="S66" s="51"/>
      <c r="T66" s="52"/>
      <c r="U66" s="143"/>
      <c r="V66" s="143"/>
      <c r="W66" s="143"/>
      <c r="X66" s="143"/>
      <c r="Y66" s="143"/>
      <c r="Z66" s="143"/>
    </row>
    <row r="67" ht="13.5" customHeight="1">
      <c r="A67" s="49"/>
      <c r="B67" s="49"/>
      <c r="C67" s="49"/>
      <c r="D67" s="49"/>
      <c r="E67" s="49"/>
      <c r="F67" s="49"/>
      <c r="G67" s="49"/>
      <c r="H67" s="49"/>
      <c r="I67" s="49"/>
      <c r="J67" s="49"/>
      <c r="K67" s="49"/>
      <c r="L67" s="49"/>
      <c r="M67" s="49"/>
      <c r="N67" s="49"/>
      <c r="O67" s="49"/>
      <c r="P67" s="49"/>
      <c r="Q67" s="51"/>
      <c r="R67" s="51"/>
      <c r="S67" s="51"/>
      <c r="T67" s="52"/>
      <c r="U67" s="143"/>
      <c r="V67" s="143"/>
      <c r="W67" s="143"/>
      <c r="X67" s="143"/>
      <c r="Y67" s="143"/>
      <c r="Z67" s="143"/>
    </row>
    <row r="68" ht="13.5" customHeight="1">
      <c r="A68" s="49"/>
      <c r="B68" s="49"/>
      <c r="C68" s="49"/>
      <c r="D68" s="49"/>
      <c r="E68" s="49"/>
      <c r="F68" s="49"/>
      <c r="G68" s="49"/>
      <c r="H68" s="49"/>
      <c r="I68" s="49"/>
      <c r="J68" s="49"/>
      <c r="K68" s="49"/>
      <c r="L68" s="49"/>
      <c r="M68" s="49"/>
      <c r="N68" s="49"/>
      <c r="O68" s="49"/>
      <c r="P68" s="49"/>
      <c r="Q68" s="51"/>
      <c r="R68" s="51"/>
      <c r="S68" s="51"/>
      <c r="T68" s="52"/>
      <c r="U68" s="143"/>
      <c r="V68" s="143"/>
      <c r="W68" s="143"/>
      <c r="X68" s="143"/>
      <c r="Y68" s="143"/>
      <c r="Z68" s="143"/>
    </row>
    <row r="69" ht="13.5" customHeight="1">
      <c r="A69" s="49"/>
      <c r="B69" s="49"/>
      <c r="C69" s="49"/>
      <c r="D69" s="49"/>
      <c r="E69" s="49"/>
      <c r="F69" s="49"/>
      <c r="G69" s="49"/>
      <c r="H69" s="49"/>
      <c r="I69" s="49"/>
      <c r="J69" s="49"/>
      <c r="K69" s="49"/>
      <c r="L69" s="49"/>
      <c r="M69" s="49"/>
      <c r="N69" s="49"/>
      <c r="O69" s="49"/>
      <c r="P69" s="49"/>
      <c r="Q69" s="51"/>
      <c r="R69" s="51"/>
      <c r="S69" s="51"/>
      <c r="T69" s="52"/>
      <c r="U69" s="143"/>
      <c r="V69" s="143"/>
      <c r="W69" s="143"/>
      <c r="X69" s="143"/>
      <c r="Y69" s="143"/>
      <c r="Z69" s="143"/>
    </row>
    <row r="70" ht="13.5" customHeight="1">
      <c r="A70" s="49"/>
      <c r="B70" s="49"/>
      <c r="C70" s="49"/>
      <c r="D70" s="49"/>
      <c r="E70" s="49"/>
      <c r="F70" s="49"/>
      <c r="G70" s="49"/>
      <c r="H70" s="49"/>
      <c r="I70" s="49"/>
      <c r="J70" s="49"/>
      <c r="K70" s="49"/>
      <c r="L70" s="49"/>
      <c r="M70" s="49"/>
      <c r="N70" s="49"/>
      <c r="O70" s="49"/>
      <c r="P70" s="49"/>
      <c r="Q70" s="51"/>
      <c r="R70" s="51"/>
      <c r="S70" s="51"/>
      <c r="T70" s="52"/>
      <c r="U70" s="143"/>
      <c r="V70" s="143"/>
      <c r="W70" s="143"/>
      <c r="X70" s="143"/>
      <c r="Y70" s="143"/>
      <c r="Z70" s="143"/>
    </row>
    <row r="71" ht="13.5" customHeight="1">
      <c r="A71" s="49"/>
      <c r="B71" s="49"/>
      <c r="C71" s="49"/>
      <c r="D71" s="49"/>
      <c r="E71" s="49"/>
      <c r="F71" s="49"/>
      <c r="G71" s="49"/>
      <c r="H71" s="49"/>
      <c r="I71" s="49"/>
      <c r="J71" s="49"/>
      <c r="K71" s="49"/>
      <c r="L71" s="49"/>
      <c r="M71" s="49"/>
      <c r="N71" s="49"/>
      <c r="O71" s="49"/>
      <c r="P71" s="49"/>
      <c r="Q71" s="51"/>
      <c r="R71" s="51"/>
      <c r="S71" s="51"/>
      <c r="T71" s="52"/>
      <c r="U71" s="143"/>
      <c r="V71" s="143"/>
      <c r="W71" s="143"/>
      <c r="X71" s="143"/>
      <c r="Y71" s="143"/>
      <c r="Z71" s="143"/>
    </row>
    <row r="72" ht="13.5" customHeight="1">
      <c r="A72" s="49"/>
      <c r="B72" s="49"/>
      <c r="C72" s="49"/>
      <c r="D72" s="49"/>
      <c r="E72" s="49"/>
      <c r="F72" s="49"/>
      <c r="G72" s="49"/>
      <c r="H72" s="49"/>
      <c r="I72" s="49"/>
      <c r="J72" s="49"/>
      <c r="K72" s="49"/>
      <c r="L72" s="49"/>
      <c r="M72" s="49"/>
      <c r="N72" s="49"/>
      <c r="O72" s="49"/>
      <c r="P72" s="49"/>
      <c r="Q72" s="51"/>
      <c r="R72" s="51"/>
      <c r="S72" s="51"/>
      <c r="T72" s="52"/>
      <c r="U72" s="143"/>
      <c r="V72" s="143"/>
      <c r="W72" s="143"/>
      <c r="X72" s="143"/>
      <c r="Y72" s="143"/>
      <c r="Z72" s="143"/>
    </row>
    <row r="73" ht="13.5" customHeight="1">
      <c r="A73" s="49"/>
      <c r="B73" s="49"/>
      <c r="C73" s="49"/>
      <c r="D73" s="49"/>
      <c r="E73" s="49"/>
      <c r="F73" s="49"/>
      <c r="G73" s="49"/>
      <c r="H73" s="49"/>
      <c r="I73" s="49"/>
      <c r="J73" s="49"/>
      <c r="K73" s="49"/>
      <c r="L73" s="49"/>
      <c r="M73" s="49"/>
      <c r="N73" s="49"/>
      <c r="O73" s="49"/>
      <c r="P73" s="49"/>
      <c r="Q73" s="51"/>
      <c r="R73" s="51"/>
      <c r="S73" s="51"/>
      <c r="T73" s="52"/>
      <c r="U73" s="143"/>
      <c r="V73" s="143"/>
      <c r="W73" s="143"/>
      <c r="X73" s="143"/>
      <c r="Y73" s="143"/>
      <c r="Z73" s="143"/>
    </row>
    <row r="74" ht="13.5" customHeight="1">
      <c r="A74" s="49"/>
      <c r="B74" s="49"/>
      <c r="C74" s="49"/>
      <c r="D74" s="49"/>
      <c r="E74" s="49"/>
      <c r="F74" s="49"/>
      <c r="G74" s="49"/>
      <c r="H74" s="49"/>
      <c r="I74" s="49"/>
      <c r="J74" s="49"/>
      <c r="K74" s="49"/>
      <c r="L74" s="49"/>
      <c r="M74" s="49"/>
      <c r="N74" s="49"/>
      <c r="O74" s="49"/>
      <c r="P74" s="49"/>
      <c r="Q74" s="51"/>
      <c r="R74" s="51"/>
      <c r="S74" s="51"/>
      <c r="T74" s="52"/>
      <c r="U74" s="143"/>
      <c r="V74" s="143"/>
      <c r="W74" s="143"/>
      <c r="X74" s="143"/>
      <c r="Y74" s="143"/>
      <c r="Z74" s="143"/>
    </row>
    <row r="75" ht="13.5" customHeight="1">
      <c r="A75" s="49"/>
      <c r="B75" s="49"/>
      <c r="C75" s="49"/>
      <c r="D75" s="49"/>
      <c r="E75" s="49"/>
      <c r="F75" s="49"/>
      <c r="G75" s="49"/>
      <c r="H75" s="49"/>
      <c r="I75" s="49"/>
      <c r="J75" s="49"/>
      <c r="K75" s="49"/>
      <c r="L75" s="49"/>
      <c r="M75" s="49"/>
      <c r="N75" s="49"/>
      <c r="O75" s="49"/>
      <c r="P75" s="49"/>
      <c r="Q75" s="51"/>
      <c r="R75" s="51"/>
      <c r="S75" s="51"/>
      <c r="T75" s="52"/>
      <c r="U75" s="143"/>
      <c r="V75" s="143"/>
      <c r="W75" s="143"/>
      <c r="X75" s="143"/>
      <c r="Y75" s="143"/>
      <c r="Z75" s="143"/>
    </row>
    <row r="76" ht="13.5" customHeight="1">
      <c r="A76" s="49"/>
      <c r="B76" s="49"/>
      <c r="C76" s="49"/>
      <c r="D76" s="49"/>
      <c r="E76" s="49"/>
      <c r="F76" s="49"/>
      <c r="G76" s="49"/>
      <c r="H76" s="49"/>
      <c r="I76" s="49"/>
      <c r="J76" s="49"/>
      <c r="K76" s="49"/>
      <c r="L76" s="49"/>
      <c r="M76" s="49"/>
      <c r="N76" s="49"/>
      <c r="O76" s="49"/>
      <c r="P76" s="49"/>
      <c r="Q76" s="51"/>
      <c r="R76" s="51"/>
      <c r="S76" s="51"/>
      <c r="T76" s="52"/>
      <c r="U76" s="143"/>
      <c r="V76" s="143"/>
      <c r="W76" s="143"/>
      <c r="X76" s="143"/>
      <c r="Y76" s="143"/>
      <c r="Z76" s="143"/>
    </row>
    <row r="77" ht="13.5" customHeight="1">
      <c r="A77" s="49"/>
      <c r="B77" s="49"/>
      <c r="C77" s="49"/>
      <c r="D77" s="49"/>
      <c r="E77" s="49"/>
      <c r="F77" s="49"/>
      <c r="G77" s="49"/>
      <c r="H77" s="49"/>
      <c r="I77" s="49"/>
      <c r="J77" s="49"/>
      <c r="K77" s="49"/>
      <c r="L77" s="49"/>
      <c r="M77" s="49"/>
      <c r="N77" s="49"/>
      <c r="O77" s="49"/>
      <c r="P77" s="49"/>
      <c r="Q77" s="51"/>
      <c r="R77" s="51"/>
      <c r="S77" s="51"/>
      <c r="T77" s="52"/>
      <c r="U77" s="143"/>
      <c r="V77" s="143"/>
      <c r="W77" s="143"/>
      <c r="X77" s="143"/>
      <c r="Y77" s="143"/>
      <c r="Z77" s="143"/>
    </row>
    <row r="78" ht="13.5" customHeight="1">
      <c r="A78" s="49"/>
      <c r="B78" s="49"/>
      <c r="C78" s="49"/>
      <c r="D78" s="49"/>
      <c r="E78" s="49"/>
      <c r="F78" s="49"/>
      <c r="G78" s="49"/>
      <c r="H78" s="49"/>
      <c r="I78" s="49"/>
      <c r="J78" s="49"/>
      <c r="K78" s="49"/>
      <c r="L78" s="49"/>
      <c r="M78" s="49"/>
      <c r="N78" s="49"/>
      <c r="O78" s="49"/>
      <c r="P78" s="49"/>
      <c r="Q78" s="51"/>
      <c r="R78" s="51"/>
      <c r="S78" s="51"/>
      <c r="T78" s="52"/>
      <c r="U78" s="143"/>
      <c r="V78" s="143"/>
      <c r="W78" s="143"/>
      <c r="X78" s="143"/>
      <c r="Y78" s="143"/>
      <c r="Z78" s="143"/>
    </row>
    <row r="79" ht="13.5" customHeight="1">
      <c r="A79" s="49"/>
      <c r="B79" s="49"/>
      <c r="C79" s="49"/>
      <c r="D79" s="49"/>
      <c r="E79" s="49"/>
      <c r="F79" s="49"/>
      <c r="G79" s="49"/>
      <c r="H79" s="49"/>
      <c r="I79" s="49"/>
      <c r="J79" s="49"/>
      <c r="K79" s="49"/>
      <c r="L79" s="49"/>
      <c r="M79" s="49"/>
      <c r="N79" s="49"/>
      <c r="O79" s="49"/>
      <c r="P79" s="49"/>
      <c r="Q79" s="51"/>
      <c r="R79" s="51"/>
      <c r="S79" s="51"/>
      <c r="T79" s="52"/>
      <c r="U79" s="143"/>
      <c r="V79" s="143"/>
      <c r="W79" s="143"/>
      <c r="X79" s="143"/>
      <c r="Y79" s="143"/>
      <c r="Z79" s="143"/>
    </row>
    <row r="80" ht="13.5" customHeight="1">
      <c r="A80" s="49"/>
      <c r="B80" s="49"/>
      <c r="C80" s="49"/>
      <c r="D80" s="49"/>
      <c r="E80" s="49"/>
      <c r="F80" s="49"/>
      <c r="G80" s="49"/>
      <c r="H80" s="49"/>
      <c r="I80" s="49"/>
      <c r="J80" s="49"/>
      <c r="K80" s="49"/>
      <c r="L80" s="49"/>
      <c r="M80" s="49"/>
      <c r="N80" s="49"/>
      <c r="O80" s="49"/>
      <c r="P80" s="49"/>
      <c r="Q80" s="51"/>
      <c r="R80" s="51"/>
      <c r="S80" s="51"/>
      <c r="T80" s="52"/>
      <c r="U80" s="143"/>
      <c r="V80" s="143"/>
      <c r="W80" s="143"/>
      <c r="X80" s="143"/>
      <c r="Y80" s="143"/>
      <c r="Z80" s="143"/>
    </row>
    <row r="81" ht="13.5" customHeight="1">
      <c r="A81" s="49"/>
      <c r="B81" s="49"/>
      <c r="C81" s="49"/>
      <c r="D81" s="49"/>
      <c r="E81" s="49"/>
      <c r="F81" s="49"/>
      <c r="G81" s="49"/>
      <c r="H81" s="49"/>
      <c r="I81" s="49"/>
      <c r="J81" s="49"/>
      <c r="K81" s="49"/>
      <c r="L81" s="49"/>
      <c r="M81" s="49"/>
      <c r="N81" s="49"/>
      <c r="O81" s="49"/>
      <c r="P81" s="49"/>
      <c r="Q81" s="51"/>
      <c r="R81" s="51"/>
      <c r="S81" s="51"/>
      <c r="T81" s="52"/>
      <c r="U81" s="143"/>
      <c r="V81" s="143"/>
      <c r="W81" s="143"/>
      <c r="X81" s="143"/>
      <c r="Y81" s="143"/>
      <c r="Z81" s="143"/>
    </row>
    <row r="82" ht="13.5" customHeight="1">
      <c r="A82" s="49"/>
      <c r="B82" s="49"/>
      <c r="C82" s="49"/>
      <c r="D82" s="49"/>
      <c r="E82" s="49"/>
      <c r="F82" s="49"/>
      <c r="G82" s="49"/>
      <c r="H82" s="49"/>
      <c r="I82" s="49"/>
      <c r="J82" s="49"/>
      <c r="K82" s="49"/>
      <c r="L82" s="49"/>
      <c r="M82" s="49"/>
      <c r="N82" s="49"/>
      <c r="O82" s="49"/>
      <c r="P82" s="49"/>
      <c r="Q82" s="51"/>
      <c r="R82" s="51"/>
      <c r="S82" s="51"/>
      <c r="T82" s="52"/>
      <c r="U82" s="143"/>
      <c r="V82" s="143"/>
      <c r="W82" s="143"/>
      <c r="X82" s="143"/>
      <c r="Y82" s="143"/>
      <c r="Z82" s="143"/>
    </row>
    <row r="83" ht="13.5" customHeight="1">
      <c r="A83" s="49"/>
      <c r="B83" s="49"/>
      <c r="C83" s="49"/>
      <c r="D83" s="49"/>
      <c r="E83" s="49"/>
      <c r="F83" s="49"/>
      <c r="G83" s="49"/>
      <c r="H83" s="49"/>
      <c r="I83" s="49"/>
      <c r="J83" s="49"/>
      <c r="K83" s="49"/>
      <c r="L83" s="49"/>
      <c r="M83" s="49"/>
      <c r="N83" s="49"/>
      <c r="O83" s="49"/>
      <c r="P83" s="49"/>
      <c r="Q83" s="51"/>
      <c r="R83" s="51"/>
      <c r="S83" s="51"/>
      <c r="T83" s="52"/>
      <c r="U83" s="143"/>
      <c r="V83" s="143"/>
      <c r="W83" s="143"/>
      <c r="X83" s="143"/>
      <c r="Y83" s="143"/>
      <c r="Z83" s="143"/>
    </row>
    <row r="84" ht="13.5" customHeight="1">
      <c r="A84" s="49"/>
      <c r="B84" s="49"/>
      <c r="C84" s="49"/>
      <c r="D84" s="49"/>
      <c r="E84" s="49"/>
      <c r="F84" s="49"/>
      <c r="G84" s="49"/>
      <c r="H84" s="49"/>
      <c r="I84" s="49"/>
      <c r="J84" s="49"/>
      <c r="K84" s="49"/>
      <c r="L84" s="49"/>
      <c r="M84" s="49"/>
      <c r="N84" s="49"/>
      <c r="O84" s="49"/>
      <c r="P84" s="49"/>
      <c r="Q84" s="51"/>
      <c r="R84" s="51"/>
      <c r="S84" s="51"/>
      <c r="T84" s="52"/>
      <c r="U84" s="143"/>
      <c r="V84" s="143"/>
      <c r="W84" s="143"/>
      <c r="X84" s="143"/>
      <c r="Y84" s="143"/>
      <c r="Z84" s="143"/>
    </row>
    <row r="85" ht="13.5" customHeight="1">
      <c r="A85" s="49"/>
      <c r="B85" s="49"/>
      <c r="C85" s="49"/>
      <c r="D85" s="49"/>
      <c r="E85" s="49"/>
      <c r="F85" s="49"/>
      <c r="G85" s="49"/>
      <c r="H85" s="49"/>
      <c r="I85" s="49"/>
      <c r="J85" s="49"/>
      <c r="K85" s="49"/>
      <c r="L85" s="49"/>
      <c r="M85" s="49"/>
      <c r="N85" s="49"/>
      <c r="O85" s="49"/>
      <c r="P85" s="49"/>
      <c r="Q85" s="51"/>
      <c r="R85" s="51"/>
      <c r="S85" s="51"/>
      <c r="T85" s="52"/>
      <c r="U85" s="143"/>
      <c r="V85" s="143"/>
      <c r="W85" s="143"/>
      <c r="X85" s="143"/>
      <c r="Y85" s="143"/>
      <c r="Z85" s="143"/>
    </row>
    <row r="86" ht="13.5" customHeight="1">
      <c r="A86" s="49"/>
      <c r="B86" s="49"/>
      <c r="C86" s="49"/>
      <c r="D86" s="49"/>
      <c r="E86" s="49"/>
      <c r="F86" s="49"/>
      <c r="G86" s="49"/>
      <c r="H86" s="49"/>
      <c r="I86" s="49"/>
      <c r="J86" s="49"/>
      <c r="K86" s="49"/>
      <c r="L86" s="49"/>
      <c r="M86" s="49"/>
      <c r="N86" s="49"/>
      <c r="O86" s="49"/>
      <c r="P86" s="49"/>
      <c r="Q86" s="51"/>
      <c r="R86" s="51"/>
      <c r="S86" s="51"/>
      <c r="T86" s="52"/>
      <c r="U86" s="143"/>
      <c r="V86" s="143"/>
      <c r="W86" s="143"/>
      <c r="X86" s="143"/>
      <c r="Y86" s="143"/>
      <c r="Z86" s="143"/>
    </row>
    <row r="87" ht="13.5" customHeight="1">
      <c r="A87" s="49"/>
      <c r="B87" s="49"/>
      <c r="C87" s="49"/>
      <c r="D87" s="49"/>
      <c r="E87" s="49"/>
      <c r="F87" s="49"/>
      <c r="G87" s="49"/>
      <c r="H87" s="49"/>
      <c r="I87" s="49"/>
      <c r="J87" s="49"/>
      <c r="K87" s="49"/>
      <c r="L87" s="49"/>
      <c r="M87" s="49"/>
      <c r="N87" s="49"/>
      <c r="O87" s="49"/>
      <c r="P87" s="49"/>
      <c r="Q87" s="51"/>
      <c r="R87" s="51"/>
      <c r="S87" s="51"/>
      <c r="T87" s="52"/>
      <c r="U87" s="143"/>
      <c r="V87" s="143"/>
      <c r="W87" s="143"/>
      <c r="X87" s="143"/>
      <c r="Y87" s="143"/>
      <c r="Z87" s="143"/>
    </row>
    <row r="88" ht="13.5" customHeight="1">
      <c r="A88" s="49"/>
      <c r="B88" s="49"/>
      <c r="C88" s="49"/>
      <c r="D88" s="49"/>
      <c r="E88" s="49"/>
      <c r="F88" s="49"/>
      <c r="G88" s="49"/>
      <c r="H88" s="49"/>
      <c r="I88" s="49"/>
      <c r="J88" s="49"/>
      <c r="K88" s="49"/>
      <c r="L88" s="49"/>
      <c r="M88" s="49"/>
      <c r="N88" s="49"/>
      <c r="O88" s="49"/>
      <c r="P88" s="49"/>
      <c r="Q88" s="51"/>
      <c r="R88" s="51"/>
      <c r="S88" s="51"/>
      <c r="T88" s="52"/>
      <c r="U88" s="143"/>
      <c r="V88" s="143"/>
      <c r="W88" s="143"/>
      <c r="X88" s="143"/>
      <c r="Y88" s="143"/>
      <c r="Z88" s="143"/>
    </row>
    <row r="89" ht="13.5" customHeight="1">
      <c r="A89" s="49"/>
      <c r="B89" s="49"/>
      <c r="C89" s="49"/>
      <c r="D89" s="49"/>
      <c r="E89" s="49"/>
      <c r="F89" s="49"/>
      <c r="G89" s="49"/>
      <c r="H89" s="49"/>
      <c r="I89" s="49"/>
      <c r="J89" s="49"/>
      <c r="K89" s="49"/>
      <c r="L89" s="49"/>
      <c r="M89" s="49"/>
      <c r="N89" s="49"/>
      <c r="O89" s="49"/>
      <c r="P89" s="49"/>
      <c r="Q89" s="51"/>
      <c r="R89" s="51"/>
      <c r="S89" s="51"/>
      <c r="T89" s="52"/>
      <c r="U89" s="143"/>
      <c r="V89" s="143"/>
      <c r="W89" s="143"/>
      <c r="X89" s="143"/>
      <c r="Y89" s="143"/>
      <c r="Z89" s="143"/>
    </row>
    <row r="90" ht="13.5" customHeight="1">
      <c r="A90" s="49"/>
      <c r="B90" s="49"/>
      <c r="C90" s="49"/>
      <c r="D90" s="49"/>
      <c r="E90" s="49"/>
      <c r="F90" s="49"/>
      <c r="G90" s="49"/>
      <c r="H90" s="49"/>
      <c r="I90" s="49"/>
      <c r="J90" s="49"/>
      <c r="K90" s="49"/>
      <c r="L90" s="49"/>
      <c r="M90" s="49"/>
      <c r="N90" s="49"/>
      <c r="O90" s="49"/>
      <c r="P90" s="49"/>
      <c r="Q90" s="51"/>
      <c r="R90" s="51"/>
      <c r="S90" s="51"/>
      <c r="T90" s="52"/>
      <c r="U90" s="143"/>
      <c r="V90" s="143"/>
      <c r="W90" s="143"/>
      <c r="X90" s="143"/>
      <c r="Y90" s="143"/>
      <c r="Z90" s="143"/>
    </row>
    <row r="91" ht="13.5" customHeight="1">
      <c r="A91" s="49"/>
      <c r="B91" s="49"/>
      <c r="C91" s="49"/>
      <c r="D91" s="49"/>
      <c r="E91" s="49"/>
      <c r="F91" s="49"/>
      <c r="G91" s="49"/>
      <c r="H91" s="49"/>
      <c r="I91" s="49"/>
      <c r="J91" s="49"/>
      <c r="K91" s="49"/>
      <c r="L91" s="49"/>
      <c r="M91" s="49"/>
      <c r="N91" s="49"/>
      <c r="O91" s="49"/>
      <c r="P91" s="49"/>
      <c r="Q91" s="51"/>
      <c r="R91" s="51"/>
      <c r="S91" s="51"/>
      <c r="T91" s="52"/>
      <c r="U91" s="143"/>
      <c r="V91" s="143"/>
      <c r="W91" s="143"/>
      <c r="X91" s="143"/>
      <c r="Y91" s="143"/>
      <c r="Z91" s="143"/>
    </row>
    <row r="92" ht="13.5" customHeight="1">
      <c r="A92" s="49"/>
      <c r="B92" s="49"/>
      <c r="C92" s="49"/>
      <c r="D92" s="49"/>
      <c r="E92" s="49"/>
      <c r="F92" s="49"/>
      <c r="G92" s="49"/>
      <c r="H92" s="49"/>
      <c r="I92" s="49"/>
      <c r="J92" s="49"/>
      <c r="K92" s="49"/>
      <c r="L92" s="49"/>
      <c r="M92" s="49"/>
      <c r="N92" s="49"/>
      <c r="O92" s="49"/>
      <c r="P92" s="49"/>
      <c r="Q92" s="51"/>
      <c r="R92" s="51"/>
      <c r="S92" s="51"/>
      <c r="T92" s="52"/>
      <c r="U92" s="143"/>
      <c r="V92" s="143"/>
      <c r="W92" s="143"/>
      <c r="X92" s="143"/>
      <c r="Y92" s="143"/>
      <c r="Z92" s="143"/>
    </row>
    <row r="93" ht="13.5" customHeight="1">
      <c r="A93" s="49"/>
      <c r="B93" s="49"/>
      <c r="C93" s="49"/>
      <c r="D93" s="49"/>
      <c r="E93" s="49"/>
      <c r="F93" s="49"/>
      <c r="G93" s="49"/>
      <c r="H93" s="49"/>
      <c r="I93" s="49"/>
      <c r="J93" s="49"/>
      <c r="K93" s="49"/>
      <c r="L93" s="49"/>
      <c r="M93" s="49"/>
      <c r="N93" s="49"/>
      <c r="O93" s="49"/>
      <c r="P93" s="49"/>
      <c r="Q93" s="51"/>
      <c r="R93" s="51"/>
      <c r="S93" s="51"/>
      <c r="T93" s="52"/>
      <c r="U93" s="143"/>
      <c r="V93" s="143"/>
      <c r="W93" s="143"/>
      <c r="X93" s="143"/>
      <c r="Y93" s="143"/>
      <c r="Z93" s="143"/>
    </row>
    <row r="94" ht="13.5" customHeight="1">
      <c r="A94" s="49"/>
      <c r="B94" s="49"/>
      <c r="C94" s="49"/>
      <c r="D94" s="49"/>
      <c r="E94" s="49"/>
      <c r="F94" s="49"/>
      <c r="G94" s="49"/>
      <c r="H94" s="49"/>
      <c r="I94" s="49"/>
      <c r="J94" s="49"/>
      <c r="K94" s="49"/>
      <c r="L94" s="49"/>
      <c r="M94" s="49"/>
      <c r="N94" s="49"/>
      <c r="O94" s="49"/>
      <c r="P94" s="49"/>
      <c r="Q94" s="51"/>
      <c r="R94" s="51"/>
      <c r="S94" s="51"/>
      <c r="T94" s="52"/>
      <c r="U94" s="143"/>
      <c r="V94" s="143"/>
      <c r="W94" s="143"/>
      <c r="X94" s="143"/>
      <c r="Y94" s="143"/>
      <c r="Z94" s="143"/>
    </row>
    <row r="95" ht="13.5" customHeight="1">
      <c r="A95" s="49"/>
      <c r="B95" s="49"/>
      <c r="C95" s="49"/>
      <c r="D95" s="49"/>
      <c r="E95" s="49"/>
      <c r="F95" s="49"/>
      <c r="G95" s="49"/>
      <c r="H95" s="49"/>
      <c r="I95" s="49"/>
      <c r="J95" s="49"/>
      <c r="K95" s="49"/>
      <c r="L95" s="49"/>
      <c r="M95" s="49"/>
      <c r="N95" s="49"/>
      <c r="O95" s="49"/>
      <c r="P95" s="49"/>
      <c r="Q95" s="51"/>
      <c r="R95" s="51"/>
      <c r="S95" s="51"/>
      <c r="T95" s="52"/>
      <c r="U95" s="143"/>
      <c r="V95" s="143"/>
      <c r="W95" s="143"/>
      <c r="X95" s="143"/>
      <c r="Y95" s="143"/>
      <c r="Z95" s="143"/>
    </row>
    <row r="96" ht="13.5" customHeight="1">
      <c r="A96" s="49"/>
      <c r="B96" s="49"/>
      <c r="C96" s="49"/>
      <c r="D96" s="49"/>
      <c r="E96" s="49"/>
      <c r="F96" s="49"/>
      <c r="G96" s="49"/>
      <c r="H96" s="49"/>
      <c r="I96" s="49"/>
      <c r="J96" s="49"/>
      <c r="K96" s="49"/>
      <c r="L96" s="49"/>
      <c r="M96" s="49"/>
      <c r="N96" s="49"/>
      <c r="O96" s="49"/>
      <c r="P96" s="49"/>
      <c r="Q96" s="51"/>
      <c r="R96" s="51"/>
      <c r="S96" s="51"/>
      <c r="T96" s="52"/>
      <c r="U96" s="143"/>
      <c r="V96" s="143"/>
      <c r="W96" s="143"/>
      <c r="X96" s="143"/>
      <c r="Y96" s="143"/>
      <c r="Z96" s="143"/>
    </row>
    <row r="97" ht="13.5" customHeight="1">
      <c r="A97" s="49"/>
      <c r="B97" s="49"/>
      <c r="C97" s="49"/>
      <c r="D97" s="49"/>
      <c r="E97" s="49"/>
      <c r="F97" s="49"/>
      <c r="G97" s="49"/>
      <c r="H97" s="49"/>
      <c r="I97" s="49"/>
      <c r="J97" s="49"/>
      <c r="K97" s="49"/>
      <c r="L97" s="49"/>
      <c r="M97" s="49"/>
      <c r="N97" s="49"/>
      <c r="O97" s="49"/>
      <c r="P97" s="49"/>
      <c r="Q97" s="51"/>
      <c r="R97" s="51"/>
      <c r="S97" s="51"/>
      <c r="T97" s="52"/>
      <c r="U97" s="143"/>
      <c r="V97" s="143"/>
      <c r="W97" s="143"/>
      <c r="X97" s="143"/>
      <c r="Y97" s="143"/>
      <c r="Z97" s="143"/>
    </row>
    <row r="98" ht="13.5" customHeight="1">
      <c r="A98" s="49"/>
      <c r="B98" s="49"/>
      <c r="C98" s="49"/>
      <c r="D98" s="49"/>
      <c r="E98" s="49"/>
      <c r="F98" s="49"/>
      <c r="G98" s="49"/>
      <c r="H98" s="49"/>
      <c r="I98" s="49"/>
      <c r="J98" s="49"/>
      <c r="K98" s="49"/>
      <c r="L98" s="49"/>
      <c r="M98" s="49"/>
      <c r="N98" s="49"/>
      <c r="O98" s="49"/>
      <c r="P98" s="49"/>
      <c r="Q98" s="51"/>
      <c r="R98" s="51"/>
      <c r="S98" s="51"/>
      <c r="T98" s="52"/>
      <c r="U98" s="143"/>
      <c r="V98" s="143"/>
      <c r="W98" s="143"/>
      <c r="X98" s="143"/>
      <c r="Y98" s="143"/>
      <c r="Z98" s="143"/>
    </row>
    <row r="99" ht="13.5" customHeight="1">
      <c r="A99" s="49"/>
      <c r="B99" s="49"/>
      <c r="C99" s="49"/>
      <c r="D99" s="49"/>
      <c r="E99" s="49"/>
      <c r="F99" s="49"/>
      <c r="G99" s="49"/>
      <c r="H99" s="49"/>
      <c r="I99" s="49"/>
      <c r="J99" s="49"/>
      <c r="K99" s="49"/>
      <c r="L99" s="49"/>
      <c r="M99" s="49"/>
      <c r="N99" s="49"/>
      <c r="O99" s="49"/>
      <c r="P99" s="49"/>
      <c r="Q99" s="51"/>
      <c r="R99" s="51"/>
      <c r="S99" s="51"/>
      <c r="T99" s="52"/>
      <c r="U99" s="143"/>
      <c r="V99" s="143"/>
      <c r="W99" s="143"/>
      <c r="X99" s="143"/>
      <c r="Y99" s="143"/>
      <c r="Z99" s="143"/>
    </row>
    <row r="100" ht="13.5" customHeight="1">
      <c r="A100" s="49"/>
      <c r="B100" s="49"/>
      <c r="C100" s="49"/>
      <c r="D100" s="49"/>
      <c r="E100" s="49"/>
      <c r="F100" s="49"/>
      <c r="G100" s="49"/>
      <c r="H100" s="49"/>
      <c r="I100" s="49"/>
      <c r="J100" s="49"/>
      <c r="K100" s="49"/>
      <c r="L100" s="49"/>
      <c r="M100" s="49"/>
      <c r="N100" s="49"/>
      <c r="O100" s="49"/>
      <c r="P100" s="49"/>
      <c r="Q100" s="51"/>
      <c r="R100" s="51"/>
      <c r="S100" s="51"/>
      <c r="T100" s="52"/>
      <c r="U100" s="143"/>
      <c r="V100" s="143"/>
      <c r="W100" s="143"/>
      <c r="X100" s="143"/>
      <c r="Y100" s="143"/>
      <c r="Z100" s="143"/>
    </row>
    <row r="101" ht="13.5" customHeight="1">
      <c r="A101" s="49"/>
      <c r="B101" s="49"/>
      <c r="C101" s="49"/>
      <c r="D101" s="49"/>
      <c r="E101" s="49"/>
      <c r="F101" s="49"/>
      <c r="G101" s="49"/>
      <c r="H101" s="49"/>
      <c r="I101" s="49"/>
      <c r="J101" s="49"/>
      <c r="K101" s="49"/>
      <c r="L101" s="49"/>
      <c r="M101" s="49"/>
      <c r="N101" s="49"/>
      <c r="O101" s="49"/>
      <c r="P101" s="49"/>
      <c r="Q101" s="51"/>
      <c r="R101" s="51"/>
      <c r="S101" s="51"/>
      <c r="T101" s="52"/>
      <c r="U101" s="143"/>
      <c r="V101" s="143"/>
      <c r="W101" s="143"/>
      <c r="X101" s="143"/>
      <c r="Y101" s="143"/>
      <c r="Z101" s="143"/>
    </row>
    <row r="102" ht="13.5" customHeight="1">
      <c r="A102" s="49"/>
      <c r="B102" s="49"/>
      <c r="C102" s="49"/>
      <c r="D102" s="49"/>
      <c r="E102" s="49"/>
      <c r="F102" s="49"/>
      <c r="G102" s="49"/>
      <c r="H102" s="49"/>
      <c r="I102" s="49"/>
      <c r="J102" s="49"/>
      <c r="K102" s="49"/>
      <c r="L102" s="49"/>
      <c r="M102" s="49"/>
      <c r="N102" s="49"/>
      <c r="O102" s="49"/>
      <c r="P102" s="49"/>
      <c r="Q102" s="51"/>
      <c r="R102" s="51"/>
      <c r="S102" s="51"/>
      <c r="T102" s="52"/>
      <c r="U102" s="143"/>
      <c r="V102" s="143"/>
      <c r="W102" s="143"/>
      <c r="X102" s="143"/>
      <c r="Y102" s="143"/>
      <c r="Z102" s="143"/>
    </row>
    <row r="103" ht="13.5" customHeight="1">
      <c r="A103" s="49"/>
      <c r="B103" s="49"/>
      <c r="C103" s="49"/>
      <c r="D103" s="49"/>
      <c r="E103" s="49"/>
      <c r="F103" s="49"/>
      <c r="G103" s="49"/>
      <c r="H103" s="49"/>
      <c r="I103" s="49"/>
      <c r="J103" s="49"/>
      <c r="K103" s="49"/>
      <c r="L103" s="49"/>
      <c r="M103" s="49"/>
      <c r="N103" s="49"/>
      <c r="O103" s="49"/>
      <c r="P103" s="49"/>
      <c r="Q103" s="51"/>
      <c r="R103" s="51"/>
      <c r="S103" s="51"/>
      <c r="T103" s="52"/>
      <c r="U103" s="143"/>
      <c r="V103" s="143"/>
      <c r="W103" s="143"/>
      <c r="X103" s="143"/>
      <c r="Y103" s="143"/>
      <c r="Z103" s="143"/>
    </row>
    <row r="104" ht="13.5" customHeight="1">
      <c r="A104" s="49"/>
      <c r="B104" s="49"/>
      <c r="C104" s="49"/>
      <c r="D104" s="49"/>
      <c r="E104" s="49"/>
      <c r="F104" s="49"/>
      <c r="G104" s="49"/>
      <c r="H104" s="49"/>
      <c r="I104" s="49"/>
      <c r="J104" s="49"/>
      <c r="K104" s="49"/>
      <c r="L104" s="49"/>
      <c r="M104" s="49"/>
      <c r="N104" s="49"/>
      <c r="O104" s="49"/>
      <c r="P104" s="49"/>
      <c r="Q104" s="51"/>
      <c r="R104" s="51"/>
      <c r="S104" s="51"/>
      <c r="T104" s="52"/>
      <c r="U104" s="143"/>
      <c r="V104" s="143"/>
      <c r="W104" s="143"/>
      <c r="X104" s="143"/>
      <c r="Y104" s="143"/>
      <c r="Z104" s="143"/>
    </row>
    <row r="105" ht="13.5" customHeight="1">
      <c r="A105" s="49"/>
      <c r="B105" s="49"/>
      <c r="C105" s="49"/>
      <c r="D105" s="49"/>
      <c r="E105" s="49"/>
      <c r="F105" s="49"/>
      <c r="G105" s="49"/>
      <c r="H105" s="49"/>
      <c r="I105" s="49"/>
      <c r="J105" s="49"/>
      <c r="K105" s="49"/>
      <c r="L105" s="49"/>
      <c r="M105" s="49"/>
      <c r="N105" s="49"/>
      <c r="O105" s="49"/>
      <c r="P105" s="49"/>
      <c r="Q105" s="51"/>
      <c r="R105" s="51"/>
      <c r="S105" s="51"/>
      <c r="T105" s="52"/>
      <c r="U105" s="143"/>
      <c r="V105" s="143"/>
      <c r="W105" s="143"/>
      <c r="X105" s="143"/>
      <c r="Y105" s="143"/>
      <c r="Z105" s="143"/>
    </row>
    <row r="106" ht="13.5" customHeight="1">
      <c r="A106" s="49"/>
      <c r="B106" s="49"/>
      <c r="C106" s="49"/>
      <c r="D106" s="49"/>
      <c r="E106" s="49"/>
      <c r="F106" s="49"/>
      <c r="G106" s="49"/>
      <c r="H106" s="49"/>
      <c r="I106" s="49"/>
      <c r="J106" s="49"/>
      <c r="K106" s="49"/>
      <c r="L106" s="49"/>
      <c r="M106" s="49"/>
      <c r="N106" s="49"/>
      <c r="O106" s="49"/>
      <c r="P106" s="49"/>
      <c r="Q106" s="51"/>
      <c r="R106" s="51"/>
      <c r="S106" s="51"/>
      <c r="T106" s="52"/>
      <c r="U106" s="143"/>
      <c r="V106" s="143"/>
      <c r="W106" s="143"/>
      <c r="X106" s="143"/>
      <c r="Y106" s="143"/>
      <c r="Z106" s="143"/>
    </row>
    <row r="107" ht="13.5" customHeight="1">
      <c r="A107" s="49"/>
      <c r="B107" s="49"/>
      <c r="C107" s="49"/>
      <c r="D107" s="49"/>
      <c r="E107" s="49"/>
      <c r="F107" s="49"/>
      <c r="G107" s="49"/>
      <c r="H107" s="49"/>
      <c r="I107" s="49"/>
      <c r="J107" s="49"/>
      <c r="K107" s="49"/>
      <c r="L107" s="49"/>
      <c r="M107" s="49"/>
      <c r="N107" s="49"/>
      <c r="O107" s="49"/>
      <c r="P107" s="49"/>
      <c r="Q107" s="51"/>
      <c r="R107" s="51"/>
      <c r="S107" s="51"/>
      <c r="T107" s="52"/>
      <c r="U107" s="143"/>
      <c r="V107" s="143"/>
      <c r="W107" s="143"/>
      <c r="X107" s="143"/>
      <c r="Y107" s="143"/>
      <c r="Z107" s="143"/>
    </row>
    <row r="108" ht="13.5" customHeight="1">
      <c r="A108" s="49"/>
      <c r="B108" s="49"/>
      <c r="C108" s="49"/>
      <c r="D108" s="49"/>
      <c r="E108" s="49"/>
      <c r="F108" s="49"/>
      <c r="G108" s="49"/>
      <c r="H108" s="49"/>
      <c r="I108" s="49"/>
      <c r="J108" s="49"/>
      <c r="K108" s="49"/>
      <c r="L108" s="49"/>
      <c r="M108" s="49"/>
      <c r="N108" s="49"/>
      <c r="O108" s="49"/>
      <c r="P108" s="49"/>
      <c r="Q108" s="51"/>
      <c r="R108" s="51"/>
      <c r="S108" s="51"/>
      <c r="T108" s="52"/>
      <c r="U108" s="143"/>
      <c r="V108" s="143"/>
      <c r="W108" s="143"/>
      <c r="X108" s="143"/>
      <c r="Y108" s="143"/>
      <c r="Z108" s="143"/>
    </row>
    <row r="109" ht="13.5" customHeight="1">
      <c r="A109" s="49"/>
      <c r="B109" s="49"/>
      <c r="C109" s="49"/>
      <c r="D109" s="49"/>
      <c r="E109" s="49"/>
      <c r="F109" s="49"/>
      <c r="G109" s="49"/>
      <c r="H109" s="49"/>
      <c r="I109" s="49"/>
      <c r="J109" s="49"/>
      <c r="K109" s="49"/>
      <c r="L109" s="49"/>
      <c r="M109" s="49"/>
      <c r="N109" s="49"/>
      <c r="O109" s="49"/>
      <c r="P109" s="49"/>
      <c r="Q109" s="51"/>
      <c r="R109" s="51"/>
      <c r="S109" s="51"/>
      <c r="T109" s="52"/>
      <c r="U109" s="143"/>
      <c r="V109" s="143"/>
      <c r="W109" s="143"/>
      <c r="X109" s="143"/>
      <c r="Y109" s="143"/>
      <c r="Z109" s="143"/>
    </row>
    <row r="110" ht="13.5" customHeight="1">
      <c r="A110" s="49"/>
      <c r="B110" s="49"/>
      <c r="C110" s="49"/>
      <c r="D110" s="49"/>
      <c r="E110" s="49"/>
      <c r="F110" s="49"/>
      <c r="G110" s="49"/>
      <c r="H110" s="49"/>
      <c r="I110" s="49"/>
      <c r="J110" s="49"/>
      <c r="K110" s="49"/>
      <c r="L110" s="49"/>
      <c r="M110" s="49"/>
      <c r="N110" s="49"/>
      <c r="O110" s="49"/>
      <c r="P110" s="49"/>
      <c r="Q110" s="51"/>
      <c r="R110" s="51"/>
      <c r="S110" s="51"/>
      <c r="T110" s="52"/>
      <c r="U110" s="143"/>
      <c r="V110" s="143"/>
      <c r="W110" s="143"/>
      <c r="X110" s="143"/>
      <c r="Y110" s="143"/>
      <c r="Z110" s="143"/>
    </row>
    <row r="111" ht="13.5" customHeight="1">
      <c r="A111" s="49"/>
      <c r="B111" s="49"/>
      <c r="C111" s="49"/>
      <c r="D111" s="49"/>
      <c r="E111" s="49"/>
      <c r="F111" s="49"/>
      <c r="G111" s="49"/>
      <c r="H111" s="49"/>
      <c r="I111" s="49"/>
      <c r="J111" s="49"/>
      <c r="K111" s="49"/>
      <c r="L111" s="49"/>
      <c r="M111" s="49"/>
      <c r="N111" s="49"/>
      <c r="O111" s="49"/>
      <c r="P111" s="49"/>
      <c r="Q111" s="51"/>
      <c r="R111" s="51"/>
      <c r="S111" s="51"/>
      <c r="T111" s="52"/>
      <c r="U111" s="143"/>
      <c r="V111" s="143"/>
      <c r="W111" s="143"/>
      <c r="X111" s="143"/>
      <c r="Y111" s="143"/>
      <c r="Z111" s="143"/>
    </row>
    <row r="112" ht="13.5" customHeight="1">
      <c r="A112" s="49"/>
      <c r="B112" s="49"/>
      <c r="C112" s="49"/>
      <c r="D112" s="49"/>
      <c r="E112" s="49"/>
      <c r="F112" s="49"/>
      <c r="G112" s="49"/>
      <c r="H112" s="49"/>
      <c r="I112" s="49"/>
      <c r="J112" s="49"/>
      <c r="K112" s="49"/>
      <c r="L112" s="49"/>
      <c r="M112" s="49"/>
      <c r="N112" s="49"/>
      <c r="O112" s="49"/>
      <c r="P112" s="49"/>
      <c r="Q112" s="51"/>
      <c r="R112" s="51"/>
      <c r="S112" s="51"/>
      <c r="T112" s="52"/>
      <c r="U112" s="143"/>
      <c r="V112" s="143"/>
      <c r="W112" s="143"/>
      <c r="X112" s="143"/>
      <c r="Y112" s="143"/>
      <c r="Z112" s="143"/>
    </row>
    <row r="113" ht="13.5" customHeight="1">
      <c r="A113" s="49"/>
      <c r="B113" s="49"/>
      <c r="C113" s="49"/>
      <c r="D113" s="49"/>
      <c r="E113" s="49"/>
      <c r="F113" s="49"/>
      <c r="G113" s="49"/>
      <c r="H113" s="49"/>
      <c r="I113" s="49"/>
      <c r="J113" s="49"/>
      <c r="K113" s="49"/>
      <c r="L113" s="49"/>
      <c r="M113" s="49"/>
      <c r="N113" s="49"/>
      <c r="O113" s="49"/>
      <c r="P113" s="49"/>
      <c r="Q113" s="51"/>
      <c r="R113" s="51"/>
      <c r="S113" s="51"/>
      <c r="T113" s="52"/>
      <c r="U113" s="143"/>
      <c r="V113" s="143"/>
      <c r="W113" s="143"/>
      <c r="X113" s="143"/>
      <c r="Y113" s="143"/>
      <c r="Z113" s="143"/>
    </row>
    <row r="114" ht="13.5" customHeight="1">
      <c r="A114" s="49"/>
      <c r="B114" s="49"/>
      <c r="C114" s="49"/>
      <c r="D114" s="49"/>
      <c r="E114" s="49"/>
      <c r="F114" s="49"/>
      <c r="G114" s="49"/>
      <c r="H114" s="49"/>
      <c r="I114" s="49"/>
      <c r="J114" s="49"/>
      <c r="K114" s="49"/>
      <c r="L114" s="49"/>
      <c r="M114" s="49"/>
      <c r="N114" s="49"/>
      <c r="O114" s="49"/>
      <c r="P114" s="49"/>
      <c r="Q114" s="51"/>
      <c r="R114" s="51"/>
      <c r="S114" s="51"/>
      <c r="T114" s="52"/>
      <c r="U114" s="143"/>
      <c r="V114" s="143"/>
      <c r="W114" s="143"/>
      <c r="X114" s="143"/>
      <c r="Y114" s="143"/>
      <c r="Z114" s="143"/>
    </row>
    <row r="115" ht="13.5" customHeight="1">
      <c r="A115" s="49"/>
      <c r="B115" s="49"/>
      <c r="C115" s="49"/>
      <c r="D115" s="49"/>
      <c r="E115" s="49"/>
      <c r="F115" s="49"/>
      <c r="G115" s="49"/>
      <c r="H115" s="49"/>
      <c r="I115" s="49"/>
      <c r="J115" s="49"/>
      <c r="K115" s="49"/>
      <c r="L115" s="49"/>
      <c r="M115" s="49"/>
      <c r="N115" s="49"/>
      <c r="O115" s="49"/>
      <c r="P115" s="49"/>
      <c r="Q115" s="51"/>
      <c r="R115" s="51"/>
      <c r="S115" s="51"/>
      <c r="T115" s="52"/>
      <c r="U115" s="143"/>
      <c r="V115" s="143"/>
      <c r="W115" s="143"/>
      <c r="X115" s="143"/>
      <c r="Y115" s="143"/>
      <c r="Z115" s="143"/>
    </row>
    <row r="116" ht="13.5" customHeight="1">
      <c r="A116" s="49"/>
      <c r="B116" s="49"/>
      <c r="C116" s="49"/>
      <c r="D116" s="49"/>
      <c r="E116" s="49"/>
      <c r="F116" s="49"/>
      <c r="G116" s="49"/>
      <c r="H116" s="49"/>
      <c r="I116" s="49"/>
      <c r="J116" s="49"/>
      <c r="K116" s="49"/>
      <c r="L116" s="49"/>
      <c r="M116" s="49"/>
      <c r="N116" s="49"/>
      <c r="O116" s="49"/>
      <c r="P116" s="49"/>
      <c r="Q116" s="51"/>
      <c r="R116" s="51"/>
      <c r="S116" s="51"/>
      <c r="T116" s="52"/>
      <c r="U116" s="143"/>
      <c r="V116" s="143"/>
      <c r="W116" s="143"/>
      <c r="X116" s="143"/>
      <c r="Y116" s="143"/>
      <c r="Z116" s="143"/>
    </row>
    <row r="117" ht="13.5" customHeight="1">
      <c r="A117" s="49"/>
      <c r="B117" s="49"/>
      <c r="C117" s="49"/>
      <c r="D117" s="49"/>
      <c r="E117" s="49"/>
      <c r="F117" s="49"/>
      <c r="G117" s="49"/>
      <c r="H117" s="49"/>
      <c r="I117" s="49"/>
      <c r="J117" s="49"/>
      <c r="K117" s="49"/>
      <c r="L117" s="49"/>
      <c r="M117" s="49"/>
      <c r="N117" s="49"/>
      <c r="O117" s="49"/>
      <c r="P117" s="49"/>
      <c r="Q117" s="51"/>
      <c r="R117" s="51"/>
      <c r="S117" s="51"/>
      <c r="T117" s="52"/>
      <c r="U117" s="143"/>
      <c r="V117" s="143"/>
      <c r="W117" s="143"/>
      <c r="X117" s="143"/>
      <c r="Y117" s="143"/>
      <c r="Z117" s="143"/>
    </row>
    <row r="118" ht="13.5" customHeight="1">
      <c r="A118" s="49"/>
      <c r="B118" s="49"/>
      <c r="C118" s="49"/>
      <c r="D118" s="49"/>
      <c r="E118" s="49"/>
      <c r="F118" s="49"/>
      <c r="G118" s="49"/>
      <c r="H118" s="49"/>
      <c r="I118" s="49"/>
      <c r="J118" s="49"/>
      <c r="K118" s="49"/>
      <c r="L118" s="49"/>
      <c r="M118" s="49"/>
      <c r="N118" s="49"/>
      <c r="O118" s="49"/>
      <c r="P118" s="49"/>
      <c r="Q118" s="51"/>
      <c r="R118" s="51"/>
      <c r="S118" s="51"/>
      <c r="T118" s="52"/>
      <c r="U118" s="143"/>
      <c r="V118" s="143"/>
      <c r="W118" s="143"/>
      <c r="X118" s="143"/>
      <c r="Y118" s="143"/>
      <c r="Z118" s="143"/>
    </row>
    <row r="119" ht="13.5" customHeight="1">
      <c r="A119" s="49"/>
      <c r="B119" s="49"/>
      <c r="C119" s="49"/>
      <c r="D119" s="49"/>
      <c r="E119" s="49"/>
      <c r="F119" s="49"/>
      <c r="G119" s="49"/>
      <c r="H119" s="49"/>
      <c r="I119" s="49"/>
      <c r="J119" s="49"/>
      <c r="K119" s="49"/>
      <c r="L119" s="49"/>
      <c r="M119" s="49"/>
      <c r="N119" s="49"/>
      <c r="O119" s="49"/>
      <c r="P119" s="49"/>
      <c r="Q119" s="51"/>
      <c r="R119" s="51"/>
      <c r="S119" s="51"/>
      <c r="T119" s="52"/>
      <c r="U119" s="143"/>
      <c r="V119" s="143"/>
      <c r="W119" s="143"/>
      <c r="X119" s="143"/>
      <c r="Y119" s="143"/>
      <c r="Z119" s="143"/>
    </row>
    <row r="120" ht="13.5" customHeight="1">
      <c r="A120" s="49"/>
      <c r="B120" s="49"/>
      <c r="C120" s="49"/>
      <c r="D120" s="49"/>
      <c r="E120" s="49"/>
      <c r="F120" s="49"/>
      <c r="G120" s="49"/>
      <c r="H120" s="49"/>
      <c r="I120" s="49"/>
      <c r="J120" s="49"/>
      <c r="K120" s="49"/>
      <c r="L120" s="49"/>
      <c r="M120" s="49"/>
      <c r="N120" s="49"/>
      <c r="O120" s="49"/>
      <c r="P120" s="49"/>
      <c r="Q120" s="51"/>
      <c r="R120" s="51"/>
      <c r="S120" s="51"/>
      <c r="T120" s="52"/>
      <c r="U120" s="143"/>
      <c r="V120" s="143"/>
      <c r="W120" s="143"/>
      <c r="X120" s="143"/>
      <c r="Y120" s="143"/>
      <c r="Z120" s="143"/>
    </row>
    <row r="121" ht="13.5" customHeight="1">
      <c r="A121" s="49"/>
      <c r="B121" s="49"/>
      <c r="C121" s="49"/>
      <c r="D121" s="49"/>
      <c r="E121" s="49"/>
      <c r="F121" s="49"/>
      <c r="G121" s="49"/>
      <c r="H121" s="49"/>
      <c r="I121" s="49"/>
      <c r="J121" s="49"/>
      <c r="K121" s="49"/>
      <c r="L121" s="49"/>
      <c r="M121" s="49"/>
      <c r="N121" s="49"/>
      <c r="O121" s="49"/>
      <c r="P121" s="49"/>
      <c r="Q121" s="51"/>
      <c r="R121" s="51"/>
      <c r="S121" s="51"/>
      <c r="T121" s="52"/>
      <c r="U121" s="143"/>
      <c r="V121" s="143"/>
      <c r="W121" s="143"/>
      <c r="X121" s="143"/>
      <c r="Y121" s="143"/>
      <c r="Z121" s="143"/>
    </row>
    <row r="122" ht="13.5" customHeight="1">
      <c r="A122" s="49"/>
      <c r="B122" s="49"/>
      <c r="C122" s="49"/>
      <c r="D122" s="49"/>
      <c r="E122" s="49"/>
      <c r="F122" s="49"/>
      <c r="G122" s="49"/>
      <c r="H122" s="49"/>
      <c r="I122" s="49"/>
      <c r="J122" s="49"/>
      <c r="K122" s="49"/>
      <c r="L122" s="49"/>
      <c r="M122" s="49"/>
      <c r="N122" s="49"/>
      <c r="O122" s="49"/>
      <c r="P122" s="49"/>
      <c r="Q122" s="51"/>
      <c r="R122" s="51"/>
      <c r="S122" s="51"/>
      <c r="T122" s="52"/>
      <c r="U122" s="143"/>
      <c r="V122" s="143"/>
      <c r="W122" s="143"/>
      <c r="X122" s="143"/>
      <c r="Y122" s="143"/>
      <c r="Z122" s="143"/>
    </row>
    <row r="123" ht="13.5" customHeight="1">
      <c r="A123" s="49"/>
      <c r="B123" s="49"/>
      <c r="C123" s="49"/>
      <c r="D123" s="49"/>
      <c r="E123" s="49"/>
      <c r="F123" s="49"/>
      <c r="G123" s="49"/>
      <c r="H123" s="49"/>
      <c r="I123" s="49"/>
      <c r="J123" s="49"/>
      <c r="K123" s="49"/>
      <c r="L123" s="49"/>
      <c r="M123" s="49"/>
      <c r="N123" s="49"/>
      <c r="O123" s="49"/>
      <c r="P123" s="49"/>
      <c r="Q123" s="51"/>
      <c r="R123" s="51"/>
      <c r="S123" s="51"/>
      <c r="T123" s="52"/>
      <c r="U123" s="143"/>
      <c r="V123" s="143"/>
      <c r="W123" s="143"/>
      <c r="X123" s="143"/>
      <c r="Y123" s="143"/>
      <c r="Z123" s="143"/>
    </row>
    <row r="124" ht="13.5" customHeight="1">
      <c r="A124" s="49"/>
      <c r="B124" s="49"/>
      <c r="C124" s="49"/>
      <c r="D124" s="49"/>
      <c r="E124" s="49"/>
      <c r="F124" s="49"/>
      <c r="G124" s="49"/>
      <c r="H124" s="49"/>
      <c r="I124" s="49"/>
      <c r="J124" s="49"/>
      <c r="K124" s="49"/>
      <c r="L124" s="49"/>
      <c r="M124" s="49"/>
      <c r="N124" s="49"/>
      <c r="O124" s="49"/>
      <c r="P124" s="49"/>
      <c r="Q124" s="51"/>
      <c r="R124" s="51"/>
      <c r="S124" s="51"/>
      <c r="T124" s="52"/>
      <c r="U124" s="143"/>
      <c r="V124" s="143"/>
      <c r="W124" s="143"/>
      <c r="X124" s="143"/>
      <c r="Y124" s="143"/>
      <c r="Z124" s="143"/>
    </row>
    <row r="125" ht="13.5" customHeight="1">
      <c r="A125" s="49"/>
      <c r="B125" s="49"/>
      <c r="C125" s="49"/>
      <c r="D125" s="49"/>
      <c r="E125" s="49"/>
      <c r="F125" s="49"/>
      <c r="G125" s="49"/>
      <c r="H125" s="49"/>
      <c r="I125" s="49"/>
      <c r="J125" s="49"/>
      <c r="K125" s="49"/>
      <c r="L125" s="49"/>
      <c r="M125" s="49"/>
      <c r="N125" s="49"/>
      <c r="O125" s="49"/>
      <c r="P125" s="49"/>
      <c r="Q125" s="51"/>
      <c r="R125" s="51"/>
      <c r="S125" s="51"/>
      <c r="T125" s="52"/>
      <c r="U125" s="143"/>
      <c r="V125" s="143"/>
      <c r="W125" s="143"/>
      <c r="X125" s="143"/>
      <c r="Y125" s="143"/>
      <c r="Z125" s="143"/>
    </row>
    <row r="126" ht="13.5" customHeight="1">
      <c r="A126" s="49"/>
      <c r="B126" s="49"/>
      <c r="C126" s="49"/>
      <c r="D126" s="49"/>
      <c r="E126" s="49"/>
      <c r="F126" s="49"/>
      <c r="G126" s="49"/>
      <c r="H126" s="49"/>
      <c r="I126" s="49"/>
      <c r="J126" s="49"/>
      <c r="K126" s="49"/>
      <c r="L126" s="49"/>
      <c r="M126" s="49"/>
      <c r="N126" s="49"/>
      <c r="O126" s="49"/>
      <c r="P126" s="49"/>
      <c r="Q126" s="51"/>
      <c r="R126" s="51"/>
      <c r="S126" s="51"/>
      <c r="T126" s="52"/>
      <c r="U126" s="143"/>
      <c r="V126" s="143"/>
      <c r="W126" s="143"/>
      <c r="X126" s="143"/>
      <c r="Y126" s="143"/>
      <c r="Z126" s="143"/>
    </row>
    <row r="127" ht="13.5" customHeight="1">
      <c r="A127" s="49"/>
      <c r="B127" s="49"/>
      <c r="C127" s="49"/>
      <c r="D127" s="49"/>
      <c r="E127" s="49"/>
      <c r="F127" s="49"/>
      <c r="G127" s="49"/>
      <c r="H127" s="49"/>
      <c r="I127" s="49"/>
      <c r="J127" s="49"/>
      <c r="K127" s="49"/>
      <c r="L127" s="49"/>
      <c r="M127" s="49"/>
      <c r="N127" s="49"/>
      <c r="O127" s="49"/>
      <c r="P127" s="49"/>
      <c r="Q127" s="51"/>
      <c r="R127" s="51"/>
      <c r="S127" s="51"/>
      <c r="T127" s="52"/>
      <c r="U127" s="143"/>
      <c r="V127" s="143"/>
      <c r="W127" s="143"/>
      <c r="X127" s="143"/>
      <c r="Y127" s="143"/>
      <c r="Z127" s="143"/>
    </row>
    <row r="128" ht="13.5" customHeight="1">
      <c r="A128" s="49"/>
      <c r="B128" s="49"/>
      <c r="C128" s="49"/>
      <c r="D128" s="49"/>
      <c r="E128" s="49"/>
      <c r="F128" s="49"/>
      <c r="G128" s="49"/>
      <c r="H128" s="49"/>
      <c r="I128" s="49"/>
      <c r="J128" s="49"/>
      <c r="K128" s="49"/>
      <c r="L128" s="49"/>
      <c r="M128" s="49"/>
      <c r="N128" s="49"/>
      <c r="O128" s="49"/>
      <c r="P128" s="49"/>
      <c r="Q128" s="51"/>
      <c r="R128" s="51"/>
      <c r="S128" s="51"/>
      <c r="T128" s="52"/>
      <c r="U128" s="143"/>
      <c r="V128" s="143"/>
      <c r="W128" s="143"/>
      <c r="X128" s="143"/>
      <c r="Y128" s="143"/>
      <c r="Z128" s="143"/>
    </row>
    <row r="129" ht="13.5" customHeight="1">
      <c r="A129" s="49"/>
      <c r="B129" s="49"/>
      <c r="C129" s="49"/>
      <c r="D129" s="49"/>
      <c r="E129" s="49"/>
      <c r="F129" s="49"/>
      <c r="G129" s="49"/>
      <c r="H129" s="49"/>
      <c r="I129" s="49"/>
      <c r="J129" s="49"/>
      <c r="K129" s="49"/>
      <c r="L129" s="49"/>
      <c r="M129" s="49"/>
      <c r="N129" s="49"/>
      <c r="O129" s="49"/>
      <c r="P129" s="49"/>
      <c r="Q129" s="51"/>
      <c r="R129" s="51"/>
      <c r="S129" s="51"/>
      <c r="T129" s="52"/>
      <c r="U129" s="143"/>
      <c r="V129" s="143"/>
      <c r="W129" s="143"/>
      <c r="X129" s="143"/>
      <c r="Y129" s="143"/>
      <c r="Z129" s="143"/>
    </row>
    <row r="130" ht="13.5" customHeight="1">
      <c r="A130" s="49"/>
      <c r="B130" s="49"/>
      <c r="C130" s="49"/>
      <c r="D130" s="49"/>
      <c r="E130" s="49"/>
      <c r="F130" s="49"/>
      <c r="G130" s="49"/>
      <c r="H130" s="49"/>
      <c r="I130" s="49"/>
      <c r="J130" s="49"/>
      <c r="K130" s="49"/>
      <c r="L130" s="49"/>
      <c r="M130" s="49"/>
      <c r="N130" s="49"/>
      <c r="O130" s="49"/>
      <c r="P130" s="49"/>
      <c r="Q130" s="51"/>
      <c r="R130" s="51"/>
      <c r="S130" s="51"/>
      <c r="T130" s="52"/>
      <c r="U130" s="143"/>
      <c r="V130" s="143"/>
      <c r="W130" s="143"/>
      <c r="X130" s="143"/>
      <c r="Y130" s="143"/>
      <c r="Z130" s="143"/>
    </row>
    <row r="131" ht="13.5" customHeight="1">
      <c r="A131" s="49"/>
      <c r="B131" s="49"/>
      <c r="C131" s="49"/>
      <c r="D131" s="49"/>
      <c r="E131" s="49"/>
      <c r="F131" s="49"/>
      <c r="G131" s="49"/>
      <c r="H131" s="49"/>
      <c r="I131" s="49"/>
      <c r="J131" s="49"/>
      <c r="K131" s="49"/>
      <c r="L131" s="49"/>
      <c r="M131" s="49"/>
      <c r="N131" s="49"/>
      <c r="O131" s="49"/>
      <c r="P131" s="49"/>
      <c r="Q131" s="51"/>
      <c r="R131" s="51"/>
      <c r="S131" s="51"/>
      <c r="T131" s="52"/>
      <c r="U131" s="143"/>
      <c r="V131" s="143"/>
      <c r="W131" s="143"/>
      <c r="X131" s="143"/>
      <c r="Y131" s="143"/>
      <c r="Z131" s="143"/>
    </row>
    <row r="132" ht="13.5" customHeight="1">
      <c r="A132" s="49"/>
      <c r="B132" s="49"/>
      <c r="C132" s="49"/>
      <c r="D132" s="49"/>
      <c r="E132" s="49"/>
      <c r="F132" s="49"/>
      <c r="G132" s="49"/>
      <c r="H132" s="49"/>
      <c r="I132" s="49"/>
      <c r="J132" s="49"/>
      <c r="K132" s="49"/>
      <c r="L132" s="49"/>
      <c r="M132" s="49"/>
      <c r="N132" s="49"/>
      <c r="O132" s="49"/>
      <c r="P132" s="49"/>
      <c r="Q132" s="51"/>
      <c r="R132" s="51"/>
      <c r="S132" s="51"/>
      <c r="T132" s="52"/>
      <c r="U132" s="143"/>
      <c r="V132" s="143"/>
      <c r="W132" s="143"/>
      <c r="X132" s="143"/>
      <c r="Y132" s="143"/>
      <c r="Z132" s="143"/>
    </row>
    <row r="133" ht="13.5" customHeight="1">
      <c r="A133" s="143"/>
      <c r="B133" s="143"/>
      <c r="C133" s="143"/>
      <c r="D133" s="143"/>
      <c r="E133" s="143"/>
      <c r="F133" s="143"/>
      <c r="G133" s="143"/>
      <c r="H133" s="143"/>
      <c r="I133" s="143"/>
      <c r="J133" s="143"/>
      <c r="K133" s="143"/>
      <c r="L133" s="143"/>
      <c r="M133" s="143"/>
      <c r="N133" s="143"/>
      <c r="O133" s="143"/>
      <c r="P133" s="143"/>
      <c r="Q133" s="159"/>
      <c r="R133" s="159"/>
      <c r="S133" s="159"/>
      <c r="T133" s="160"/>
      <c r="U133" s="143"/>
      <c r="V133" s="143"/>
      <c r="W133" s="143"/>
      <c r="X133" s="143"/>
      <c r="Y133" s="143"/>
      <c r="Z133" s="143"/>
    </row>
    <row r="134" ht="13.5" customHeight="1">
      <c r="A134" s="143"/>
      <c r="B134" s="143"/>
      <c r="C134" s="143"/>
      <c r="D134" s="143"/>
      <c r="E134" s="143"/>
      <c r="F134" s="143"/>
      <c r="G134" s="143"/>
      <c r="H134" s="143"/>
      <c r="I134" s="143"/>
      <c r="J134" s="143"/>
      <c r="K134" s="143"/>
      <c r="L134" s="143"/>
      <c r="M134" s="143"/>
      <c r="N134" s="143"/>
      <c r="O134" s="143"/>
      <c r="P134" s="143"/>
      <c r="Q134" s="159"/>
      <c r="R134" s="159"/>
      <c r="S134" s="159"/>
      <c r="T134" s="160"/>
      <c r="U134" s="143"/>
      <c r="V134" s="143"/>
      <c r="W134" s="143"/>
      <c r="X134" s="143"/>
      <c r="Y134" s="143"/>
      <c r="Z134" s="143"/>
    </row>
    <row r="135" ht="13.5" customHeight="1">
      <c r="A135" s="143"/>
      <c r="B135" s="143"/>
      <c r="C135" s="143"/>
      <c r="D135" s="143"/>
      <c r="E135" s="143"/>
      <c r="F135" s="143"/>
      <c r="G135" s="143"/>
      <c r="H135" s="143"/>
      <c r="I135" s="143"/>
      <c r="J135" s="143"/>
      <c r="K135" s="143"/>
      <c r="L135" s="143"/>
      <c r="M135" s="143"/>
      <c r="N135" s="143"/>
      <c r="O135" s="143"/>
      <c r="P135" s="143"/>
      <c r="Q135" s="159"/>
      <c r="R135" s="159"/>
      <c r="S135" s="159"/>
      <c r="T135" s="160"/>
      <c r="U135" s="143"/>
      <c r="V135" s="143"/>
      <c r="W135" s="143"/>
      <c r="X135" s="143"/>
      <c r="Y135" s="143"/>
      <c r="Z135" s="143"/>
    </row>
    <row r="136" ht="13.5" customHeight="1">
      <c r="A136" s="143"/>
      <c r="B136" s="143"/>
      <c r="C136" s="143"/>
      <c r="D136" s="143"/>
      <c r="E136" s="143"/>
      <c r="F136" s="143"/>
      <c r="G136" s="143"/>
      <c r="H136" s="143"/>
      <c r="I136" s="143"/>
      <c r="J136" s="143"/>
      <c r="K136" s="143"/>
      <c r="L136" s="143"/>
      <c r="M136" s="143"/>
      <c r="N136" s="143"/>
      <c r="O136" s="143"/>
      <c r="P136" s="143"/>
      <c r="Q136" s="159"/>
      <c r="R136" s="159"/>
      <c r="S136" s="159"/>
      <c r="T136" s="160"/>
      <c r="U136" s="143"/>
      <c r="V136" s="143"/>
      <c r="W136" s="143"/>
      <c r="X136" s="143"/>
      <c r="Y136" s="143"/>
      <c r="Z136" s="143"/>
    </row>
    <row r="137" ht="13.5" customHeight="1">
      <c r="A137" s="143"/>
      <c r="B137" s="143"/>
      <c r="C137" s="143"/>
      <c r="D137" s="143"/>
      <c r="E137" s="143"/>
      <c r="F137" s="143"/>
      <c r="G137" s="143"/>
      <c r="H137" s="143"/>
      <c r="I137" s="143"/>
      <c r="J137" s="143"/>
      <c r="K137" s="143"/>
      <c r="L137" s="143"/>
      <c r="M137" s="143"/>
      <c r="N137" s="143"/>
      <c r="O137" s="143"/>
      <c r="P137" s="143"/>
      <c r="Q137" s="159"/>
      <c r="R137" s="159"/>
      <c r="S137" s="159"/>
      <c r="T137" s="160"/>
      <c r="U137" s="143"/>
      <c r="V137" s="143"/>
      <c r="W137" s="143"/>
      <c r="X137" s="143"/>
      <c r="Y137" s="143"/>
      <c r="Z137" s="143"/>
    </row>
    <row r="138" ht="13.5" customHeight="1">
      <c r="A138" s="143"/>
      <c r="B138" s="143"/>
      <c r="C138" s="143"/>
      <c r="D138" s="143"/>
      <c r="E138" s="143"/>
      <c r="F138" s="143"/>
      <c r="G138" s="143"/>
      <c r="H138" s="143"/>
      <c r="I138" s="143"/>
      <c r="J138" s="143"/>
      <c r="K138" s="143"/>
      <c r="L138" s="143"/>
      <c r="M138" s="143"/>
      <c r="N138" s="143"/>
      <c r="O138" s="143"/>
      <c r="P138" s="143"/>
      <c r="Q138" s="159"/>
      <c r="R138" s="159"/>
      <c r="S138" s="159"/>
      <c r="T138" s="160"/>
      <c r="U138" s="143"/>
      <c r="V138" s="143"/>
      <c r="W138" s="143"/>
      <c r="X138" s="143"/>
      <c r="Y138" s="143"/>
      <c r="Z138" s="143"/>
    </row>
    <row r="139" ht="13.5" customHeight="1">
      <c r="A139" s="143"/>
      <c r="B139" s="143"/>
      <c r="C139" s="143"/>
      <c r="D139" s="143"/>
      <c r="E139" s="143"/>
      <c r="F139" s="143"/>
      <c r="G139" s="143"/>
      <c r="H139" s="143"/>
      <c r="I139" s="143"/>
      <c r="J139" s="143"/>
      <c r="K139" s="143"/>
      <c r="L139" s="143"/>
      <c r="M139" s="143"/>
      <c r="N139" s="143"/>
      <c r="O139" s="143"/>
      <c r="P139" s="143"/>
      <c r="Q139" s="159"/>
      <c r="R139" s="159"/>
      <c r="S139" s="159"/>
      <c r="T139" s="160"/>
      <c r="U139" s="143"/>
      <c r="V139" s="143"/>
      <c r="W139" s="143"/>
      <c r="X139" s="143"/>
      <c r="Y139" s="143"/>
      <c r="Z139" s="143"/>
    </row>
    <row r="140" ht="13.5" customHeight="1">
      <c r="A140" s="143"/>
      <c r="B140" s="143"/>
      <c r="C140" s="143"/>
      <c r="D140" s="143"/>
      <c r="E140" s="143"/>
      <c r="F140" s="143"/>
      <c r="G140" s="143"/>
      <c r="H140" s="143"/>
      <c r="I140" s="143"/>
      <c r="J140" s="143"/>
      <c r="K140" s="143"/>
      <c r="L140" s="143"/>
      <c r="M140" s="143"/>
      <c r="N140" s="143"/>
      <c r="O140" s="143"/>
      <c r="P140" s="143"/>
      <c r="Q140" s="159"/>
      <c r="R140" s="159"/>
      <c r="S140" s="159"/>
      <c r="T140" s="160"/>
      <c r="U140" s="143"/>
      <c r="V140" s="143"/>
      <c r="W140" s="143"/>
      <c r="X140" s="143"/>
      <c r="Y140" s="143"/>
      <c r="Z140" s="143"/>
    </row>
    <row r="141" ht="13.5" customHeight="1">
      <c r="A141" s="143"/>
      <c r="B141" s="143"/>
      <c r="C141" s="143"/>
      <c r="D141" s="143"/>
      <c r="E141" s="143"/>
      <c r="F141" s="143"/>
      <c r="G141" s="143"/>
      <c r="H141" s="143"/>
      <c r="I141" s="143"/>
      <c r="J141" s="143"/>
      <c r="K141" s="143"/>
      <c r="L141" s="143"/>
      <c r="M141" s="143"/>
      <c r="N141" s="143"/>
      <c r="O141" s="143"/>
      <c r="P141" s="143"/>
      <c r="Q141" s="159"/>
      <c r="R141" s="159"/>
      <c r="S141" s="159"/>
      <c r="T141" s="160"/>
      <c r="U141" s="143"/>
      <c r="V141" s="143"/>
      <c r="W141" s="143"/>
      <c r="X141" s="143"/>
      <c r="Y141" s="143"/>
      <c r="Z141" s="143"/>
    </row>
    <row r="142" ht="13.5" customHeight="1">
      <c r="A142" s="143"/>
      <c r="B142" s="143"/>
      <c r="C142" s="143"/>
      <c r="D142" s="143"/>
      <c r="E142" s="143"/>
      <c r="F142" s="143"/>
      <c r="G142" s="143"/>
      <c r="H142" s="143"/>
      <c r="I142" s="143"/>
      <c r="J142" s="143"/>
      <c r="K142" s="143"/>
      <c r="L142" s="143"/>
      <c r="M142" s="143"/>
      <c r="N142" s="143"/>
      <c r="O142" s="143"/>
      <c r="P142" s="143"/>
      <c r="Q142" s="159"/>
      <c r="R142" s="159"/>
      <c r="S142" s="159"/>
      <c r="T142" s="160"/>
      <c r="U142" s="143"/>
      <c r="V142" s="143"/>
      <c r="W142" s="143"/>
      <c r="X142" s="143"/>
      <c r="Y142" s="143"/>
      <c r="Z142" s="143"/>
    </row>
    <row r="143" ht="13.5" customHeight="1">
      <c r="A143" s="143"/>
      <c r="B143" s="143"/>
      <c r="C143" s="143"/>
      <c r="D143" s="143"/>
      <c r="E143" s="143"/>
      <c r="F143" s="143"/>
      <c r="G143" s="143"/>
      <c r="H143" s="143"/>
      <c r="I143" s="143"/>
      <c r="J143" s="143"/>
      <c r="K143" s="143"/>
      <c r="L143" s="143"/>
      <c r="M143" s="143"/>
      <c r="N143" s="143"/>
      <c r="O143" s="143"/>
      <c r="P143" s="143"/>
      <c r="Q143" s="159"/>
      <c r="R143" s="159"/>
      <c r="S143" s="159"/>
      <c r="T143" s="160"/>
      <c r="U143" s="143"/>
      <c r="V143" s="143"/>
      <c r="W143" s="143"/>
      <c r="X143" s="143"/>
      <c r="Y143" s="143"/>
      <c r="Z143" s="143"/>
    </row>
    <row r="144" ht="13.5" customHeight="1">
      <c r="A144" s="143"/>
      <c r="B144" s="143"/>
      <c r="C144" s="143"/>
      <c r="D144" s="143"/>
      <c r="E144" s="143"/>
      <c r="F144" s="143"/>
      <c r="G144" s="143"/>
      <c r="H144" s="143"/>
      <c r="I144" s="143"/>
      <c r="J144" s="143"/>
      <c r="K144" s="143"/>
      <c r="L144" s="143"/>
      <c r="M144" s="143"/>
      <c r="N144" s="143"/>
      <c r="O144" s="143"/>
      <c r="P144" s="143"/>
      <c r="Q144" s="159"/>
      <c r="R144" s="159"/>
      <c r="S144" s="159"/>
      <c r="T144" s="160"/>
      <c r="U144" s="143"/>
      <c r="V144" s="143"/>
      <c r="W144" s="143"/>
      <c r="X144" s="143"/>
      <c r="Y144" s="143"/>
      <c r="Z144" s="143"/>
    </row>
    <row r="145" ht="13.5" customHeight="1">
      <c r="A145" s="143"/>
      <c r="B145" s="143"/>
      <c r="C145" s="143"/>
      <c r="D145" s="143"/>
      <c r="E145" s="143"/>
      <c r="F145" s="143"/>
      <c r="G145" s="143"/>
      <c r="H145" s="143"/>
      <c r="I145" s="143"/>
      <c r="J145" s="143"/>
      <c r="K145" s="143"/>
      <c r="L145" s="143"/>
      <c r="M145" s="143"/>
      <c r="N145" s="143"/>
      <c r="O145" s="143"/>
      <c r="P145" s="143"/>
      <c r="Q145" s="159"/>
      <c r="R145" s="159"/>
      <c r="S145" s="159"/>
      <c r="T145" s="160"/>
      <c r="U145" s="143"/>
      <c r="V145" s="143"/>
      <c r="W145" s="143"/>
      <c r="X145" s="143"/>
      <c r="Y145" s="143"/>
      <c r="Z145" s="143"/>
    </row>
    <row r="146" ht="13.5" customHeight="1">
      <c r="A146" s="143"/>
      <c r="B146" s="143"/>
      <c r="C146" s="143"/>
      <c r="D146" s="143"/>
      <c r="E146" s="143"/>
      <c r="F146" s="143"/>
      <c r="G146" s="143"/>
      <c r="H146" s="143"/>
      <c r="I146" s="143"/>
      <c r="J146" s="143"/>
      <c r="K146" s="143"/>
      <c r="L146" s="143"/>
      <c r="M146" s="143"/>
      <c r="N146" s="143"/>
      <c r="O146" s="143"/>
      <c r="P146" s="143"/>
      <c r="Q146" s="159"/>
      <c r="R146" s="159"/>
      <c r="S146" s="159"/>
      <c r="T146" s="160"/>
      <c r="U146" s="143"/>
      <c r="V146" s="143"/>
      <c r="W146" s="143"/>
      <c r="X146" s="143"/>
      <c r="Y146" s="143"/>
      <c r="Z146" s="143"/>
    </row>
    <row r="147" ht="13.5" customHeight="1">
      <c r="A147" s="143"/>
      <c r="B147" s="143"/>
      <c r="C147" s="143"/>
      <c r="D147" s="143"/>
      <c r="E147" s="143"/>
      <c r="F147" s="143"/>
      <c r="G147" s="143"/>
      <c r="H147" s="143"/>
      <c r="I147" s="143"/>
      <c r="J147" s="143"/>
      <c r="K147" s="143"/>
      <c r="L147" s="143"/>
      <c r="M147" s="143"/>
      <c r="N147" s="143"/>
      <c r="O147" s="143"/>
      <c r="P147" s="143"/>
      <c r="Q147" s="159"/>
      <c r="R147" s="159"/>
      <c r="S147" s="159"/>
      <c r="T147" s="160"/>
      <c r="U147" s="143"/>
      <c r="V147" s="143"/>
      <c r="W147" s="143"/>
      <c r="X147" s="143"/>
      <c r="Y147" s="143"/>
      <c r="Z147" s="143"/>
    </row>
    <row r="148" ht="13.5" customHeight="1">
      <c r="A148" s="143"/>
      <c r="B148" s="143"/>
      <c r="C148" s="143"/>
      <c r="D148" s="143"/>
      <c r="E148" s="143"/>
      <c r="F148" s="143"/>
      <c r="G148" s="143"/>
      <c r="H148" s="143"/>
      <c r="I148" s="143"/>
      <c r="J148" s="143"/>
      <c r="K148" s="143"/>
      <c r="L148" s="143"/>
      <c r="M148" s="143"/>
      <c r="N148" s="143"/>
      <c r="O148" s="143"/>
      <c r="P148" s="143"/>
      <c r="Q148" s="159"/>
      <c r="R148" s="159"/>
      <c r="S148" s="159"/>
      <c r="T148" s="160"/>
      <c r="U148" s="143"/>
      <c r="V148" s="143"/>
      <c r="W148" s="143"/>
      <c r="X148" s="143"/>
      <c r="Y148" s="143"/>
      <c r="Z148" s="143"/>
    </row>
    <row r="149" ht="13.5" customHeight="1">
      <c r="A149" s="143"/>
      <c r="B149" s="143"/>
      <c r="C149" s="143"/>
      <c r="D149" s="143"/>
      <c r="E149" s="143"/>
      <c r="F149" s="143"/>
      <c r="G149" s="143"/>
      <c r="H149" s="143"/>
      <c r="I149" s="143"/>
      <c r="J149" s="143"/>
      <c r="K149" s="143"/>
      <c r="L149" s="143"/>
      <c r="M149" s="143"/>
      <c r="N149" s="143"/>
      <c r="O149" s="143"/>
      <c r="P149" s="143"/>
      <c r="Q149" s="159"/>
      <c r="R149" s="159"/>
      <c r="S149" s="159"/>
      <c r="T149" s="160"/>
      <c r="U149" s="143"/>
      <c r="V149" s="143"/>
      <c r="W149" s="143"/>
      <c r="X149" s="143"/>
      <c r="Y149" s="143"/>
      <c r="Z149" s="143"/>
    </row>
    <row r="150" ht="13.5" customHeight="1">
      <c r="A150" s="143"/>
      <c r="B150" s="143"/>
      <c r="C150" s="143"/>
      <c r="D150" s="143"/>
      <c r="E150" s="143"/>
      <c r="F150" s="143"/>
      <c r="G150" s="143"/>
      <c r="H150" s="143"/>
      <c r="I150" s="143"/>
      <c r="J150" s="143"/>
      <c r="K150" s="143"/>
      <c r="L150" s="143"/>
      <c r="M150" s="143"/>
      <c r="N150" s="143"/>
      <c r="O150" s="143"/>
      <c r="P150" s="143"/>
      <c r="Q150" s="159"/>
      <c r="R150" s="159"/>
      <c r="S150" s="159"/>
      <c r="T150" s="160"/>
      <c r="U150" s="143"/>
      <c r="V150" s="143"/>
      <c r="W150" s="143"/>
      <c r="X150" s="143"/>
      <c r="Y150" s="143"/>
      <c r="Z150" s="143"/>
    </row>
    <row r="151" ht="13.5" customHeight="1">
      <c r="A151" s="143"/>
      <c r="B151" s="143"/>
      <c r="C151" s="143"/>
      <c r="D151" s="143"/>
      <c r="E151" s="143"/>
      <c r="F151" s="143"/>
      <c r="G151" s="143"/>
      <c r="H151" s="143"/>
      <c r="I151" s="143"/>
      <c r="J151" s="143"/>
      <c r="K151" s="143"/>
      <c r="L151" s="143"/>
      <c r="M151" s="143"/>
      <c r="N151" s="143"/>
      <c r="O151" s="143"/>
      <c r="P151" s="143"/>
      <c r="Q151" s="159"/>
      <c r="R151" s="159"/>
      <c r="S151" s="159"/>
      <c r="T151" s="160"/>
      <c r="U151" s="143"/>
      <c r="V151" s="143"/>
      <c r="W151" s="143"/>
      <c r="X151" s="143"/>
      <c r="Y151" s="143"/>
      <c r="Z151" s="143"/>
    </row>
    <row r="152" ht="13.5" customHeight="1">
      <c r="A152" s="143"/>
      <c r="B152" s="143"/>
      <c r="C152" s="143"/>
      <c r="D152" s="143"/>
      <c r="E152" s="143"/>
      <c r="F152" s="143"/>
      <c r="G152" s="143"/>
      <c r="H152" s="143"/>
      <c r="I152" s="143"/>
      <c r="J152" s="143"/>
      <c r="K152" s="143"/>
      <c r="L152" s="143"/>
      <c r="M152" s="143"/>
      <c r="N152" s="143"/>
      <c r="O152" s="143"/>
      <c r="P152" s="143"/>
      <c r="Q152" s="159"/>
      <c r="R152" s="159"/>
      <c r="S152" s="159"/>
      <c r="T152" s="160"/>
      <c r="U152" s="143"/>
      <c r="V152" s="143"/>
      <c r="W152" s="143"/>
      <c r="X152" s="143"/>
      <c r="Y152" s="143"/>
      <c r="Z152" s="143"/>
    </row>
    <row r="153" ht="13.5" customHeight="1">
      <c r="A153" s="143"/>
      <c r="B153" s="143"/>
      <c r="C153" s="143"/>
      <c r="D153" s="143"/>
      <c r="E153" s="143"/>
      <c r="F153" s="143"/>
      <c r="G153" s="143"/>
      <c r="H153" s="143"/>
      <c r="I153" s="143"/>
      <c r="J153" s="143"/>
      <c r="K153" s="143"/>
      <c r="L153" s="143"/>
      <c r="M153" s="143"/>
      <c r="N153" s="143"/>
      <c r="O153" s="143"/>
      <c r="P153" s="143"/>
      <c r="Q153" s="159"/>
      <c r="R153" s="159"/>
      <c r="S153" s="159"/>
      <c r="T153" s="160"/>
      <c r="U153" s="143"/>
      <c r="V153" s="143"/>
      <c r="W153" s="143"/>
      <c r="X153" s="143"/>
      <c r="Y153" s="143"/>
      <c r="Z153" s="143"/>
    </row>
    <row r="154" ht="13.5" customHeight="1">
      <c r="A154" s="143"/>
      <c r="B154" s="143"/>
      <c r="C154" s="143"/>
      <c r="D154" s="143"/>
      <c r="E154" s="143"/>
      <c r="F154" s="143"/>
      <c r="G154" s="143"/>
      <c r="H154" s="143"/>
      <c r="I154" s="143"/>
      <c r="J154" s="143"/>
      <c r="K154" s="143"/>
      <c r="L154" s="143"/>
      <c r="M154" s="143"/>
      <c r="N154" s="143"/>
      <c r="O154" s="143"/>
      <c r="P154" s="143"/>
      <c r="Q154" s="159"/>
      <c r="R154" s="159"/>
      <c r="S154" s="159"/>
      <c r="T154" s="160"/>
      <c r="U154" s="143"/>
      <c r="V154" s="143"/>
      <c r="W154" s="143"/>
      <c r="X154" s="143"/>
      <c r="Y154" s="143"/>
      <c r="Z154" s="143"/>
    </row>
    <row r="155" ht="13.5" customHeight="1">
      <c r="A155" s="143"/>
      <c r="B155" s="143"/>
      <c r="C155" s="143"/>
      <c r="D155" s="143"/>
      <c r="E155" s="143"/>
      <c r="F155" s="143"/>
      <c r="G155" s="143"/>
      <c r="H155" s="143"/>
      <c r="I155" s="143"/>
      <c r="J155" s="143"/>
      <c r="K155" s="143"/>
      <c r="L155" s="143"/>
      <c r="M155" s="143"/>
      <c r="N155" s="143"/>
      <c r="O155" s="143"/>
      <c r="P155" s="143"/>
      <c r="Q155" s="159"/>
      <c r="R155" s="159"/>
      <c r="S155" s="159"/>
      <c r="T155" s="160"/>
      <c r="U155" s="143"/>
      <c r="V155" s="143"/>
      <c r="W155" s="143"/>
      <c r="X155" s="143"/>
      <c r="Y155" s="143"/>
      <c r="Z155" s="143"/>
    </row>
    <row r="156" ht="13.5" customHeight="1">
      <c r="A156" s="143"/>
      <c r="B156" s="143"/>
      <c r="C156" s="143"/>
      <c r="D156" s="143"/>
      <c r="E156" s="143"/>
      <c r="F156" s="143"/>
      <c r="G156" s="143"/>
      <c r="H156" s="143"/>
      <c r="I156" s="143"/>
      <c r="J156" s="143"/>
      <c r="K156" s="143"/>
      <c r="L156" s="143"/>
      <c r="M156" s="143"/>
      <c r="N156" s="143"/>
      <c r="O156" s="143"/>
      <c r="P156" s="143"/>
      <c r="Q156" s="159"/>
      <c r="R156" s="159"/>
      <c r="S156" s="159"/>
      <c r="T156" s="160"/>
      <c r="U156" s="143"/>
      <c r="V156" s="143"/>
      <c r="W156" s="143"/>
      <c r="X156" s="143"/>
      <c r="Y156" s="143"/>
      <c r="Z156" s="143"/>
    </row>
    <row r="157" ht="13.5" customHeight="1">
      <c r="A157" s="143"/>
      <c r="B157" s="143"/>
      <c r="C157" s="143"/>
      <c r="D157" s="143"/>
      <c r="E157" s="143"/>
      <c r="F157" s="143"/>
      <c r="G157" s="143"/>
      <c r="H157" s="143"/>
      <c r="I157" s="143"/>
      <c r="J157" s="143"/>
      <c r="K157" s="143"/>
      <c r="L157" s="143"/>
      <c r="M157" s="143"/>
      <c r="N157" s="143"/>
      <c r="O157" s="143"/>
      <c r="P157" s="143"/>
      <c r="Q157" s="159"/>
      <c r="R157" s="159"/>
      <c r="S157" s="159"/>
      <c r="T157" s="160"/>
      <c r="U157" s="143"/>
      <c r="V157" s="143"/>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59"/>
      <c r="R158" s="159"/>
      <c r="S158" s="159"/>
      <c r="T158" s="160"/>
      <c r="U158" s="143"/>
      <c r="V158" s="143"/>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59"/>
      <c r="R159" s="159"/>
      <c r="S159" s="159"/>
      <c r="T159" s="160"/>
      <c r="U159" s="143"/>
      <c r="V159" s="143"/>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59"/>
      <c r="R160" s="159"/>
      <c r="S160" s="159"/>
      <c r="T160" s="160"/>
      <c r="U160" s="143"/>
      <c r="V160" s="143"/>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59"/>
      <c r="R161" s="159"/>
      <c r="S161" s="159"/>
      <c r="T161" s="160"/>
      <c r="U161" s="143"/>
      <c r="V161" s="143"/>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59"/>
      <c r="R162" s="159"/>
      <c r="S162" s="159"/>
      <c r="T162" s="160"/>
      <c r="U162" s="143"/>
      <c r="V162" s="143"/>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59"/>
      <c r="R163" s="159"/>
      <c r="S163" s="159"/>
      <c r="T163" s="160"/>
      <c r="U163" s="143"/>
      <c r="V163" s="143"/>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59"/>
      <c r="R164" s="159"/>
      <c r="S164" s="159"/>
      <c r="T164" s="160"/>
      <c r="U164" s="143"/>
      <c r="V164" s="143"/>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59"/>
      <c r="R165" s="159"/>
      <c r="S165" s="159"/>
      <c r="T165" s="160"/>
      <c r="U165" s="143"/>
      <c r="V165" s="143"/>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59"/>
      <c r="R166" s="159"/>
      <c r="S166" s="159"/>
      <c r="T166" s="160"/>
      <c r="U166" s="143"/>
      <c r="V166" s="143"/>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59"/>
      <c r="R167" s="159"/>
      <c r="S167" s="159"/>
      <c r="T167" s="160"/>
      <c r="U167" s="143"/>
      <c r="V167" s="143"/>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59"/>
      <c r="R168" s="159"/>
      <c r="S168" s="159"/>
      <c r="T168" s="160"/>
      <c r="U168" s="143"/>
      <c r="V168" s="143"/>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59"/>
      <c r="R169" s="159"/>
      <c r="S169" s="159"/>
      <c r="T169" s="160"/>
      <c r="U169" s="143"/>
      <c r="V169" s="143"/>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59"/>
      <c r="R170" s="159"/>
      <c r="S170" s="159"/>
      <c r="T170" s="160"/>
      <c r="U170" s="143"/>
      <c r="V170" s="143"/>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59"/>
      <c r="R171" s="159"/>
      <c r="S171" s="159"/>
      <c r="T171" s="160"/>
      <c r="U171" s="143"/>
      <c r="V171" s="143"/>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59"/>
      <c r="R172" s="159"/>
      <c r="S172" s="159"/>
      <c r="T172" s="160"/>
      <c r="U172" s="143"/>
      <c r="V172" s="143"/>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59"/>
      <c r="R173" s="159"/>
      <c r="S173" s="159"/>
      <c r="T173" s="160"/>
      <c r="U173" s="143"/>
      <c r="V173" s="143"/>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59"/>
      <c r="R174" s="159"/>
      <c r="S174" s="159"/>
      <c r="T174" s="160"/>
      <c r="U174" s="143"/>
      <c r="V174" s="143"/>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59"/>
      <c r="R175" s="159"/>
      <c r="S175" s="159"/>
      <c r="T175" s="160"/>
      <c r="U175" s="143"/>
      <c r="V175" s="143"/>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59"/>
      <c r="R176" s="159"/>
      <c r="S176" s="159"/>
      <c r="T176" s="160"/>
      <c r="U176" s="143"/>
      <c r="V176" s="143"/>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59"/>
      <c r="R177" s="159"/>
      <c r="S177" s="159"/>
      <c r="T177" s="160"/>
      <c r="U177" s="143"/>
      <c r="V177" s="143"/>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59"/>
      <c r="R178" s="159"/>
      <c r="S178" s="159"/>
      <c r="T178" s="160"/>
      <c r="U178" s="143"/>
      <c r="V178" s="143"/>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59"/>
      <c r="R179" s="159"/>
      <c r="S179" s="159"/>
      <c r="T179" s="160"/>
      <c r="U179" s="143"/>
      <c r="V179" s="143"/>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59"/>
      <c r="R180" s="159"/>
      <c r="S180" s="159"/>
      <c r="T180" s="160"/>
      <c r="U180" s="143"/>
      <c r="V180" s="143"/>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59"/>
      <c r="R181" s="159"/>
      <c r="S181" s="159"/>
      <c r="T181" s="160"/>
      <c r="U181" s="143"/>
      <c r="V181" s="143"/>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59"/>
      <c r="R182" s="159"/>
      <c r="S182" s="159"/>
      <c r="T182" s="160"/>
      <c r="U182" s="143"/>
      <c r="V182" s="143"/>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59"/>
      <c r="R183" s="159"/>
      <c r="S183" s="159"/>
      <c r="T183" s="160"/>
      <c r="U183" s="143"/>
      <c r="V183" s="143"/>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59"/>
      <c r="R184" s="159"/>
      <c r="S184" s="159"/>
      <c r="T184" s="160"/>
      <c r="U184" s="143"/>
      <c r="V184" s="143"/>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59"/>
      <c r="R185" s="159"/>
      <c r="S185" s="159"/>
      <c r="T185" s="160"/>
      <c r="U185" s="143"/>
      <c r="V185" s="143"/>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59"/>
      <c r="R186" s="159"/>
      <c r="S186" s="159"/>
      <c r="T186" s="160"/>
      <c r="U186" s="143"/>
      <c r="V186" s="143"/>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59"/>
      <c r="R187" s="159"/>
      <c r="S187" s="159"/>
      <c r="T187" s="160"/>
      <c r="U187" s="143"/>
      <c r="V187" s="143"/>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59"/>
      <c r="R188" s="159"/>
      <c r="S188" s="159"/>
      <c r="T188" s="160"/>
      <c r="U188" s="143"/>
      <c r="V188" s="143"/>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59"/>
      <c r="R189" s="159"/>
      <c r="S189" s="159"/>
      <c r="T189" s="160"/>
      <c r="U189" s="143"/>
      <c r="V189" s="143"/>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59"/>
      <c r="R190" s="159"/>
      <c r="S190" s="159"/>
      <c r="T190" s="160"/>
      <c r="U190" s="143"/>
      <c r="V190" s="143"/>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59"/>
      <c r="R191" s="159"/>
      <c r="S191" s="159"/>
      <c r="T191" s="160"/>
      <c r="U191" s="143"/>
      <c r="V191" s="143"/>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59"/>
      <c r="R192" s="159"/>
      <c r="S192" s="159"/>
      <c r="T192" s="160"/>
      <c r="U192" s="143"/>
      <c r="V192" s="143"/>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59"/>
      <c r="R193" s="159"/>
      <c r="S193" s="159"/>
      <c r="T193" s="160"/>
      <c r="U193" s="143"/>
      <c r="V193" s="143"/>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59"/>
      <c r="R194" s="159"/>
      <c r="S194" s="159"/>
      <c r="T194" s="160"/>
      <c r="U194" s="143"/>
      <c r="V194" s="143"/>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59"/>
      <c r="R195" s="159"/>
      <c r="S195" s="159"/>
      <c r="T195" s="160"/>
      <c r="U195" s="143"/>
      <c r="V195" s="143"/>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59"/>
      <c r="R196" s="159"/>
      <c r="S196" s="159"/>
      <c r="T196" s="160"/>
      <c r="U196" s="143"/>
      <c r="V196" s="143"/>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59"/>
      <c r="R197" s="159"/>
      <c r="S197" s="159"/>
      <c r="T197" s="160"/>
      <c r="U197" s="143"/>
      <c r="V197" s="143"/>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59"/>
      <c r="R198" s="159"/>
      <c r="S198" s="159"/>
      <c r="T198" s="160"/>
      <c r="U198" s="143"/>
      <c r="V198" s="143"/>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59"/>
      <c r="R199" s="159"/>
      <c r="S199" s="159"/>
      <c r="T199" s="160"/>
      <c r="U199" s="143"/>
      <c r="V199" s="143"/>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59"/>
      <c r="R200" s="159"/>
      <c r="S200" s="159"/>
      <c r="T200" s="160"/>
      <c r="U200" s="143"/>
      <c r="V200" s="143"/>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59"/>
      <c r="R201" s="159"/>
      <c r="S201" s="159"/>
      <c r="T201" s="160"/>
      <c r="U201" s="143"/>
      <c r="V201" s="143"/>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59"/>
      <c r="R202" s="159"/>
      <c r="S202" s="159"/>
      <c r="T202" s="160"/>
      <c r="U202" s="143"/>
      <c r="V202" s="143"/>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59"/>
      <c r="R203" s="159"/>
      <c r="S203" s="159"/>
      <c r="T203" s="160"/>
      <c r="U203" s="143"/>
      <c r="V203" s="143"/>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59"/>
      <c r="R204" s="159"/>
      <c r="S204" s="159"/>
      <c r="T204" s="160"/>
      <c r="U204" s="143"/>
      <c r="V204" s="143"/>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59"/>
      <c r="R205" s="159"/>
      <c r="S205" s="159"/>
      <c r="T205" s="160"/>
      <c r="U205" s="143"/>
      <c r="V205" s="143"/>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59"/>
      <c r="R206" s="159"/>
      <c r="S206" s="159"/>
      <c r="T206" s="160"/>
      <c r="U206" s="143"/>
      <c r="V206" s="143"/>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59"/>
      <c r="R207" s="159"/>
      <c r="S207" s="159"/>
      <c r="T207" s="160"/>
      <c r="U207" s="143"/>
      <c r="V207" s="143"/>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59"/>
      <c r="R208" s="159"/>
      <c r="S208" s="159"/>
      <c r="T208" s="160"/>
      <c r="U208" s="143"/>
      <c r="V208" s="143"/>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59"/>
      <c r="R209" s="159"/>
      <c r="S209" s="159"/>
      <c r="T209" s="160"/>
      <c r="U209" s="143"/>
      <c r="V209" s="143"/>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59"/>
      <c r="R210" s="159"/>
      <c r="S210" s="159"/>
      <c r="T210" s="160"/>
      <c r="U210" s="143"/>
      <c r="V210" s="143"/>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59"/>
      <c r="R211" s="159"/>
      <c r="S211" s="159"/>
      <c r="T211" s="160"/>
      <c r="U211" s="143"/>
      <c r="V211" s="143"/>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59"/>
      <c r="R212" s="159"/>
      <c r="S212" s="159"/>
      <c r="T212" s="160"/>
      <c r="U212" s="143"/>
      <c r="V212" s="143"/>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59"/>
      <c r="R213" s="159"/>
      <c r="S213" s="159"/>
      <c r="T213" s="160"/>
      <c r="U213" s="143"/>
      <c r="V213" s="143"/>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59"/>
      <c r="R214" s="159"/>
      <c r="S214" s="159"/>
      <c r="T214" s="160"/>
      <c r="U214" s="143"/>
      <c r="V214" s="143"/>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59"/>
      <c r="R215" s="159"/>
      <c r="S215" s="159"/>
      <c r="T215" s="160"/>
      <c r="U215" s="143"/>
      <c r="V215" s="143"/>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59"/>
      <c r="R216" s="159"/>
      <c r="S216" s="159"/>
      <c r="T216" s="160"/>
      <c r="U216" s="143"/>
      <c r="V216" s="143"/>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59"/>
      <c r="R217" s="159"/>
      <c r="S217" s="159"/>
      <c r="T217" s="160"/>
      <c r="U217" s="143"/>
      <c r="V217" s="143"/>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59"/>
      <c r="R218" s="159"/>
      <c r="S218" s="159"/>
      <c r="T218" s="160"/>
      <c r="U218" s="143"/>
      <c r="V218" s="143"/>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59"/>
      <c r="R219" s="159"/>
      <c r="S219" s="159"/>
      <c r="T219" s="160"/>
      <c r="U219" s="143"/>
      <c r="V219" s="143"/>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59"/>
      <c r="R220" s="159"/>
      <c r="S220" s="159"/>
      <c r="T220" s="160"/>
      <c r="U220" s="143"/>
      <c r="V220" s="143"/>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59"/>
      <c r="R221" s="159"/>
      <c r="S221" s="159"/>
      <c r="T221" s="160"/>
      <c r="U221" s="143"/>
      <c r="V221" s="143"/>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59"/>
      <c r="R222" s="159"/>
      <c r="S222" s="159"/>
      <c r="T222" s="160"/>
      <c r="U222" s="143"/>
      <c r="V222" s="143"/>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59"/>
      <c r="R223" s="159"/>
      <c r="S223" s="159"/>
      <c r="T223" s="160"/>
      <c r="U223" s="143"/>
      <c r="V223" s="143"/>
      <c r="W223" s="143"/>
      <c r="X223" s="143"/>
      <c r="Y223" s="143"/>
      <c r="Z223" s="143"/>
    </row>
    <row r="224" ht="13.5" customHeight="1">
      <c r="A224" s="143"/>
      <c r="B224" s="143"/>
      <c r="C224" s="143"/>
      <c r="D224" s="143"/>
      <c r="E224" s="143"/>
      <c r="F224" s="143"/>
      <c r="G224" s="143"/>
      <c r="H224" s="143"/>
      <c r="I224" s="143"/>
      <c r="J224" s="143"/>
      <c r="K224" s="143"/>
      <c r="L224" s="143"/>
      <c r="M224" s="143"/>
      <c r="N224" s="143"/>
      <c r="O224" s="143"/>
      <c r="P224" s="143"/>
      <c r="Q224" s="159"/>
      <c r="R224" s="159"/>
      <c r="S224" s="159"/>
      <c r="T224" s="160"/>
      <c r="U224" s="143"/>
      <c r="V224" s="143"/>
      <c r="W224" s="143"/>
      <c r="X224" s="143"/>
      <c r="Y224" s="143"/>
      <c r="Z224" s="143"/>
    </row>
    <row r="225" ht="13.5" customHeight="1">
      <c r="A225" s="143"/>
      <c r="B225" s="143"/>
      <c r="C225" s="143"/>
      <c r="D225" s="143"/>
      <c r="E225" s="143"/>
      <c r="F225" s="143"/>
      <c r="G225" s="143"/>
      <c r="H225" s="143"/>
      <c r="I225" s="143"/>
      <c r="J225" s="143"/>
      <c r="K225" s="143"/>
      <c r="L225" s="143"/>
      <c r="M225" s="143"/>
      <c r="N225" s="143"/>
      <c r="O225" s="143"/>
      <c r="P225" s="143"/>
      <c r="Q225" s="159"/>
      <c r="R225" s="159"/>
      <c r="S225" s="159"/>
      <c r="T225" s="160"/>
      <c r="U225" s="143"/>
      <c r="V225" s="143"/>
      <c r="W225" s="143"/>
      <c r="X225" s="143"/>
      <c r="Y225" s="143"/>
      <c r="Z225" s="143"/>
    </row>
    <row r="226" ht="13.5" customHeight="1">
      <c r="A226" s="2"/>
      <c r="B226" s="2"/>
      <c r="C226" s="2"/>
      <c r="D226" s="2"/>
      <c r="E226" s="2"/>
      <c r="F226" s="2"/>
      <c r="G226" s="2"/>
      <c r="H226" s="2"/>
      <c r="I226" s="2"/>
      <c r="J226" s="2"/>
      <c r="K226" s="181"/>
      <c r="L226" s="2"/>
      <c r="M226" s="2"/>
      <c r="N226" s="2"/>
      <c r="O226" s="2"/>
      <c r="P226" s="2"/>
      <c r="Q226" s="157"/>
      <c r="R226" s="157"/>
      <c r="S226" s="157"/>
      <c r="T226" s="158"/>
      <c r="U226" s="2"/>
      <c r="V226" s="2"/>
      <c r="W226" s="2"/>
      <c r="X226" s="2"/>
      <c r="Y226" s="2"/>
      <c r="Z226" s="2"/>
    </row>
    <row r="227" ht="13.5" customHeight="1">
      <c r="A227" s="2"/>
      <c r="B227" s="2"/>
      <c r="C227" s="2"/>
      <c r="D227" s="2"/>
      <c r="E227" s="2"/>
      <c r="F227" s="2"/>
      <c r="G227" s="2"/>
      <c r="H227" s="2"/>
      <c r="I227" s="2"/>
      <c r="J227" s="2"/>
      <c r="K227" s="181"/>
      <c r="L227" s="2"/>
      <c r="M227" s="2"/>
      <c r="N227" s="2"/>
      <c r="O227" s="2"/>
      <c r="P227" s="2"/>
      <c r="Q227" s="157"/>
      <c r="R227" s="157"/>
      <c r="S227" s="157"/>
      <c r="T227" s="158"/>
      <c r="U227" s="2"/>
      <c r="V227" s="2"/>
      <c r="W227" s="2"/>
      <c r="X227" s="2"/>
      <c r="Y227" s="2"/>
      <c r="Z227" s="2"/>
    </row>
    <row r="228" ht="13.5" customHeight="1">
      <c r="A228" s="2"/>
      <c r="B228" s="2"/>
      <c r="C228" s="2"/>
      <c r="D228" s="2"/>
      <c r="E228" s="2"/>
      <c r="F228" s="2"/>
      <c r="G228" s="2"/>
      <c r="H228" s="2"/>
      <c r="I228" s="2"/>
      <c r="J228" s="2"/>
      <c r="K228" s="181"/>
      <c r="L228" s="2"/>
      <c r="M228" s="2"/>
      <c r="N228" s="2"/>
      <c r="O228" s="2"/>
      <c r="P228" s="2"/>
      <c r="Q228" s="157"/>
      <c r="R228" s="157"/>
      <c r="S228" s="157"/>
      <c r="T228" s="158"/>
      <c r="U228" s="2"/>
      <c r="V228" s="2"/>
      <c r="W228" s="2"/>
      <c r="X228" s="2"/>
      <c r="Y228" s="2"/>
      <c r="Z228" s="2"/>
    </row>
    <row r="229" ht="13.5" customHeight="1">
      <c r="A229" s="2"/>
      <c r="B229" s="2"/>
      <c r="C229" s="2"/>
      <c r="D229" s="2"/>
      <c r="E229" s="2"/>
      <c r="F229" s="2"/>
      <c r="G229" s="2"/>
      <c r="H229" s="2"/>
      <c r="I229" s="2"/>
      <c r="J229" s="2"/>
      <c r="K229" s="181"/>
      <c r="L229" s="2"/>
      <c r="M229" s="2"/>
      <c r="N229" s="2"/>
      <c r="O229" s="2"/>
      <c r="P229" s="2"/>
      <c r="Q229" s="157"/>
      <c r="R229" s="157"/>
      <c r="S229" s="157"/>
      <c r="T229" s="158"/>
      <c r="U229" s="2"/>
      <c r="V229" s="2"/>
      <c r="W229" s="2"/>
      <c r="X229" s="2"/>
      <c r="Y229" s="2"/>
      <c r="Z229" s="2"/>
    </row>
    <row r="230" ht="13.5" customHeight="1">
      <c r="A230" s="2"/>
      <c r="B230" s="2"/>
      <c r="C230" s="2"/>
      <c r="D230" s="2"/>
      <c r="E230" s="2"/>
      <c r="F230" s="2"/>
      <c r="G230" s="2"/>
      <c r="H230" s="2"/>
      <c r="I230" s="2"/>
      <c r="J230" s="2"/>
      <c r="K230" s="181"/>
      <c r="L230" s="2"/>
      <c r="M230" s="2"/>
      <c r="N230" s="2"/>
      <c r="O230" s="2"/>
      <c r="P230" s="2"/>
      <c r="Q230" s="157"/>
      <c r="R230" s="157"/>
      <c r="S230" s="157"/>
      <c r="T230" s="158"/>
      <c r="U230" s="2"/>
      <c r="V230" s="2"/>
      <c r="W230" s="2"/>
      <c r="X230" s="2"/>
      <c r="Y230" s="2"/>
      <c r="Z230" s="2"/>
    </row>
    <row r="231" ht="13.5" customHeight="1">
      <c r="A231" s="2"/>
      <c r="B231" s="2"/>
      <c r="C231" s="2"/>
      <c r="D231" s="2"/>
      <c r="E231" s="2"/>
      <c r="F231" s="2"/>
      <c r="G231" s="2"/>
      <c r="H231" s="2"/>
      <c r="I231" s="2"/>
      <c r="J231" s="2"/>
      <c r="K231" s="181"/>
      <c r="L231" s="2"/>
      <c r="M231" s="2"/>
      <c r="N231" s="2"/>
      <c r="O231" s="2"/>
      <c r="P231" s="2"/>
      <c r="Q231" s="157"/>
      <c r="R231" s="157"/>
      <c r="S231" s="157"/>
      <c r="T231" s="158"/>
      <c r="U231" s="2"/>
      <c r="V231" s="2"/>
      <c r="W231" s="2"/>
      <c r="X231" s="2"/>
      <c r="Y231" s="2"/>
      <c r="Z231" s="2"/>
    </row>
    <row r="232" ht="13.5" customHeight="1">
      <c r="A232" s="2"/>
      <c r="B232" s="2"/>
      <c r="C232" s="2"/>
      <c r="D232" s="2"/>
      <c r="E232" s="2"/>
      <c r="F232" s="2"/>
      <c r="G232" s="2"/>
      <c r="H232" s="2"/>
      <c r="I232" s="2"/>
      <c r="J232" s="2"/>
      <c r="K232" s="181"/>
      <c r="L232" s="2"/>
      <c r="M232" s="2"/>
      <c r="N232" s="2"/>
      <c r="O232" s="2"/>
      <c r="P232" s="2"/>
      <c r="Q232" s="157"/>
      <c r="R232" s="157"/>
      <c r="S232" s="157"/>
      <c r="T232" s="158"/>
      <c r="U232" s="2"/>
      <c r="V232" s="2"/>
      <c r="W232" s="2"/>
      <c r="X232" s="2"/>
      <c r="Y232" s="2"/>
      <c r="Z232" s="2"/>
    </row>
    <row r="233" ht="13.5" customHeight="1">
      <c r="A233" s="2"/>
      <c r="B233" s="2"/>
      <c r="C233" s="2"/>
      <c r="D233" s="2"/>
      <c r="E233" s="2"/>
      <c r="F233" s="2"/>
      <c r="G233" s="2"/>
      <c r="H233" s="2"/>
      <c r="I233" s="2"/>
      <c r="J233" s="2"/>
      <c r="K233" s="181"/>
      <c r="L233" s="2"/>
      <c r="M233" s="2"/>
      <c r="N233" s="2"/>
      <c r="O233" s="2"/>
      <c r="P233" s="2"/>
      <c r="Q233" s="157"/>
      <c r="R233" s="157"/>
      <c r="S233" s="157"/>
      <c r="T233" s="158"/>
      <c r="U233" s="2"/>
      <c r="V233" s="2"/>
      <c r="W233" s="2"/>
      <c r="X233" s="2"/>
      <c r="Y233" s="2"/>
      <c r="Z233" s="2"/>
    </row>
    <row r="234" ht="13.5" customHeight="1">
      <c r="A234" s="2"/>
      <c r="B234" s="2"/>
      <c r="C234" s="2"/>
      <c r="D234" s="2"/>
      <c r="E234" s="2"/>
      <c r="F234" s="2"/>
      <c r="G234" s="2"/>
      <c r="H234" s="2"/>
      <c r="I234" s="2"/>
      <c r="J234" s="2"/>
      <c r="K234" s="181"/>
      <c r="L234" s="2"/>
      <c r="M234" s="2"/>
      <c r="N234" s="2"/>
      <c r="O234" s="2"/>
      <c r="P234" s="2"/>
      <c r="Q234" s="157"/>
      <c r="R234" s="157"/>
      <c r="S234" s="157"/>
      <c r="T234" s="158"/>
      <c r="U234" s="2"/>
      <c r="V234" s="2"/>
      <c r="W234" s="2"/>
      <c r="X234" s="2"/>
      <c r="Y234" s="2"/>
      <c r="Z234" s="2"/>
    </row>
    <row r="235" ht="13.5" customHeight="1">
      <c r="A235" s="2"/>
      <c r="B235" s="2"/>
      <c r="C235" s="2"/>
      <c r="D235" s="2"/>
      <c r="E235" s="2"/>
      <c r="F235" s="2"/>
      <c r="G235" s="2"/>
      <c r="H235" s="2"/>
      <c r="I235" s="2"/>
      <c r="J235" s="2"/>
      <c r="K235" s="181"/>
      <c r="L235" s="2"/>
      <c r="M235" s="2"/>
      <c r="N235" s="2"/>
      <c r="O235" s="2"/>
      <c r="P235" s="2"/>
      <c r="Q235" s="157"/>
      <c r="R235" s="157"/>
      <c r="S235" s="157"/>
      <c r="T235" s="158"/>
      <c r="U235" s="2"/>
      <c r="V235" s="2"/>
      <c r="W235" s="2"/>
      <c r="X235" s="2"/>
      <c r="Y235" s="2"/>
      <c r="Z235" s="2"/>
    </row>
    <row r="236" ht="13.5" customHeight="1">
      <c r="A236" s="2"/>
      <c r="B236" s="2"/>
      <c r="C236" s="2"/>
      <c r="D236" s="2"/>
      <c r="E236" s="2"/>
      <c r="F236" s="2"/>
      <c r="G236" s="2"/>
      <c r="H236" s="2"/>
      <c r="I236" s="2"/>
      <c r="J236" s="2"/>
      <c r="K236" s="181"/>
      <c r="L236" s="2"/>
      <c r="M236" s="2"/>
      <c r="N236" s="2"/>
      <c r="O236" s="2"/>
      <c r="P236" s="2"/>
      <c r="Q236" s="157"/>
      <c r="R236" s="157"/>
      <c r="S236" s="157"/>
      <c r="T236" s="158"/>
      <c r="U236" s="2"/>
      <c r="V236" s="2"/>
      <c r="W236" s="2"/>
      <c r="X236" s="2"/>
      <c r="Y236" s="2"/>
      <c r="Z236" s="2"/>
    </row>
    <row r="237" ht="13.5" customHeight="1">
      <c r="A237" s="2"/>
      <c r="B237" s="2"/>
      <c r="C237" s="2"/>
      <c r="D237" s="2"/>
      <c r="E237" s="2"/>
      <c r="F237" s="2"/>
      <c r="G237" s="2"/>
      <c r="H237" s="2"/>
      <c r="I237" s="2"/>
      <c r="J237" s="2"/>
      <c r="K237" s="181"/>
      <c r="L237" s="2"/>
      <c r="M237" s="2"/>
      <c r="N237" s="2"/>
      <c r="O237" s="2"/>
      <c r="P237" s="2"/>
      <c r="Q237" s="157"/>
      <c r="R237" s="157"/>
      <c r="S237" s="157"/>
      <c r="T237" s="158"/>
      <c r="U237" s="2"/>
      <c r="V237" s="2"/>
      <c r="W237" s="2"/>
      <c r="X237" s="2"/>
      <c r="Y237" s="2"/>
      <c r="Z237" s="2"/>
    </row>
    <row r="238" ht="13.5" customHeight="1">
      <c r="A238" s="2"/>
      <c r="B238" s="2"/>
      <c r="C238" s="2"/>
      <c r="D238" s="2"/>
      <c r="E238" s="2"/>
      <c r="F238" s="2"/>
      <c r="G238" s="2"/>
      <c r="H238" s="2"/>
      <c r="I238" s="2"/>
      <c r="J238" s="2"/>
      <c r="K238" s="181"/>
      <c r="L238" s="2"/>
      <c r="M238" s="2"/>
      <c r="N238" s="2"/>
      <c r="O238" s="2"/>
      <c r="P238" s="2"/>
      <c r="Q238" s="157"/>
      <c r="R238" s="157"/>
      <c r="S238" s="157"/>
      <c r="T238" s="158"/>
      <c r="U238" s="2"/>
      <c r="V238" s="2"/>
      <c r="W238" s="2"/>
      <c r="X238" s="2"/>
      <c r="Y238" s="2"/>
      <c r="Z238" s="2"/>
    </row>
    <row r="239" ht="13.5" customHeight="1">
      <c r="A239" s="2"/>
      <c r="B239" s="2"/>
      <c r="C239" s="2"/>
      <c r="D239" s="2"/>
      <c r="E239" s="2"/>
      <c r="F239" s="2"/>
      <c r="G239" s="2"/>
      <c r="H239" s="2"/>
      <c r="I239" s="2"/>
      <c r="J239" s="2"/>
      <c r="K239" s="181"/>
      <c r="L239" s="2"/>
      <c r="M239" s="2"/>
      <c r="N239" s="2"/>
      <c r="O239" s="2"/>
      <c r="P239" s="2"/>
      <c r="Q239" s="157"/>
      <c r="R239" s="157"/>
      <c r="S239" s="157"/>
      <c r="T239" s="158"/>
      <c r="U239" s="2"/>
      <c r="V239" s="2"/>
      <c r="W239" s="2"/>
      <c r="X239" s="2"/>
      <c r="Y239" s="2"/>
      <c r="Z239" s="2"/>
    </row>
    <row r="240" ht="13.5" customHeight="1">
      <c r="A240" s="2"/>
      <c r="B240" s="2"/>
      <c r="C240" s="2"/>
      <c r="D240" s="2"/>
      <c r="E240" s="2"/>
      <c r="F240" s="2"/>
      <c r="G240" s="2"/>
      <c r="H240" s="2"/>
      <c r="I240" s="2"/>
      <c r="J240" s="2"/>
      <c r="K240" s="181"/>
      <c r="L240" s="2"/>
      <c r="M240" s="2"/>
      <c r="N240" s="2"/>
      <c r="O240" s="2"/>
      <c r="P240" s="2"/>
      <c r="Q240" s="157"/>
      <c r="R240" s="157"/>
      <c r="S240" s="157"/>
      <c r="T240" s="158"/>
      <c r="U240" s="2"/>
      <c r="V240" s="2"/>
      <c r="W240" s="2"/>
      <c r="X240" s="2"/>
      <c r="Y240" s="2"/>
      <c r="Z240" s="2"/>
    </row>
    <row r="241" ht="13.5" customHeight="1">
      <c r="A241" s="2"/>
      <c r="B241" s="2"/>
      <c r="C241" s="2"/>
      <c r="D241" s="2"/>
      <c r="E241" s="2"/>
      <c r="F241" s="2"/>
      <c r="G241" s="2"/>
      <c r="H241" s="2"/>
      <c r="I241" s="2"/>
      <c r="J241" s="2"/>
      <c r="K241" s="181"/>
      <c r="L241" s="2"/>
      <c r="M241" s="2"/>
      <c r="N241" s="2"/>
      <c r="O241" s="2"/>
      <c r="P241" s="2"/>
      <c r="Q241" s="157"/>
      <c r="R241" s="157"/>
      <c r="S241" s="157"/>
      <c r="T241" s="158"/>
      <c r="U241" s="2"/>
      <c r="V241" s="2"/>
      <c r="W241" s="2"/>
      <c r="X241" s="2"/>
      <c r="Y241" s="2"/>
      <c r="Z241" s="2"/>
    </row>
    <row r="242" ht="13.5" customHeight="1">
      <c r="A242" s="2"/>
      <c r="B242" s="2"/>
      <c r="C242" s="2"/>
      <c r="D242" s="2"/>
      <c r="E242" s="2"/>
      <c r="F242" s="2"/>
      <c r="G242" s="2"/>
      <c r="H242" s="2"/>
      <c r="I242" s="2"/>
      <c r="J242" s="2"/>
      <c r="K242" s="181"/>
      <c r="L242" s="2"/>
      <c r="M242" s="2"/>
      <c r="N242" s="2"/>
      <c r="O242" s="2"/>
      <c r="P242" s="2"/>
      <c r="Q242" s="157"/>
      <c r="R242" s="157"/>
      <c r="S242" s="157"/>
      <c r="T242" s="158"/>
      <c r="U242" s="2"/>
      <c r="V242" s="2"/>
      <c r="W242" s="2"/>
      <c r="X242" s="2"/>
      <c r="Y242" s="2"/>
      <c r="Z242" s="2"/>
    </row>
    <row r="243" ht="13.5" customHeight="1">
      <c r="A243" s="2"/>
      <c r="B243" s="2"/>
      <c r="C243" s="2"/>
      <c r="D243" s="2"/>
      <c r="E243" s="2"/>
      <c r="F243" s="2"/>
      <c r="G243" s="2"/>
      <c r="H243" s="2"/>
      <c r="I243" s="2"/>
      <c r="J243" s="2"/>
      <c r="K243" s="181"/>
      <c r="L243" s="2"/>
      <c r="M243" s="2"/>
      <c r="N243" s="2"/>
      <c r="O243" s="2"/>
      <c r="P243" s="2"/>
      <c r="Q243" s="157"/>
      <c r="R243" s="157"/>
      <c r="S243" s="157"/>
      <c r="T243" s="158"/>
      <c r="U243" s="2"/>
      <c r="V243" s="2"/>
      <c r="W243" s="2"/>
      <c r="X243" s="2"/>
      <c r="Y243" s="2"/>
      <c r="Z243" s="2"/>
    </row>
    <row r="244" ht="13.5" customHeight="1">
      <c r="A244" s="2"/>
      <c r="B244" s="2"/>
      <c r="C244" s="2"/>
      <c r="D244" s="2"/>
      <c r="E244" s="2"/>
      <c r="F244" s="2"/>
      <c r="G244" s="2"/>
      <c r="H244" s="2"/>
      <c r="I244" s="2"/>
      <c r="J244" s="2"/>
      <c r="K244" s="181"/>
      <c r="L244" s="2"/>
      <c r="M244" s="2"/>
      <c r="N244" s="2"/>
      <c r="O244" s="2"/>
      <c r="P244" s="2"/>
      <c r="Q244" s="157"/>
      <c r="R244" s="157"/>
      <c r="S244" s="157"/>
      <c r="T244" s="158"/>
      <c r="U244" s="2"/>
      <c r="V244" s="2"/>
      <c r="W244" s="2"/>
      <c r="X244" s="2"/>
      <c r="Y244" s="2"/>
      <c r="Z244" s="2"/>
    </row>
    <row r="245" ht="13.5" customHeight="1">
      <c r="A245" s="2"/>
      <c r="B245" s="2"/>
      <c r="C245" s="2"/>
      <c r="D245" s="2"/>
      <c r="E245" s="2"/>
      <c r="F245" s="2"/>
      <c r="G245" s="2"/>
      <c r="H245" s="2"/>
      <c r="I245" s="2"/>
      <c r="J245" s="2"/>
      <c r="K245" s="181"/>
      <c r="L245" s="2"/>
      <c r="M245" s="2"/>
      <c r="N245" s="2"/>
      <c r="O245" s="2"/>
      <c r="P245" s="2"/>
      <c r="Q245" s="157"/>
      <c r="R245" s="157"/>
      <c r="S245" s="157"/>
      <c r="T245" s="158"/>
      <c r="U245" s="2"/>
      <c r="V245" s="2"/>
      <c r="W245" s="2"/>
      <c r="X245" s="2"/>
      <c r="Y245" s="2"/>
      <c r="Z245" s="2"/>
    </row>
    <row r="246" ht="13.5" customHeight="1">
      <c r="A246" s="2"/>
      <c r="B246" s="2"/>
      <c r="C246" s="2"/>
      <c r="D246" s="2"/>
      <c r="E246" s="2"/>
      <c r="F246" s="2"/>
      <c r="G246" s="2"/>
      <c r="H246" s="2"/>
      <c r="I246" s="2"/>
      <c r="J246" s="2"/>
      <c r="K246" s="181"/>
      <c r="L246" s="2"/>
      <c r="M246" s="2"/>
      <c r="N246" s="2"/>
      <c r="O246" s="2"/>
      <c r="P246" s="2"/>
      <c r="Q246" s="157"/>
      <c r="R246" s="157"/>
      <c r="S246" s="157"/>
      <c r="T246" s="158"/>
      <c r="U246" s="2"/>
      <c r="V246" s="2"/>
      <c r="W246" s="2"/>
      <c r="X246" s="2"/>
      <c r="Y246" s="2"/>
      <c r="Z246" s="2"/>
    </row>
    <row r="247" ht="13.5" customHeight="1">
      <c r="A247" s="2"/>
      <c r="B247" s="2"/>
      <c r="C247" s="2"/>
      <c r="D247" s="2"/>
      <c r="E247" s="2"/>
      <c r="F247" s="2"/>
      <c r="G247" s="2"/>
      <c r="H247" s="2"/>
      <c r="I247" s="2"/>
      <c r="J247" s="2"/>
      <c r="K247" s="181"/>
      <c r="L247" s="2"/>
      <c r="M247" s="2"/>
      <c r="N247" s="2"/>
      <c r="O247" s="2"/>
      <c r="P247" s="2"/>
      <c r="Q247" s="157"/>
      <c r="R247" s="157"/>
      <c r="S247" s="157"/>
      <c r="T247" s="158"/>
      <c r="U247" s="2"/>
      <c r="V247" s="2"/>
      <c r="W247" s="2"/>
      <c r="X247" s="2"/>
      <c r="Y247" s="2"/>
      <c r="Z247" s="2"/>
    </row>
    <row r="248" ht="13.5" customHeight="1">
      <c r="A248" s="2"/>
      <c r="B248" s="2"/>
      <c r="C248" s="2"/>
      <c r="D248" s="2"/>
      <c r="E248" s="2"/>
      <c r="F248" s="2"/>
      <c r="G248" s="2"/>
      <c r="H248" s="2"/>
      <c r="I248" s="2"/>
      <c r="J248" s="2"/>
      <c r="K248" s="181"/>
      <c r="L248" s="2"/>
      <c r="M248" s="2"/>
      <c r="N248" s="2"/>
      <c r="O248" s="2"/>
      <c r="P248" s="2"/>
      <c r="Q248" s="157"/>
      <c r="R248" s="157"/>
      <c r="S248" s="157"/>
      <c r="T248" s="158"/>
      <c r="U248" s="2"/>
      <c r="V248" s="2"/>
      <c r="W248" s="2"/>
      <c r="X248" s="2"/>
      <c r="Y248" s="2"/>
      <c r="Z248" s="2"/>
    </row>
    <row r="249" ht="13.5" customHeight="1">
      <c r="A249" s="2"/>
      <c r="B249" s="2"/>
      <c r="C249" s="2"/>
      <c r="D249" s="2"/>
      <c r="E249" s="2"/>
      <c r="F249" s="2"/>
      <c r="G249" s="2"/>
      <c r="H249" s="2"/>
      <c r="I249" s="2"/>
      <c r="J249" s="2"/>
      <c r="K249" s="181"/>
      <c r="L249" s="2"/>
      <c r="M249" s="2"/>
      <c r="N249" s="2"/>
      <c r="O249" s="2"/>
      <c r="P249" s="2"/>
      <c r="Q249" s="157"/>
      <c r="R249" s="157"/>
      <c r="S249" s="157"/>
      <c r="T249" s="158"/>
      <c r="U249" s="2"/>
      <c r="V249" s="2"/>
      <c r="W249" s="2"/>
      <c r="X249" s="2"/>
      <c r="Y249" s="2"/>
      <c r="Z249" s="2"/>
    </row>
    <row r="250" ht="13.5" customHeight="1">
      <c r="A250" s="2"/>
      <c r="B250" s="2"/>
      <c r="C250" s="2"/>
      <c r="D250" s="2"/>
      <c r="E250" s="2"/>
      <c r="F250" s="2"/>
      <c r="G250" s="2"/>
      <c r="H250" s="2"/>
      <c r="I250" s="2"/>
      <c r="J250" s="2"/>
      <c r="K250" s="181"/>
      <c r="L250" s="2"/>
      <c r="M250" s="2"/>
      <c r="N250" s="2"/>
      <c r="O250" s="2"/>
      <c r="P250" s="2"/>
      <c r="Q250" s="157"/>
      <c r="R250" s="157"/>
      <c r="S250" s="157"/>
      <c r="T250" s="158"/>
      <c r="U250" s="2"/>
      <c r="V250" s="2"/>
      <c r="W250" s="2"/>
      <c r="X250" s="2"/>
      <c r="Y250" s="2"/>
      <c r="Z250" s="2"/>
    </row>
    <row r="251" ht="13.5" customHeight="1">
      <c r="A251" s="2"/>
      <c r="B251" s="2"/>
      <c r="C251" s="2"/>
      <c r="D251" s="2"/>
      <c r="E251" s="2"/>
      <c r="F251" s="2"/>
      <c r="G251" s="2"/>
      <c r="H251" s="2"/>
      <c r="I251" s="2"/>
      <c r="J251" s="2"/>
      <c r="K251" s="181"/>
      <c r="L251" s="2"/>
      <c r="M251" s="2"/>
      <c r="N251" s="2"/>
      <c r="O251" s="2"/>
      <c r="P251" s="2"/>
      <c r="Q251" s="157"/>
      <c r="R251" s="157"/>
      <c r="S251" s="157"/>
      <c r="T251" s="158"/>
      <c r="U251" s="2"/>
      <c r="V251" s="2"/>
      <c r="W251" s="2"/>
      <c r="X251" s="2"/>
      <c r="Y251" s="2"/>
      <c r="Z251" s="2"/>
    </row>
    <row r="252" ht="13.5" customHeight="1">
      <c r="A252" s="2"/>
      <c r="B252" s="2"/>
      <c r="C252" s="2"/>
      <c r="D252" s="2"/>
      <c r="E252" s="2"/>
      <c r="F252" s="2"/>
      <c r="G252" s="2"/>
      <c r="H252" s="2"/>
      <c r="I252" s="2"/>
      <c r="J252" s="2"/>
      <c r="K252" s="181"/>
      <c r="L252" s="2"/>
      <c r="M252" s="2"/>
      <c r="N252" s="2"/>
      <c r="O252" s="2"/>
      <c r="P252" s="2"/>
      <c r="Q252" s="157"/>
      <c r="R252" s="157"/>
      <c r="S252" s="157"/>
      <c r="T252" s="158"/>
      <c r="U252" s="2"/>
      <c r="V252" s="2"/>
      <c r="W252" s="2"/>
      <c r="X252" s="2"/>
      <c r="Y252" s="2"/>
      <c r="Z252" s="2"/>
    </row>
    <row r="253" ht="13.5" customHeight="1">
      <c r="A253" s="2"/>
      <c r="B253" s="2"/>
      <c r="C253" s="2"/>
      <c r="D253" s="2"/>
      <c r="E253" s="2"/>
      <c r="F253" s="2"/>
      <c r="G253" s="2"/>
      <c r="H253" s="2"/>
      <c r="I253" s="2"/>
      <c r="J253" s="2"/>
      <c r="K253" s="181"/>
      <c r="L253" s="2"/>
      <c r="M253" s="2"/>
      <c r="N253" s="2"/>
      <c r="O253" s="2"/>
      <c r="P253" s="2"/>
      <c r="Q253" s="157"/>
      <c r="R253" s="157"/>
      <c r="S253" s="157"/>
      <c r="T253" s="158"/>
      <c r="U253" s="2"/>
      <c r="V253" s="2"/>
      <c r="W253" s="2"/>
      <c r="X253" s="2"/>
      <c r="Y253" s="2"/>
      <c r="Z253" s="2"/>
    </row>
    <row r="254" ht="13.5" customHeight="1">
      <c r="A254" s="2"/>
      <c r="B254" s="2"/>
      <c r="C254" s="2"/>
      <c r="D254" s="2"/>
      <c r="E254" s="2"/>
      <c r="F254" s="2"/>
      <c r="G254" s="2"/>
      <c r="H254" s="2"/>
      <c r="I254" s="2"/>
      <c r="J254" s="2"/>
      <c r="K254" s="181"/>
      <c r="L254" s="2"/>
      <c r="M254" s="2"/>
      <c r="N254" s="2"/>
      <c r="O254" s="2"/>
      <c r="P254" s="2"/>
      <c r="Q254" s="157"/>
      <c r="R254" s="157"/>
      <c r="S254" s="157"/>
      <c r="T254" s="158"/>
      <c r="U254" s="2"/>
      <c r="V254" s="2"/>
      <c r="W254" s="2"/>
      <c r="X254" s="2"/>
      <c r="Y254" s="2"/>
      <c r="Z254" s="2"/>
    </row>
    <row r="255" ht="13.5" customHeight="1">
      <c r="A255" s="2"/>
      <c r="B255" s="2"/>
      <c r="C255" s="2"/>
      <c r="D255" s="2"/>
      <c r="E255" s="2"/>
      <c r="F255" s="2"/>
      <c r="G255" s="2"/>
      <c r="H255" s="2"/>
      <c r="I255" s="2"/>
      <c r="J255" s="2"/>
      <c r="K255" s="181"/>
      <c r="L255" s="2"/>
      <c r="M255" s="2"/>
      <c r="N255" s="2"/>
      <c r="O255" s="2"/>
      <c r="P255" s="2"/>
      <c r="Q255" s="157"/>
      <c r="R255" s="157"/>
      <c r="S255" s="157"/>
      <c r="T255" s="158"/>
      <c r="U255" s="2"/>
      <c r="V255" s="2"/>
      <c r="W255" s="2"/>
      <c r="X255" s="2"/>
      <c r="Y255" s="2"/>
      <c r="Z255" s="2"/>
    </row>
    <row r="256" ht="13.5" customHeight="1">
      <c r="A256" s="2"/>
      <c r="B256" s="2"/>
      <c r="C256" s="2"/>
      <c r="D256" s="2"/>
      <c r="E256" s="2"/>
      <c r="F256" s="2"/>
      <c r="G256" s="2"/>
      <c r="H256" s="2"/>
      <c r="I256" s="2"/>
      <c r="J256" s="2"/>
      <c r="K256" s="181"/>
      <c r="L256" s="2"/>
      <c r="M256" s="2"/>
      <c r="N256" s="2"/>
      <c r="O256" s="2"/>
      <c r="P256" s="2"/>
      <c r="Q256" s="157"/>
      <c r="R256" s="157"/>
      <c r="S256" s="157"/>
      <c r="T256" s="158"/>
      <c r="U256" s="2"/>
      <c r="V256" s="2"/>
      <c r="W256" s="2"/>
      <c r="X256" s="2"/>
      <c r="Y256" s="2"/>
      <c r="Z256" s="2"/>
    </row>
    <row r="257" ht="13.5" customHeight="1">
      <c r="A257" s="2"/>
      <c r="B257" s="2"/>
      <c r="C257" s="2"/>
      <c r="D257" s="2"/>
      <c r="E257" s="2"/>
      <c r="F257" s="2"/>
      <c r="G257" s="2"/>
      <c r="H257" s="2"/>
      <c r="I257" s="2"/>
      <c r="J257" s="2"/>
      <c r="K257" s="181"/>
      <c r="L257" s="2"/>
      <c r="M257" s="2"/>
      <c r="N257" s="2"/>
      <c r="O257" s="2"/>
      <c r="P257" s="2"/>
      <c r="Q257" s="157"/>
      <c r="R257" s="157"/>
      <c r="S257" s="157"/>
      <c r="T257" s="158"/>
      <c r="U257" s="2"/>
      <c r="V257" s="2"/>
      <c r="W257" s="2"/>
      <c r="X257" s="2"/>
      <c r="Y257" s="2"/>
      <c r="Z257" s="2"/>
    </row>
    <row r="258" ht="13.5" customHeight="1">
      <c r="A258" s="2"/>
      <c r="B258" s="2"/>
      <c r="C258" s="2"/>
      <c r="D258" s="2"/>
      <c r="E258" s="2"/>
      <c r="F258" s="2"/>
      <c r="G258" s="2"/>
      <c r="H258" s="2"/>
      <c r="I258" s="2"/>
      <c r="J258" s="2"/>
      <c r="K258" s="181"/>
      <c r="L258" s="2"/>
      <c r="M258" s="2"/>
      <c r="N258" s="2"/>
      <c r="O258" s="2"/>
      <c r="P258" s="2"/>
      <c r="Q258" s="157"/>
      <c r="R258" s="157"/>
      <c r="S258" s="157"/>
      <c r="T258" s="158"/>
      <c r="U258" s="2"/>
      <c r="V258" s="2"/>
      <c r="W258" s="2"/>
      <c r="X258" s="2"/>
      <c r="Y258" s="2"/>
      <c r="Z258" s="2"/>
    </row>
    <row r="259" ht="13.5" customHeight="1">
      <c r="A259" s="2"/>
      <c r="B259" s="2"/>
      <c r="C259" s="2"/>
      <c r="D259" s="2"/>
      <c r="E259" s="2"/>
      <c r="F259" s="2"/>
      <c r="G259" s="2"/>
      <c r="H259" s="2"/>
      <c r="I259" s="2"/>
      <c r="J259" s="2"/>
      <c r="K259" s="181"/>
      <c r="L259" s="2"/>
      <c r="M259" s="2"/>
      <c r="N259" s="2"/>
      <c r="O259" s="2"/>
      <c r="P259" s="2"/>
      <c r="Q259" s="157"/>
      <c r="R259" s="157"/>
      <c r="S259" s="157"/>
      <c r="T259" s="158"/>
      <c r="U259" s="2"/>
      <c r="V259" s="2"/>
      <c r="W259" s="2"/>
      <c r="X259" s="2"/>
      <c r="Y259" s="2"/>
      <c r="Z259" s="2"/>
    </row>
    <row r="260" ht="13.5" customHeight="1">
      <c r="A260" s="2"/>
      <c r="B260" s="2"/>
      <c r="C260" s="2"/>
      <c r="D260" s="2"/>
      <c r="E260" s="2"/>
      <c r="F260" s="2"/>
      <c r="G260" s="2"/>
      <c r="H260" s="2"/>
      <c r="I260" s="2"/>
      <c r="J260" s="2"/>
      <c r="K260" s="181"/>
      <c r="L260" s="2"/>
      <c r="M260" s="2"/>
      <c r="N260" s="2"/>
      <c r="O260" s="2"/>
      <c r="P260" s="2"/>
      <c r="Q260" s="157"/>
      <c r="R260" s="157"/>
      <c r="S260" s="157"/>
      <c r="T260" s="158"/>
      <c r="U260" s="2"/>
      <c r="V260" s="2"/>
      <c r="W260" s="2"/>
      <c r="X260" s="2"/>
      <c r="Y260" s="2"/>
      <c r="Z260" s="2"/>
    </row>
    <row r="261" ht="13.5" customHeight="1">
      <c r="A261" s="2"/>
      <c r="B261" s="2"/>
      <c r="C261" s="2"/>
      <c r="D261" s="2"/>
      <c r="E261" s="2"/>
      <c r="F261" s="2"/>
      <c r="G261" s="2"/>
      <c r="H261" s="2"/>
      <c r="I261" s="2"/>
      <c r="J261" s="2"/>
      <c r="K261" s="181"/>
      <c r="L261" s="2"/>
      <c r="M261" s="2"/>
      <c r="N261" s="2"/>
      <c r="O261" s="2"/>
      <c r="P261" s="2"/>
      <c r="Q261" s="157"/>
      <c r="R261" s="157"/>
      <c r="S261" s="157"/>
      <c r="T261" s="158"/>
      <c r="U261" s="2"/>
      <c r="V261" s="2"/>
      <c r="W261" s="2"/>
      <c r="X261" s="2"/>
      <c r="Y261" s="2"/>
      <c r="Z261" s="2"/>
    </row>
    <row r="262" ht="13.5" customHeight="1">
      <c r="A262" s="2"/>
      <c r="B262" s="2"/>
      <c r="C262" s="2"/>
      <c r="D262" s="2"/>
      <c r="E262" s="2"/>
      <c r="F262" s="2"/>
      <c r="G262" s="2"/>
      <c r="H262" s="2"/>
      <c r="I262" s="2"/>
      <c r="J262" s="2"/>
      <c r="K262" s="181"/>
      <c r="L262" s="2"/>
      <c r="M262" s="2"/>
      <c r="N262" s="2"/>
      <c r="O262" s="2"/>
      <c r="P262" s="2"/>
      <c r="Q262" s="157"/>
      <c r="R262" s="157"/>
      <c r="S262" s="157"/>
      <c r="T262" s="158"/>
      <c r="U262" s="2"/>
      <c r="V262" s="2"/>
      <c r="W262" s="2"/>
      <c r="X262" s="2"/>
      <c r="Y262" s="2"/>
      <c r="Z262" s="2"/>
    </row>
    <row r="263" ht="13.5" customHeight="1">
      <c r="A263" s="2"/>
      <c r="B263" s="2"/>
      <c r="C263" s="2"/>
      <c r="D263" s="2"/>
      <c r="E263" s="2"/>
      <c r="F263" s="2"/>
      <c r="G263" s="2"/>
      <c r="H263" s="2"/>
      <c r="I263" s="2"/>
      <c r="J263" s="2"/>
      <c r="K263" s="181"/>
      <c r="L263" s="2"/>
      <c r="M263" s="2"/>
      <c r="N263" s="2"/>
      <c r="O263" s="2"/>
      <c r="P263" s="2"/>
      <c r="Q263" s="157"/>
      <c r="R263" s="157"/>
      <c r="S263" s="157"/>
      <c r="T263" s="158"/>
      <c r="U263" s="2"/>
      <c r="V263" s="2"/>
      <c r="W263" s="2"/>
      <c r="X263" s="2"/>
      <c r="Y263" s="2"/>
      <c r="Z263" s="2"/>
    </row>
    <row r="264" ht="13.5" customHeight="1">
      <c r="A264" s="2"/>
      <c r="B264" s="2"/>
      <c r="C264" s="2"/>
      <c r="D264" s="2"/>
      <c r="E264" s="2"/>
      <c r="F264" s="2"/>
      <c r="G264" s="2"/>
      <c r="H264" s="2"/>
      <c r="I264" s="2"/>
      <c r="J264" s="2"/>
      <c r="K264" s="181"/>
      <c r="L264" s="2"/>
      <c r="M264" s="2"/>
      <c r="N264" s="2"/>
      <c r="O264" s="2"/>
      <c r="P264" s="2"/>
      <c r="Q264" s="157"/>
      <c r="R264" s="157"/>
      <c r="S264" s="157"/>
      <c r="T264" s="158"/>
      <c r="U264" s="2"/>
      <c r="V264" s="2"/>
      <c r="W264" s="2"/>
      <c r="X264" s="2"/>
      <c r="Y264" s="2"/>
      <c r="Z264" s="2"/>
    </row>
    <row r="265" ht="13.5" customHeight="1">
      <c r="A265" s="2"/>
      <c r="B265" s="2"/>
      <c r="C265" s="2"/>
      <c r="D265" s="2"/>
      <c r="E265" s="2"/>
      <c r="F265" s="2"/>
      <c r="G265" s="2"/>
      <c r="H265" s="2"/>
      <c r="I265" s="2"/>
      <c r="J265" s="2"/>
      <c r="K265" s="181"/>
      <c r="L265" s="2"/>
      <c r="M265" s="2"/>
      <c r="N265" s="2"/>
      <c r="O265" s="2"/>
      <c r="P265" s="2"/>
      <c r="Q265" s="157"/>
      <c r="R265" s="157"/>
      <c r="S265" s="157"/>
      <c r="T265" s="158"/>
      <c r="U265" s="2"/>
      <c r="V265" s="2"/>
      <c r="W265" s="2"/>
      <c r="X265" s="2"/>
      <c r="Y265" s="2"/>
      <c r="Z265" s="2"/>
    </row>
    <row r="266" ht="13.5" customHeight="1">
      <c r="A266" s="2"/>
      <c r="B266" s="2"/>
      <c r="C266" s="2"/>
      <c r="D266" s="2"/>
      <c r="E266" s="2"/>
      <c r="F266" s="2"/>
      <c r="G266" s="2"/>
      <c r="H266" s="2"/>
      <c r="I266" s="2"/>
      <c r="J266" s="2"/>
      <c r="K266" s="181"/>
      <c r="L266" s="2"/>
      <c r="M266" s="2"/>
      <c r="N266" s="2"/>
      <c r="O266" s="2"/>
      <c r="P266" s="2"/>
      <c r="Q266" s="157"/>
      <c r="R266" s="157"/>
      <c r="S266" s="157"/>
      <c r="T266" s="158"/>
      <c r="U266" s="2"/>
      <c r="V266" s="2"/>
      <c r="W266" s="2"/>
      <c r="X266" s="2"/>
      <c r="Y266" s="2"/>
      <c r="Z266" s="2"/>
    </row>
    <row r="267" ht="13.5" customHeight="1">
      <c r="A267" s="2"/>
      <c r="B267" s="2"/>
      <c r="C267" s="2"/>
      <c r="D267" s="2"/>
      <c r="E267" s="2"/>
      <c r="F267" s="2"/>
      <c r="G267" s="2"/>
      <c r="H267" s="2"/>
      <c r="I267" s="2"/>
      <c r="J267" s="2"/>
      <c r="K267" s="181"/>
      <c r="L267" s="2"/>
      <c r="M267" s="2"/>
      <c r="N267" s="2"/>
      <c r="O267" s="2"/>
      <c r="P267" s="2"/>
      <c r="Q267" s="157"/>
      <c r="R267" s="157"/>
      <c r="S267" s="157"/>
      <c r="T267" s="158"/>
      <c r="U267" s="2"/>
      <c r="V267" s="2"/>
      <c r="W267" s="2"/>
      <c r="X267" s="2"/>
      <c r="Y267" s="2"/>
      <c r="Z267" s="2"/>
    </row>
    <row r="268" ht="13.5" customHeight="1">
      <c r="A268" s="2"/>
      <c r="B268" s="2"/>
      <c r="C268" s="2"/>
      <c r="D268" s="2"/>
      <c r="E268" s="2"/>
      <c r="F268" s="2"/>
      <c r="G268" s="2"/>
      <c r="H268" s="2"/>
      <c r="I268" s="2"/>
      <c r="J268" s="2"/>
      <c r="K268" s="181"/>
      <c r="L268" s="2"/>
      <c r="M268" s="2"/>
      <c r="N268" s="2"/>
      <c r="O268" s="2"/>
      <c r="P268" s="2"/>
      <c r="Q268" s="157"/>
      <c r="R268" s="157"/>
      <c r="S268" s="157"/>
      <c r="T268" s="158"/>
      <c r="U268" s="2"/>
      <c r="V268" s="2"/>
      <c r="W268" s="2"/>
      <c r="X268" s="2"/>
      <c r="Y268" s="2"/>
      <c r="Z268" s="2"/>
    </row>
    <row r="269" ht="13.5" customHeight="1">
      <c r="A269" s="2"/>
      <c r="B269" s="2"/>
      <c r="C269" s="2"/>
      <c r="D269" s="2"/>
      <c r="E269" s="2"/>
      <c r="F269" s="2"/>
      <c r="G269" s="2"/>
      <c r="H269" s="2"/>
      <c r="I269" s="2"/>
      <c r="J269" s="2"/>
      <c r="K269" s="181"/>
      <c r="L269" s="2"/>
      <c r="M269" s="2"/>
      <c r="N269" s="2"/>
      <c r="O269" s="2"/>
      <c r="P269" s="2"/>
      <c r="Q269" s="157"/>
      <c r="R269" s="157"/>
      <c r="S269" s="157"/>
      <c r="T269" s="158"/>
      <c r="U269" s="2"/>
      <c r="V269" s="2"/>
      <c r="W269" s="2"/>
      <c r="X269" s="2"/>
      <c r="Y269" s="2"/>
      <c r="Z269" s="2"/>
    </row>
    <row r="270" ht="13.5" customHeight="1">
      <c r="A270" s="2"/>
      <c r="B270" s="2"/>
      <c r="C270" s="2"/>
      <c r="D270" s="2"/>
      <c r="E270" s="2"/>
      <c r="F270" s="2"/>
      <c r="G270" s="2"/>
      <c r="H270" s="2"/>
      <c r="I270" s="2"/>
      <c r="J270" s="2"/>
      <c r="K270" s="181"/>
      <c r="L270" s="2"/>
      <c r="M270" s="2"/>
      <c r="N270" s="2"/>
      <c r="O270" s="2"/>
      <c r="P270" s="2"/>
      <c r="Q270" s="157"/>
      <c r="R270" s="157"/>
      <c r="S270" s="157"/>
      <c r="T270" s="158"/>
      <c r="U270" s="2"/>
      <c r="V270" s="2"/>
      <c r="W270" s="2"/>
      <c r="X270" s="2"/>
      <c r="Y270" s="2"/>
      <c r="Z270" s="2"/>
    </row>
    <row r="271" ht="13.5" customHeight="1">
      <c r="A271" s="2"/>
      <c r="B271" s="2"/>
      <c r="C271" s="2"/>
      <c r="D271" s="2"/>
      <c r="E271" s="2"/>
      <c r="F271" s="2"/>
      <c r="G271" s="2"/>
      <c r="H271" s="2"/>
      <c r="I271" s="2"/>
      <c r="J271" s="2"/>
      <c r="K271" s="181"/>
      <c r="L271" s="2"/>
      <c r="M271" s="2"/>
      <c r="N271" s="2"/>
      <c r="O271" s="2"/>
      <c r="P271" s="2"/>
      <c r="Q271" s="157"/>
      <c r="R271" s="157"/>
      <c r="S271" s="157"/>
      <c r="T271" s="158"/>
      <c r="U271" s="2"/>
      <c r="V271" s="2"/>
      <c r="W271" s="2"/>
      <c r="X271" s="2"/>
      <c r="Y271" s="2"/>
      <c r="Z271" s="2"/>
    </row>
    <row r="272" ht="13.5" customHeight="1">
      <c r="A272" s="2"/>
      <c r="B272" s="2"/>
      <c r="C272" s="2"/>
      <c r="D272" s="2"/>
      <c r="E272" s="2"/>
      <c r="F272" s="2"/>
      <c r="G272" s="2"/>
      <c r="H272" s="2"/>
      <c r="I272" s="2"/>
      <c r="J272" s="2"/>
      <c r="K272" s="181"/>
      <c r="L272" s="2"/>
      <c r="M272" s="2"/>
      <c r="N272" s="2"/>
      <c r="O272" s="2"/>
      <c r="P272" s="2"/>
      <c r="Q272" s="157"/>
      <c r="R272" s="157"/>
      <c r="S272" s="157"/>
      <c r="T272" s="158"/>
      <c r="U272" s="2"/>
      <c r="V272" s="2"/>
      <c r="W272" s="2"/>
      <c r="X272" s="2"/>
      <c r="Y272" s="2"/>
      <c r="Z272" s="2"/>
    </row>
    <row r="273" ht="13.5" customHeight="1">
      <c r="A273" s="2"/>
      <c r="B273" s="2"/>
      <c r="C273" s="2"/>
      <c r="D273" s="2"/>
      <c r="E273" s="2"/>
      <c r="F273" s="2"/>
      <c r="G273" s="2"/>
      <c r="H273" s="2"/>
      <c r="I273" s="2"/>
      <c r="J273" s="2"/>
      <c r="K273" s="181"/>
      <c r="L273" s="2"/>
      <c r="M273" s="2"/>
      <c r="N273" s="2"/>
      <c r="O273" s="2"/>
      <c r="P273" s="2"/>
      <c r="Q273" s="157"/>
      <c r="R273" s="157"/>
      <c r="S273" s="157"/>
      <c r="T273" s="158"/>
      <c r="U273" s="2"/>
      <c r="V273" s="2"/>
      <c r="W273" s="2"/>
      <c r="X273" s="2"/>
      <c r="Y273" s="2"/>
      <c r="Z273" s="2"/>
    </row>
    <row r="274" ht="13.5" customHeight="1">
      <c r="A274" s="2"/>
      <c r="B274" s="2"/>
      <c r="C274" s="2"/>
      <c r="D274" s="2"/>
      <c r="E274" s="2"/>
      <c r="F274" s="2"/>
      <c r="G274" s="2"/>
      <c r="H274" s="2"/>
      <c r="I274" s="2"/>
      <c r="J274" s="2"/>
      <c r="K274" s="181"/>
      <c r="L274" s="2"/>
      <c r="M274" s="2"/>
      <c r="N274" s="2"/>
      <c r="O274" s="2"/>
      <c r="P274" s="2"/>
      <c r="Q274" s="157"/>
      <c r="R274" s="157"/>
      <c r="S274" s="157"/>
      <c r="T274" s="158"/>
      <c r="U274" s="2"/>
      <c r="V274" s="2"/>
      <c r="W274" s="2"/>
      <c r="X274" s="2"/>
      <c r="Y274" s="2"/>
      <c r="Z274" s="2"/>
    </row>
    <row r="275" ht="13.5" customHeight="1">
      <c r="A275" s="2"/>
      <c r="B275" s="2"/>
      <c r="C275" s="2"/>
      <c r="D275" s="2"/>
      <c r="E275" s="2"/>
      <c r="F275" s="2"/>
      <c r="G275" s="2"/>
      <c r="H275" s="2"/>
      <c r="I275" s="2"/>
      <c r="J275" s="2"/>
      <c r="K275" s="181"/>
      <c r="L275" s="2"/>
      <c r="M275" s="2"/>
      <c r="N275" s="2"/>
      <c r="O275" s="2"/>
      <c r="P275" s="2"/>
      <c r="Q275" s="157"/>
      <c r="R275" s="157"/>
      <c r="S275" s="157"/>
      <c r="T275" s="158"/>
      <c r="U275" s="2"/>
      <c r="V275" s="2"/>
      <c r="W275" s="2"/>
      <c r="X275" s="2"/>
      <c r="Y275" s="2"/>
      <c r="Z275" s="2"/>
    </row>
    <row r="276" ht="13.5" customHeight="1">
      <c r="A276" s="2"/>
      <c r="B276" s="2"/>
      <c r="C276" s="2"/>
      <c r="D276" s="2"/>
      <c r="E276" s="2"/>
      <c r="F276" s="2"/>
      <c r="G276" s="2"/>
      <c r="H276" s="2"/>
      <c r="I276" s="2"/>
      <c r="J276" s="2"/>
      <c r="K276" s="181"/>
      <c r="L276" s="2"/>
      <c r="M276" s="2"/>
      <c r="N276" s="2"/>
      <c r="O276" s="2"/>
      <c r="P276" s="2"/>
      <c r="Q276" s="157"/>
      <c r="R276" s="157"/>
      <c r="S276" s="157"/>
      <c r="T276" s="158"/>
      <c r="U276" s="2"/>
      <c r="V276" s="2"/>
      <c r="W276" s="2"/>
      <c r="X276" s="2"/>
      <c r="Y276" s="2"/>
      <c r="Z276" s="2"/>
    </row>
    <row r="277" ht="13.5" customHeight="1">
      <c r="A277" s="2"/>
      <c r="B277" s="2"/>
      <c r="C277" s="2"/>
      <c r="D277" s="2"/>
      <c r="E277" s="2"/>
      <c r="F277" s="2"/>
      <c r="G277" s="2"/>
      <c r="H277" s="2"/>
      <c r="I277" s="2"/>
      <c r="J277" s="2"/>
      <c r="K277" s="181"/>
      <c r="L277" s="2"/>
      <c r="M277" s="2"/>
      <c r="N277" s="2"/>
      <c r="O277" s="2"/>
      <c r="P277" s="2"/>
      <c r="Q277" s="157"/>
      <c r="R277" s="157"/>
      <c r="S277" s="157"/>
      <c r="T277" s="158"/>
      <c r="U277" s="2"/>
      <c r="V277" s="2"/>
      <c r="W277" s="2"/>
      <c r="X277" s="2"/>
      <c r="Y277" s="2"/>
      <c r="Z277" s="2"/>
    </row>
    <row r="278" ht="13.5" customHeight="1">
      <c r="A278" s="2"/>
      <c r="B278" s="2"/>
      <c r="C278" s="2"/>
      <c r="D278" s="2"/>
      <c r="E278" s="2"/>
      <c r="F278" s="2"/>
      <c r="G278" s="2"/>
      <c r="H278" s="2"/>
      <c r="I278" s="2"/>
      <c r="J278" s="2"/>
      <c r="K278" s="181"/>
      <c r="L278" s="2"/>
      <c r="M278" s="2"/>
      <c r="N278" s="2"/>
      <c r="O278" s="2"/>
      <c r="P278" s="2"/>
      <c r="Q278" s="157"/>
      <c r="R278" s="157"/>
      <c r="S278" s="157"/>
      <c r="T278" s="158"/>
      <c r="U278" s="2"/>
      <c r="V278" s="2"/>
      <c r="W278" s="2"/>
      <c r="X278" s="2"/>
      <c r="Y278" s="2"/>
      <c r="Z278" s="2"/>
    </row>
    <row r="279" ht="13.5" customHeight="1">
      <c r="A279" s="2"/>
      <c r="B279" s="2"/>
      <c r="C279" s="2"/>
      <c r="D279" s="2"/>
      <c r="E279" s="2"/>
      <c r="F279" s="2"/>
      <c r="G279" s="2"/>
      <c r="H279" s="2"/>
      <c r="I279" s="2"/>
      <c r="J279" s="2"/>
      <c r="K279" s="181"/>
      <c r="L279" s="2"/>
      <c r="M279" s="2"/>
      <c r="N279" s="2"/>
      <c r="O279" s="2"/>
      <c r="P279" s="2"/>
      <c r="Q279" s="157"/>
      <c r="R279" s="157"/>
      <c r="S279" s="157"/>
      <c r="T279" s="158"/>
      <c r="U279" s="2"/>
      <c r="V279" s="2"/>
      <c r="W279" s="2"/>
      <c r="X279" s="2"/>
      <c r="Y279" s="2"/>
      <c r="Z279" s="2"/>
    </row>
    <row r="280" ht="13.5" customHeight="1">
      <c r="A280" s="2"/>
      <c r="B280" s="2"/>
      <c r="C280" s="2"/>
      <c r="D280" s="2"/>
      <c r="E280" s="2"/>
      <c r="F280" s="2"/>
      <c r="G280" s="2"/>
      <c r="H280" s="2"/>
      <c r="I280" s="2"/>
      <c r="J280" s="2"/>
      <c r="K280" s="181"/>
      <c r="L280" s="2"/>
      <c r="M280" s="2"/>
      <c r="N280" s="2"/>
      <c r="O280" s="2"/>
      <c r="P280" s="2"/>
      <c r="Q280" s="157"/>
      <c r="R280" s="157"/>
      <c r="S280" s="157"/>
      <c r="T280" s="158"/>
      <c r="U280" s="2"/>
      <c r="V280" s="2"/>
      <c r="W280" s="2"/>
      <c r="X280" s="2"/>
      <c r="Y280" s="2"/>
      <c r="Z280" s="2"/>
    </row>
    <row r="281" ht="13.5" customHeight="1">
      <c r="A281" s="2"/>
      <c r="B281" s="2"/>
      <c r="C281" s="2"/>
      <c r="D281" s="2"/>
      <c r="E281" s="2"/>
      <c r="F281" s="2"/>
      <c r="G281" s="2"/>
      <c r="H281" s="2"/>
      <c r="I281" s="2"/>
      <c r="J281" s="2"/>
      <c r="K281" s="181"/>
      <c r="L281" s="2"/>
      <c r="M281" s="2"/>
      <c r="N281" s="2"/>
      <c r="O281" s="2"/>
      <c r="P281" s="2"/>
      <c r="Q281" s="157"/>
      <c r="R281" s="157"/>
      <c r="S281" s="157"/>
      <c r="T281" s="158"/>
      <c r="U281" s="2"/>
      <c r="V281" s="2"/>
      <c r="W281" s="2"/>
      <c r="X281" s="2"/>
      <c r="Y281" s="2"/>
      <c r="Z281" s="2"/>
    </row>
    <row r="282" ht="13.5" customHeight="1">
      <c r="A282" s="2"/>
      <c r="B282" s="2"/>
      <c r="C282" s="2"/>
      <c r="D282" s="2"/>
      <c r="E282" s="2"/>
      <c r="F282" s="2"/>
      <c r="G282" s="2"/>
      <c r="H282" s="2"/>
      <c r="I282" s="2"/>
      <c r="J282" s="2"/>
      <c r="K282" s="181"/>
      <c r="L282" s="2"/>
      <c r="M282" s="2"/>
      <c r="N282" s="2"/>
      <c r="O282" s="2"/>
      <c r="P282" s="2"/>
      <c r="Q282" s="157"/>
      <c r="R282" s="157"/>
      <c r="S282" s="157"/>
      <c r="T282" s="158"/>
      <c r="U282" s="2"/>
      <c r="V282" s="2"/>
      <c r="W282" s="2"/>
      <c r="X282" s="2"/>
      <c r="Y282" s="2"/>
      <c r="Z282" s="2"/>
    </row>
    <row r="283" ht="13.5" customHeight="1">
      <c r="A283" s="2"/>
      <c r="B283" s="2"/>
      <c r="C283" s="2"/>
      <c r="D283" s="2"/>
      <c r="E283" s="2"/>
      <c r="F283" s="2"/>
      <c r="G283" s="2"/>
      <c r="H283" s="2"/>
      <c r="I283" s="2"/>
      <c r="J283" s="2"/>
      <c r="K283" s="181"/>
      <c r="L283" s="2"/>
      <c r="M283" s="2"/>
      <c r="N283" s="2"/>
      <c r="O283" s="2"/>
      <c r="P283" s="2"/>
      <c r="Q283" s="157"/>
      <c r="R283" s="157"/>
      <c r="S283" s="157"/>
      <c r="T283" s="158"/>
      <c r="U283" s="2"/>
      <c r="V283" s="2"/>
      <c r="W283" s="2"/>
      <c r="X283" s="2"/>
      <c r="Y283" s="2"/>
      <c r="Z283" s="2"/>
    </row>
    <row r="284" ht="13.5" customHeight="1">
      <c r="A284" s="2"/>
      <c r="B284" s="2"/>
      <c r="C284" s="2"/>
      <c r="D284" s="2"/>
      <c r="E284" s="2"/>
      <c r="F284" s="2"/>
      <c r="G284" s="2"/>
      <c r="H284" s="2"/>
      <c r="I284" s="2"/>
      <c r="J284" s="2"/>
      <c r="K284" s="181"/>
      <c r="L284" s="2"/>
      <c r="M284" s="2"/>
      <c r="N284" s="2"/>
      <c r="O284" s="2"/>
      <c r="P284" s="2"/>
      <c r="Q284" s="157"/>
      <c r="R284" s="157"/>
      <c r="S284" s="157"/>
      <c r="T284" s="158"/>
      <c r="U284" s="2"/>
      <c r="V284" s="2"/>
      <c r="W284" s="2"/>
      <c r="X284" s="2"/>
      <c r="Y284" s="2"/>
      <c r="Z284" s="2"/>
    </row>
    <row r="285" ht="13.5" customHeight="1">
      <c r="A285" s="2"/>
      <c r="B285" s="2"/>
      <c r="C285" s="2"/>
      <c r="D285" s="2"/>
      <c r="E285" s="2"/>
      <c r="F285" s="2"/>
      <c r="G285" s="2"/>
      <c r="H285" s="2"/>
      <c r="I285" s="2"/>
      <c r="J285" s="2"/>
      <c r="K285" s="181"/>
      <c r="L285" s="2"/>
      <c r="M285" s="2"/>
      <c r="N285" s="2"/>
      <c r="O285" s="2"/>
      <c r="P285" s="2"/>
      <c r="Q285" s="157"/>
      <c r="R285" s="157"/>
      <c r="S285" s="157"/>
      <c r="T285" s="158"/>
      <c r="U285" s="2"/>
      <c r="V285" s="2"/>
      <c r="W285" s="2"/>
      <c r="X285" s="2"/>
      <c r="Y285" s="2"/>
      <c r="Z285" s="2"/>
    </row>
    <row r="286" ht="13.5" customHeight="1">
      <c r="A286" s="2"/>
      <c r="B286" s="2"/>
      <c r="C286" s="2"/>
      <c r="D286" s="2"/>
      <c r="E286" s="2"/>
      <c r="F286" s="2"/>
      <c r="G286" s="2"/>
      <c r="H286" s="2"/>
      <c r="I286" s="2"/>
      <c r="J286" s="2"/>
      <c r="K286" s="181"/>
      <c r="L286" s="2"/>
      <c r="M286" s="2"/>
      <c r="N286" s="2"/>
      <c r="O286" s="2"/>
      <c r="P286" s="2"/>
      <c r="Q286" s="157"/>
      <c r="R286" s="157"/>
      <c r="S286" s="157"/>
      <c r="T286" s="158"/>
      <c r="U286" s="2"/>
      <c r="V286" s="2"/>
      <c r="W286" s="2"/>
      <c r="X286" s="2"/>
      <c r="Y286" s="2"/>
      <c r="Z286" s="2"/>
    </row>
    <row r="287" ht="13.5" customHeight="1">
      <c r="A287" s="2"/>
      <c r="B287" s="2"/>
      <c r="C287" s="2"/>
      <c r="D287" s="2"/>
      <c r="E287" s="2"/>
      <c r="F287" s="2"/>
      <c r="G287" s="2"/>
      <c r="H287" s="2"/>
      <c r="I287" s="2"/>
      <c r="J287" s="2"/>
      <c r="K287" s="181"/>
      <c r="L287" s="2"/>
      <c r="M287" s="2"/>
      <c r="N287" s="2"/>
      <c r="O287" s="2"/>
      <c r="P287" s="2"/>
      <c r="Q287" s="157"/>
      <c r="R287" s="157"/>
      <c r="S287" s="157"/>
      <c r="T287" s="158"/>
      <c r="U287" s="2"/>
      <c r="V287" s="2"/>
      <c r="W287" s="2"/>
      <c r="X287" s="2"/>
      <c r="Y287" s="2"/>
      <c r="Z287" s="2"/>
    </row>
    <row r="288" ht="13.5" customHeight="1">
      <c r="A288" s="2"/>
      <c r="B288" s="2"/>
      <c r="C288" s="2"/>
      <c r="D288" s="2"/>
      <c r="E288" s="2"/>
      <c r="F288" s="2"/>
      <c r="G288" s="2"/>
      <c r="H288" s="2"/>
      <c r="I288" s="2"/>
      <c r="J288" s="2"/>
      <c r="K288" s="181"/>
      <c r="L288" s="2"/>
      <c r="M288" s="2"/>
      <c r="N288" s="2"/>
      <c r="O288" s="2"/>
      <c r="P288" s="2"/>
      <c r="Q288" s="157"/>
      <c r="R288" s="157"/>
      <c r="S288" s="157"/>
      <c r="T288" s="158"/>
      <c r="U288" s="2"/>
      <c r="V288" s="2"/>
      <c r="W288" s="2"/>
      <c r="X288" s="2"/>
      <c r="Y288" s="2"/>
      <c r="Z288" s="2"/>
    </row>
    <row r="289" ht="13.5" customHeight="1">
      <c r="A289" s="2"/>
      <c r="B289" s="2"/>
      <c r="C289" s="2"/>
      <c r="D289" s="2"/>
      <c r="E289" s="2"/>
      <c r="F289" s="2"/>
      <c r="G289" s="2"/>
      <c r="H289" s="2"/>
      <c r="I289" s="2"/>
      <c r="J289" s="2"/>
      <c r="K289" s="181"/>
      <c r="L289" s="2"/>
      <c r="M289" s="2"/>
      <c r="N289" s="2"/>
      <c r="O289" s="2"/>
      <c r="P289" s="2"/>
      <c r="Q289" s="157"/>
      <c r="R289" s="157"/>
      <c r="S289" s="157"/>
      <c r="T289" s="158"/>
      <c r="U289" s="2"/>
      <c r="V289" s="2"/>
      <c r="W289" s="2"/>
      <c r="X289" s="2"/>
      <c r="Y289" s="2"/>
      <c r="Z289" s="2"/>
    </row>
    <row r="290" ht="13.5" customHeight="1">
      <c r="A290" s="2"/>
      <c r="B290" s="2"/>
      <c r="C290" s="2"/>
      <c r="D290" s="2"/>
      <c r="E290" s="2"/>
      <c r="F290" s="2"/>
      <c r="G290" s="2"/>
      <c r="H290" s="2"/>
      <c r="I290" s="2"/>
      <c r="J290" s="2"/>
      <c r="K290" s="181"/>
      <c r="L290" s="2"/>
      <c r="M290" s="2"/>
      <c r="N290" s="2"/>
      <c r="O290" s="2"/>
      <c r="P290" s="2"/>
      <c r="Q290" s="157"/>
      <c r="R290" s="157"/>
      <c r="S290" s="157"/>
      <c r="T290" s="158"/>
      <c r="U290" s="2"/>
      <c r="V290" s="2"/>
      <c r="W290" s="2"/>
      <c r="X290" s="2"/>
      <c r="Y290" s="2"/>
      <c r="Z290" s="2"/>
    </row>
    <row r="291" ht="13.5" customHeight="1">
      <c r="A291" s="2"/>
      <c r="B291" s="2"/>
      <c r="C291" s="2"/>
      <c r="D291" s="2"/>
      <c r="E291" s="2"/>
      <c r="F291" s="2"/>
      <c r="G291" s="2"/>
      <c r="H291" s="2"/>
      <c r="I291" s="2"/>
      <c r="J291" s="2"/>
      <c r="K291" s="181"/>
      <c r="L291" s="2"/>
      <c r="M291" s="2"/>
      <c r="N291" s="2"/>
      <c r="O291" s="2"/>
      <c r="P291" s="2"/>
      <c r="Q291" s="157"/>
      <c r="R291" s="157"/>
      <c r="S291" s="157"/>
      <c r="T291" s="158"/>
      <c r="U291" s="2"/>
      <c r="V291" s="2"/>
      <c r="W291" s="2"/>
      <c r="X291" s="2"/>
      <c r="Y291" s="2"/>
      <c r="Z291" s="2"/>
    </row>
    <row r="292" ht="13.5" customHeight="1">
      <c r="A292" s="2"/>
      <c r="B292" s="2"/>
      <c r="C292" s="2"/>
      <c r="D292" s="2"/>
      <c r="E292" s="2"/>
      <c r="F292" s="2"/>
      <c r="G292" s="2"/>
      <c r="H292" s="2"/>
      <c r="I292" s="2"/>
      <c r="J292" s="2"/>
      <c r="K292" s="181"/>
      <c r="L292" s="2"/>
      <c r="M292" s="2"/>
      <c r="N292" s="2"/>
      <c r="O292" s="2"/>
      <c r="P292" s="2"/>
      <c r="Q292" s="157"/>
      <c r="R292" s="157"/>
      <c r="S292" s="157"/>
      <c r="T292" s="158"/>
      <c r="U292" s="2"/>
      <c r="V292" s="2"/>
      <c r="W292" s="2"/>
      <c r="X292" s="2"/>
      <c r="Y292" s="2"/>
      <c r="Z292" s="2"/>
    </row>
    <row r="293" ht="13.5" customHeight="1">
      <c r="A293" s="2"/>
      <c r="B293" s="2"/>
      <c r="C293" s="2"/>
      <c r="D293" s="2"/>
      <c r="E293" s="2"/>
      <c r="F293" s="2"/>
      <c r="G293" s="2"/>
      <c r="H293" s="2"/>
      <c r="I293" s="2"/>
      <c r="J293" s="2"/>
      <c r="K293" s="181"/>
      <c r="L293" s="2"/>
      <c r="M293" s="2"/>
      <c r="N293" s="2"/>
      <c r="O293" s="2"/>
      <c r="P293" s="2"/>
      <c r="Q293" s="157"/>
      <c r="R293" s="157"/>
      <c r="S293" s="157"/>
      <c r="T293" s="158"/>
      <c r="U293" s="2"/>
      <c r="V293" s="2"/>
      <c r="W293" s="2"/>
      <c r="X293" s="2"/>
      <c r="Y293" s="2"/>
      <c r="Z293" s="2"/>
    </row>
    <row r="294" ht="13.5" customHeight="1">
      <c r="A294" s="2"/>
      <c r="B294" s="2"/>
      <c r="C294" s="2"/>
      <c r="D294" s="2"/>
      <c r="E294" s="2"/>
      <c r="F294" s="2"/>
      <c r="G294" s="2"/>
      <c r="H294" s="2"/>
      <c r="I294" s="2"/>
      <c r="J294" s="2"/>
      <c r="K294" s="181"/>
      <c r="L294" s="2"/>
      <c r="M294" s="2"/>
      <c r="N294" s="2"/>
      <c r="O294" s="2"/>
      <c r="P294" s="2"/>
      <c r="Q294" s="157"/>
      <c r="R294" s="157"/>
      <c r="S294" s="157"/>
      <c r="T294" s="158"/>
      <c r="U294" s="2"/>
      <c r="V294" s="2"/>
      <c r="W294" s="2"/>
      <c r="X294" s="2"/>
      <c r="Y294" s="2"/>
      <c r="Z294" s="2"/>
    </row>
    <row r="295" ht="13.5" customHeight="1">
      <c r="A295" s="2"/>
      <c r="B295" s="2"/>
      <c r="C295" s="2"/>
      <c r="D295" s="2"/>
      <c r="E295" s="2"/>
      <c r="F295" s="2"/>
      <c r="G295" s="2"/>
      <c r="H295" s="2"/>
      <c r="I295" s="2"/>
      <c r="J295" s="2"/>
      <c r="K295" s="181"/>
      <c r="L295" s="2"/>
      <c r="M295" s="2"/>
      <c r="N295" s="2"/>
      <c r="O295" s="2"/>
      <c r="P295" s="2"/>
      <c r="Q295" s="157"/>
      <c r="R295" s="157"/>
      <c r="S295" s="157"/>
      <c r="T295" s="158"/>
      <c r="U295" s="2"/>
      <c r="V295" s="2"/>
      <c r="W295" s="2"/>
      <c r="X295" s="2"/>
      <c r="Y295" s="2"/>
      <c r="Z295" s="2"/>
    </row>
    <row r="296" ht="13.5" customHeight="1">
      <c r="A296" s="2"/>
      <c r="B296" s="2"/>
      <c r="C296" s="2"/>
      <c r="D296" s="2"/>
      <c r="E296" s="2"/>
      <c r="F296" s="2"/>
      <c r="G296" s="2"/>
      <c r="H296" s="2"/>
      <c r="I296" s="2"/>
      <c r="J296" s="2"/>
      <c r="K296" s="181"/>
      <c r="L296" s="2"/>
      <c r="M296" s="2"/>
      <c r="N296" s="2"/>
      <c r="O296" s="2"/>
      <c r="P296" s="2"/>
      <c r="Q296" s="157"/>
      <c r="R296" s="157"/>
      <c r="S296" s="157"/>
      <c r="T296" s="158"/>
      <c r="U296" s="2"/>
      <c r="V296" s="2"/>
      <c r="W296" s="2"/>
      <c r="X296" s="2"/>
      <c r="Y296" s="2"/>
      <c r="Z296" s="2"/>
    </row>
    <row r="297" ht="13.5" customHeight="1">
      <c r="A297" s="2"/>
      <c r="B297" s="2"/>
      <c r="C297" s="2"/>
      <c r="D297" s="2"/>
      <c r="E297" s="2"/>
      <c r="F297" s="2"/>
      <c r="G297" s="2"/>
      <c r="H297" s="2"/>
      <c r="I297" s="2"/>
      <c r="J297" s="2"/>
      <c r="K297" s="181"/>
      <c r="L297" s="2"/>
      <c r="M297" s="2"/>
      <c r="N297" s="2"/>
      <c r="O297" s="2"/>
      <c r="P297" s="2"/>
      <c r="Q297" s="157"/>
      <c r="R297" s="157"/>
      <c r="S297" s="157"/>
      <c r="T297" s="158"/>
      <c r="U297" s="2"/>
      <c r="V297" s="2"/>
      <c r="W297" s="2"/>
      <c r="X297" s="2"/>
      <c r="Y297" s="2"/>
      <c r="Z297" s="2"/>
    </row>
    <row r="298" ht="13.5" customHeight="1">
      <c r="A298" s="2"/>
      <c r="B298" s="2"/>
      <c r="C298" s="2"/>
      <c r="D298" s="2"/>
      <c r="E298" s="2"/>
      <c r="F298" s="2"/>
      <c r="G298" s="2"/>
      <c r="H298" s="2"/>
      <c r="I298" s="2"/>
      <c r="J298" s="2"/>
      <c r="K298" s="181"/>
      <c r="L298" s="2"/>
      <c r="M298" s="2"/>
      <c r="N298" s="2"/>
      <c r="O298" s="2"/>
      <c r="P298" s="2"/>
      <c r="Q298" s="157"/>
      <c r="R298" s="157"/>
      <c r="S298" s="157"/>
      <c r="T298" s="158"/>
      <c r="U298" s="2"/>
      <c r="V298" s="2"/>
      <c r="W298" s="2"/>
      <c r="X298" s="2"/>
      <c r="Y298" s="2"/>
      <c r="Z298" s="2"/>
    </row>
    <row r="299" ht="13.5" customHeight="1">
      <c r="A299" s="2"/>
      <c r="B299" s="2"/>
      <c r="C299" s="2"/>
      <c r="D299" s="2"/>
      <c r="E299" s="2"/>
      <c r="F299" s="2"/>
      <c r="G299" s="2"/>
      <c r="H299" s="2"/>
      <c r="I299" s="2"/>
      <c r="J299" s="2"/>
      <c r="K299" s="181"/>
      <c r="L299" s="2"/>
      <c r="M299" s="2"/>
      <c r="N299" s="2"/>
      <c r="O299" s="2"/>
      <c r="P299" s="2"/>
      <c r="Q299" s="157"/>
      <c r="R299" s="157"/>
      <c r="S299" s="157"/>
      <c r="T299" s="158"/>
      <c r="U299" s="2"/>
      <c r="V299" s="2"/>
      <c r="W299" s="2"/>
      <c r="X299" s="2"/>
      <c r="Y299" s="2"/>
      <c r="Z299" s="2"/>
    </row>
    <row r="300" ht="13.5" customHeight="1">
      <c r="A300" s="2"/>
      <c r="B300" s="2"/>
      <c r="C300" s="2"/>
      <c r="D300" s="2"/>
      <c r="E300" s="2"/>
      <c r="F300" s="2"/>
      <c r="G300" s="2"/>
      <c r="H300" s="2"/>
      <c r="I300" s="2"/>
      <c r="J300" s="2"/>
      <c r="K300" s="181"/>
      <c r="L300" s="2"/>
      <c r="M300" s="2"/>
      <c r="N300" s="2"/>
      <c r="O300" s="2"/>
      <c r="P300" s="2"/>
      <c r="Q300" s="157"/>
      <c r="R300" s="157"/>
      <c r="S300" s="157"/>
      <c r="T300" s="158"/>
      <c r="U300" s="2"/>
      <c r="V300" s="2"/>
      <c r="W300" s="2"/>
      <c r="X300" s="2"/>
      <c r="Y300" s="2"/>
      <c r="Z300" s="2"/>
    </row>
    <row r="301" ht="13.5" customHeight="1">
      <c r="A301" s="2"/>
      <c r="B301" s="2"/>
      <c r="C301" s="2"/>
      <c r="D301" s="2"/>
      <c r="E301" s="2"/>
      <c r="F301" s="2"/>
      <c r="G301" s="2"/>
      <c r="H301" s="2"/>
      <c r="I301" s="2"/>
      <c r="J301" s="2"/>
      <c r="K301" s="181"/>
      <c r="L301" s="2"/>
      <c r="M301" s="2"/>
      <c r="N301" s="2"/>
      <c r="O301" s="2"/>
      <c r="P301" s="2"/>
      <c r="Q301" s="157"/>
      <c r="R301" s="157"/>
      <c r="S301" s="157"/>
      <c r="T301" s="158"/>
      <c r="U301" s="2"/>
      <c r="V301" s="2"/>
      <c r="W301" s="2"/>
      <c r="X301" s="2"/>
      <c r="Y301" s="2"/>
      <c r="Z301" s="2"/>
    </row>
    <row r="302" ht="13.5" customHeight="1">
      <c r="A302" s="2"/>
      <c r="B302" s="2"/>
      <c r="C302" s="2"/>
      <c r="D302" s="2"/>
      <c r="E302" s="2"/>
      <c r="F302" s="2"/>
      <c r="G302" s="2"/>
      <c r="H302" s="2"/>
      <c r="I302" s="2"/>
      <c r="J302" s="2"/>
      <c r="K302" s="181"/>
      <c r="L302" s="2"/>
      <c r="M302" s="2"/>
      <c r="N302" s="2"/>
      <c r="O302" s="2"/>
      <c r="P302" s="2"/>
      <c r="Q302" s="157"/>
      <c r="R302" s="157"/>
      <c r="S302" s="157"/>
      <c r="T302" s="158"/>
      <c r="U302" s="2"/>
      <c r="V302" s="2"/>
      <c r="W302" s="2"/>
      <c r="X302" s="2"/>
      <c r="Y302" s="2"/>
      <c r="Z302" s="2"/>
    </row>
    <row r="303" ht="13.5" customHeight="1">
      <c r="A303" s="2"/>
      <c r="B303" s="2"/>
      <c r="C303" s="2"/>
      <c r="D303" s="2"/>
      <c r="E303" s="2"/>
      <c r="F303" s="2"/>
      <c r="G303" s="2"/>
      <c r="H303" s="2"/>
      <c r="I303" s="2"/>
      <c r="J303" s="2"/>
      <c r="K303" s="181"/>
      <c r="L303" s="2"/>
      <c r="M303" s="2"/>
      <c r="N303" s="2"/>
      <c r="O303" s="2"/>
      <c r="P303" s="2"/>
      <c r="Q303" s="157"/>
      <c r="R303" s="157"/>
      <c r="S303" s="157"/>
      <c r="T303" s="158"/>
      <c r="U303" s="2"/>
      <c r="V303" s="2"/>
      <c r="W303" s="2"/>
      <c r="X303" s="2"/>
      <c r="Y303" s="2"/>
      <c r="Z303" s="2"/>
    </row>
    <row r="304" ht="13.5" customHeight="1">
      <c r="A304" s="2"/>
      <c r="B304" s="2"/>
      <c r="C304" s="2"/>
      <c r="D304" s="2"/>
      <c r="E304" s="2"/>
      <c r="F304" s="2"/>
      <c r="G304" s="2"/>
      <c r="H304" s="2"/>
      <c r="I304" s="2"/>
      <c r="J304" s="2"/>
      <c r="K304" s="181"/>
      <c r="L304" s="2"/>
      <c r="M304" s="2"/>
      <c r="N304" s="2"/>
      <c r="O304" s="2"/>
      <c r="P304" s="2"/>
      <c r="Q304" s="157"/>
      <c r="R304" s="157"/>
      <c r="S304" s="157"/>
      <c r="T304" s="158"/>
      <c r="U304" s="2"/>
      <c r="V304" s="2"/>
      <c r="W304" s="2"/>
      <c r="X304" s="2"/>
      <c r="Y304" s="2"/>
      <c r="Z304" s="2"/>
    </row>
    <row r="305" ht="13.5" customHeight="1">
      <c r="A305" s="2"/>
      <c r="B305" s="2"/>
      <c r="C305" s="2"/>
      <c r="D305" s="2"/>
      <c r="E305" s="2"/>
      <c r="F305" s="2"/>
      <c r="G305" s="2"/>
      <c r="H305" s="2"/>
      <c r="I305" s="2"/>
      <c r="J305" s="2"/>
      <c r="K305" s="181"/>
      <c r="L305" s="2"/>
      <c r="M305" s="2"/>
      <c r="N305" s="2"/>
      <c r="O305" s="2"/>
      <c r="P305" s="2"/>
      <c r="Q305" s="157"/>
      <c r="R305" s="157"/>
      <c r="S305" s="157"/>
      <c r="T305" s="158"/>
      <c r="U305" s="2"/>
      <c r="V305" s="2"/>
      <c r="W305" s="2"/>
      <c r="X305" s="2"/>
      <c r="Y305" s="2"/>
      <c r="Z305" s="2"/>
    </row>
    <row r="306" ht="13.5" customHeight="1">
      <c r="A306" s="2"/>
      <c r="B306" s="2"/>
      <c r="C306" s="2"/>
      <c r="D306" s="2"/>
      <c r="E306" s="2"/>
      <c r="F306" s="2"/>
      <c r="G306" s="2"/>
      <c r="H306" s="2"/>
      <c r="I306" s="2"/>
      <c r="J306" s="2"/>
      <c r="K306" s="181"/>
      <c r="L306" s="2"/>
      <c r="M306" s="2"/>
      <c r="N306" s="2"/>
      <c r="O306" s="2"/>
      <c r="P306" s="2"/>
      <c r="Q306" s="157"/>
      <c r="R306" s="157"/>
      <c r="S306" s="157"/>
      <c r="T306" s="158"/>
      <c r="U306" s="2"/>
      <c r="V306" s="2"/>
      <c r="W306" s="2"/>
      <c r="X306" s="2"/>
      <c r="Y306" s="2"/>
      <c r="Z306" s="2"/>
    </row>
    <row r="307" ht="13.5" customHeight="1">
      <c r="A307" s="2"/>
      <c r="B307" s="2"/>
      <c r="C307" s="2"/>
      <c r="D307" s="2"/>
      <c r="E307" s="2"/>
      <c r="F307" s="2"/>
      <c r="G307" s="2"/>
      <c r="H307" s="2"/>
      <c r="I307" s="2"/>
      <c r="J307" s="2"/>
      <c r="K307" s="181"/>
      <c r="L307" s="2"/>
      <c r="M307" s="2"/>
      <c r="N307" s="2"/>
      <c r="O307" s="2"/>
      <c r="P307" s="2"/>
      <c r="Q307" s="157"/>
      <c r="R307" s="157"/>
      <c r="S307" s="157"/>
      <c r="T307" s="158"/>
      <c r="U307" s="2"/>
      <c r="V307" s="2"/>
      <c r="W307" s="2"/>
      <c r="X307" s="2"/>
      <c r="Y307" s="2"/>
      <c r="Z307" s="2"/>
    </row>
    <row r="308" ht="13.5" customHeight="1">
      <c r="A308" s="2"/>
      <c r="B308" s="2"/>
      <c r="C308" s="2"/>
      <c r="D308" s="2"/>
      <c r="E308" s="2"/>
      <c r="F308" s="2"/>
      <c r="G308" s="2"/>
      <c r="H308" s="2"/>
      <c r="I308" s="2"/>
      <c r="J308" s="2"/>
      <c r="K308" s="181"/>
      <c r="L308" s="2"/>
      <c r="M308" s="2"/>
      <c r="N308" s="2"/>
      <c r="O308" s="2"/>
      <c r="P308" s="2"/>
      <c r="Q308" s="157"/>
      <c r="R308" s="157"/>
      <c r="S308" s="157"/>
      <c r="T308" s="158"/>
      <c r="U308" s="2"/>
      <c r="V308" s="2"/>
      <c r="W308" s="2"/>
      <c r="X308" s="2"/>
      <c r="Y308" s="2"/>
      <c r="Z308" s="2"/>
    </row>
    <row r="309" ht="13.5" customHeight="1">
      <c r="A309" s="2"/>
      <c r="B309" s="2"/>
      <c r="C309" s="2"/>
      <c r="D309" s="2"/>
      <c r="E309" s="2"/>
      <c r="F309" s="2"/>
      <c r="G309" s="2"/>
      <c r="H309" s="2"/>
      <c r="I309" s="2"/>
      <c r="J309" s="2"/>
      <c r="K309" s="181"/>
      <c r="L309" s="2"/>
      <c r="M309" s="2"/>
      <c r="N309" s="2"/>
      <c r="O309" s="2"/>
      <c r="P309" s="2"/>
      <c r="Q309" s="157"/>
      <c r="R309" s="157"/>
      <c r="S309" s="157"/>
      <c r="T309" s="158"/>
      <c r="U309" s="2"/>
      <c r="V309" s="2"/>
      <c r="W309" s="2"/>
      <c r="X309" s="2"/>
      <c r="Y309" s="2"/>
      <c r="Z309" s="2"/>
    </row>
    <row r="310" ht="13.5" customHeight="1">
      <c r="A310" s="2"/>
      <c r="B310" s="2"/>
      <c r="C310" s="2"/>
      <c r="D310" s="2"/>
      <c r="E310" s="2"/>
      <c r="F310" s="2"/>
      <c r="G310" s="2"/>
      <c r="H310" s="2"/>
      <c r="I310" s="2"/>
      <c r="J310" s="2"/>
      <c r="K310" s="181"/>
      <c r="L310" s="2"/>
      <c r="M310" s="2"/>
      <c r="N310" s="2"/>
      <c r="O310" s="2"/>
      <c r="P310" s="2"/>
      <c r="Q310" s="157"/>
      <c r="R310" s="157"/>
      <c r="S310" s="157"/>
      <c r="T310" s="158"/>
      <c r="U310" s="2"/>
      <c r="V310" s="2"/>
      <c r="W310" s="2"/>
      <c r="X310" s="2"/>
      <c r="Y310" s="2"/>
      <c r="Z310" s="2"/>
    </row>
    <row r="311" ht="13.5" customHeight="1">
      <c r="A311" s="2"/>
      <c r="B311" s="2"/>
      <c r="C311" s="2"/>
      <c r="D311" s="2"/>
      <c r="E311" s="2"/>
      <c r="F311" s="2"/>
      <c r="G311" s="2"/>
      <c r="H311" s="2"/>
      <c r="I311" s="2"/>
      <c r="J311" s="2"/>
      <c r="K311" s="181"/>
      <c r="L311" s="2"/>
      <c r="M311" s="2"/>
      <c r="N311" s="2"/>
      <c r="O311" s="2"/>
      <c r="P311" s="2"/>
      <c r="Q311" s="157"/>
      <c r="R311" s="157"/>
      <c r="S311" s="157"/>
      <c r="T311" s="158"/>
      <c r="U311" s="2"/>
      <c r="V311" s="2"/>
      <c r="W311" s="2"/>
      <c r="X311" s="2"/>
      <c r="Y311" s="2"/>
      <c r="Z311" s="2"/>
    </row>
    <row r="312" ht="13.5" customHeight="1">
      <c r="A312" s="2"/>
      <c r="B312" s="2"/>
      <c r="C312" s="2"/>
      <c r="D312" s="2"/>
      <c r="E312" s="2"/>
      <c r="F312" s="2"/>
      <c r="G312" s="2"/>
      <c r="H312" s="2"/>
      <c r="I312" s="2"/>
      <c r="J312" s="2"/>
      <c r="K312" s="181"/>
      <c r="L312" s="2"/>
      <c r="M312" s="2"/>
      <c r="N312" s="2"/>
      <c r="O312" s="2"/>
      <c r="P312" s="2"/>
      <c r="Q312" s="157"/>
      <c r="R312" s="157"/>
      <c r="S312" s="157"/>
      <c r="T312" s="158"/>
      <c r="U312" s="2"/>
      <c r="V312" s="2"/>
      <c r="W312" s="2"/>
      <c r="X312" s="2"/>
      <c r="Y312" s="2"/>
      <c r="Z312" s="2"/>
    </row>
    <row r="313" ht="13.5" customHeight="1">
      <c r="A313" s="2"/>
      <c r="B313" s="2"/>
      <c r="C313" s="2"/>
      <c r="D313" s="2"/>
      <c r="E313" s="2"/>
      <c r="F313" s="2"/>
      <c r="G313" s="2"/>
      <c r="H313" s="2"/>
      <c r="I313" s="2"/>
      <c r="J313" s="2"/>
      <c r="K313" s="181"/>
      <c r="L313" s="2"/>
      <c r="M313" s="2"/>
      <c r="N313" s="2"/>
      <c r="O313" s="2"/>
      <c r="P313" s="2"/>
      <c r="Q313" s="157"/>
      <c r="R313" s="157"/>
      <c r="S313" s="157"/>
      <c r="T313" s="158"/>
      <c r="U313" s="2"/>
      <c r="V313" s="2"/>
      <c r="W313" s="2"/>
      <c r="X313" s="2"/>
      <c r="Y313" s="2"/>
      <c r="Z313" s="2"/>
    </row>
    <row r="314" ht="13.5" customHeight="1">
      <c r="A314" s="2"/>
      <c r="B314" s="2"/>
      <c r="C314" s="2"/>
      <c r="D314" s="2"/>
      <c r="E314" s="2"/>
      <c r="F314" s="2"/>
      <c r="G314" s="2"/>
      <c r="H314" s="2"/>
      <c r="I314" s="2"/>
      <c r="J314" s="2"/>
      <c r="K314" s="181"/>
      <c r="L314" s="2"/>
      <c r="M314" s="2"/>
      <c r="N314" s="2"/>
      <c r="O314" s="2"/>
      <c r="P314" s="2"/>
      <c r="Q314" s="157"/>
      <c r="R314" s="157"/>
      <c r="S314" s="157"/>
      <c r="T314" s="158"/>
      <c r="U314" s="2"/>
      <c r="V314" s="2"/>
      <c r="W314" s="2"/>
      <c r="X314" s="2"/>
      <c r="Y314" s="2"/>
      <c r="Z314" s="2"/>
    </row>
    <row r="315" ht="13.5" customHeight="1">
      <c r="A315" s="2"/>
      <c r="B315" s="2"/>
      <c r="C315" s="2"/>
      <c r="D315" s="2"/>
      <c r="E315" s="2"/>
      <c r="F315" s="2"/>
      <c r="G315" s="2"/>
      <c r="H315" s="2"/>
      <c r="I315" s="2"/>
      <c r="J315" s="2"/>
      <c r="K315" s="181"/>
      <c r="L315" s="2"/>
      <c r="M315" s="2"/>
      <c r="N315" s="2"/>
      <c r="O315" s="2"/>
      <c r="P315" s="2"/>
      <c r="Q315" s="157"/>
      <c r="R315" s="157"/>
      <c r="S315" s="157"/>
      <c r="T315" s="158"/>
      <c r="U315" s="2"/>
      <c r="V315" s="2"/>
      <c r="W315" s="2"/>
      <c r="X315" s="2"/>
      <c r="Y315" s="2"/>
      <c r="Z315" s="2"/>
    </row>
    <row r="316" ht="13.5" customHeight="1">
      <c r="A316" s="2"/>
      <c r="B316" s="2"/>
      <c r="C316" s="2"/>
      <c r="D316" s="2"/>
      <c r="E316" s="2"/>
      <c r="F316" s="2"/>
      <c r="G316" s="2"/>
      <c r="H316" s="2"/>
      <c r="I316" s="2"/>
      <c r="J316" s="2"/>
      <c r="K316" s="181"/>
      <c r="L316" s="2"/>
      <c r="M316" s="2"/>
      <c r="N316" s="2"/>
      <c r="O316" s="2"/>
      <c r="P316" s="2"/>
      <c r="Q316" s="157"/>
      <c r="R316" s="157"/>
      <c r="S316" s="157"/>
      <c r="T316" s="158"/>
      <c r="U316" s="2"/>
      <c r="V316" s="2"/>
      <c r="W316" s="2"/>
      <c r="X316" s="2"/>
      <c r="Y316" s="2"/>
      <c r="Z316" s="2"/>
    </row>
    <row r="317" ht="13.5" customHeight="1">
      <c r="A317" s="2"/>
      <c r="B317" s="2"/>
      <c r="C317" s="2"/>
      <c r="D317" s="2"/>
      <c r="E317" s="2"/>
      <c r="F317" s="2"/>
      <c r="G317" s="2"/>
      <c r="H317" s="2"/>
      <c r="I317" s="2"/>
      <c r="J317" s="2"/>
      <c r="K317" s="181"/>
      <c r="L317" s="2"/>
      <c r="M317" s="2"/>
      <c r="N317" s="2"/>
      <c r="O317" s="2"/>
      <c r="P317" s="2"/>
      <c r="Q317" s="157"/>
      <c r="R317" s="157"/>
      <c r="S317" s="157"/>
      <c r="T317" s="158"/>
      <c r="U317" s="2"/>
      <c r="V317" s="2"/>
      <c r="W317" s="2"/>
      <c r="X317" s="2"/>
      <c r="Y317" s="2"/>
      <c r="Z317" s="2"/>
    </row>
    <row r="318" ht="13.5" customHeight="1">
      <c r="A318" s="2"/>
      <c r="B318" s="2"/>
      <c r="C318" s="2"/>
      <c r="D318" s="2"/>
      <c r="E318" s="2"/>
      <c r="F318" s="2"/>
      <c r="G318" s="2"/>
      <c r="H318" s="2"/>
      <c r="I318" s="2"/>
      <c r="J318" s="2"/>
      <c r="K318" s="181"/>
      <c r="L318" s="2"/>
      <c r="M318" s="2"/>
      <c r="N318" s="2"/>
      <c r="O318" s="2"/>
      <c r="P318" s="2"/>
      <c r="Q318" s="157"/>
      <c r="R318" s="157"/>
      <c r="S318" s="157"/>
      <c r="T318" s="158"/>
      <c r="U318" s="2"/>
      <c r="V318" s="2"/>
      <c r="W318" s="2"/>
      <c r="X318" s="2"/>
      <c r="Y318" s="2"/>
      <c r="Z318" s="2"/>
    </row>
    <row r="319" ht="13.5" customHeight="1">
      <c r="A319" s="2"/>
      <c r="B319" s="2"/>
      <c r="C319" s="2"/>
      <c r="D319" s="2"/>
      <c r="E319" s="2"/>
      <c r="F319" s="2"/>
      <c r="G319" s="2"/>
      <c r="H319" s="2"/>
      <c r="I319" s="2"/>
      <c r="J319" s="2"/>
      <c r="K319" s="181"/>
      <c r="L319" s="2"/>
      <c r="M319" s="2"/>
      <c r="N319" s="2"/>
      <c r="O319" s="2"/>
      <c r="P319" s="2"/>
      <c r="Q319" s="157"/>
      <c r="R319" s="157"/>
      <c r="S319" s="157"/>
      <c r="T319" s="158"/>
      <c r="U319" s="2"/>
      <c r="V319" s="2"/>
      <c r="W319" s="2"/>
      <c r="X319" s="2"/>
      <c r="Y319" s="2"/>
      <c r="Z319" s="2"/>
    </row>
    <row r="320" ht="13.5" customHeight="1">
      <c r="A320" s="2"/>
      <c r="B320" s="2"/>
      <c r="C320" s="2"/>
      <c r="D320" s="2"/>
      <c r="E320" s="2"/>
      <c r="F320" s="2"/>
      <c r="G320" s="2"/>
      <c r="H320" s="2"/>
      <c r="I320" s="2"/>
      <c r="J320" s="2"/>
      <c r="K320" s="181"/>
      <c r="L320" s="2"/>
      <c r="M320" s="2"/>
      <c r="N320" s="2"/>
      <c r="O320" s="2"/>
      <c r="P320" s="2"/>
      <c r="Q320" s="157"/>
      <c r="R320" s="157"/>
      <c r="S320" s="157"/>
      <c r="T320" s="158"/>
      <c r="U320" s="2"/>
      <c r="V320" s="2"/>
      <c r="W320" s="2"/>
      <c r="X320" s="2"/>
      <c r="Y320" s="2"/>
      <c r="Z320" s="2"/>
    </row>
    <row r="321" ht="13.5" customHeight="1">
      <c r="A321" s="2"/>
      <c r="B321" s="2"/>
      <c r="C321" s="2"/>
      <c r="D321" s="2"/>
      <c r="E321" s="2"/>
      <c r="F321" s="2"/>
      <c r="G321" s="2"/>
      <c r="H321" s="2"/>
      <c r="I321" s="2"/>
      <c r="J321" s="2"/>
      <c r="K321" s="181"/>
      <c r="L321" s="2"/>
      <c r="M321" s="2"/>
      <c r="N321" s="2"/>
      <c r="O321" s="2"/>
      <c r="P321" s="2"/>
      <c r="Q321" s="157"/>
      <c r="R321" s="157"/>
      <c r="S321" s="157"/>
      <c r="T321" s="158"/>
      <c r="U321" s="2"/>
      <c r="V321" s="2"/>
      <c r="W321" s="2"/>
      <c r="X321" s="2"/>
      <c r="Y321" s="2"/>
      <c r="Z321" s="2"/>
    </row>
    <row r="322" ht="13.5" customHeight="1">
      <c r="A322" s="2"/>
      <c r="B322" s="2"/>
      <c r="C322" s="2"/>
      <c r="D322" s="2"/>
      <c r="E322" s="2"/>
      <c r="F322" s="2"/>
      <c r="G322" s="2"/>
      <c r="H322" s="2"/>
      <c r="I322" s="2"/>
      <c r="J322" s="2"/>
      <c r="K322" s="181"/>
      <c r="L322" s="2"/>
      <c r="M322" s="2"/>
      <c r="N322" s="2"/>
      <c r="O322" s="2"/>
      <c r="P322" s="2"/>
      <c r="Q322" s="157"/>
      <c r="R322" s="157"/>
      <c r="S322" s="157"/>
      <c r="T322" s="158"/>
      <c r="U322" s="2"/>
      <c r="V322" s="2"/>
      <c r="W322" s="2"/>
      <c r="X322" s="2"/>
      <c r="Y322" s="2"/>
      <c r="Z322" s="2"/>
    </row>
    <row r="323" ht="13.5" customHeight="1">
      <c r="A323" s="2"/>
      <c r="B323" s="2"/>
      <c r="C323" s="2"/>
      <c r="D323" s="2"/>
      <c r="E323" s="2"/>
      <c r="F323" s="2"/>
      <c r="G323" s="2"/>
      <c r="H323" s="2"/>
      <c r="I323" s="2"/>
      <c r="J323" s="2"/>
      <c r="K323" s="181"/>
      <c r="L323" s="2"/>
      <c r="M323" s="2"/>
      <c r="N323" s="2"/>
      <c r="O323" s="2"/>
      <c r="P323" s="2"/>
      <c r="Q323" s="157"/>
      <c r="R323" s="157"/>
      <c r="S323" s="157"/>
      <c r="T323" s="158"/>
      <c r="U323" s="2"/>
      <c r="V323" s="2"/>
      <c r="W323" s="2"/>
      <c r="X323" s="2"/>
      <c r="Y323" s="2"/>
      <c r="Z323" s="2"/>
    </row>
    <row r="324" ht="13.5" customHeight="1">
      <c r="A324" s="2"/>
      <c r="B324" s="2"/>
      <c r="C324" s="2"/>
      <c r="D324" s="2"/>
      <c r="E324" s="2"/>
      <c r="F324" s="2"/>
      <c r="G324" s="2"/>
      <c r="H324" s="2"/>
      <c r="I324" s="2"/>
      <c r="J324" s="2"/>
      <c r="K324" s="181"/>
      <c r="L324" s="2"/>
      <c r="M324" s="2"/>
      <c r="N324" s="2"/>
      <c r="O324" s="2"/>
      <c r="P324" s="2"/>
      <c r="Q324" s="157"/>
      <c r="R324" s="157"/>
      <c r="S324" s="157"/>
      <c r="T324" s="158"/>
      <c r="U324" s="2"/>
      <c r="V324" s="2"/>
      <c r="W324" s="2"/>
      <c r="X324" s="2"/>
      <c r="Y324" s="2"/>
      <c r="Z324" s="2"/>
    </row>
    <row r="325" ht="13.5" customHeight="1">
      <c r="A325" s="2"/>
      <c r="B325" s="2"/>
      <c r="C325" s="2"/>
      <c r="D325" s="2"/>
      <c r="E325" s="2"/>
      <c r="F325" s="2"/>
      <c r="G325" s="2"/>
      <c r="H325" s="2"/>
      <c r="I325" s="2"/>
      <c r="J325" s="2"/>
      <c r="K325" s="181"/>
      <c r="L325" s="2"/>
      <c r="M325" s="2"/>
      <c r="N325" s="2"/>
      <c r="O325" s="2"/>
      <c r="P325" s="2"/>
      <c r="Q325" s="157"/>
      <c r="R325" s="157"/>
      <c r="S325" s="157"/>
      <c r="T325" s="158"/>
      <c r="U325" s="2"/>
      <c r="V325" s="2"/>
      <c r="W325" s="2"/>
      <c r="X325" s="2"/>
      <c r="Y325" s="2"/>
      <c r="Z325" s="2"/>
    </row>
    <row r="326" ht="13.5" customHeight="1">
      <c r="A326" s="2"/>
      <c r="B326" s="2"/>
      <c r="C326" s="2"/>
      <c r="D326" s="2"/>
      <c r="E326" s="2"/>
      <c r="F326" s="2"/>
      <c r="G326" s="2"/>
      <c r="H326" s="2"/>
      <c r="I326" s="2"/>
      <c r="J326" s="2"/>
      <c r="K326" s="181"/>
      <c r="L326" s="2"/>
      <c r="M326" s="2"/>
      <c r="N326" s="2"/>
      <c r="O326" s="2"/>
      <c r="P326" s="2"/>
      <c r="Q326" s="157"/>
      <c r="R326" s="157"/>
      <c r="S326" s="157"/>
      <c r="T326" s="158"/>
      <c r="U326" s="2"/>
      <c r="V326" s="2"/>
      <c r="W326" s="2"/>
      <c r="X326" s="2"/>
      <c r="Y326" s="2"/>
      <c r="Z326" s="2"/>
    </row>
    <row r="327" ht="13.5" customHeight="1">
      <c r="A327" s="2"/>
      <c r="B327" s="2"/>
      <c r="C327" s="2"/>
      <c r="D327" s="2"/>
      <c r="E327" s="2"/>
      <c r="F327" s="2"/>
      <c r="G327" s="2"/>
      <c r="H327" s="2"/>
      <c r="I327" s="2"/>
      <c r="J327" s="2"/>
      <c r="K327" s="181"/>
      <c r="L327" s="2"/>
      <c r="M327" s="2"/>
      <c r="N327" s="2"/>
      <c r="O327" s="2"/>
      <c r="P327" s="2"/>
      <c r="Q327" s="157"/>
      <c r="R327" s="157"/>
      <c r="S327" s="157"/>
      <c r="T327" s="158"/>
      <c r="U327" s="2"/>
      <c r="V327" s="2"/>
      <c r="W327" s="2"/>
      <c r="X327" s="2"/>
      <c r="Y327" s="2"/>
      <c r="Z327" s="2"/>
    </row>
    <row r="328" ht="13.5" customHeight="1">
      <c r="A328" s="2"/>
      <c r="B328" s="2"/>
      <c r="C328" s="2"/>
      <c r="D328" s="2"/>
      <c r="E328" s="2"/>
      <c r="F328" s="2"/>
      <c r="G328" s="2"/>
      <c r="H328" s="2"/>
      <c r="I328" s="2"/>
      <c r="J328" s="2"/>
      <c r="K328" s="181"/>
      <c r="L328" s="2"/>
      <c r="M328" s="2"/>
      <c r="N328" s="2"/>
      <c r="O328" s="2"/>
      <c r="P328" s="2"/>
      <c r="Q328" s="157"/>
      <c r="R328" s="157"/>
      <c r="S328" s="157"/>
      <c r="T328" s="158"/>
      <c r="U328" s="2"/>
      <c r="V328" s="2"/>
      <c r="W328" s="2"/>
      <c r="X328" s="2"/>
      <c r="Y328" s="2"/>
      <c r="Z328" s="2"/>
    </row>
    <row r="329" ht="13.5" customHeight="1">
      <c r="A329" s="2"/>
      <c r="B329" s="2"/>
      <c r="C329" s="2"/>
      <c r="D329" s="2"/>
      <c r="E329" s="2"/>
      <c r="F329" s="2"/>
      <c r="G329" s="2"/>
      <c r="H329" s="2"/>
      <c r="I329" s="2"/>
      <c r="J329" s="2"/>
      <c r="K329" s="181"/>
      <c r="L329" s="2"/>
      <c r="M329" s="2"/>
      <c r="N329" s="2"/>
      <c r="O329" s="2"/>
      <c r="P329" s="2"/>
      <c r="Q329" s="157"/>
      <c r="R329" s="157"/>
      <c r="S329" s="157"/>
      <c r="T329" s="158"/>
      <c r="U329" s="2"/>
      <c r="V329" s="2"/>
      <c r="W329" s="2"/>
      <c r="X329" s="2"/>
      <c r="Y329" s="2"/>
      <c r="Z329" s="2"/>
    </row>
    <row r="330" ht="13.5" customHeight="1">
      <c r="A330" s="2"/>
      <c r="B330" s="2"/>
      <c r="C330" s="2"/>
      <c r="D330" s="2"/>
      <c r="E330" s="2"/>
      <c r="F330" s="2"/>
      <c r="G330" s="2"/>
      <c r="H330" s="2"/>
      <c r="I330" s="2"/>
      <c r="J330" s="2"/>
      <c r="K330" s="181"/>
      <c r="L330" s="2"/>
      <c r="M330" s="2"/>
      <c r="N330" s="2"/>
      <c r="O330" s="2"/>
      <c r="P330" s="2"/>
      <c r="Q330" s="157"/>
      <c r="R330" s="157"/>
      <c r="S330" s="157"/>
      <c r="T330" s="158"/>
      <c r="U330" s="2"/>
      <c r="V330" s="2"/>
      <c r="W330" s="2"/>
      <c r="X330" s="2"/>
      <c r="Y330" s="2"/>
      <c r="Z330" s="2"/>
    </row>
    <row r="331" ht="13.5" customHeight="1">
      <c r="A331" s="2"/>
      <c r="B331" s="2"/>
      <c r="C331" s="2"/>
      <c r="D331" s="2"/>
      <c r="E331" s="2"/>
      <c r="F331" s="2"/>
      <c r="G331" s="2"/>
      <c r="H331" s="2"/>
      <c r="I331" s="2"/>
      <c r="J331" s="2"/>
      <c r="K331" s="181"/>
      <c r="L331" s="2"/>
      <c r="M331" s="2"/>
      <c r="N331" s="2"/>
      <c r="O331" s="2"/>
      <c r="P331" s="2"/>
      <c r="Q331" s="157"/>
      <c r="R331" s="157"/>
      <c r="S331" s="157"/>
      <c r="T331" s="158"/>
      <c r="U331" s="2"/>
      <c r="V331" s="2"/>
      <c r="W331" s="2"/>
      <c r="X331" s="2"/>
      <c r="Y331" s="2"/>
      <c r="Z331" s="2"/>
    </row>
    <row r="332" ht="13.5" customHeight="1">
      <c r="A332" s="2"/>
      <c r="B332" s="2"/>
      <c r="C332" s="2"/>
      <c r="D332" s="2"/>
      <c r="E332" s="2"/>
      <c r="F332" s="2"/>
      <c r="G332" s="2"/>
      <c r="H332" s="2"/>
      <c r="I332" s="2"/>
      <c r="J332" s="2"/>
      <c r="K332" s="181"/>
      <c r="L332" s="2"/>
      <c r="M332" s="2"/>
      <c r="N332" s="2"/>
      <c r="O332" s="2"/>
      <c r="P332" s="2"/>
      <c r="Q332" s="157"/>
      <c r="R332" s="157"/>
      <c r="S332" s="157"/>
      <c r="T332" s="158"/>
      <c r="U332" s="2"/>
      <c r="V332" s="2"/>
      <c r="W332" s="2"/>
      <c r="X332" s="2"/>
      <c r="Y332" s="2"/>
      <c r="Z332" s="2"/>
    </row>
    <row r="333" ht="13.5" customHeight="1">
      <c r="A333" s="2"/>
      <c r="B333" s="2"/>
      <c r="C333" s="2"/>
      <c r="D333" s="2"/>
      <c r="E333" s="2"/>
      <c r="F333" s="2"/>
      <c r="G333" s="2"/>
      <c r="H333" s="2"/>
      <c r="I333" s="2"/>
      <c r="J333" s="2"/>
      <c r="K333" s="181"/>
      <c r="L333" s="2"/>
      <c r="M333" s="2"/>
      <c r="N333" s="2"/>
      <c r="O333" s="2"/>
      <c r="P333" s="2"/>
      <c r="Q333" s="157"/>
      <c r="R333" s="157"/>
      <c r="S333" s="157"/>
      <c r="T333" s="158"/>
      <c r="U333" s="2"/>
      <c r="V333" s="2"/>
      <c r="W333" s="2"/>
      <c r="X333" s="2"/>
      <c r="Y333" s="2"/>
      <c r="Z333" s="2"/>
    </row>
    <row r="334" ht="13.5" customHeight="1">
      <c r="A334" s="2"/>
      <c r="B334" s="2"/>
      <c r="C334" s="2"/>
      <c r="D334" s="2"/>
      <c r="E334" s="2"/>
      <c r="F334" s="2"/>
      <c r="G334" s="2"/>
      <c r="H334" s="2"/>
      <c r="I334" s="2"/>
      <c r="J334" s="2"/>
      <c r="K334" s="181"/>
      <c r="L334" s="2"/>
      <c r="M334" s="2"/>
      <c r="N334" s="2"/>
      <c r="O334" s="2"/>
      <c r="P334" s="2"/>
      <c r="Q334" s="157"/>
      <c r="R334" s="157"/>
      <c r="S334" s="157"/>
      <c r="T334" s="158"/>
      <c r="U334" s="2"/>
      <c r="V334" s="2"/>
      <c r="W334" s="2"/>
      <c r="X334" s="2"/>
      <c r="Y334" s="2"/>
      <c r="Z334" s="2"/>
    </row>
    <row r="335" ht="13.5" customHeight="1">
      <c r="A335" s="2"/>
      <c r="B335" s="2"/>
      <c r="C335" s="2"/>
      <c r="D335" s="2"/>
      <c r="E335" s="2"/>
      <c r="F335" s="2"/>
      <c r="G335" s="2"/>
      <c r="H335" s="2"/>
      <c r="I335" s="2"/>
      <c r="J335" s="2"/>
      <c r="K335" s="181"/>
      <c r="L335" s="2"/>
      <c r="M335" s="2"/>
      <c r="N335" s="2"/>
      <c r="O335" s="2"/>
      <c r="P335" s="2"/>
      <c r="Q335" s="157"/>
      <c r="R335" s="157"/>
      <c r="S335" s="157"/>
      <c r="T335" s="158"/>
      <c r="U335" s="2"/>
      <c r="V335" s="2"/>
      <c r="W335" s="2"/>
      <c r="X335" s="2"/>
      <c r="Y335" s="2"/>
      <c r="Z335" s="2"/>
    </row>
    <row r="336" ht="13.5" customHeight="1">
      <c r="A336" s="2"/>
      <c r="B336" s="2"/>
      <c r="C336" s="2"/>
      <c r="D336" s="2"/>
      <c r="E336" s="2"/>
      <c r="F336" s="2"/>
      <c r="G336" s="2"/>
      <c r="H336" s="2"/>
      <c r="I336" s="2"/>
      <c r="J336" s="2"/>
      <c r="K336" s="181"/>
      <c r="L336" s="2"/>
      <c r="M336" s="2"/>
      <c r="N336" s="2"/>
      <c r="O336" s="2"/>
      <c r="P336" s="2"/>
      <c r="Q336" s="157"/>
      <c r="R336" s="157"/>
      <c r="S336" s="157"/>
      <c r="T336" s="158"/>
      <c r="U336" s="2"/>
      <c r="V336" s="2"/>
      <c r="W336" s="2"/>
      <c r="X336" s="2"/>
      <c r="Y336" s="2"/>
      <c r="Z336" s="2"/>
    </row>
    <row r="337" ht="13.5" customHeight="1">
      <c r="A337" s="2"/>
      <c r="B337" s="2"/>
      <c r="C337" s="2"/>
      <c r="D337" s="2"/>
      <c r="E337" s="2"/>
      <c r="F337" s="2"/>
      <c r="G337" s="2"/>
      <c r="H337" s="2"/>
      <c r="I337" s="2"/>
      <c r="J337" s="2"/>
      <c r="K337" s="181"/>
      <c r="L337" s="2"/>
      <c r="M337" s="2"/>
      <c r="N337" s="2"/>
      <c r="O337" s="2"/>
      <c r="P337" s="2"/>
      <c r="Q337" s="157"/>
      <c r="R337" s="157"/>
      <c r="S337" s="157"/>
      <c r="T337" s="158"/>
      <c r="U337" s="2"/>
      <c r="V337" s="2"/>
      <c r="W337" s="2"/>
      <c r="X337" s="2"/>
      <c r="Y337" s="2"/>
      <c r="Z337" s="2"/>
    </row>
    <row r="338" ht="13.5" customHeight="1">
      <c r="A338" s="2"/>
      <c r="B338" s="2"/>
      <c r="C338" s="2"/>
      <c r="D338" s="2"/>
      <c r="E338" s="2"/>
      <c r="F338" s="2"/>
      <c r="G338" s="2"/>
      <c r="H338" s="2"/>
      <c r="I338" s="2"/>
      <c r="J338" s="2"/>
      <c r="K338" s="181"/>
      <c r="L338" s="2"/>
      <c r="M338" s="2"/>
      <c r="N338" s="2"/>
      <c r="O338" s="2"/>
      <c r="P338" s="2"/>
      <c r="Q338" s="157"/>
      <c r="R338" s="157"/>
      <c r="S338" s="157"/>
      <c r="T338" s="158"/>
      <c r="U338" s="2"/>
      <c r="V338" s="2"/>
      <c r="W338" s="2"/>
      <c r="X338" s="2"/>
      <c r="Y338" s="2"/>
      <c r="Z338" s="2"/>
    </row>
    <row r="339" ht="13.5" customHeight="1">
      <c r="A339" s="2"/>
      <c r="B339" s="2"/>
      <c r="C339" s="2"/>
      <c r="D339" s="2"/>
      <c r="E339" s="2"/>
      <c r="F339" s="2"/>
      <c r="G339" s="2"/>
      <c r="H339" s="2"/>
      <c r="I339" s="2"/>
      <c r="J339" s="2"/>
      <c r="K339" s="181"/>
      <c r="L339" s="2"/>
      <c r="M339" s="2"/>
      <c r="N339" s="2"/>
      <c r="O339" s="2"/>
      <c r="P339" s="2"/>
      <c r="Q339" s="157"/>
      <c r="R339" s="157"/>
      <c r="S339" s="157"/>
      <c r="T339" s="158"/>
      <c r="U339" s="2"/>
      <c r="V339" s="2"/>
      <c r="W339" s="2"/>
      <c r="X339" s="2"/>
      <c r="Y339" s="2"/>
      <c r="Z339" s="2"/>
    </row>
    <row r="340" ht="13.5" customHeight="1">
      <c r="A340" s="2"/>
      <c r="B340" s="2"/>
      <c r="C340" s="2"/>
      <c r="D340" s="2"/>
      <c r="E340" s="2"/>
      <c r="F340" s="2"/>
      <c r="G340" s="2"/>
      <c r="H340" s="2"/>
      <c r="I340" s="2"/>
      <c r="J340" s="2"/>
      <c r="K340" s="181"/>
      <c r="L340" s="2"/>
      <c r="M340" s="2"/>
      <c r="N340" s="2"/>
      <c r="O340" s="2"/>
      <c r="P340" s="2"/>
      <c r="Q340" s="157"/>
      <c r="R340" s="157"/>
      <c r="S340" s="157"/>
      <c r="T340" s="158"/>
      <c r="U340" s="2"/>
      <c r="V340" s="2"/>
      <c r="W340" s="2"/>
      <c r="X340" s="2"/>
      <c r="Y340" s="2"/>
      <c r="Z340" s="2"/>
    </row>
    <row r="341" ht="13.5" customHeight="1">
      <c r="A341" s="2"/>
      <c r="B341" s="2"/>
      <c r="C341" s="2"/>
      <c r="D341" s="2"/>
      <c r="E341" s="2"/>
      <c r="F341" s="2"/>
      <c r="G341" s="2"/>
      <c r="H341" s="2"/>
      <c r="I341" s="2"/>
      <c r="J341" s="2"/>
      <c r="K341" s="181"/>
      <c r="L341" s="2"/>
      <c r="M341" s="2"/>
      <c r="N341" s="2"/>
      <c r="O341" s="2"/>
      <c r="P341" s="2"/>
      <c r="Q341" s="157"/>
      <c r="R341" s="157"/>
      <c r="S341" s="157"/>
      <c r="T341" s="158"/>
      <c r="U341" s="2"/>
      <c r="V341" s="2"/>
      <c r="W341" s="2"/>
      <c r="X341" s="2"/>
      <c r="Y341" s="2"/>
      <c r="Z341" s="2"/>
    </row>
    <row r="342" ht="13.5" customHeight="1">
      <c r="A342" s="2"/>
      <c r="B342" s="2"/>
      <c r="C342" s="2"/>
      <c r="D342" s="2"/>
      <c r="E342" s="2"/>
      <c r="F342" s="2"/>
      <c r="G342" s="2"/>
      <c r="H342" s="2"/>
      <c r="I342" s="2"/>
      <c r="J342" s="2"/>
      <c r="K342" s="181"/>
      <c r="L342" s="2"/>
      <c r="M342" s="2"/>
      <c r="N342" s="2"/>
      <c r="O342" s="2"/>
      <c r="P342" s="2"/>
      <c r="Q342" s="157"/>
      <c r="R342" s="157"/>
      <c r="S342" s="157"/>
      <c r="T342" s="158"/>
      <c r="U342" s="2"/>
      <c r="V342" s="2"/>
      <c r="W342" s="2"/>
      <c r="X342" s="2"/>
      <c r="Y342" s="2"/>
      <c r="Z342" s="2"/>
    </row>
    <row r="343" ht="13.5" customHeight="1">
      <c r="A343" s="2"/>
      <c r="B343" s="2"/>
      <c r="C343" s="2"/>
      <c r="D343" s="2"/>
      <c r="E343" s="2"/>
      <c r="F343" s="2"/>
      <c r="G343" s="2"/>
      <c r="H343" s="2"/>
      <c r="I343" s="2"/>
      <c r="J343" s="2"/>
      <c r="K343" s="181"/>
      <c r="L343" s="2"/>
      <c r="M343" s="2"/>
      <c r="N343" s="2"/>
      <c r="O343" s="2"/>
      <c r="P343" s="2"/>
      <c r="Q343" s="157"/>
      <c r="R343" s="157"/>
      <c r="S343" s="157"/>
      <c r="T343" s="158"/>
      <c r="U343" s="2"/>
      <c r="V343" s="2"/>
      <c r="W343" s="2"/>
      <c r="X343" s="2"/>
      <c r="Y343" s="2"/>
      <c r="Z343" s="2"/>
    </row>
    <row r="344" ht="13.5" customHeight="1">
      <c r="A344" s="2"/>
      <c r="B344" s="2"/>
      <c r="C344" s="2"/>
      <c r="D344" s="2"/>
      <c r="E344" s="2"/>
      <c r="F344" s="2"/>
      <c r="G344" s="2"/>
      <c r="H344" s="2"/>
      <c r="I344" s="2"/>
      <c r="J344" s="2"/>
      <c r="K344" s="181"/>
      <c r="L344" s="2"/>
      <c r="M344" s="2"/>
      <c r="N344" s="2"/>
      <c r="O344" s="2"/>
      <c r="P344" s="2"/>
      <c r="Q344" s="157"/>
      <c r="R344" s="157"/>
      <c r="S344" s="157"/>
      <c r="T344" s="158"/>
      <c r="U344" s="2"/>
      <c r="V344" s="2"/>
      <c r="W344" s="2"/>
      <c r="X344" s="2"/>
      <c r="Y344" s="2"/>
      <c r="Z344" s="2"/>
    </row>
    <row r="345" ht="13.5" customHeight="1">
      <c r="A345" s="2"/>
      <c r="B345" s="2"/>
      <c r="C345" s="2"/>
      <c r="D345" s="2"/>
      <c r="E345" s="2"/>
      <c r="F345" s="2"/>
      <c r="G345" s="2"/>
      <c r="H345" s="2"/>
      <c r="I345" s="2"/>
      <c r="J345" s="2"/>
      <c r="K345" s="181"/>
      <c r="L345" s="2"/>
      <c r="M345" s="2"/>
      <c r="N345" s="2"/>
      <c r="O345" s="2"/>
      <c r="P345" s="2"/>
      <c r="Q345" s="157"/>
      <c r="R345" s="157"/>
      <c r="S345" s="157"/>
      <c r="T345" s="158"/>
      <c r="U345" s="2"/>
      <c r="V345" s="2"/>
      <c r="W345" s="2"/>
      <c r="X345" s="2"/>
      <c r="Y345" s="2"/>
      <c r="Z345" s="2"/>
    </row>
    <row r="346" ht="13.5" customHeight="1">
      <c r="A346" s="2"/>
      <c r="B346" s="2"/>
      <c r="C346" s="2"/>
      <c r="D346" s="2"/>
      <c r="E346" s="2"/>
      <c r="F346" s="2"/>
      <c r="G346" s="2"/>
      <c r="H346" s="2"/>
      <c r="I346" s="2"/>
      <c r="J346" s="2"/>
      <c r="K346" s="181"/>
      <c r="L346" s="2"/>
      <c r="M346" s="2"/>
      <c r="N346" s="2"/>
      <c r="O346" s="2"/>
      <c r="P346" s="2"/>
      <c r="Q346" s="157"/>
      <c r="R346" s="157"/>
      <c r="S346" s="157"/>
      <c r="T346" s="158"/>
      <c r="U346" s="2"/>
      <c r="V346" s="2"/>
      <c r="W346" s="2"/>
      <c r="X346" s="2"/>
      <c r="Y346" s="2"/>
      <c r="Z346" s="2"/>
    </row>
    <row r="347" ht="13.5" customHeight="1">
      <c r="A347" s="2"/>
      <c r="B347" s="2"/>
      <c r="C347" s="2"/>
      <c r="D347" s="2"/>
      <c r="E347" s="2"/>
      <c r="F347" s="2"/>
      <c r="G347" s="2"/>
      <c r="H347" s="2"/>
      <c r="I347" s="2"/>
      <c r="J347" s="2"/>
      <c r="K347" s="181"/>
      <c r="L347" s="2"/>
      <c r="M347" s="2"/>
      <c r="N347" s="2"/>
      <c r="O347" s="2"/>
      <c r="P347" s="2"/>
      <c r="Q347" s="157"/>
      <c r="R347" s="157"/>
      <c r="S347" s="157"/>
      <c r="T347" s="158"/>
      <c r="U347" s="2"/>
      <c r="V347" s="2"/>
      <c r="W347" s="2"/>
      <c r="X347" s="2"/>
      <c r="Y347" s="2"/>
      <c r="Z347" s="2"/>
    </row>
    <row r="348" ht="13.5" customHeight="1">
      <c r="A348" s="2"/>
      <c r="B348" s="2"/>
      <c r="C348" s="2"/>
      <c r="D348" s="2"/>
      <c r="E348" s="2"/>
      <c r="F348" s="2"/>
      <c r="G348" s="2"/>
      <c r="H348" s="2"/>
      <c r="I348" s="2"/>
      <c r="J348" s="2"/>
      <c r="K348" s="181"/>
      <c r="L348" s="2"/>
      <c r="M348" s="2"/>
      <c r="N348" s="2"/>
      <c r="O348" s="2"/>
      <c r="P348" s="2"/>
      <c r="Q348" s="157"/>
      <c r="R348" s="157"/>
      <c r="S348" s="157"/>
      <c r="T348" s="158"/>
      <c r="U348" s="2"/>
      <c r="V348" s="2"/>
      <c r="W348" s="2"/>
      <c r="X348" s="2"/>
      <c r="Y348" s="2"/>
      <c r="Z348" s="2"/>
    </row>
    <row r="349" ht="13.5" customHeight="1">
      <c r="A349" s="2"/>
      <c r="B349" s="2"/>
      <c r="C349" s="2"/>
      <c r="D349" s="2"/>
      <c r="E349" s="2"/>
      <c r="F349" s="2"/>
      <c r="G349" s="2"/>
      <c r="H349" s="2"/>
      <c r="I349" s="2"/>
      <c r="J349" s="2"/>
      <c r="K349" s="181"/>
      <c r="L349" s="2"/>
      <c r="M349" s="2"/>
      <c r="N349" s="2"/>
      <c r="O349" s="2"/>
      <c r="P349" s="2"/>
      <c r="Q349" s="157"/>
      <c r="R349" s="157"/>
      <c r="S349" s="157"/>
      <c r="T349" s="158"/>
      <c r="U349" s="2"/>
      <c r="V349" s="2"/>
      <c r="W349" s="2"/>
      <c r="X349" s="2"/>
      <c r="Y349" s="2"/>
      <c r="Z349" s="2"/>
    </row>
    <row r="350" ht="13.5" customHeight="1">
      <c r="A350" s="2"/>
      <c r="B350" s="2"/>
      <c r="C350" s="2"/>
      <c r="D350" s="2"/>
      <c r="E350" s="2"/>
      <c r="F350" s="2"/>
      <c r="G350" s="2"/>
      <c r="H350" s="2"/>
      <c r="I350" s="2"/>
      <c r="J350" s="2"/>
      <c r="K350" s="181"/>
      <c r="L350" s="2"/>
      <c r="M350" s="2"/>
      <c r="N350" s="2"/>
      <c r="O350" s="2"/>
      <c r="P350" s="2"/>
      <c r="Q350" s="157"/>
      <c r="R350" s="157"/>
      <c r="S350" s="157"/>
      <c r="T350" s="158"/>
      <c r="U350" s="2"/>
      <c r="V350" s="2"/>
      <c r="W350" s="2"/>
      <c r="X350" s="2"/>
      <c r="Y350" s="2"/>
      <c r="Z350" s="2"/>
    </row>
    <row r="351" ht="13.5" customHeight="1">
      <c r="A351" s="2"/>
      <c r="B351" s="2"/>
      <c r="C351" s="2"/>
      <c r="D351" s="2"/>
      <c r="E351" s="2"/>
      <c r="F351" s="2"/>
      <c r="G351" s="2"/>
      <c r="H351" s="2"/>
      <c r="I351" s="2"/>
      <c r="J351" s="2"/>
      <c r="K351" s="181"/>
      <c r="L351" s="2"/>
      <c r="M351" s="2"/>
      <c r="N351" s="2"/>
      <c r="O351" s="2"/>
      <c r="P351" s="2"/>
      <c r="Q351" s="157"/>
      <c r="R351" s="157"/>
      <c r="S351" s="157"/>
      <c r="T351" s="158"/>
      <c r="U351" s="2"/>
      <c r="V351" s="2"/>
      <c r="W351" s="2"/>
      <c r="X351" s="2"/>
      <c r="Y351" s="2"/>
      <c r="Z351" s="2"/>
    </row>
    <row r="352" ht="13.5" customHeight="1">
      <c r="A352" s="2"/>
      <c r="B352" s="2"/>
      <c r="C352" s="2"/>
      <c r="D352" s="2"/>
      <c r="E352" s="2"/>
      <c r="F352" s="2"/>
      <c r="G352" s="2"/>
      <c r="H352" s="2"/>
      <c r="I352" s="2"/>
      <c r="J352" s="2"/>
      <c r="K352" s="181"/>
      <c r="L352" s="2"/>
      <c r="M352" s="2"/>
      <c r="N352" s="2"/>
      <c r="O352" s="2"/>
      <c r="P352" s="2"/>
      <c r="Q352" s="157"/>
      <c r="R352" s="157"/>
      <c r="S352" s="157"/>
      <c r="T352" s="158"/>
      <c r="U352" s="2"/>
      <c r="V352" s="2"/>
      <c r="W352" s="2"/>
      <c r="X352" s="2"/>
      <c r="Y352" s="2"/>
      <c r="Z352" s="2"/>
    </row>
    <row r="353" ht="13.5" customHeight="1">
      <c r="A353" s="2"/>
      <c r="B353" s="2"/>
      <c r="C353" s="2"/>
      <c r="D353" s="2"/>
      <c r="E353" s="2"/>
      <c r="F353" s="2"/>
      <c r="G353" s="2"/>
      <c r="H353" s="2"/>
      <c r="I353" s="2"/>
      <c r="J353" s="2"/>
      <c r="K353" s="181"/>
      <c r="L353" s="2"/>
      <c r="M353" s="2"/>
      <c r="N353" s="2"/>
      <c r="O353" s="2"/>
      <c r="P353" s="2"/>
      <c r="Q353" s="157"/>
      <c r="R353" s="157"/>
      <c r="S353" s="157"/>
      <c r="T353" s="158"/>
      <c r="U353" s="2"/>
      <c r="V353" s="2"/>
      <c r="W353" s="2"/>
      <c r="X353" s="2"/>
      <c r="Y353" s="2"/>
      <c r="Z353" s="2"/>
    </row>
    <row r="354" ht="13.5" customHeight="1">
      <c r="A354" s="2"/>
      <c r="B354" s="2"/>
      <c r="C354" s="2"/>
      <c r="D354" s="2"/>
      <c r="E354" s="2"/>
      <c r="F354" s="2"/>
      <c r="G354" s="2"/>
      <c r="H354" s="2"/>
      <c r="I354" s="2"/>
      <c r="J354" s="2"/>
      <c r="K354" s="181"/>
      <c r="L354" s="2"/>
      <c r="M354" s="2"/>
      <c r="N354" s="2"/>
      <c r="O354" s="2"/>
      <c r="P354" s="2"/>
      <c r="Q354" s="157"/>
      <c r="R354" s="157"/>
      <c r="S354" s="157"/>
      <c r="T354" s="158"/>
      <c r="U354" s="2"/>
      <c r="V354" s="2"/>
      <c r="W354" s="2"/>
      <c r="X354" s="2"/>
      <c r="Y354" s="2"/>
      <c r="Z354" s="2"/>
    </row>
    <row r="355" ht="13.5" customHeight="1">
      <c r="A355" s="2"/>
      <c r="B355" s="2"/>
      <c r="C355" s="2"/>
      <c r="D355" s="2"/>
      <c r="E355" s="2"/>
      <c r="F355" s="2"/>
      <c r="G355" s="2"/>
      <c r="H355" s="2"/>
      <c r="I355" s="2"/>
      <c r="J355" s="2"/>
      <c r="K355" s="181"/>
      <c r="L355" s="2"/>
      <c r="M355" s="2"/>
      <c r="N355" s="2"/>
      <c r="O355" s="2"/>
      <c r="P355" s="2"/>
      <c r="Q355" s="157"/>
      <c r="R355" s="157"/>
      <c r="S355" s="157"/>
      <c r="T355" s="158"/>
      <c r="U355" s="2"/>
      <c r="V355" s="2"/>
      <c r="W355" s="2"/>
      <c r="X355" s="2"/>
      <c r="Y355" s="2"/>
      <c r="Z355" s="2"/>
    </row>
    <row r="356" ht="13.5" customHeight="1">
      <c r="A356" s="2"/>
      <c r="B356" s="2"/>
      <c r="C356" s="2"/>
      <c r="D356" s="2"/>
      <c r="E356" s="2"/>
      <c r="F356" s="2"/>
      <c r="G356" s="2"/>
      <c r="H356" s="2"/>
      <c r="I356" s="2"/>
      <c r="J356" s="2"/>
      <c r="K356" s="181"/>
      <c r="L356" s="2"/>
      <c r="M356" s="2"/>
      <c r="N356" s="2"/>
      <c r="O356" s="2"/>
      <c r="P356" s="2"/>
      <c r="Q356" s="157"/>
      <c r="R356" s="157"/>
      <c r="S356" s="157"/>
      <c r="T356" s="158"/>
      <c r="U356" s="2"/>
      <c r="V356" s="2"/>
      <c r="W356" s="2"/>
      <c r="X356" s="2"/>
      <c r="Y356" s="2"/>
      <c r="Z356" s="2"/>
    </row>
    <row r="357" ht="13.5" customHeight="1">
      <c r="A357" s="2"/>
      <c r="B357" s="2"/>
      <c r="C357" s="2"/>
      <c r="D357" s="2"/>
      <c r="E357" s="2"/>
      <c r="F357" s="2"/>
      <c r="G357" s="2"/>
      <c r="H357" s="2"/>
      <c r="I357" s="2"/>
      <c r="J357" s="2"/>
      <c r="K357" s="181"/>
      <c r="L357" s="2"/>
      <c r="M357" s="2"/>
      <c r="N357" s="2"/>
      <c r="O357" s="2"/>
      <c r="P357" s="2"/>
      <c r="Q357" s="157"/>
      <c r="R357" s="157"/>
      <c r="S357" s="157"/>
      <c r="T357" s="158"/>
      <c r="U357" s="2"/>
      <c r="V357" s="2"/>
      <c r="W357" s="2"/>
      <c r="X357" s="2"/>
      <c r="Y357" s="2"/>
      <c r="Z357" s="2"/>
    </row>
    <row r="358" ht="13.5" customHeight="1">
      <c r="A358" s="2"/>
      <c r="B358" s="2"/>
      <c r="C358" s="2"/>
      <c r="D358" s="2"/>
      <c r="E358" s="2"/>
      <c r="F358" s="2"/>
      <c r="G358" s="2"/>
      <c r="H358" s="2"/>
      <c r="I358" s="2"/>
      <c r="J358" s="2"/>
      <c r="K358" s="181"/>
      <c r="L358" s="2"/>
      <c r="M358" s="2"/>
      <c r="N358" s="2"/>
      <c r="O358" s="2"/>
      <c r="P358" s="2"/>
      <c r="Q358" s="157"/>
      <c r="R358" s="157"/>
      <c r="S358" s="157"/>
      <c r="T358" s="158"/>
      <c r="U358" s="2"/>
      <c r="V358" s="2"/>
      <c r="W358" s="2"/>
      <c r="X358" s="2"/>
      <c r="Y358" s="2"/>
      <c r="Z358" s="2"/>
    </row>
    <row r="359" ht="13.5" customHeight="1">
      <c r="A359" s="2"/>
      <c r="B359" s="2"/>
      <c r="C359" s="2"/>
      <c r="D359" s="2"/>
      <c r="E359" s="2"/>
      <c r="F359" s="2"/>
      <c r="G359" s="2"/>
      <c r="H359" s="2"/>
      <c r="I359" s="2"/>
      <c r="J359" s="2"/>
      <c r="K359" s="181"/>
      <c r="L359" s="2"/>
      <c r="M359" s="2"/>
      <c r="N359" s="2"/>
      <c r="O359" s="2"/>
      <c r="P359" s="2"/>
      <c r="Q359" s="157"/>
      <c r="R359" s="157"/>
      <c r="S359" s="157"/>
      <c r="T359" s="158"/>
      <c r="U359" s="2"/>
      <c r="V359" s="2"/>
      <c r="W359" s="2"/>
      <c r="X359" s="2"/>
      <c r="Y359" s="2"/>
      <c r="Z359" s="2"/>
    </row>
    <row r="360" ht="13.5" customHeight="1">
      <c r="A360" s="2"/>
      <c r="B360" s="2"/>
      <c r="C360" s="2"/>
      <c r="D360" s="2"/>
      <c r="E360" s="2"/>
      <c r="F360" s="2"/>
      <c r="G360" s="2"/>
      <c r="H360" s="2"/>
      <c r="I360" s="2"/>
      <c r="J360" s="2"/>
      <c r="K360" s="181"/>
      <c r="L360" s="2"/>
      <c r="M360" s="2"/>
      <c r="N360" s="2"/>
      <c r="O360" s="2"/>
      <c r="P360" s="2"/>
      <c r="Q360" s="157"/>
      <c r="R360" s="157"/>
      <c r="S360" s="157"/>
      <c r="T360" s="158"/>
      <c r="U360" s="2"/>
      <c r="V360" s="2"/>
      <c r="W360" s="2"/>
      <c r="X360" s="2"/>
      <c r="Y360" s="2"/>
      <c r="Z360" s="2"/>
    </row>
    <row r="361" ht="13.5" customHeight="1">
      <c r="A361" s="2"/>
      <c r="B361" s="2"/>
      <c r="C361" s="2"/>
      <c r="D361" s="2"/>
      <c r="E361" s="2"/>
      <c r="F361" s="2"/>
      <c r="G361" s="2"/>
      <c r="H361" s="2"/>
      <c r="I361" s="2"/>
      <c r="J361" s="2"/>
      <c r="K361" s="181"/>
      <c r="L361" s="2"/>
      <c r="M361" s="2"/>
      <c r="N361" s="2"/>
      <c r="O361" s="2"/>
      <c r="P361" s="2"/>
      <c r="Q361" s="157"/>
      <c r="R361" s="157"/>
      <c r="S361" s="157"/>
      <c r="T361" s="158"/>
      <c r="U361" s="2"/>
      <c r="V361" s="2"/>
      <c r="W361" s="2"/>
      <c r="X361" s="2"/>
      <c r="Y361" s="2"/>
      <c r="Z361" s="2"/>
    </row>
    <row r="362" ht="13.5" customHeight="1">
      <c r="A362" s="2"/>
      <c r="B362" s="2"/>
      <c r="C362" s="2"/>
      <c r="D362" s="2"/>
      <c r="E362" s="2"/>
      <c r="F362" s="2"/>
      <c r="G362" s="2"/>
      <c r="H362" s="2"/>
      <c r="I362" s="2"/>
      <c r="J362" s="2"/>
      <c r="K362" s="181"/>
      <c r="L362" s="2"/>
      <c r="M362" s="2"/>
      <c r="N362" s="2"/>
      <c r="O362" s="2"/>
      <c r="P362" s="2"/>
      <c r="Q362" s="157"/>
      <c r="R362" s="157"/>
      <c r="S362" s="157"/>
      <c r="T362" s="158"/>
      <c r="U362" s="2"/>
      <c r="V362" s="2"/>
      <c r="W362" s="2"/>
      <c r="X362" s="2"/>
      <c r="Y362" s="2"/>
      <c r="Z362" s="2"/>
    </row>
    <row r="363" ht="13.5" customHeight="1">
      <c r="A363" s="2"/>
      <c r="B363" s="2"/>
      <c r="C363" s="2"/>
      <c r="D363" s="2"/>
      <c r="E363" s="2"/>
      <c r="F363" s="2"/>
      <c r="G363" s="2"/>
      <c r="H363" s="2"/>
      <c r="I363" s="2"/>
      <c r="J363" s="2"/>
      <c r="K363" s="181"/>
      <c r="L363" s="2"/>
      <c r="M363" s="2"/>
      <c r="N363" s="2"/>
      <c r="O363" s="2"/>
      <c r="P363" s="2"/>
      <c r="Q363" s="157"/>
      <c r="R363" s="157"/>
      <c r="S363" s="157"/>
      <c r="T363" s="158"/>
      <c r="U363" s="2"/>
      <c r="V363" s="2"/>
      <c r="W363" s="2"/>
      <c r="X363" s="2"/>
      <c r="Y363" s="2"/>
      <c r="Z363" s="2"/>
    </row>
    <row r="364" ht="13.5" customHeight="1">
      <c r="A364" s="2"/>
      <c r="B364" s="2"/>
      <c r="C364" s="2"/>
      <c r="D364" s="2"/>
      <c r="E364" s="2"/>
      <c r="F364" s="2"/>
      <c r="G364" s="2"/>
      <c r="H364" s="2"/>
      <c r="I364" s="2"/>
      <c r="J364" s="2"/>
      <c r="K364" s="181"/>
      <c r="L364" s="2"/>
      <c r="M364" s="2"/>
      <c r="N364" s="2"/>
      <c r="O364" s="2"/>
      <c r="P364" s="2"/>
      <c r="Q364" s="157"/>
      <c r="R364" s="157"/>
      <c r="S364" s="157"/>
      <c r="T364" s="158"/>
      <c r="U364" s="2"/>
      <c r="V364" s="2"/>
      <c r="W364" s="2"/>
      <c r="X364" s="2"/>
      <c r="Y364" s="2"/>
      <c r="Z364" s="2"/>
    </row>
    <row r="365" ht="13.5" customHeight="1">
      <c r="A365" s="2"/>
      <c r="B365" s="2"/>
      <c r="C365" s="2"/>
      <c r="D365" s="2"/>
      <c r="E365" s="2"/>
      <c r="F365" s="2"/>
      <c r="G365" s="2"/>
      <c r="H365" s="2"/>
      <c r="I365" s="2"/>
      <c r="J365" s="2"/>
      <c r="K365" s="181"/>
      <c r="L365" s="2"/>
      <c r="M365" s="2"/>
      <c r="N365" s="2"/>
      <c r="O365" s="2"/>
      <c r="P365" s="2"/>
      <c r="Q365" s="157"/>
      <c r="R365" s="157"/>
      <c r="S365" s="157"/>
      <c r="T365" s="158"/>
      <c r="U365" s="2"/>
      <c r="V365" s="2"/>
      <c r="W365" s="2"/>
      <c r="X365" s="2"/>
      <c r="Y365" s="2"/>
      <c r="Z365" s="2"/>
    </row>
    <row r="366" ht="13.5" customHeight="1">
      <c r="A366" s="2"/>
      <c r="B366" s="2"/>
      <c r="C366" s="2"/>
      <c r="D366" s="2"/>
      <c r="E366" s="2"/>
      <c r="F366" s="2"/>
      <c r="G366" s="2"/>
      <c r="H366" s="2"/>
      <c r="I366" s="2"/>
      <c r="J366" s="2"/>
      <c r="K366" s="181"/>
      <c r="L366" s="2"/>
      <c r="M366" s="2"/>
      <c r="N366" s="2"/>
      <c r="O366" s="2"/>
      <c r="P366" s="2"/>
      <c r="Q366" s="157"/>
      <c r="R366" s="157"/>
      <c r="S366" s="157"/>
      <c r="T366" s="158"/>
      <c r="U366" s="2"/>
      <c r="V366" s="2"/>
      <c r="W366" s="2"/>
      <c r="X366" s="2"/>
      <c r="Y366" s="2"/>
      <c r="Z366" s="2"/>
    </row>
    <row r="367" ht="13.5" customHeight="1">
      <c r="A367" s="2"/>
      <c r="B367" s="2"/>
      <c r="C367" s="2"/>
      <c r="D367" s="2"/>
      <c r="E367" s="2"/>
      <c r="F367" s="2"/>
      <c r="G367" s="2"/>
      <c r="H367" s="2"/>
      <c r="I367" s="2"/>
      <c r="J367" s="2"/>
      <c r="K367" s="181"/>
      <c r="L367" s="2"/>
      <c r="M367" s="2"/>
      <c r="N367" s="2"/>
      <c r="O367" s="2"/>
      <c r="P367" s="2"/>
      <c r="Q367" s="157"/>
      <c r="R367" s="157"/>
      <c r="S367" s="157"/>
      <c r="T367" s="158"/>
      <c r="U367" s="2"/>
      <c r="V367" s="2"/>
      <c r="W367" s="2"/>
      <c r="X367" s="2"/>
      <c r="Y367" s="2"/>
      <c r="Z367" s="2"/>
    </row>
    <row r="368" ht="13.5" customHeight="1">
      <c r="A368" s="2"/>
      <c r="B368" s="2"/>
      <c r="C368" s="2"/>
      <c r="D368" s="2"/>
      <c r="E368" s="2"/>
      <c r="F368" s="2"/>
      <c r="G368" s="2"/>
      <c r="H368" s="2"/>
      <c r="I368" s="2"/>
      <c r="J368" s="2"/>
      <c r="K368" s="181"/>
      <c r="L368" s="2"/>
      <c r="M368" s="2"/>
      <c r="N368" s="2"/>
      <c r="O368" s="2"/>
      <c r="P368" s="2"/>
      <c r="Q368" s="157"/>
      <c r="R368" s="157"/>
      <c r="S368" s="157"/>
      <c r="T368" s="158"/>
      <c r="U368" s="2"/>
      <c r="V368" s="2"/>
      <c r="W368" s="2"/>
      <c r="X368" s="2"/>
      <c r="Y368" s="2"/>
      <c r="Z368" s="2"/>
    </row>
    <row r="369" ht="13.5" customHeight="1">
      <c r="A369" s="2"/>
      <c r="B369" s="2"/>
      <c r="C369" s="2"/>
      <c r="D369" s="2"/>
      <c r="E369" s="2"/>
      <c r="F369" s="2"/>
      <c r="G369" s="2"/>
      <c r="H369" s="2"/>
      <c r="I369" s="2"/>
      <c r="J369" s="2"/>
      <c r="K369" s="181"/>
      <c r="L369" s="2"/>
      <c r="M369" s="2"/>
      <c r="N369" s="2"/>
      <c r="O369" s="2"/>
      <c r="P369" s="2"/>
      <c r="Q369" s="157"/>
      <c r="R369" s="157"/>
      <c r="S369" s="157"/>
      <c r="T369" s="158"/>
      <c r="U369" s="2"/>
      <c r="V369" s="2"/>
      <c r="W369" s="2"/>
      <c r="X369" s="2"/>
      <c r="Y369" s="2"/>
      <c r="Z369" s="2"/>
    </row>
    <row r="370" ht="13.5" customHeight="1">
      <c r="A370" s="2"/>
      <c r="B370" s="2"/>
      <c r="C370" s="2"/>
      <c r="D370" s="2"/>
      <c r="E370" s="2"/>
      <c r="F370" s="2"/>
      <c r="G370" s="2"/>
      <c r="H370" s="2"/>
      <c r="I370" s="2"/>
      <c r="J370" s="2"/>
      <c r="K370" s="181"/>
      <c r="L370" s="2"/>
      <c r="M370" s="2"/>
      <c r="N370" s="2"/>
      <c r="O370" s="2"/>
      <c r="P370" s="2"/>
      <c r="Q370" s="157"/>
      <c r="R370" s="157"/>
      <c r="S370" s="157"/>
      <c r="T370" s="158"/>
      <c r="U370" s="2"/>
      <c r="V370" s="2"/>
      <c r="W370" s="2"/>
      <c r="X370" s="2"/>
      <c r="Y370" s="2"/>
      <c r="Z370" s="2"/>
    </row>
    <row r="371" ht="13.5" customHeight="1">
      <c r="A371" s="2"/>
      <c r="B371" s="2"/>
      <c r="C371" s="2"/>
      <c r="D371" s="2"/>
      <c r="E371" s="2"/>
      <c r="F371" s="2"/>
      <c r="G371" s="2"/>
      <c r="H371" s="2"/>
      <c r="I371" s="2"/>
      <c r="J371" s="2"/>
      <c r="K371" s="181"/>
      <c r="L371" s="2"/>
      <c r="M371" s="2"/>
      <c r="N371" s="2"/>
      <c r="O371" s="2"/>
      <c r="P371" s="2"/>
      <c r="Q371" s="157"/>
      <c r="R371" s="157"/>
      <c r="S371" s="157"/>
      <c r="T371" s="158"/>
      <c r="U371" s="2"/>
      <c r="V371" s="2"/>
      <c r="W371" s="2"/>
      <c r="X371" s="2"/>
      <c r="Y371" s="2"/>
      <c r="Z371" s="2"/>
    </row>
    <row r="372" ht="13.5" customHeight="1">
      <c r="A372" s="2"/>
      <c r="B372" s="2"/>
      <c r="C372" s="2"/>
      <c r="D372" s="2"/>
      <c r="E372" s="2"/>
      <c r="F372" s="2"/>
      <c r="G372" s="2"/>
      <c r="H372" s="2"/>
      <c r="I372" s="2"/>
      <c r="J372" s="2"/>
      <c r="K372" s="181"/>
      <c r="L372" s="2"/>
      <c r="M372" s="2"/>
      <c r="N372" s="2"/>
      <c r="O372" s="2"/>
      <c r="P372" s="2"/>
      <c r="Q372" s="157"/>
      <c r="R372" s="157"/>
      <c r="S372" s="157"/>
      <c r="T372" s="158"/>
      <c r="U372" s="2"/>
      <c r="V372" s="2"/>
      <c r="W372" s="2"/>
      <c r="X372" s="2"/>
      <c r="Y372" s="2"/>
      <c r="Z372" s="2"/>
    </row>
    <row r="373" ht="13.5" customHeight="1">
      <c r="A373" s="2"/>
      <c r="B373" s="2"/>
      <c r="C373" s="2"/>
      <c r="D373" s="2"/>
      <c r="E373" s="2"/>
      <c r="F373" s="2"/>
      <c r="G373" s="2"/>
      <c r="H373" s="2"/>
      <c r="I373" s="2"/>
      <c r="J373" s="2"/>
      <c r="K373" s="181"/>
      <c r="L373" s="2"/>
      <c r="M373" s="2"/>
      <c r="N373" s="2"/>
      <c r="O373" s="2"/>
      <c r="P373" s="2"/>
      <c r="Q373" s="157"/>
      <c r="R373" s="157"/>
      <c r="S373" s="157"/>
      <c r="T373" s="158"/>
      <c r="U373" s="2"/>
      <c r="V373" s="2"/>
      <c r="W373" s="2"/>
      <c r="X373" s="2"/>
      <c r="Y373" s="2"/>
      <c r="Z373" s="2"/>
    </row>
    <row r="374" ht="13.5" customHeight="1">
      <c r="A374" s="2"/>
      <c r="B374" s="2"/>
      <c r="C374" s="2"/>
      <c r="D374" s="2"/>
      <c r="E374" s="2"/>
      <c r="F374" s="2"/>
      <c r="G374" s="2"/>
      <c r="H374" s="2"/>
      <c r="I374" s="2"/>
      <c r="J374" s="2"/>
      <c r="K374" s="181"/>
      <c r="L374" s="2"/>
      <c r="M374" s="2"/>
      <c r="N374" s="2"/>
      <c r="O374" s="2"/>
      <c r="P374" s="2"/>
      <c r="Q374" s="157"/>
      <c r="R374" s="157"/>
      <c r="S374" s="157"/>
      <c r="T374" s="158"/>
      <c r="U374" s="2"/>
      <c r="V374" s="2"/>
      <c r="W374" s="2"/>
      <c r="X374" s="2"/>
      <c r="Y374" s="2"/>
      <c r="Z374" s="2"/>
    </row>
    <row r="375" ht="13.5" customHeight="1">
      <c r="A375" s="2"/>
      <c r="B375" s="2"/>
      <c r="C375" s="2"/>
      <c r="D375" s="2"/>
      <c r="E375" s="2"/>
      <c r="F375" s="2"/>
      <c r="G375" s="2"/>
      <c r="H375" s="2"/>
      <c r="I375" s="2"/>
      <c r="J375" s="2"/>
      <c r="K375" s="181"/>
      <c r="L375" s="2"/>
      <c r="M375" s="2"/>
      <c r="N375" s="2"/>
      <c r="O375" s="2"/>
      <c r="P375" s="2"/>
      <c r="Q375" s="157"/>
      <c r="R375" s="157"/>
      <c r="S375" s="157"/>
      <c r="T375" s="158"/>
      <c r="U375" s="2"/>
      <c r="V375" s="2"/>
      <c r="W375" s="2"/>
      <c r="X375" s="2"/>
      <c r="Y375" s="2"/>
      <c r="Z375" s="2"/>
    </row>
    <row r="376" ht="13.5" customHeight="1">
      <c r="A376" s="2"/>
      <c r="B376" s="2"/>
      <c r="C376" s="2"/>
      <c r="D376" s="2"/>
      <c r="E376" s="2"/>
      <c r="F376" s="2"/>
      <c r="G376" s="2"/>
      <c r="H376" s="2"/>
      <c r="I376" s="2"/>
      <c r="J376" s="2"/>
      <c r="K376" s="181"/>
      <c r="L376" s="2"/>
      <c r="M376" s="2"/>
      <c r="N376" s="2"/>
      <c r="O376" s="2"/>
      <c r="P376" s="2"/>
      <c r="Q376" s="157"/>
      <c r="R376" s="157"/>
      <c r="S376" s="157"/>
      <c r="T376" s="158"/>
      <c r="U376" s="2"/>
      <c r="V376" s="2"/>
      <c r="W376" s="2"/>
      <c r="X376" s="2"/>
      <c r="Y376" s="2"/>
      <c r="Z376" s="2"/>
    </row>
    <row r="377" ht="13.5" customHeight="1">
      <c r="A377" s="2"/>
      <c r="B377" s="2"/>
      <c r="C377" s="2"/>
      <c r="D377" s="2"/>
      <c r="E377" s="2"/>
      <c r="F377" s="2"/>
      <c r="G377" s="2"/>
      <c r="H377" s="2"/>
      <c r="I377" s="2"/>
      <c r="J377" s="2"/>
      <c r="K377" s="181"/>
      <c r="L377" s="2"/>
      <c r="M377" s="2"/>
      <c r="N377" s="2"/>
      <c r="O377" s="2"/>
      <c r="P377" s="2"/>
      <c r="Q377" s="157"/>
      <c r="R377" s="157"/>
      <c r="S377" s="157"/>
      <c r="T377" s="158"/>
      <c r="U377" s="2"/>
      <c r="V377" s="2"/>
      <c r="W377" s="2"/>
      <c r="X377" s="2"/>
      <c r="Y377" s="2"/>
      <c r="Z377" s="2"/>
    </row>
    <row r="378" ht="13.5" customHeight="1">
      <c r="A378" s="2"/>
      <c r="B378" s="2"/>
      <c r="C378" s="2"/>
      <c r="D378" s="2"/>
      <c r="E378" s="2"/>
      <c r="F378" s="2"/>
      <c r="G378" s="2"/>
      <c r="H378" s="2"/>
      <c r="I378" s="2"/>
      <c r="J378" s="2"/>
      <c r="K378" s="181"/>
      <c r="L378" s="2"/>
      <c r="M378" s="2"/>
      <c r="N378" s="2"/>
      <c r="O378" s="2"/>
      <c r="P378" s="2"/>
      <c r="Q378" s="157"/>
      <c r="R378" s="157"/>
      <c r="S378" s="157"/>
      <c r="T378" s="158"/>
      <c r="U378" s="2"/>
      <c r="V378" s="2"/>
      <c r="W378" s="2"/>
      <c r="X378" s="2"/>
      <c r="Y378" s="2"/>
      <c r="Z378" s="2"/>
    </row>
    <row r="379" ht="13.5" customHeight="1">
      <c r="A379" s="2"/>
      <c r="B379" s="2"/>
      <c r="C379" s="2"/>
      <c r="D379" s="2"/>
      <c r="E379" s="2"/>
      <c r="F379" s="2"/>
      <c r="G379" s="2"/>
      <c r="H379" s="2"/>
      <c r="I379" s="2"/>
      <c r="J379" s="2"/>
      <c r="K379" s="181"/>
      <c r="L379" s="2"/>
      <c r="M379" s="2"/>
      <c r="N379" s="2"/>
      <c r="O379" s="2"/>
      <c r="P379" s="2"/>
      <c r="Q379" s="157"/>
      <c r="R379" s="157"/>
      <c r="S379" s="157"/>
      <c r="T379" s="158"/>
      <c r="U379" s="2"/>
      <c r="V379" s="2"/>
      <c r="W379" s="2"/>
      <c r="X379" s="2"/>
      <c r="Y379" s="2"/>
      <c r="Z379" s="2"/>
    </row>
    <row r="380" ht="13.5" customHeight="1">
      <c r="A380" s="2"/>
      <c r="B380" s="2"/>
      <c r="C380" s="2"/>
      <c r="D380" s="2"/>
      <c r="E380" s="2"/>
      <c r="F380" s="2"/>
      <c r="G380" s="2"/>
      <c r="H380" s="2"/>
      <c r="I380" s="2"/>
      <c r="J380" s="2"/>
      <c r="K380" s="181"/>
      <c r="L380" s="2"/>
      <c r="M380" s="2"/>
      <c r="N380" s="2"/>
      <c r="O380" s="2"/>
      <c r="P380" s="2"/>
      <c r="Q380" s="157"/>
      <c r="R380" s="157"/>
      <c r="S380" s="157"/>
      <c r="T380" s="158"/>
      <c r="U380" s="2"/>
      <c r="V380" s="2"/>
      <c r="W380" s="2"/>
      <c r="X380" s="2"/>
      <c r="Y380" s="2"/>
      <c r="Z380" s="2"/>
    </row>
    <row r="381" ht="13.5" customHeight="1">
      <c r="A381" s="2"/>
      <c r="B381" s="2"/>
      <c r="C381" s="2"/>
      <c r="D381" s="2"/>
      <c r="E381" s="2"/>
      <c r="F381" s="2"/>
      <c r="G381" s="2"/>
      <c r="H381" s="2"/>
      <c r="I381" s="2"/>
      <c r="J381" s="2"/>
      <c r="K381" s="181"/>
      <c r="L381" s="2"/>
      <c r="M381" s="2"/>
      <c r="N381" s="2"/>
      <c r="O381" s="2"/>
      <c r="P381" s="2"/>
      <c r="Q381" s="157"/>
      <c r="R381" s="157"/>
      <c r="S381" s="157"/>
      <c r="T381" s="158"/>
      <c r="U381" s="2"/>
      <c r="V381" s="2"/>
      <c r="W381" s="2"/>
      <c r="X381" s="2"/>
      <c r="Y381" s="2"/>
      <c r="Z381" s="2"/>
    </row>
    <row r="382" ht="13.5" customHeight="1">
      <c r="A382" s="2"/>
      <c r="B382" s="2"/>
      <c r="C382" s="2"/>
      <c r="D382" s="2"/>
      <c r="E382" s="2"/>
      <c r="F382" s="2"/>
      <c r="G382" s="2"/>
      <c r="H382" s="2"/>
      <c r="I382" s="2"/>
      <c r="J382" s="2"/>
      <c r="K382" s="181"/>
      <c r="L382" s="2"/>
      <c r="M382" s="2"/>
      <c r="N382" s="2"/>
      <c r="O382" s="2"/>
      <c r="P382" s="2"/>
      <c r="Q382" s="157"/>
      <c r="R382" s="157"/>
      <c r="S382" s="157"/>
      <c r="T382" s="158"/>
      <c r="U382" s="2"/>
      <c r="V382" s="2"/>
      <c r="W382" s="2"/>
      <c r="X382" s="2"/>
      <c r="Y382" s="2"/>
      <c r="Z382" s="2"/>
    </row>
    <row r="383" ht="13.5" customHeight="1">
      <c r="A383" s="2"/>
      <c r="B383" s="2"/>
      <c r="C383" s="2"/>
      <c r="D383" s="2"/>
      <c r="E383" s="2"/>
      <c r="F383" s="2"/>
      <c r="G383" s="2"/>
      <c r="H383" s="2"/>
      <c r="I383" s="2"/>
      <c r="J383" s="2"/>
      <c r="K383" s="181"/>
      <c r="L383" s="2"/>
      <c r="M383" s="2"/>
      <c r="N383" s="2"/>
      <c r="O383" s="2"/>
      <c r="P383" s="2"/>
      <c r="Q383" s="157"/>
      <c r="R383" s="157"/>
      <c r="S383" s="157"/>
      <c r="T383" s="158"/>
      <c r="U383" s="2"/>
      <c r="V383" s="2"/>
      <c r="W383" s="2"/>
      <c r="X383" s="2"/>
      <c r="Y383" s="2"/>
      <c r="Z383" s="2"/>
    </row>
    <row r="384" ht="13.5" customHeight="1">
      <c r="A384" s="2"/>
      <c r="B384" s="2"/>
      <c r="C384" s="2"/>
      <c r="D384" s="2"/>
      <c r="E384" s="2"/>
      <c r="F384" s="2"/>
      <c r="G384" s="2"/>
      <c r="H384" s="2"/>
      <c r="I384" s="2"/>
      <c r="J384" s="2"/>
      <c r="K384" s="181"/>
      <c r="L384" s="2"/>
      <c r="M384" s="2"/>
      <c r="N384" s="2"/>
      <c r="O384" s="2"/>
      <c r="P384" s="2"/>
      <c r="Q384" s="157"/>
      <c r="R384" s="157"/>
      <c r="S384" s="157"/>
      <c r="T384" s="158"/>
      <c r="U384" s="2"/>
      <c r="V384" s="2"/>
      <c r="W384" s="2"/>
      <c r="X384" s="2"/>
      <c r="Y384" s="2"/>
      <c r="Z384" s="2"/>
    </row>
    <row r="385" ht="13.5" customHeight="1">
      <c r="A385" s="2"/>
      <c r="B385" s="2"/>
      <c r="C385" s="2"/>
      <c r="D385" s="2"/>
      <c r="E385" s="2"/>
      <c r="F385" s="2"/>
      <c r="G385" s="2"/>
      <c r="H385" s="2"/>
      <c r="I385" s="2"/>
      <c r="J385" s="2"/>
      <c r="K385" s="181"/>
      <c r="L385" s="2"/>
      <c r="M385" s="2"/>
      <c r="N385" s="2"/>
      <c r="O385" s="2"/>
      <c r="P385" s="2"/>
      <c r="Q385" s="157"/>
      <c r="R385" s="157"/>
      <c r="S385" s="157"/>
      <c r="T385" s="158"/>
      <c r="U385" s="2"/>
      <c r="V385" s="2"/>
      <c r="W385" s="2"/>
      <c r="X385" s="2"/>
      <c r="Y385" s="2"/>
      <c r="Z385" s="2"/>
    </row>
    <row r="386" ht="13.5" customHeight="1">
      <c r="A386" s="2"/>
      <c r="B386" s="2"/>
      <c r="C386" s="2"/>
      <c r="D386" s="2"/>
      <c r="E386" s="2"/>
      <c r="F386" s="2"/>
      <c r="G386" s="2"/>
      <c r="H386" s="2"/>
      <c r="I386" s="2"/>
      <c r="J386" s="2"/>
      <c r="K386" s="181"/>
      <c r="L386" s="2"/>
      <c r="M386" s="2"/>
      <c r="N386" s="2"/>
      <c r="O386" s="2"/>
      <c r="P386" s="2"/>
      <c r="Q386" s="157"/>
      <c r="R386" s="157"/>
      <c r="S386" s="157"/>
      <c r="T386" s="158"/>
      <c r="U386" s="2"/>
      <c r="V386" s="2"/>
      <c r="W386" s="2"/>
      <c r="X386" s="2"/>
      <c r="Y386" s="2"/>
      <c r="Z386" s="2"/>
    </row>
    <row r="387" ht="13.5" customHeight="1">
      <c r="A387" s="2"/>
      <c r="B387" s="2"/>
      <c r="C387" s="2"/>
      <c r="D387" s="2"/>
      <c r="E387" s="2"/>
      <c r="F387" s="2"/>
      <c r="G387" s="2"/>
      <c r="H387" s="2"/>
      <c r="I387" s="2"/>
      <c r="J387" s="2"/>
      <c r="K387" s="181"/>
      <c r="L387" s="2"/>
      <c r="M387" s="2"/>
      <c r="N387" s="2"/>
      <c r="O387" s="2"/>
      <c r="P387" s="2"/>
      <c r="Q387" s="157"/>
      <c r="R387" s="157"/>
      <c r="S387" s="157"/>
      <c r="T387" s="158"/>
      <c r="U387" s="2"/>
      <c r="V387" s="2"/>
      <c r="W387" s="2"/>
      <c r="X387" s="2"/>
      <c r="Y387" s="2"/>
      <c r="Z387" s="2"/>
    </row>
    <row r="388" ht="13.5" customHeight="1">
      <c r="A388" s="2"/>
      <c r="B388" s="2"/>
      <c r="C388" s="2"/>
      <c r="D388" s="2"/>
      <c r="E388" s="2"/>
      <c r="F388" s="2"/>
      <c r="G388" s="2"/>
      <c r="H388" s="2"/>
      <c r="I388" s="2"/>
      <c r="J388" s="2"/>
      <c r="K388" s="181"/>
      <c r="L388" s="2"/>
      <c r="M388" s="2"/>
      <c r="N388" s="2"/>
      <c r="O388" s="2"/>
      <c r="P388" s="2"/>
      <c r="Q388" s="157"/>
      <c r="R388" s="157"/>
      <c r="S388" s="157"/>
      <c r="T388" s="158"/>
      <c r="U388" s="2"/>
      <c r="V388" s="2"/>
      <c r="W388" s="2"/>
      <c r="X388" s="2"/>
      <c r="Y388" s="2"/>
      <c r="Z388" s="2"/>
    </row>
    <row r="389" ht="13.5" customHeight="1">
      <c r="A389" s="2"/>
      <c r="B389" s="2"/>
      <c r="C389" s="2"/>
      <c r="D389" s="2"/>
      <c r="E389" s="2"/>
      <c r="F389" s="2"/>
      <c r="G389" s="2"/>
      <c r="H389" s="2"/>
      <c r="I389" s="2"/>
      <c r="J389" s="2"/>
      <c r="K389" s="181"/>
      <c r="L389" s="2"/>
      <c r="M389" s="2"/>
      <c r="N389" s="2"/>
      <c r="O389" s="2"/>
      <c r="P389" s="2"/>
      <c r="Q389" s="157"/>
      <c r="R389" s="157"/>
      <c r="S389" s="157"/>
      <c r="T389" s="158"/>
      <c r="U389" s="2"/>
      <c r="V389" s="2"/>
      <c r="W389" s="2"/>
      <c r="X389" s="2"/>
      <c r="Y389" s="2"/>
      <c r="Z389" s="2"/>
    </row>
    <row r="390" ht="13.5" customHeight="1">
      <c r="A390" s="2"/>
      <c r="B390" s="2"/>
      <c r="C390" s="2"/>
      <c r="D390" s="2"/>
      <c r="E390" s="2"/>
      <c r="F390" s="2"/>
      <c r="G390" s="2"/>
      <c r="H390" s="2"/>
      <c r="I390" s="2"/>
      <c r="J390" s="2"/>
      <c r="K390" s="181"/>
      <c r="L390" s="2"/>
      <c r="M390" s="2"/>
      <c r="N390" s="2"/>
      <c r="O390" s="2"/>
      <c r="P390" s="2"/>
      <c r="Q390" s="157"/>
      <c r="R390" s="157"/>
      <c r="S390" s="157"/>
      <c r="T390" s="158"/>
      <c r="U390" s="2"/>
      <c r="V390" s="2"/>
      <c r="W390" s="2"/>
      <c r="X390" s="2"/>
      <c r="Y390" s="2"/>
      <c r="Z390" s="2"/>
    </row>
    <row r="391" ht="13.5" customHeight="1">
      <c r="A391" s="2"/>
      <c r="B391" s="2"/>
      <c r="C391" s="2"/>
      <c r="D391" s="2"/>
      <c r="E391" s="2"/>
      <c r="F391" s="2"/>
      <c r="G391" s="2"/>
      <c r="H391" s="2"/>
      <c r="I391" s="2"/>
      <c r="J391" s="2"/>
      <c r="K391" s="181"/>
      <c r="L391" s="2"/>
      <c r="M391" s="2"/>
      <c r="N391" s="2"/>
      <c r="O391" s="2"/>
      <c r="P391" s="2"/>
      <c r="Q391" s="157"/>
      <c r="R391" s="157"/>
      <c r="S391" s="157"/>
      <c r="T391" s="158"/>
      <c r="U391" s="2"/>
      <c r="V391" s="2"/>
      <c r="W391" s="2"/>
      <c r="X391" s="2"/>
      <c r="Y391" s="2"/>
      <c r="Z391" s="2"/>
    </row>
    <row r="392" ht="13.5" customHeight="1">
      <c r="A392" s="2"/>
      <c r="B392" s="2"/>
      <c r="C392" s="2"/>
      <c r="D392" s="2"/>
      <c r="E392" s="2"/>
      <c r="F392" s="2"/>
      <c r="G392" s="2"/>
      <c r="H392" s="2"/>
      <c r="I392" s="2"/>
      <c r="J392" s="2"/>
      <c r="K392" s="181"/>
      <c r="L392" s="2"/>
      <c r="M392" s="2"/>
      <c r="N392" s="2"/>
      <c r="O392" s="2"/>
      <c r="P392" s="2"/>
      <c r="Q392" s="157"/>
      <c r="R392" s="157"/>
      <c r="S392" s="157"/>
      <c r="T392" s="158"/>
      <c r="U392" s="2"/>
      <c r="V392" s="2"/>
      <c r="W392" s="2"/>
      <c r="X392" s="2"/>
      <c r="Y392" s="2"/>
      <c r="Z392" s="2"/>
    </row>
    <row r="393" ht="13.5" customHeight="1">
      <c r="A393" s="2"/>
      <c r="B393" s="2"/>
      <c r="C393" s="2"/>
      <c r="D393" s="2"/>
      <c r="E393" s="2"/>
      <c r="F393" s="2"/>
      <c r="G393" s="2"/>
      <c r="H393" s="2"/>
      <c r="I393" s="2"/>
      <c r="J393" s="2"/>
      <c r="K393" s="181"/>
      <c r="L393" s="2"/>
      <c r="M393" s="2"/>
      <c r="N393" s="2"/>
      <c r="O393" s="2"/>
      <c r="P393" s="2"/>
      <c r="Q393" s="157"/>
      <c r="R393" s="157"/>
      <c r="S393" s="157"/>
      <c r="T393" s="158"/>
      <c r="U393" s="2"/>
      <c r="V393" s="2"/>
      <c r="W393" s="2"/>
      <c r="X393" s="2"/>
      <c r="Y393" s="2"/>
      <c r="Z393" s="2"/>
    </row>
    <row r="394" ht="13.5" customHeight="1">
      <c r="A394" s="2"/>
      <c r="B394" s="2"/>
      <c r="C394" s="2"/>
      <c r="D394" s="2"/>
      <c r="E394" s="2"/>
      <c r="F394" s="2"/>
      <c r="G394" s="2"/>
      <c r="H394" s="2"/>
      <c r="I394" s="2"/>
      <c r="J394" s="2"/>
      <c r="K394" s="181"/>
      <c r="L394" s="2"/>
      <c r="M394" s="2"/>
      <c r="N394" s="2"/>
      <c r="O394" s="2"/>
      <c r="P394" s="2"/>
      <c r="Q394" s="157"/>
      <c r="R394" s="157"/>
      <c r="S394" s="157"/>
      <c r="T394" s="158"/>
      <c r="U394" s="2"/>
      <c r="V394" s="2"/>
      <c r="W394" s="2"/>
      <c r="X394" s="2"/>
      <c r="Y394" s="2"/>
      <c r="Z394" s="2"/>
    </row>
    <row r="395" ht="13.5" customHeight="1">
      <c r="A395" s="2"/>
      <c r="B395" s="2"/>
      <c r="C395" s="2"/>
      <c r="D395" s="2"/>
      <c r="E395" s="2"/>
      <c r="F395" s="2"/>
      <c r="G395" s="2"/>
      <c r="H395" s="2"/>
      <c r="I395" s="2"/>
      <c r="J395" s="2"/>
      <c r="K395" s="181"/>
      <c r="L395" s="2"/>
      <c r="M395" s="2"/>
      <c r="N395" s="2"/>
      <c r="O395" s="2"/>
      <c r="P395" s="2"/>
      <c r="Q395" s="157"/>
      <c r="R395" s="157"/>
      <c r="S395" s="157"/>
      <c r="T395" s="158"/>
      <c r="U395" s="2"/>
      <c r="V395" s="2"/>
      <c r="W395" s="2"/>
      <c r="X395" s="2"/>
      <c r="Y395" s="2"/>
      <c r="Z395" s="2"/>
    </row>
    <row r="396" ht="13.5" customHeight="1">
      <c r="A396" s="2"/>
      <c r="B396" s="2"/>
      <c r="C396" s="2"/>
      <c r="D396" s="2"/>
      <c r="E396" s="2"/>
      <c r="F396" s="2"/>
      <c r="G396" s="2"/>
      <c r="H396" s="2"/>
      <c r="I396" s="2"/>
      <c r="J396" s="2"/>
      <c r="K396" s="181"/>
      <c r="L396" s="2"/>
      <c r="M396" s="2"/>
      <c r="N396" s="2"/>
      <c r="O396" s="2"/>
      <c r="P396" s="2"/>
      <c r="Q396" s="157"/>
      <c r="R396" s="157"/>
      <c r="S396" s="157"/>
      <c r="T396" s="158"/>
      <c r="U396" s="2"/>
      <c r="V396" s="2"/>
      <c r="W396" s="2"/>
      <c r="X396" s="2"/>
      <c r="Y396" s="2"/>
      <c r="Z396" s="2"/>
    </row>
    <row r="397" ht="13.5" customHeight="1">
      <c r="A397" s="2"/>
      <c r="B397" s="2"/>
      <c r="C397" s="2"/>
      <c r="D397" s="2"/>
      <c r="E397" s="2"/>
      <c r="F397" s="2"/>
      <c r="G397" s="2"/>
      <c r="H397" s="2"/>
      <c r="I397" s="2"/>
      <c r="J397" s="2"/>
      <c r="K397" s="181"/>
      <c r="L397" s="2"/>
      <c r="M397" s="2"/>
      <c r="N397" s="2"/>
      <c r="O397" s="2"/>
      <c r="P397" s="2"/>
      <c r="Q397" s="157"/>
      <c r="R397" s="157"/>
      <c r="S397" s="157"/>
      <c r="T397" s="158"/>
      <c r="U397" s="2"/>
      <c r="V397" s="2"/>
      <c r="W397" s="2"/>
      <c r="X397" s="2"/>
      <c r="Y397" s="2"/>
      <c r="Z397" s="2"/>
    </row>
    <row r="398" ht="13.5" customHeight="1">
      <c r="A398" s="2"/>
      <c r="B398" s="2"/>
      <c r="C398" s="2"/>
      <c r="D398" s="2"/>
      <c r="E398" s="2"/>
      <c r="F398" s="2"/>
      <c r="G398" s="2"/>
      <c r="H398" s="2"/>
      <c r="I398" s="2"/>
      <c r="J398" s="2"/>
      <c r="K398" s="181"/>
      <c r="L398" s="2"/>
      <c r="M398" s="2"/>
      <c r="N398" s="2"/>
      <c r="O398" s="2"/>
      <c r="P398" s="2"/>
      <c r="Q398" s="157"/>
      <c r="R398" s="157"/>
      <c r="S398" s="157"/>
      <c r="T398" s="158"/>
      <c r="U398" s="2"/>
      <c r="V398" s="2"/>
      <c r="W398" s="2"/>
      <c r="X398" s="2"/>
      <c r="Y398" s="2"/>
      <c r="Z398" s="2"/>
    </row>
    <row r="399" ht="13.5" customHeight="1">
      <c r="A399" s="2"/>
      <c r="B399" s="2"/>
      <c r="C399" s="2"/>
      <c r="D399" s="2"/>
      <c r="E399" s="2"/>
      <c r="F399" s="2"/>
      <c r="G399" s="2"/>
      <c r="H399" s="2"/>
      <c r="I399" s="2"/>
      <c r="J399" s="2"/>
      <c r="K399" s="181"/>
      <c r="L399" s="2"/>
      <c r="M399" s="2"/>
      <c r="N399" s="2"/>
      <c r="O399" s="2"/>
      <c r="P399" s="2"/>
      <c r="Q399" s="157"/>
      <c r="R399" s="157"/>
      <c r="S399" s="157"/>
      <c r="T399" s="158"/>
      <c r="U399" s="2"/>
      <c r="V399" s="2"/>
      <c r="W399" s="2"/>
      <c r="X399" s="2"/>
      <c r="Y399" s="2"/>
      <c r="Z399" s="2"/>
    </row>
    <row r="400" ht="13.5" customHeight="1">
      <c r="A400" s="2"/>
      <c r="B400" s="2"/>
      <c r="C400" s="2"/>
      <c r="D400" s="2"/>
      <c r="E400" s="2"/>
      <c r="F400" s="2"/>
      <c r="G400" s="2"/>
      <c r="H400" s="2"/>
      <c r="I400" s="2"/>
      <c r="J400" s="2"/>
      <c r="K400" s="181"/>
      <c r="L400" s="2"/>
      <c r="M400" s="2"/>
      <c r="N400" s="2"/>
      <c r="O400" s="2"/>
      <c r="P400" s="2"/>
      <c r="Q400" s="157"/>
      <c r="R400" s="157"/>
      <c r="S400" s="157"/>
      <c r="T400" s="158"/>
      <c r="U400" s="2"/>
      <c r="V400" s="2"/>
      <c r="W400" s="2"/>
      <c r="X400" s="2"/>
      <c r="Y400" s="2"/>
      <c r="Z400" s="2"/>
    </row>
    <row r="401" ht="13.5" customHeight="1">
      <c r="A401" s="2"/>
      <c r="B401" s="2"/>
      <c r="C401" s="2"/>
      <c r="D401" s="2"/>
      <c r="E401" s="2"/>
      <c r="F401" s="2"/>
      <c r="G401" s="2"/>
      <c r="H401" s="2"/>
      <c r="I401" s="2"/>
      <c r="J401" s="2"/>
      <c r="K401" s="181"/>
      <c r="L401" s="2"/>
      <c r="M401" s="2"/>
      <c r="N401" s="2"/>
      <c r="O401" s="2"/>
      <c r="P401" s="2"/>
      <c r="Q401" s="157"/>
      <c r="R401" s="157"/>
      <c r="S401" s="157"/>
      <c r="T401" s="158"/>
      <c r="U401" s="2"/>
      <c r="V401" s="2"/>
      <c r="W401" s="2"/>
      <c r="X401" s="2"/>
      <c r="Y401" s="2"/>
      <c r="Z401" s="2"/>
    </row>
    <row r="402" ht="13.5" customHeight="1">
      <c r="A402" s="2"/>
      <c r="B402" s="2"/>
      <c r="C402" s="2"/>
      <c r="D402" s="2"/>
      <c r="E402" s="2"/>
      <c r="F402" s="2"/>
      <c r="G402" s="2"/>
      <c r="H402" s="2"/>
      <c r="I402" s="2"/>
      <c r="J402" s="2"/>
      <c r="K402" s="181"/>
      <c r="L402" s="2"/>
      <c r="M402" s="2"/>
      <c r="N402" s="2"/>
      <c r="O402" s="2"/>
      <c r="P402" s="2"/>
      <c r="Q402" s="157"/>
      <c r="R402" s="157"/>
      <c r="S402" s="157"/>
      <c r="T402" s="158"/>
      <c r="U402" s="2"/>
      <c r="V402" s="2"/>
      <c r="W402" s="2"/>
      <c r="X402" s="2"/>
      <c r="Y402" s="2"/>
      <c r="Z402" s="2"/>
    </row>
    <row r="403" ht="13.5" customHeight="1">
      <c r="A403" s="2"/>
      <c r="B403" s="2"/>
      <c r="C403" s="2"/>
      <c r="D403" s="2"/>
      <c r="E403" s="2"/>
      <c r="F403" s="2"/>
      <c r="G403" s="2"/>
      <c r="H403" s="2"/>
      <c r="I403" s="2"/>
      <c r="J403" s="2"/>
      <c r="K403" s="181"/>
      <c r="L403" s="2"/>
      <c r="M403" s="2"/>
      <c r="N403" s="2"/>
      <c r="O403" s="2"/>
      <c r="P403" s="2"/>
      <c r="Q403" s="157"/>
      <c r="R403" s="157"/>
      <c r="S403" s="157"/>
      <c r="T403" s="158"/>
      <c r="U403" s="2"/>
      <c r="V403" s="2"/>
      <c r="W403" s="2"/>
      <c r="X403" s="2"/>
      <c r="Y403" s="2"/>
      <c r="Z403" s="2"/>
    </row>
    <row r="404" ht="13.5" customHeight="1">
      <c r="A404" s="2"/>
      <c r="B404" s="2"/>
      <c r="C404" s="2"/>
      <c r="D404" s="2"/>
      <c r="E404" s="2"/>
      <c r="F404" s="2"/>
      <c r="G404" s="2"/>
      <c r="H404" s="2"/>
      <c r="I404" s="2"/>
      <c r="J404" s="2"/>
      <c r="K404" s="181"/>
      <c r="L404" s="2"/>
      <c r="M404" s="2"/>
      <c r="N404" s="2"/>
      <c r="O404" s="2"/>
      <c r="P404" s="2"/>
      <c r="Q404" s="157"/>
      <c r="R404" s="157"/>
      <c r="S404" s="157"/>
      <c r="T404" s="158"/>
      <c r="U404" s="2"/>
      <c r="V404" s="2"/>
      <c r="W404" s="2"/>
      <c r="X404" s="2"/>
      <c r="Y404" s="2"/>
      <c r="Z404" s="2"/>
    </row>
    <row r="405" ht="13.5" customHeight="1">
      <c r="A405" s="2"/>
      <c r="B405" s="2"/>
      <c r="C405" s="2"/>
      <c r="D405" s="2"/>
      <c r="E405" s="2"/>
      <c r="F405" s="2"/>
      <c r="G405" s="2"/>
      <c r="H405" s="2"/>
      <c r="I405" s="2"/>
      <c r="J405" s="2"/>
      <c r="K405" s="181"/>
      <c r="L405" s="2"/>
      <c r="M405" s="2"/>
      <c r="N405" s="2"/>
      <c r="O405" s="2"/>
      <c r="P405" s="2"/>
      <c r="Q405" s="157"/>
      <c r="R405" s="157"/>
      <c r="S405" s="157"/>
      <c r="T405" s="158"/>
      <c r="U405" s="2"/>
      <c r="V405" s="2"/>
      <c r="W405" s="2"/>
      <c r="X405" s="2"/>
      <c r="Y405" s="2"/>
      <c r="Z405" s="2"/>
    </row>
    <row r="406" ht="13.5" customHeight="1">
      <c r="A406" s="2"/>
      <c r="B406" s="2"/>
      <c r="C406" s="2"/>
      <c r="D406" s="2"/>
      <c r="E406" s="2"/>
      <c r="F406" s="2"/>
      <c r="G406" s="2"/>
      <c r="H406" s="2"/>
      <c r="I406" s="2"/>
      <c r="J406" s="2"/>
      <c r="K406" s="181"/>
      <c r="L406" s="2"/>
      <c r="M406" s="2"/>
      <c r="N406" s="2"/>
      <c r="O406" s="2"/>
      <c r="P406" s="2"/>
      <c r="Q406" s="157"/>
      <c r="R406" s="157"/>
      <c r="S406" s="157"/>
      <c r="T406" s="158"/>
      <c r="U406" s="2"/>
      <c r="V406" s="2"/>
      <c r="W406" s="2"/>
      <c r="X406" s="2"/>
      <c r="Y406" s="2"/>
      <c r="Z406" s="2"/>
    </row>
    <row r="407" ht="13.5" customHeight="1">
      <c r="A407" s="2"/>
      <c r="B407" s="2"/>
      <c r="C407" s="2"/>
      <c r="D407" s="2"/>
      <c r="E407" s="2"/>
      <c r="F407" s="2"/>
      <c r="G407" s="2"/>
      <c r="H407" s="2"/>
      <c r="I407" s="2"/>
      <c r="J407" s="2"/>
      <c r="K407" s="181"/>
      <c r="L407" s="2"/>
      <c r="M407" s="2"/>
      <c r="N407" s="2"/>
      <c r="O407" s="2"/>
      <c r="P407" s="2"/>
      <c r="Q407" s="157"/>
      <c r="R407" s="157"/>
      <c r="S407" s="157"/>
      <c r="T407" s="158"/>
      <c r="U407" s="2"/>
      <c r="V407" s="2"/>
      <c r="W407" s="2"/>
      <c r="X407" s="2"/>
      <c r="Y407" s="2"/>
      <c r="Z407" s="2"/>
    </row>
    <row r="408" ht="13.5" customHeight="1">
      <c r="A408" s="2"/>
      <c r="B408" s="2"/>
      <c r="C408" s="2"/>
      <c r="D408" s="2"/>
      <c r="E408" s="2"/>
      <c r="F408" s="2"/>
      <c r="G408" s="2"/>
      <c r="H408" s="2"/>
      <c r="I408" s="2"/>
      <c r="J408" s="2"/>
      <c r="K408" s="181"/>
      <c r="L408" s="2"/>
      <c r="M408" s="2"/>
      <c r="N408" s="2"/>
      <c r="O408" s="2"/>
      <c r="P408" s="2"/>
      <c r="Q408" s="157"/>
      <c r="R408" s="157"/>
      <c r="S408" s="157"/>
      <c r="T408" s="158"/>
      <c r="U408" s="2"/>
      <c r="V408" s="2"/>
      <c r="W408" s="2"/>
      <c r="X408" s="2"/>
      <c r="Y408" s="2"/>
      <c r="Z408" s="2"/>
    </row>
    <row r="409" ht="13.5" customHeight="1">
      <c r="A409" s="2"/>
      <c r="B409" s="2"/>
      <c r="C409" s="2"/>
      <c r="D409" s="2"/>
      <c r="E409" s="2"/>
      <c r="F409" s="2"/>
      <c r="G409" s="2"/>
      <c r="H409" s="2"/>
      <c r="I409" s="2"/>
      <c r="J409" s="2"/>
      <c r="K409" s="181"/>
      <c r="L409" s="2"/>
      <c r="M409" s="2"/>
      <c r="N409" s="2"/>
      <c r="O409" s="2"/>
      <c r="P409" s="2"/>
      <c r="Q409" s="157"/>
      <c r="R409" s="157"/>
      <c r="S409" s="157"/>
      <c r="T409" s="158"/>
      <c r="U409" s="2"/>
      <c r="V409" s="2"/>
      <c r="W409" s="2"/>
      <c r="X409" s="2"/>
      <c r="Y409" s="2"/>
      <c r="Z409" s="2"/>
    </row>
    <row r="410" ht="13.5" customHeight="1">
      <c r="A410" s="2"/>
      <c r="B410" s="2"/>
      <c r="C410" s="2"/>
      <c r="D410" s="2"/>
      <c r="E410" s="2"/>
      <c r="F410" s="2"/>
      <c r="G410" s="2"/>
      <c r="H410" s="2"/>
      <c r="I410" s="2"/>
      <c r="J410" s="2"/>
      <c r="K410" s="181"/>
      <c r="L410" s="2"/>
      <c r="M410" s="2"/>
      <c r="N410" s="2"/>
      <c r="O410" s="2"/>
      <c r="P410" s="2"/>
      <c r="Q410" s="157"/>
      <c r="R410" s="157"/>
      <c r="S410" s="157"/>
      <c r="T410" s="158"/>
      <c r="U410" s="2"/>
      <c r="V410" s="2"/>
      <c r="W410" s="2"/>
      <c r="X410" s="2"/>
      <c r="Y410" s="2"/>
      <c r="Z410" s="2"/>
    </row>
    <row r="411" ht="13.5" customHeight="1">
      <c r="A411" s="2"/>
      <c r="B411" s="2"/>
      <c r="C411" s="2"/>
      <c r="D411" s="2"/>
      <c r="E411" s="2"/>
      <c r="F411" s="2"/>
      <c r="G411" s="2"/>
      <c r="H411" s="2"/>
      <c r="I411" s="2"/>
      <c r="J411" s="2"/>
      <c r="K411" s="181"/>
      <c r="L411" s="2"/>
      <c r="M411" s="2"/>
      <c r="N411" s="2"/>
      <c r="O411" s="2"/>
      <c r="P411" s="2"/>
      <c r="Q411" s="157"/>
      <c r="R411" s="157"/>
      <c r="S411" s="157"/>
      <c r="T411" s="158"/>
      <c r="U411" s="2"/>
      <c r="V411" s="2"/>
      <c r="W411" s="2"/>
      <c r="X411" s="2"/>
      <c r="Y411" s="2"/>
      <c r="Z411" s="2"/>
    </row>
    <row r="412" ht="13.5" customHeight="1">
      <c r="A412" s="2"/>
      <c r="B412" s="2"/>
      <c r="C412" s="2"/>
      <c r="D412" s="2"/>
      <c r="E412" s="2"/>
      <c r="F412" s="2"/>
      <c r="G412" s="2"/>
      <c r="H412" s="2"/>
      <c r="I412" s="2"/>
      <c r="J412" s="2"/>
      <c r="K412" s="181"/>
      <c r="L412" s="2"/>
      <c r="M412" s="2"/>
      <c r="N412" s="2"/>
      <c r="O412" s="2"/>
      <c r="P412" s="2"/>
      <c r="Q412" s="157"/>
      <c r="R412" s="157"/>
      <c r="S412" s="157"/>
      <c r="T412" s="158"/>
      <c r="U412" s="2"/>
      <c r="V412" s="2"/>
      <c r="W412" s="2"/>
      <c r="X412" s="2"/>
      <c r="Y412" s="2"/>
      <c r="Z412" s="2"/>
    </row>
    <row r="413" ht="13.5" customHeight="1">
      <c r="A413" s="2"/>
      <c r="B413" s="2"/>
      <c r="C413" s="2"/>
      <c r="D413" s="2"/>
      <c r="E413" s="2"/>
      <c r="F413" s="2"/>
      <c r="G413" s="2"/>
      <c r="H413" s="2"/>
      <c r="I413" s="2"/>
      <c r="J413" s="2"/>
      <c r="K413" s="181"/>
      <c r="L413" s="2"/>
      <c r="M413" s="2"/>
      <c r="N413" s="2"/>
      <c r="O413" s="2"/>
      <c r="P413" s="2"/>
      <c r="Q413" s="157"/>
      <c r="R413" s="157"/>
      <c r="S413" s="157"/>
      <c r="T413" s="158"/>
      <c r="U413" s="2"/>
      <c r="V413" s="2"/>
      <c r="W413" s="2"/>
      <c r="X413" s="2"/>
      <c r="Y413" s="2"/>
      <c r="Z413" s="2"/>
    </row>
    <row r="414" ht="13.5" customHeight="1">
      <c r="A414" s="2"/>
      <c r="B414" s="2"/>
      <c r="C414" s="2"/>
      <c r="D414" s="2"/>
      <c r="E414" s="2"/>
      <c r="F414" s="2"/>
      <c r="G414" s="2"/>
      <c r="H414" s="2"/>
      <c r="I414" s="2"/>
      <c r="J414" s="2"/>
      <c r="K414" s="181"/>
      <c r="L414" s="2"/>
      <c r="M414" s="2"/>
      <c r="N414" s="2"/>
      <c r="O414" s="2"/>
      <c r="P414" s="2"/>
      <c r="Q414" s="157"/>
      <c r="R414" s="157"/>
      <c r="S414" s="157"/>
      <c r="T414" s="158"/>
      <c r="U414" s="2"/>
      <c r="V414" s="2"/>
      <c r="W414" s="2"/>
      <c r="X414" s="2"/>
      <c r="Y414" s="2"/>
      <c r="Z414" s="2"/>
    </row>
    <row r="415" ht="13.5" customHeight="1">
      <c r="A415" s="2"/>
      <c r="B415" s="2"/>
      <c r="C415" s="2"/>
      <c r="D415" s="2"/>
      <c r="E415" s="2"/>
      <c r="F415" s="2"/>
      <c r="G415" s="2"/>
      <c r="H415" s="2"/>
      <c r="I415" s="2"/>
      <c r="J415" s="2"/>
      <c r="K415" s="181"/>
      <c r="L415" s="2"/>
      <c r="M415" s="2"/>
      <c r="N415" s="2"/>
      <c r="O415" s="2"/>
      <c r="P415" s="2"/>
      <c r="Q415" s="157"/>
      <c r="R415" s="157"/>
      <c r="S415" s="157"/>
      <c r="T415" s="158"/>
      <c r="U415" s="2"/>
      <c r="V415" s="2"/>
      <c r="W415" s="2"/>
      <c r="X415" s="2"/>
      <c r="Y415" s="2"/>
      <c r="Z415" s="2"/>
    </row>
    <row r="416" ht="13.5" customHeight="1">
      <c r="A416" s="2"/>
      <c r="B416" s="2"/>
      <c r="C416" s="2"/>
      <c r="D416" s="2"/>
      <c r="E416" s="2"/>
      <c r="F416" s="2"/>
      <c r="G416" s="2"/>
      <c r="H416" s="2"/>
      <c r="I416" s="2"/>
      <c r="J416" s="2"/>
      <c r="K416" s="181"/>
      <c r="L416" s="2"/>
      <c r="M416" s="2"/>
      <c r="N416" s="2"/>
      <c r="O416" s="2"/>
      <c r="P416" s="2"/>
      <c r="Q416" s="157"/>
      <c r="R416" s="157"/>
      <c r="S416" s="157"/>
      <c r="T416" s="158"/>
      <c r="U416" s="2"/>
      <c r="V416" s="2"/>
      <c r="W416" s="2"/>
      <c r="X416" s="2"/>
      <c r="Y416" s="2"/>
      <c r="Z416" s="2"/>
    </row>
    <row r="417" ht="13.5" customHeight="1">
      <c r="A417" s="2"/>
      <c r="B417" s="2"/>
      <c r="C417" s="2"/>
      <c r="D417" s="2"/>
      <c r="E417" s="2"/>
      <c r="F417" s="2"/>
      <c r="G417" s="2"/>
      <c r="H417" s="2"/>
      <c r="I417" s="2"/>
      <c r="J417" s="2"/>
      <c r="K417" s="181"/>
      <c r="L417" s="2"/>
      <c r="M417" s="2"/>
      <c r="N417" s="2"/>
      <c r="O417" s="2"/>
      <c r="P417" s="2"/>
      <c r="Q417" s="157"/>
      <c r="R417" s="157"/>
      <c r="S417" s="157"/>
      <c r="T417" s="158"/>
      <c r="U417" s="2"/>
      <c r="V417" s="2"/>
      <c r="W417" s="2"/>
      <c r="X417" s="2"/>
      <c r="Y417" s="2"/>
      <c r="Z417" s="2"/>
    </row>
    <row r="418" ht="13.5" customHeight="1">
      <c r="A418" s="2"/>
      <c r="B418" s="2"/>
      <c r="C418" s="2"/>
      <c r="D418" s="2"/>
      <c r="E418" s="2"/>
      <c r="F418" s="2"/>
      <c r="G418" s="2"/>
      <c r="H418" s="2"/>
      <c r="I418" s="2"/>
      <c r="J418" s="2"/>
      <c r="K418" s="181"/>
      <c r="L418" s="2"/>
      <c r="M418" s="2"/>
      <c r="N418" s="2"/>
      <c r="O418" s="2"/>
      <c r="P418" s="2"/>
      <c r="Q418" s="157"/>
      <c r="R418" s="157"/>
      <c r="S418" s="157"/>
      <c r="T418" s="158"/>
      <c r="U418" s="2"/>
      <c r="V418" s="2"/>
      <c r="W418" s="2"/>
      <c r="X418" s="2"/>
      <c r="Y418" s="2"/>
      <c r="Z418" s="2"/>
    </row>
    <row r="419" ht="13.5" customHeight="1">
      <c r="A419" s="2"/>
      <c r="B419" s="2"/>
      <c r="C419" s="2"/>
      <c r="D419" s="2"/>
      <c r="E419" s="2"/>
      <c r="F419" s="2"/>
      <c r="G419" s="2"/>
      <c r="H419" s="2"/>
      <c r="I419" s="2"/>
      <c r="J419" s="2"/>
      <c r="K419" s="181"/>
      <c r="L419" s="2"/>
      <c r="M419" s="2"/>
      <c r="N419" s="2"/>
      <c r="O419" s="2"/>
      <c r="P419" s="2"/>
      <c r="Q419" s="157"/>
      <c r="R419" s="157"/>
      <c r="S419" s="157"/>
      <c r="T419" s="158"/>
      <c r="U419" s="2"/>
      <c r="V419" s="2"/>
      <c r="W419" s="2"/>
      <c r="X419" s="2"/>
      <c r="Y419" s="2"/>
      <c r="Z419" s="2"/>
    </row>
    <row r="420" ht="13.5" customHeight="1">
      <c r="A420" s="2"/>
      <c r="B420" s="2"/>
      <c r="C420" s="2"/>
      <c r="D420" s="2"/>
      <c r="E420" s="2"/>
      <c r="F420" s="2"/>
      <c r="G420" s="2"/>
      <c r="H420" s="2"/>
      <c r="I420" s="2"/>
      <c r="J420" s="2"/>
      <c r="K420" s="181"/>
      <c r="L420" s="2"/>
      <c r="M420" s="2"/>
      <c r="N420" s="2"/>
      <c r="O420" s="2"/>
      <c r="P420" s="2"/>
      <c r="Q420" s="157"/>
      <c r="R420" s="157"/>
      <c r="S420" s="157"/>
      <c r="T420" s="158"/>
      <c r="U420" s="2"/>
      <c r="V420" s="2"/>
      <c r="W420" s="2"/>
      <c r="X420" s="2"/>
      <c r="Y420" s="2"/>
      <c r="Z420" s="2"/>
    </row>
    <row r="421" ht="13.5" customHeight="1">
      <c r="A421" s="2"/>
      <c r="B421" s="2"/>
      <c r="C421" s="2"/>
      <c r="D421" s="2"/>
      <c r="E421" s="2"/>
      <c r="F421" s="2"/>
      <c r="G421" s="2"/>
      <c r="H421" s="2"/>
      <c r="I421" s="2"/>
      <c r="J421" s="2"/>
      <c r="K421" s="181"/>
      <c r="L421" s="2"/>
      <c r="M421" s="2"/>
      <c r="N421" s="2"/>
      <c r="O421" s="2"/>
      <c r="P421" s="2"/>
      <c r="Q421" s="157"/>
      <c r="R421" s="157"/>
      <c r="S421" s="157"/>
      <c r="T421" s="158"/>
      <c r="U421" s="2"/>
      <c r="V421" s="2"/>
      <c r="W421" s="2"/>
      <c r="X421" s="2"/>
      <c r="Y421" s="2"/>
      <c r="Z421" s="2"/>
    </row>
    <row r="422" ht="13.5" customHeight="1">
      <c r="A422" s="2"/>
      <c r="B422" s="2"/>
      <c r="C422" s="2"/>
      <c r="D422" s="2"/>
      <c r="E422" s="2"/>
      <c r="F422" s="2"/>
      <c r="G422" s="2"/>
      <c r="H422" s="2"/>
      <c r="I422" s="2"/>
      <c r="J422" s="2"/>
      <c r="K422" s="181"/>
      <c r="L422" s="2"/>
      <c r="M422" s="2"/>
      <c r="N422" s="2"/>
      <c r="O422" s="2"/>
      <c r="P422" s="2"/>
      <c r="Q422" s="157"/>
      <c r="R422" s="157"/>
      <c r="S422" s="157"/>
      <c r="T422" s="158"/>
      <c r="U422" s="2"/>
      <c r="V422" s="2"/>
      <c r="W422" s="2"/>
      <c r="X422" s="2"/>
      <c r="Y422" s="2"/>
      <c r="Z422" s="2"/>
    </row>
    <row r="423" ht="13.5" customHeight="1">
      <c r="A423" s="2"/>
      <c r="B423" s="2"/>
      <c r="C423" s="2"/>
      <c r="D423" s="2"/>
      <c r="E423" s="2"/>
      <c r="F423" s="2"/>
      <c r="G423" s="2"/>
      <c r="H423" s="2"/>
      <c r="I423" s="2"/>
      <c r="J423" s="2"/>
      <c r="K423" s="181"/>
      <c r="L423" s="2"/>
      <c r="M423" s="2"/>
      <c r="N423" s="2"/>
      <c r="O423" s="2"/>
      <c r="P423" s="2"/>
      <c r="Q423" s="157"/>
      <c r="R423" s="157"/>
      <c r="S423" s="157"/>
      <c r="T423" s="158"/>
      <c r="U423" s="2"/>
      <c r="V423" s="2"/>
      <c r="W423" s="2"/>
      <c r="X423" s="2"/>
      <c r="Y423" s="2"/>
      <c r="Z423" s="2"/>
    </row>
    <row r="424" ht="13.5" customHeight="1">
      <c r="A424" s="2"/>
      <c r="B424" s="2"/>
      <c r="C424" s="2"/>
      <c r="D424" s="2"/>
      <c r="E424" s="2"/>
      <c r="F424" s="2"/>
      <c r="G424" s="2"/>
      <c r="H424" s="2"/>
      <c r="I424" s="2"/>
      <c r="J424" s="2"/>
      <c r="K424" s="181"/>
      <c r="L424" s="2"/>
      <c r="M424" s="2"/>
      <c r="N424" s="2"/>
      <c r="O424" s="2"/>
      <c r="P424" s="2"/>
      <c r="Q424" s="157"/>
      <c r="R424" s="157"/>
      <c r="S424" s="157"/>
      <c r="T424" s="158"/>
      <c r="U424" s="2"/>
      <c r="V424" s="2"/>
      <c r="W424" s="2"/>
      <c r="X424" s="2"/>
      <c r="Y424" s="2"/>
      <c r="Z424" s="2"/>
    </row>
    <row r="425" ht="13.5" customHeight="1">
      <c r="A425" s="2"/>
      <c r="B425" s="2"/>
      <c r="C425" s="2"/>
      <c r="D425" s="2"/>
      <c r="E425" s="2"/>
      <c r="F425" s="2"/>
      <c r="G425" s="2"/>
      <c r="H425" s="2"/>
      <c r="I425" s="2"/>
      <c r="J425" s="2"/>
      <c r="K425" s="181"/>
      <c r="L425" s="2"/>
      <c r="M425" s="2"/>
      <c r="N425" s="2"/>
      <c r="O425" s="2"/>
      <c r="P425" s="2"/>
      <c r="Q425" s="157"/>
      <c r="R425" s="157"/>
      <c r="S425" s="157"/>
      <c r="T425" s="158"/>
      <c r="U425" s="2"/>
      <c r="V425" s="2"/>
      <c r="W425" s="2"/>
      <c r="X425" s="2"/>
      <c r="Y425" s="2"/>
      <c r="Z425" s="2"/>
    </row>
    <row r="426" ht="13.5" customHeight="1">
      <c r="A426" s="2"/>
      <c r="B426" s="2"/>
      <c r="C426" s="2"/>
      <c r="D426" s="2"/>
      <c r="E426" s="2"/>
      <c r="F426" s="2"/>
      <c r="G426" s="2"/>
      <c r="H426" s="2"/>
      <c r="I426" s="2"/>
      <c r="J426" s="2"/>
      <c r="K426" s="181"/>
      <c r="L426" s="2"/>
      <c r="M426" s="2"/>
      <c r="N426" s="2"/>
      <c r="O426" s="2"/>
      <c r="P426" s="2"/>
      <c r="Q426" s="157"/>
      <c r="R426" s="157"/>
      <c r="S426" s="157"/>
      <c r="T426" s="158"/>
      <c r="U426" s="2"/>
      <c r="V426" s="2"/>
      <c r="W426" s="2"/>
      <c r="X426" s="2"/>
      <c r="Y426" s="2"/>
      <c r="Z426" s="2"/>
    </row>
    <row r="427" ht="13.5" customHeight="1">
      <c r="A427" s="2"/>
      <c r="B427" s="2"/>
      <c r="C427" s="2"/>
      <c r="D427" s="2"/>
      <c r="E427" s="2"/>
      <c r="F427" s="2"/>
      <c r="G427" s="2"/>
      <c r="H427" s="2"/>
      <c r="I427" s="2"/>
      <c r="J427" s="2"/>
      <c r="K427" s="181"/>
      <c r="L427" s="2"/>
      <c r="M427" s="2"/>
      <c r="N427" s="2"/>
      <c r="O427" s="2"/>
      <c r="P427" s="2"/>
      <c r="Q427" s="157"/>
      <c r="R427" s="157"/>
      <c r="S427" s="157"/>
      <c r="T427" s="158"/>
      <c r="U427" s="2"/>
      <c r="V427" s="2"/>
      <c r="W427" s="2"/>
      <c r="X427" s="2"/>
      <c r="Y427" s="2"/>
      <c r="Z427" s="2"/>
    </row>
    <row r="428" ht="13.5" customHeight="1">
      <c r="A428" s="2"/>
      <c r="B428" s="2"/>
      <c r="C428" s="2"/>
      <c r="D428" s="2"/>
      <c r="E428" s="2"/>
      <c r="F428" s="2"/>
      <c r="G428" s="2"/>
      <c r="H428" s="2"/>
      <c r="I428" s="2"/>
      <c r="J428" s="2"/>
      <c r="K428" s="181"/>
      <c r="L428" s="2"/>
      <c r="M428" s="2"/>
      <c r="N428" s="2"/>
      <c r="O428" s="2"/>
      <c r="P428" s="2"/>
      <c r="Q428" s="157"/>
      <c r="R428" s="157"/>
      <c r="S428" s="157"/>
      <c r="T428" s="158"/>
      <c r="U428" s="2"/>
      <c r="V428" s="2"/>
      <c r="W428" s="2"/>
      <c r="X428" s="2"/>
      <c r="Y428" s="2"/>
      <c r="Z428" s="2"/>
    </row>
    <row r="429" ht="13.5" customHeight="1">
      <c r="A429" s="2"/>
      <c r="B429" s="2"/>
      <c r="C429" s="2"/>
      <c r="D429" s="2"/>
      <c r="E429" s="2"/>
      <c r="F429" s="2"/>
      <c r="G429" s="2"/>
      <c r="H429" s="2"/>
      <c r="I429" s="2"/>
      <c r="J429" s="2"/>
      <c r="K429" s="181"/>
      <c r="L429" s="2"/>
      <c r="M429" s="2"/>
      <c r="N429" s="2"/>
      <c r="O429" s="2"/>
      <c r="P429" s="2"/>
      <c r="Q429" s="157"/>
      <c r="R429" s="157"/>
      <c r="S429" s="157"/>
      <c r="T429" s="158"/>
      <c r="U429" s="2"/>
      <c r="V429" s="2"/>
      <c r="W429" s="2"/>
      <c r="X429" s="2"/>
      <c r="Y429" s="2"/>
      <c r="Z429" s="2"/>
    </row>
    <row r="430" ht="13.5" customHeight="1">
      <c r="A430" s="2"/>
      <c r="B430" s="2"/>
      <c r="C430" s="2"/>
      <c r="D430" s="2"/>
      <c r="E430" s="2"/>
      <c r="F430" s="2"/>
      <c r="G430" s="2"/>
      <c r="H430" s="2"/>
      <c r="I430" s="2"/>
      <c r="J430" s="2"/>
      <c r="K430" s="181"/>
      <c r="L430" s="2"/>
      <c r="M430" s="2"/>
      <c r="N430" s="2"/>
      <c r="O430" s="2"/>
      <c r="P430" s="2"/>
      <c r="Q430" s="157"/>
      <c r="R430" s="157"/>
      <c r="S430" s="157"/>
      <c r="T430" s="158"/>
      <c r="U430" s="2"/>
      <c r="V430" s="2"/>
      <c r="W430" s="2"/>
      <c r="X430" s="2"/>
      <c r="Y430" s="2"/>
      <c r="Z430" s="2"/>
    </row>
    <row r="431" ht="13.5" customHeight="1">
      <c r="A431" s="2"/>
      <c r="B431" s="2"/>
      <c r="C431" s="2"/>
      <c r="D431" s="2"/>
      <c r="E431" s="2"/>
      <c r="F431" s="2"/>
      <c r="G431" s="2"/>
      <c r="H431" s="2"/>
      <c r="I431" s="2"/>
      <c r="J431" s="2"/>
      <c r="K431" s="181"/>
      <c r="L431" s="2"/>
      <c r="M431" s="2"/>
      <c r="N431" s="2"/>
      <c r="O431" s="2"/>
      <c r="P431" s="2"/>
      <c r="Q431" s="157"/>
      <c r="R431" s="157"/>
      <c r="S431" s="157"/>
      <c r="T431" s="158"/>
      <c r="U431" s="2"/>
      <c r="V431" s="2"/>
      <c r="W431" s="2"/>
      <c r="X431" s="2"/>
      <c r="Y431" s="2"/>
      <c r="Z431" s="2"/>
    </row>
    <row r="432" ht="13.5" customHeight="1">
      <c r="A432" s="2"/>
      <c r="B432" s="2"/>
      <c r="C432" s="2"/>
      <c r="D432" s="2"/>
      <c r="E432" s="2"/>
      <c r="F432" s="2"/>
      <c r="G432" s="2"/>
      <c r="H432" s="2"/>
      <c r="I432" s="2"/>
      <c r="J432" s="2"/>
      <c r="K432" s="181"/>
      <c r="L432" s="2"/>
      <c r="M432" s="2"/>
      <c r="N432" s="2"/>
      <c r="O432" s="2"/>
      <c r="P432" s="2"/>
      <c r="Q432" s="157"/>
      <c r="R432" s="157"/>
      <c r="S432" s="157"/>
      <c r="T432" s="158"/>
      <c r="U432" s="2"/>
      <c r="V432" s="2"/>
      <c r="W432" s="2"/>
      <c r="X432" s="2"/>
      <c r="Y432" s="2"/>
      <c r="Z432" s="2"/>
    </row>
    <row r="433" ht="13.5" customHeight="1">
      <c r="A433" s="2"/>
      <c r="B433" s="2"/>
      <c r="C433" s="2"/>
      <c r="D433" s="2"/>
      <c r="E433" s="2"/>
      <c r="F433" s="2"/>
      <c r="G433" s="2"/>
      <c r="H433" s="2"/>
      <c r="I433" s="2"/>
      <c r="J433" s="2"/>
      <c r="K433" s="181"/>
      <c r="L433" s="2"/>
      <c r="M433" s="2"/>
      <c r="N433" s="2"/>
      <c r="O433" s="2"/>
      <c r="P433" s="2"/>
      <c r="Q433" s="157"/>
      <c r="R433" s="157"/>
      <c r="S433" s="157"/>
      <c r="T433" s="158"/>
      <c r="U433" s="2"/>
      <c r="V433" s="2"/>
      <c r="W433" s="2"/>
      <c r="X433" s="2"/>
      <c r="Y433" s="2"/>
      <c r="Z433" s="2"/>
    </row>
    <row r="434" ht="13.5" customHeight="1">
      <c r="A434" s="2"/>
      <c r="B434" s="2"/>
      <c r="C434" s="2"/>
      <c r="D434" s="2"/>
      <c r="E434" s="2"/>
      <c r="F434" s="2"/>
      <c r="G434" s="2"/>
      <c r="H434" s="2"/>
      <c r="I434" s="2"/>
      <c r="J434" s="2"/>
      <c r="K434" s="181"/>
      <c r="L434" s="2"/>
      <c r="M434" s="2"/>
      <c r="N434" s="2"/>
      <c r="O434" s="2"/>
      <c r="P434" s="2"/>
      <c r="Q434" s="157"/>
      <c r="R434" s="157"/>
      <c r="S434" s="157"/>
      <c r="T434" s="158"/>
      <c r="U434" s="2"/>
      <c r="V434" s="2"/>
      <c r="W434" s="2"/>
      <c r="X434" s="2"/>
      <c r="Y434" s="2"/>
      <c r="Z434" s="2"/>
    </row>
    <row r="435" ht="13.5" customHeight="1">
      <c r="A435" s="2"/>
      <c r="B435" s="2"/>
      <c r="C435" s="2"/>
      <c r="D435" s="2"/>
      <c r="E435" s="2"/>
      <c r="F435" s="2"/>
      <c r="G435" s="2"/>
      <c r="H435" s="2"/>
      <c r="I435" s="2"/>
      <c r="J435" s="2"/>
      <c r="K435" s="181"/>
      <c r="L435" s="2"/>
      <c r="M435" s="2"/>
      <c r="N435" s="2"/>
      <c r="O435" s="2"/>
      <c r="P435" s="2"/>
      <c r="Q435" s="157"/>
      <c r="R435" s="157"/>
      <c r="S435" s="157"/>
      <c r="T435" s="158"/>
      <c r="U435" s="2"/>
      <c r="V435" s="2"/>
      <c r="W435" s="2"/>
      <c r="X435" s="2"/>
      <c r="Y435" s="2"/>
      <c r="Z435" s="2"/>
    </row>
    <row r="436" ht="13.5" customHeight="1">
      <c r="A436" s="2"/>
      <c r="B436" s="2"/>
      <c r="C436" s="2"/>
      <c r="D436" s="2"/>
      <c r="E436" s="2"/>
      <c r="F436" s="2"/>
      <c r="G436" s="2"/>
      <c r="H436" s="2"/>
      <c r="I436" s="2"/>
      <c r="J436" s="2"/>
      <c r="K436" s="181"/>
      <c r="L436" s="2"/>
      <c r="M436" s="2"/>
      <c r="N436" s="2"/>
      <c r="O436" s="2"/>
      <c r="P436" s="2"/>
      <c r="Q436" s="157"/>
      <c r="R436" s="157"/>
      <c r="S436" s="157"/>
      <c r="T436" s="158"/>
      <c r="U436" s="2"/>
      <c r="V436" s="2"/>
      <c r="W436" s="2"/>
      <c r="X436" s="2"/>
      <c r="Y436" s="2"/>
      <c r="Z436" s="2"/>
    </row>
    <row r="437" ht="13.5" customHeight="1">
      <c r="A437" s="2"/>
      <c r="B437" s="2"/>
      <c r="C437" s="2"/>
      <c r="D437" s="2"/>
      <c r="E437" s="2"/>
      <c r="F437" s="2"/>
      <c r="G437" s="2"/>
      <c r="H437" s="2"/>
      <c r="I437" s="2"/>
      <c r="J437" s="2"/>
      <c r="K437" s="181"/>
      <c r="L437" s="2"/>
      <c r="M437" s="2"/>
      <c r="N437" s="2"/>
      <c r="O437" s="2"/>
      <c r="P437" s="2"/>
      <c r="Q437" s="157"/>
      <c r="R437" s="157"/>
      <c r="S437" s="157"/>
      <c r="T437" s="158"/>
      <c r="U437" s="2"/>
      <c r="V437" s="2"/>
      <c r="W437" s="2"/>
      <c r="X437" s="2"/>
      <c r="Y437" s="2"/>
      <c r="Z437" s="2"/>
    </row>
    <row r="438" ht="13.5" customHeight="1">
      <c r="A438" s="2"/>
      <c r="B438" s="2"/>
      <c r="C438" s="2"/>
      <c r="D438" s="2"/>
      <c r="E438" s="2"/>
      <c r="F438" s="2"/>
      <c r="G438" s="2"/>
      <c r="H438" s="2"/>
      <c r="I438" s="2"/>
      <c r="J438" s="2"/>
      <c r="K438" s="181"/>
      <c r="L438" s="2"/>
      <c r="M438" s="2"/>
      <c r="N438" s="2"/>
      <c r="O438" s="2"/>
      <c r="P438" s="2"/>
      <c r="Q438" s="157"/>
      <c r="R438" s="157"/>
      <c r="S438" s="157"/>
      <c r="T438" s="158"/>
      <c r="U438" s="2"/>
      <c r="V438" s="2"/>
      <c r="W438" s="2"/>
      <c r="X438" s="2"/>
      <c r="Y438" s="2"/>
      <c r="Z438" s="2"/>
    </row>
    <row r="439" ht="13.5" customHeight="1">
      <c r="A439" s="2"/>
      <c r="B439" s="2"/>
      <c r="C439" s="2"/>
      <c r="D439" s="2"/>
      <c r="E439" s="2"/>
      <c r="F439" s="2"/>
      <c r="G439" s="2"/>
      <c r="H439" s="2"/>
      <c r="I439" s="2"/>
      <c r="J439" s="2"/>
      <c r="K439" s="181"/>
      <c r="L439" s="2"/>
      <c r="M439" s="2"/>
      <c r="N439" s="2"/>
      <c r="O439" s="2"/>
      <c r="P439" s="2"/>
      <c r="Q439" s="157"/>
      <c r="R439" s="157"/>
      <c r="S439" s="157"/>
      <c r="T439" s="158"/>
      <c r="U439" s="2"/>
      <c r="V439" s="2"/>
      <c r="W439" s="2"/>
      <c r="X439" s="2"/>
      <c r="Y439" s="2"/>
      <c r="Z439" s="2"/>
    </row>
    <row r="440" ht="13.5" customHeight="1">
      <c r="A440" s="2"/>
      <c r="B440" s="2"/>
      <c r="C440" s="2"/>
      <c r="D440" s="2"/>
      <c r="E440" s="2"/>
      <c r="F440" s="2"/>
      <c r="G440" s="2"/>
      <c r="H440" s="2"/>
      <c r="I440" s="2"/>
      <c r="J440" s="2"/>
      <c r="K440" s="181"/>
      <c r="L440" s="2"/>
      <c r="M440" s="2"/>
      <c r="N440" s="2"/>
      <c r="O440" s="2"/>
      <c r="P440" s="2"/>
      <c r="Q440" s="157"/>
      <c r="R440" s="157"/>
      <c r="S440" s="157"/>
      <c r="T440" s="158"/>
      <c r="U440" s="2"/>
      <c r="V440" s="2"/>
      <c r="W440" s="2"/>
      <c r="X440" s="2"/>
      <c r="Y440" s="2"/>
      <c r="Z440" s="2"/>
    </row>
    <row r="441" ht="13.5" customHeight="1">
      <c r="A441" s="2"/>
      <c r="B441" s="2"/>
      <c r="C441" s="2"/>
      <c r="D441" s="2"/>
      <c r="E441" s="2"/>
      <c r="F441" s="2"/>
      <c r="G441" s="2"/>
      <c r="H441" s="2"/>
      <c r="I441" s="2"/>
      <c r="J441" s="2"/>
      <c r="K441" s="181"/>
      <c r="L441" s="2"/>
      <c r="M441" s="2"/>
      <c r="N441" s="2"/>
      <c r="O441" s="2"/>
      <c r="P441" s="2"/>
      <c r="Q441" s="157"/>
      <c r="R441" s="157"/>
      <c r="S441" s="157"/>
      <c r="T441" s="158"/>
      <c r="U441" s="2"/>
      <c r="V441" s="2"/>
      <c r="W441" s="2"/>
      <c r="X441" s="2"/>
      <c r="Y441" s="2"/>
      <c r="Z441" s="2"/>
    </row>
    <row r="442" ht="13.5" customHeight="1">
      <c r="A442" s="2"/>
      <c r="B442" s="2"/>
      <c r="C442" s="2"/>
      <c r="D442" s="2"/>
      <c r="E442" s="2"/>
      <c r="F442" s="2"/>
      <c r="G442" s="2"/>
      <c r="H442" s="2"/>
      <c r="I442" s="2"/>
      <c r="J442" s="2"/>
      <c r="K442" s="181"/>
      <c r="L442" s="2"/>
      <c r="M442" s="2"/>
      <c r="N442" s="2"/>
      <c r="O442" s="2"/>
      <c r="P442" s="2"/>
      <c r="Q442" s="157"/>
      <c r="R442" s="157"/>
      <c r="S442" s="157"/>
      <c r="T442" s="158"/>
      <c r="U442" s="2"/>
      <c r="V442" s="2"/>
      <c r="W442" s="2"/>
      <c r="X442" s="2"/>
      <c r="Y442" s="2"/>
      <c r="Z442" s="2"/>
    </row>
    <row r="443" ht="13.5" customHeight="1">
      <c r="A443" s="2"/>
      <c r="B443" s="2"/>
      <c r="C443" s="2"/>
      <c r="D443" s="2"/>
      <c r="E443" s="2"/>
      <c r="F443" s="2"/>
      <c r="G443" s="2"/>
      <c r="H443" s="2"/>
      <c r="I443" s="2"/>
      <c r="J443" s="2"/>
      <c r="K443" s="181"/>
      <c r="L443" s="2"/>
      <c r="M443" s="2"/>
      <c r="N443" s="2"/>
      <c r="O443" s="2"/>
      <c r="P443" s="2"/>
      <c r="Q443" s="157"/>
      <c r="R443" s="157"/>
      <c r="S443" s="157"/>
      <c r="T443" s="158"/>
      <c r="U443" s="2"/>
      <c r="V443" s="2"/>
      <c r="W443" s="2"/>
      <c r="X443" s="2"/>
      <c r="Y443" s="2"/>
      <c r="Z443" s="2"/>
    </row>
    <row r="444" ht="13.5" customHeight="1">
      <c r="A444" s="2"/>
      <c r="B444" s="2"/>
      <c r="C444" s="2"/>
      <c r="D444" s="2"/>
      <c r="E444" s="2"/>
      <c r="F444" s="2"/>
      <c r="G444" s="2"/>
      <c r="H444" s="2"/>
      <c r="I444" s="2"/>
      <c r="J444" s="2"/>
      <c r="K444" s="181"/>
      <c r="L444" s="2"/>
      <c r="M444" s="2"/>
      <c r="N444" s="2"/>
      <c r="O444" s="2"/>
      <c r="P444" s="2"/>
      <c r="Q444" s="157"/>
      <c r="R444" s="157"/>
      <c r="S444" s="157"/>
      <c r="T444" s="158"/>
      <c r="U444" s="2"/>
      <c r="V444" s="2"/>
      <c r="W444" s="2"/>
      <c r="X444" s="2"/>
      <c r="Y444" s="2"/>
      <c r="Z444" s="2"/>
    </row>
    <row r="445" ht="13.5" customHeight="1">
      <c r="A445" s="2"/>
      <c r="B445" s="2"/>
      <c r="C445" s="2"/>
      <c r="D445" s="2"/>
      <c r="E445" s="2"/>
      <c r="F445" s="2"/>
      <c r="G445" s="2"/>
      <c r="H445" s="2"/>
      <c r="I445" s="2"/>
      <c r="J445" s="2"/>
      <c r="K445" s="181"/>
      <c r="L445" s="2"/>
      <c r="M445" s="2"/>
      <c r="N445" s="2"/>
      <c r="O445" s="2"/>
      <c r="P445" s="2"/>
      <c r="Q445" s="157"/>
      <c r="R445" s="157"/>
      <c r="S445" s="157"/>
      <c r="T445" s="158"/>
      <c r="U445" s="2"/>
      <c r="V445" s="2"/>
      <c r="W445" s="2"/>
      <c r="X445" s="2"/>
      <c r="Y445" s="2"/>
      <c r="Z445" s="2"/>
    </row>
    <row r="446" ht="13.5" customHeight="1">
      <c r="A446" s="2"/>
      <c r="B446" s="2"/>
      <c r="C446" s="2"/>
      <c r="D446" s="2"/>
      <c r="E446" s="2"/>
      <c r="F446" s="2"/>
      <c r="G446" s="2"/>
      <c r="H446" s="2"/>
      <c r="I446" s="2"/>
      <c r="J446" s="2"/>
      <c r="K446" s="181"/>
      <c r="L446" s="2"/>
      <c r="M446" s="2"/>
      <c r="N446" s="2"/>
      <c r="O446" s="2"/>
      <c r="P446" s="2"/>
      <c r="Q446" s="157"/>
      <c r="R446" s="157"/>
      <c r="S446" s="157"/>
      <c r="T446" s="158"/>
      <c r="U446" s="2"/>
      <c r="V446" s="2"/>
      <c r="W446" s="2"/>
      <c r="X446" s="2"/>
      <c r="Y446" s="2"/>
      <c r="Z446" s="2"/>
    </row>
    <row r="447" ht="13.5" customHeight="1">
      <c r="A447" s="2"/>
      <c r="B447" s="2"/>
      <c r="C447" s="2"/>
      <c r="D447" s="2"/>
      <c r="E447" s="2"/>
      <c r="F447" s="2"/>
      <c r="G447" s="2"/>
      <c r="H447" s="2"/>
      <c r="I447" s="2"/>
      <c r="J447" s="2"/>
      <c r="K447" s="181"/>
      <c r="L447" s="2"/>
      <c r="M447" s="2"/>
      <c r="N447" s="2"/>
      <c r="O447" s="2"/>
      <c r="P447" s="2"/>
      <c r="Q447" s="157"/>
      <c r="R447" s="157"/>
      <c r="S447" s="157"/>
      <c r="T447" s="158"/>
      <c r="U447" s="2"/>
      <c r="V447" s="2"/>
      <c r="W447" s="2"/>
      <c r="X447" s="2"/>
      <c r="Y447" s="2"/>
      <c r="Z447" s="2"/>
    </row>
    <row r="448" ht="13.5" customHeight="1">
      <c r="A448" s="2"/>
      <c r="B448" s="2"/>
      <c r="C448" s="2"/>
      <c r="D448" s="2"/>
      <c r="E448" s="2"/>
      <c r="F448" s="2"/>
      <c r="G448" s="2"/>
      <c r="H448" s="2"/>
      <c r="I448" s="2"/>
      <c r="J448" s="2"/>
      <c r="K448" s="181"/>
      <c r="L448" s="2"/>
      <c r="M448" s="2"/>
      <c r="N448" s="2"/>
      <c r="O448" s="2"/>
      <c r="P448" s="2"/>
      <c r="Q448" s="157"/>
      <c r="R448" s="157"/>
      <c r="S448" s="157"/>
      <c r="T448" s="158"/>
      <c r="U448" s="2"/>
      <c r="V448" s="2"/>
      <c r="W448" s="2"/>
      <c r="X448" s="2"/>
      <c r="Y448" s="2"/>
      <c r="Z448" s="2"/>
    </row>
    <row r="449" ht="13.5" customHeight="1">
      <c r="A449" s="2"/>
      <c r="B449" s="2"/>
      <c r="C449" s="2"/>
      <c r="D449" s="2"/>
      <c r="E449" s="2"/>
      <c r="F449" s="2"/>
      <c r="G449" s="2"/>
      <c r="H449" s="2"/>
      <c r="I449" s="2"/>
      <c r="J449" s="2"/>
      <c r="K449" s="181"/>
      <c r="L449" s="2"/>
      <c r="M449" s="2"/>
      <c r="N449" s="2"/>
      <c r="O449" s="2"/>
      <c r="P449" s="2"/>
      <c r="Q449" s="157"/>
      <c r="R449" s="157"/>
      <c r="S449" s="157"/>
      <c r="T449" s="158"/>
      <c r="U449" s="2"/>
      <c r="V449" s="2"/>
      <c r="W449" s="2"/>
      <c r="X449" s="2"/>
      <c r="Y449" s="2"/>
      <c r="Z449" s="2"/>
    </row>
    <row r="450" ht="13.5" customHeight="1">
      <c r="A450" s="2"/>
      <c r="B450" s="2"/>
      <c r="C450" s="2"/>
      <c r="D450" s="2"/>
      <c r="E450" s="2"/>
      <c r="F450" s="2"/>
      <c r="G450" s="2"/>
      <c r="H450" s="2"/>
      <c r="I450" s="2"/>
      <c r="J450" s="2"/>
      <c r="K450" s="181"/>
      <c r="L450" s="2"/>
      <c r="M450" s="2"/>
      <c r="N450" s="2"/>
      <c r="O450" s="2"/>
      <c r="P450" s="2"/>
      <c r="Q450" s="157"/>
      <c r="R450" s="157"/>
      <c r="S450" s="157"/>
      <c r="T450" s="158"/>
      <c r="U450" s="2"/>
      <c r="V450" s="2"/>
      <c r="W450" s="2"/>
      <c r="X450" s="2"/>
      <c r="Y450" s="2"/>
      <c r="Z450" s="2"/>
    </row>
    <row r="451" ht="13.5" customHeight="1">
      <c r="A451" s="2"/>
      <c r="B451" s="2"/>
      <c r="C451" s="2"/>
      <c r="D451" s="2"/>
      <c r="E451" s="2"/>
      <c r="F451" s="2"/>
      <c r="G451" s="2"/>
      <c r="H451" s="2"/>
      <c r="I451" s="2"/>
      <c r="J451" s="2"/>
      <c r="K451" s="181"/>
      <c r="L451" s="2"/>
      <c r="M451" s="2"/>
      <c r="N451" s="2"/>
      <c r="O451" s="2"/>
      <c r="P451" s="2"/>
      <c r="Q451" s="157"/>
      <c r="R451" s="157"/>
      <c r="S451" s="157"/>
      <c r="T451" s="158"/>
      <c r="U451" s="2"/>
      <c r="V451" s="2"/>
      <c r="W451" s="2"/>
      <c r="X451" s="2"/>
      <c r="Y451" s="2"/>
      <c r="Z451" s="2"/>
    </row>
    <row r="452" ht="13.5" customHeight="1">
      <c r="A452" s="2"/>
      <c r="B452" s="2"/>
      <c r="C452" s="2"/>
      <c r="D452" s="2"/>
      <c r="E452" s="2"/>
      <c r="F452" s="2"/>
      <c r="G452" s="2"/>
      <c r="H452" s="2"/>
      <c r="I452" s="2"/>
      <c r="J452" s="2"/>
      <c r="K452" s="181"/>
      <c r="L452" s="2"/>
      <c r="M452" s="2"/>
      <c r="N452" s="2"/>
      <c r="O452" s="2"/>
      <c r="P452" s="2"/>
      <c r="Q452" s="157"/>
      <c r="R452" s="157"/>
      <c r="S452" s="157"/>
      <c r="T452" s="158"/>
      <c r="U452" s="2"/>
      <c r="V452" s="2"/>
      <c r="W452" s="2"/>
      <c r="X452" s="2"/>
      <c r="Y452" s="2"/>
      <c r="Z452" s="2"/>
    </row>
    <row r="453" ht="13.5" customHeight="1">
      <c r="A453" s="2"/>
      <c r="B453" s="2"/>
      <c r="C453" s="2"/>
      <c r="D453" s="2"/>
      <c r="E453" s="2"/>
      <c r="F453" s="2"/>
      <c r="G453" s="2"/>
      <c r="H453" s="2"/>
      <c r="I453" s="2"/>
      <c r="J453" s="2"/>
      <c r="K453" s="181"/>
      <c r="L453" s="2"/>
      <c r="M453" s="2"/>
      <c r="N453" s="2"/>
      <c r="O453" s="2"/>
      <c r="P453" s="2"/>
      <c r="Q453" s="157"/>
      <c r="R453" s="157"/>
      <c r="S453" s="157"/>
      <c r="T453" s="158"/>
      <c r="U453" s="2"/>
      <c r="V453" s="2"/>
      <c r="W453" s="2"/>
      <c r="X453" s="2"/>
      <c r="Y453" s="2"/>
      <c r="Z453" s="2"/>
    </row>
    <row r="454" ht="13.5" customHeight="1">
      <c r="A454" s="2"/>
      <c r="B454" s="2"/>
      <c r="C454" s="2"/>
      <c r="D454" s="2"/>
      <c r="E454" s="2"/>
      <c r="F454" s="2"/>
      <c r="G454" s="2"/>
      <c r="H454" s="2"/>
      <c r="I454" s="2"/>
      <c r="J454" s="2"/>
      <c r="K454" s="181"/>
      <c r="L454" s="2"/>
      <c r="M454" s="2"/>
      <c r="N454" s="2"/>
      <c r="O454" s="2"/>
      <c r="P454" s="2"/>
      <c r="Q454" s="157"/>
      <c r="R454" s="157"/>
      <c r="S454" s="157"/>
      <c r="T454" s="158"/>
      <c r="U454" s="2"/>
      <c r="V454" s="2"/>
      <c r="W454" s="2"/>
      <c r="X454" s="2"/>
      <c r="Y454" s="2"/>
      <c r="Z454" s="2"/>
    </row>
    <row r="455" ht="13.5" customHeight="1">
      <c r="A455" s="2"/>
      <c r="B455" s="2"/>
      <c r="C455" s="2"/>
      <c r="D455" s="2"/>
      <c r="E455" s="2"/>
      <c r="F455" s="2"/>
      <c r="G455" s="2"/>
      <c r="H455" s="2"/>
      <c r="I455" s="2"/>
      <c r="J455" s="2"/>
      <c r="K455" s="181"/>
      <c r="L455" s="2"/>
      <c r="M455" s="2"/>
      <c r="N455" s="2"/>
      <c r="O455" s="2"/>
      <c r="P455" s="2"/>
      <c r="Q455" s="157"/>
      <c r="R455" s="157"/>
      <c r="S455" s="157"/>
      <c r="T455" s="158"/>
      <c r="U455" s="2"/>
      <c r="V455" s="2"/>
      <c r="W455" s="2"/>
      <c r="X455" s="2"/>
      <c r="Y455" s="2"/>
      <c r="Z455" s="2"/>
    </row>
    <row r="456" ht="13.5" customHeight="1">
      <c r="A456" s="2"/>
      <c r="B456" s="2"/>
      <c r="C456" s="2"/>
      <c r="D456" s="2"/>
      <c r="E456" s="2"/>
      <c r="F456" s="2"/>
      <c r="G456" s="2"/>
      <c r="H456" s="2"/>
      <c r="I456" s="2"/>
      <c r="J456" s="2"/>
      <c r="K456" s="181"/>
      <c r="L456" s="2"/>
      <c r="M456" s="2"/>
      <c r="N456" s="2"/>
      <c r="O456" s="2"/>
      <c r="P456" s="2"/>
      <c r="Q456" s="157"/>
      <c r="R456" s="157"/>
      <c r="S456" s="157"/>
      <c r="T456" s="158"/>
      <c r="U456" s="2"/>
      <c r="V456" s="2"/>
      <c r="W456" s="2"/>
      <c r="X456" s="2"/>
      <c r="Y456" s="2"/>
      <c r="Z456" s="2"/>
    </row>
    <row r="457" ht="13.5" customHeight="1">
      <c r="A457" s="2"/>
      <c r="B457" s="2"/>
      <c r="C457" s="2"/>
      <c r="D457" s="2"/>
      <c r="E457" s="2"/>
      <c r="F457" s="2"/>
      <c r="G457" s="2"/>
      <c r="H457" s="2"/>
      <c r="I457" s="2"/>
      <c r="J457" s="2"/>
      <c r="K457" s="181"/>
      <c r="L457" s="2"/>
      <c r="M457" s="2"/>
      <c r="N457" s="2"/>
      <c r="O457" s="2"/>
      <c r="P457" s="2"/>
      <c r="Q457" s="157"/>
      <c r="R457" s="157"/>
      <c r="S457" s="157"/>
      <c r="T457" s="158"/>
      <c r="U457" s="2"/>
      <c r="V457" s="2"/>
      <c r="W457" s="2"/>
      <c r="X457" s="2"/>
      <c r="Y457" s="2"/>
      <c r="Z457" s="2"/>
    </row>
    <row r="458" ht="13.5" customHeight="1">
      <c r="A458" s="2"/>
      <c r="B458" s="2"/>
      <c r="C458" s="2"/>
      <c r="D458" s="2"/>
      <c r="E458" s="2"/>
      <c r="F458" s="2"/>
      <c r="G458" s="2"/>
      <c r="H458" s="2"/>
      <c r="I458" s="2"/>
      <c r="J458" s="2"/>
      <c r="K458" s="181"/>
      <c r="L458" s="2"/>
      <c r="M458" s="2"/>
      <c r="N458" s="2"/>
      <c r="O458" s="2"/>
      <c r="P458" s="2"/>
      <c r="Q458" s="157"/>
      <c r="R458" s="157"/>
      <c r="S458" s="157"/>
      <c r="T458" s="158"/>
      <c r="U458" s="2"/>
      <c r="V458" s="2"/>
      <c r="W458" s="2"/>
      <c r="X458" s="2"/>
      <c r="Y458" s="2"/>
      <c r="Z458" s="2"/>
    </row>
    <row r="459" ht="13.5" customHeight="1">
      <c r="A459" s="2"/>
      <c r="B459" s="2"/>
      <c r="C459" s="2"/>
      <c r="D459" s="2"/>
      <c r="E459" s="2"/>
      <c r="F459" s="2"/>
      <c r="G459" s="2"/>
      <c r="H459" s="2"/>
      <c r="I459" s="2"/>
      <c r="J459" s="2"/>
      <c r="K459" s="181"/>
      <c r="L459" s="2"/>
      <c r="M459" s="2"/>
      <c r="N459" s="2"/>
      <c r="O459" s="2"/>
      <c r="P459" s="2"/>
      <c r="Q459" s="157"/>
      <c r="R459" s="157"/>
      <c r="S459" s="157"/>
      <c r="T459" s="158"/>
      <c r="U459" s="2"/>
      <c r="V459" s="2"/>
      <c r="W459" s="2"/>
      <c r="X459" s="2"/>
      <c r="Y459" s="2"/>
      <c r="Z459" s="2"/>
    </row>
    <row r="460" ht="13.5" customHeight="1">
      <c r="A460" s="2"/>
      <c r="B460" s="2"/>
      <c r="C460" s="2"/>
      <c r="D460" s="2"/>
      <c r="E460" s="2"/>
      <c r="F460" s="2"/>
      <c r="G460" s="2"/>
      <c r="H460" s="2"/>
      <c r="I460" s="2"/>
      <c r="J460" s="2"/>
      <c r="K460" s="181"/>
      <c r="L460" s="2"/>
      <c r="M460" s="2"/>
      <c r="N460" s="2"/>
      <c r="O460" s="2"/>
      <c r="P460" s="2"/>
      <c r="Q460" s="157"/>
      <c r="R460" s="157"/>
      <c r="S460" s="157"/>
      <c r="T460" s="158"/>
      <c r="U460" s="2"/>
      <c r="V460" s="2"/>
      <c r="W460" s="2"/>
      <c r="X460" s="2"/>
      <c r="Y460" s="2"/>
      <c r="Z460" s="2"/>
    </row>
    <row r="461" ht="13.5" customHeight="1">
      <c r="A461" s="2"/>
      <c r="B461" s="2"/>
      <c r="C461" s="2"/>
      <c r="D461" s="2"/>
      <c r="E461" s="2"/>
      <c r="F461" s="2"/>
      <c r="G461" s="2"/>
      <c r="H461" s="2"/>
      <c r="I461" s="2"/>
      <c r="J461" s="2"/>
      <c r="K461" s="181"/>
      <c r="L461" s="2"/>
      <c r="M461" s="2"/>
      <c r="N461" s="2"/>
      <c r="O461" s="2"/>
      <c r="P461" s="2"/>
      <c r="Q461" s="157"/>
      <c r="R461" s="157"/>
      <c r="S461" s="157"/>
      <c r="T461" s="158"/>
      <c r="U461" s="2"/>
      <c r="V461" s="2"/>
      <c r="W461" s="2"/>
      <c r="X461" s="2"/>
      <c r="Y461" s="2"/>
      <c r="Z461" s="2"/>
    </row>
    <row r="462" ht="13.5" customHeight="1">
      <c r="A462" s="2"/>
      <c r="B462" s="2"/>
      <c r="C462" s="2"/>
      <c r="D462" s="2"/>
      <c r="E462" s="2"/>
      <c r="F462" s="2"/>
      <c r="G462" s="2"/>
      <c r="H462" s="2"/>
      <c r="I462" s="2"/>
      <c r="J462" s="2"/>
      <c r="K462" s="181"/>
      <c r="L462" s="2"/>
      <c r="M462" s="2"/>
      <c r="N462" s="2"/>
      <c r="O462" s="2"/>
      <c r="P462" s="2"/>
      <c r="Q462" s="157"/>
      <c r="R462" s="157"/>
      <c r="S462" s="157"/>
      <c r="T462" s="158"/>
      <c r="U462" s="2"/>
      <c r="V462" s="2"/>
      <c r="W462" s="2"/>
      <c r="X462" s="2"/>
      <c r="Y462" s="2"/>
      <c r="Z462" s="2"/>
    </row>
    <row r="463" ht="13.5" customHeight="1">
      <c r="A463" s="2"/>
      <c r="B463" s="2"/>
      <c r="C463" s="2"/>
      <c r="D463" s="2"/>
      <c r="E463" s="2"/>
      <c r="F463" s="2"/>
      <c r="G463" s="2"/>
      <c r="H463" s="2"/>
      <c r="I463" s="2"/>
      <c r="J463" s="2"/>
      <c r="K463" s="181"/>
      <c r="L463" s="2"/>
      <c r="M463" s="2"/>
      <c r="N463" s="2"/>
      <c r="O463" s="2"/>
      <c r="P463" s="2"/>
      <c r="Q463" s="157"/>
      <c r="R463" s="157"/>
      <c r="S463" s="157"/>
      <c r="T463" s="158"/>
      <c r="U463" s="2"/>
      <c r="V463" s="2"/>
      <c r="W463" s="2"/>
      <c r="X463" s="2"/>
      <c r="Y463" s="2"/>
      <c r="Z463" s="2"/>
    </row>
    <row r="464" ht="13.5" customHeight="1">
      <c r="A464" s="2"/>
      <c r="B464" s="2"/>
      <c r="C464" s="2"/>
      <c r="D464" s="2"/>
      <c r="E464" s="2"/>
      <c r="F464" s="2"/>
      <c r="G464" s="2"/>
      <c r="H464" s="2"/>
      <c r="I464" s="2"/>
      <c r="J464" s="2"/>
      <c r="K464" s="181"/>
      <c r="L464" s="2"/>
      <c r="M464" s="2"/>
      <c r="N464" s="2"/>
      <c r="O464" s="2"/>
      <c r="P464" s="2"/>
      <c r="Q464" s="157"/>
      <c r="R464" s="157"/>
      <c r="S464" s="157"/>
      <c r="T464" s="158"/>
      <c r="U464" s="2"/>
      <c r="V464" s="2"/>
      <c r="W464" s="2"/>
      <c r="X464" s="2"/>
      <c r="Y464" s="2"/>
      <c r="Z464" s="2"/>
    </row>
    <row r="465" ht="13.5" customHeight="1">
      <c r="A465" s="2"/>
      <c r="B465" s="2"/>
      <c r="C465" s="2"/>
      <c r="D465" s="2"/>
      <c r="E465" s="2"/>
      <c r="F465" s="2"/>
      <c r="G465" s="2"/>
      <c r="H465" s="2"/>
      <c r="I465" s="2"/>
      <c r="J465" s="2"/>
      <c r="K465" s="181"/>
      <c r="L465" s="2"/>
      <c r="M465" s="2"/>
      <c r="N465" s="2"/>
      <c r="O465" s="2"/>
      <c r="P465" s="2"/>
      <c r="Q465" s="157"/>
      <c r="R465" s="157"/>
      <c r="S465" s="157"/>
      <c r="T465" s="158"/>
      <c r="U465" s="2"/>
      <c r="V465" s="2"/>
      <c r="W465" s="2"/>
      <c r="X465" s="2"/>
      <c r="Y465" s="2"/>
      <c r="Z465" s="2"/>
    </row>
    <row r="466" ht="13.5" customHeight="1">
      <c r="A466" s="2"/>
      <c r="B466" s="2"/>
      <c r="C466" s="2"/>
      <c r="D466" s="2"/>
      <c r="E466" s="2"/>
      <c r="F466" s="2"/>
      <c r="G466" s="2"/>
      <c r="H466" s="2"/>
      <c r="I466" s="2"/>
      <c r="J466" s="2"/>
      <c r="K466" s="181"/>
      <c r="L466" s="2"/>
      <c r="M466" s="2"/>
      <c r="N466" s="2"/>
      <c r="O466" s="2"/>
      <c r="P466" s="2"/>
      <c r="Q466" s="157"/>
      <c r="R466" s="157"/>
      <c r="S466" s="157"/>
      <c r="T466" s="158"/>
      <c r="U466" s="2"/>
      <c r="V466" s="2"/>
      <c r="W466" s="2"/>
      <c r="X466" s="2"/>
      <c r="Y466" s="2"/>
      <c r="Z466" s="2"/>
    </row>
    <row r="467" ht="13.5" customHeight="1">
      <c r="A467" s="2"/>
      <c r="B467" s="2"/>
      <c r="C467" s="2"/>
      <c r="D467" s="2"/>
      <c r="E467" s="2"/>
      <c r="F467" s="2"/>
      <c r="G467" s="2"/>
      <c r="H467" s="2"/>
      <c r="I467" s="2"/>
      <c r="J467" s="2"/>
      <c r="K467" s="181"/>
      <c r="L467" s="2"/>
      <c r="M467" s="2"/>
      <c r="N467" s="2"/>
      <c r="O467" s="2"/>
      <c r="P467" s="2"/>
      <c r="Q467" s="157"/>
      <c r="R467" s="157"/>
      <c r="S467" s="157"/>
      <c r="T467" s="158"/>
      <c r="U467" s="2"/>
      <c r="V467" s="2"/>
      <c r="W467" s="2"/>
      <c r="X467" s="2"/>
      <c r="Y467" s="2"/>
      <c r="Z467" s="2"/>
    </row>
    <row r="468" ht="13.5" customHeight="1">
      <c r="A468" s="2"/>
      <c r="B468" s="2"/>
      <c r="C468" s="2"/>
      <c r="D468" s="2"/>
      <c r="E468" s="2"/>
      <c r="F468" s="2"/>
      <c r="G468" s="2"/>
      <c r="H468" s="2"/>
      <c r="I468" s="2"/>
      <c r="J468" s="2"/>
      <c r="K468" s="181"/>
      <c r="L468" s="2"/>
      <c r="M468" s="2"/>
      <c r="N468" s="2"/>
      <c r="O468" s="2"/>
      <c r="P468" s="2"/>
      <c r="Q468" s="157"/>
      <c r="R468" s="157"/>
      <c r="S468" s="157"/>
      <c r="T468" s="158"/>
      <c r="U468" s="2"/>
      <c r="V468" s="2"/>
      <c r="W468" s="2"/>
      <c r="X468" s="2"/>
      <c r="Y468" s="2"/>
      <c r="Z468" s="2"/>
    </row>
    <row r="469" ht="13.5" customHeight="1">
      <c r="A469" s="2"/>
      <c r="B469" s="2"/>
      <c r="C469" s="2"/>
      <c r="D469" s="2"/>
      <c r="E469" s="2"/>
      <c r="F469" s="2"/>
      <c r="G469" s="2"/>
      <c r="H469" s="2"/>
      <c r="I469" s="2"/>
      <c r="J469" s="2"/>
      <c r="K469" s="181"/>
      <c r="L469" s="2"/>
      <c r="M469" s="2"/>
      <c r="N469" s="2"/>
      <c r="O469" s="2"/>
      <c r="P469" s="2"/>
      <c r="Q469" s="157"/>
      <c r="R469" s="157"/>
      <c r="S469" s="157"/>
      <c r="T469" s="158"/>
      <c r="U469" s="2"/>
      <c r="V469" s="2"/>
      <c r="W469" s="2"/>
      <c r="X469" s="2"/>
      <c r="Y469" s="2"/>
      <c r="Z469" s="2"/>
    </row>
    <row r="470" ht="13.5" customHeight="1">
      <c r="A470" s="2"/>
      <c r="B470" s="2"/>
      <c r="C470" s="2"/>
      <c r="D470" s="2"/>
      <c r="E470" s="2"/>
      <c r="F470" s="2"/>
      <c r="G470" s="2"/>
      <c r="H470" s="2"/>
      <c r="I470" s="2"/>
      <c r="J470" s="2"/>
      <c r="K470" s="181"/>
      <c r="L470" s="2"/>
      <c r="M470" s="2"/>
      <c r="N470" s="2"/>
      <c r="O470" s="2"/>
      <c r="P470" s="2"/>
      <c r="Q470" s="157"/>
      <c r="R470" s="157"/>
      <c r="S470" s="157"/>
      <c r="T470" s="158"/>
      <c r="U470" s="2"/>
      <c r="V470" s="2"/>
      <c r="W470" s="2"/>
      <c r="X470" s="2"/>
      <c r="Y470" s="2"/>
      <c r="Z470" s="2"/>
    </row>
    <row r="471" ht="13.5" customHeight="1">
      <c r="A471" s="2"/>
      <c r="B471" s="2"/>
      <c r="C471" s="2"/>
      <c r="D471" s="2"/>
      <c r="E471" s="2"/>
      <c r="F471" s="2"/>
      <c r="G471" s="2"/>
      <c r="H471" s="2"/>
      <c r="I471" s="2"/>
      <c r="J471" s="2"/>
      <c r="K471" s="181"/>
      <c r="L471" s="2"/>
      <c r="M471" s="2"/>
      <c r="N471" s="2"/>
      <c r="O471" s="2"/>
      <c r="P471" s="2"/>
      <c r="Q471" s="157"/>
      <c r="R471" s="157"/>
      <c r="S471" s="157"/>
      <c r="T471" s="158"/>
      <c r="U471" s="2"/>
      <c r="V471" s="2"/>
      <c r="W471" s="2"/>
      <c r="X471" s="2"/>
      <c r="Y471" s="2"/>
      <c r="Z471" s="2"/>
    </row>
    <row r="472" ht="13.5" customHeight="1">
      <c r="A472" s="2"/>
      <c r="B472" s="2"/>
      <c r="C472" s="2"/>
      <c r="D472" s="2"/>
      <c r="E472" s="2"/>
      <c r="F472" s="2"/>
      <c r="G472" s="2"/>
      <c r="H472" s="2"/>
      <c r="I472" s="2"/>
      <c r="J472" s="2"/>
      <c r="K472" s="181"/>
      <c r="L472" s="2"/>
      <c r="M472" s="2"/>
      <c r="N472" s="2"/>
      <c r="O472" s="2"/>
      <c r="P472" s="2"/>
      <c r="Q472" s="157"/>
      <c r="R472" s="157"/>
      <c r="S472" s="157"/>
      <c r="T472" s="158"/>
      <c r="U472" s="2"/>
      <c r="V472" s="2"/>
      <c r="W472" s="2"/>
      <c r="X472" s="2"/>
      <c r="Y472" s="2"/>
      <c r="Z472" s="2"/>
    </row>
    <row r="473" ht="13.5" customHeight="1">
      <c r="A473" s="2"/>
      <c r="B473" s="2"/>
      <c r="C473" s="2"/>
      <c r="D473" s="2"/>
      <c r="E473" s="2"/>
      <c r="F473" s="2"/>
      <c r="G473" s="2"/>
      <c r="H473" s="2"/>
      <c r="I473" s="2"/>
      <c r="J473" s="2"/>
      <c r="K473" s="181"/>
      <c r="L473" s="2"/>
      <c r="M473" s="2"/>
      <c r="N473" s="2"/>
      <c r="O473" s="2"/>
      <c r="P473" s="2"/>
      <c r="Q473" s="157"/>
      <c r="R473" s="157"/>
      <c r="S473" s="157"/>
      <c r="T473" s="158"/>
      <c r="U473" s="2"/>
      <c r="V473" s="2"/>
      <c r="W473" s="2"/>
      <c r="X473" s="2"/>
      <c r="Y473" s="2"/>
      <c r="Z473" s="2"/>
    </row>
    <row r="474" ht="13.5" customHeight="1">
      <c r="A474" s="2"/>
      <c r="B474" s="2"/>
      <c r="C474" s="2"/>
      <c r="D474" s="2"/>
      <c r="E474" s="2"/>
      <c r="F474" s="2"/>
      <c r="G474" s="2"/>
      <c r="H474" s="2"/>
      <c r="I474" s="2"/>
      <c r="J474" s="2"/>
      <c r="K474" s="181"/>
      <c r="L474" s="2"/>
      <c r="M474" s="2"/>
      <c r="N474" s="2"/>
      <c r="O474" s="2"/>
      <c r="P474" s="2"/>
      <c r="Q474" s="157"/>
      <c r="R474" s="157"/>
      <c r="S474" s="157"/>
      <c r="T474" s="158"/>
      <c r="U474" s="2"/>
      <c r="V474" s="2"/>
      <c r="W474" s="2"/>
      <c r="X474" s="2"/>
      <c r="Y474" s="2"/>
      <c r="Z474" s="2"/>
    </row>
    <row r="475" ht="13.5" customHeight="1">
      <c r="A475" s="2"/>
      <c r="B475" s="2"/>
      <c r="C475" s="2"/>
      <c r="D475" s="2"/>
      <c r="E475" s="2"/>
      <c r="F475" s="2"/>
      <c r="G475" s="2"/>
      <c r="H475" s="2"/>
      <c r="I475" s="2"/>
      <c r="J475" s="2"/>
      <c r="K475" s="181"/>
      <c r="L475" s="2"/>
      <c r="M475" s="2"/>
      <c r="N475" s="2"/>
      <c r="O475" s="2"/>
      <c r="P475" s="2"/>
      <c r="Q475" s="157"/>
      <c r="R475" s="157"/>
      <c r="S475" s="157"/>
      <c r="T475" s="158"/>
      <c r="U475" s="2"/>
      <c r="V475" s="2"/>
      <c r="W475" s="2"/>
      <c r="X475" s="2"/>
      <c r="Y475" s="2"/>
      <c r="Z475" s="2"/>
    </row>
    <row r="476" ht="13.5" customHeight="1">
      <c r="A476" s="2"/>
      <c r="B476" s="2"/>
      <c r="C476" s="2"/>
      <c r="D476" s="2"/>
      <c r="E476" s="2"/>
      <c r="F476" s="2"/>
      <c r="G476" s="2"/>
      <c r="H476" s="2"/>
      <c r="I476" s="2"/>
      <c r="J476" s="2"/>
      <c r="K476" s="181"/>
      <c r="L476" s="2"/>
      <c r="M476" s="2"/>
      <c r="N476" s="2"/>
      <c r="O476" s="2"/>
      <c r="P476" s="2"/>
      <c r="Q476" s="157"/>
      <c r="R476" s="157"/>
      <c r="S476" s="157"/>
      <c r="T476" s="158"/>
      <c r="U476" s="2"/>
      <c r="V476" s="2"/>
      <c r="W476" s="2"/>
      <c r="X476" s="2"/>
      <c r="Y476" s="2"/>
      <c r="Z476" s="2"/>
    </row>
    <row r="477" ht="13.5" customHeight="1">
      <c r="A477" s="2"/>
      <c r="B477" s="2"/>
      <c r="C477" s="2"/>
      <c r="D477" s="2"/>
      <c r="E477" s="2"/>
      <c r="F477" s="2"/>
      <c r="G477" s="2"/>
      <c r="H477" s="2"/>
      <c r="I477" s="2"/>
      <c r="J477" s="2"/>
      <c r="K477" s="181"/>
      <c r="L477" s="2"/>
      <c r="M477" s="2"/>
      <c r="N477" s="2"/>
      <c r="O477" s="2"/>
      <c r="P477" s="2"/>
      <c r="Q477" s="157"/>
      <c r="R477" s="157"/>
      <c r="S477" s="157"/>
      <c r="T477" s="158"/>
      <c r="U477" s="2"/>
      <c r="V477" s="2"/>
      <c r="W477" s="2"/>
      <c r="X477" s="2"/>
      <c r="Y477" s="2"/>
      <c r="Z477" s="2"/>
    </row>
    <row r="478" ht="13.5" customHeight="1">
      <c r="A478" s="2"/>
      <c r="B478" s="2"/>
      <c r="C478" s="2"/>
      <c r="D478" s="2"/>
      <c r="E478" s="2"/>
      <c r="F478" s="2"/>
      <c r="G478" s="2"/>
      <c r="H478" s="2"/>
      <c r="I478" s="2"/>
      <c r="J478" s="2"/>
      <c r="K478" s="181"/>
      <c r="L478" s="2"/>
      <c r="M478" s="2"/>
      <c r="N478" s="2"/>
      <c r="O478" s="2"/>
      <c r="P478" s="2"/>
      <c r="Q478" s="157"/>
      <c r="R478" s="157"/>
      <c r="S478" s="157"/>
      <c r="T478" s="158"/>
      <c r="U478" s="2"/>
      <c r="V478" s="2"/>
      <c r="W478" s="2"/>
      <c r="X478" s="2"/>
      <c r="Y478" s="2"/>
      <c r="Z478" s="2"/>
    </row>
    <row r="479" ht="13.5" customHeight="1">
      <c r="A479" s="2"/>
      <c r="B479" s="2"/>
      <c r="C479" s="2"/>
      <c r="D479" s="2"/>
      <c r="E479" s="2"/>
      <c r="F479" s="2"/>
      <c r="G479" s="2"/>
      <c r="H479" s="2"/>
      <c r="I479" s="2"/>
      <c r="J479" s="2"/>
      <c r="K479" s="181"/>
      <c r="L479" s="2"/>
      <c r="M479" s="2"/>
      <c r="N479" s="2"/>
      <c r="O479" s="2"/>
      <c r="P479" s="2"/>
      <c r="Q479" s="157"/>
      <c r="R479" s="157"/>
      <c r="S479" s="157"/>
      <c r="T479" s="158"/>
      <c r="U479" s="2"/>
      <c r="V479" s="2"/>
      <c r="W479" s="2"/>
      <c r="X479" s="2"/>
      <c r="Y479" s="2"/>
      <c r="Z479" s="2"/>
    </row>
    <row r="480" ht="13.5" customHeight="1">
      <c r="A480" s="2"/>
      <c r="B480" s="2"/>
      <c r="C480" s="2"/>
      <c r="D480" s="2"/>
      <c r="E480" s="2"/>
      <c r="F480" s="2"/>
      <c r="G480" s="2"/>
      <c r="H480" s="2"/>
      <c r="I480" s="2"/>
      <c r="J480" s="2"/>
      <c r="K480" s="181"/>
      <c r="L480" s="2"/>
      <c r="M480" s="2"/>
      <c r="N480" s="2"/>
      <c r="O480" s="2"/>
      <c r="P480" s="2"/>
      <c r="Q480" s="157"/>
      <c r="R480" s="157"/>
      <c r="S480" s="157"/>
      <c r="T480" s="158"/>
      <c r="U480" s="2"/>
      <c r="V480" s="2"/>
      <c r="W480" s="2"/>
      <c r="X480" s="2"/>
      <c r="Y480" s="2"/>
      <c r="Z480" s="2"/>
    </row>
    <row r="481" ht="13.5" customHeight="1">
      <c r="A481" s="2"/>
      <c r="B481" s="2"/>
      <c r="C481" s="2"/>
      <c r="D481" s="2"/>
      <c r="E481" s="2"/>
      <c r="F481" s="2"/>
      <c r="G481" s="2"/>
      <c r="H481" s="2"/>
      <c r="I481" s="2"/>
      <c r="J481" s="2"/>
      <c r="K481" s="181"/>
      <c r="L481" s="2"/>
      <c r="M481" s="2"/>
      <c r="N481" s="2"/>
      <c r="O481" s="2"/>
      <c r="P481" s="2"/>
      <c r="Q481" s="157"/>
      <c r="R481" s="157"/>
      <c r="S481" s="157"/>
      <c r="T481" s="158"/>
      <c r="U481" s="2"/>
      <c r="V481" s="2"/>
      <c r="W481" s="2"/>
      <c r="X481" s="2"/>
      <c r="Y481" s="2"/>
      <c r="Z481" s="2"/>
    </row>
    <row r="482" ht="13.5" customHeight="1">
      <c r="A482" s="2"/>
      <c r="B482" s="2"/>
      <c r="C482" s="2"/>
      <c r="D482" s="2"/>
      <c r="E482" s="2"/>
      <c r="F482" s="2"/>
      <c r="G482" s="2"/>
      <c r="H482" s="2"/>
      <c r="I482" s="2"/>
      <c r="J482" s="2"/>
      <c r="K482" s="181"/>
      <c r="L482" s="2"/>
      <c r="M482" s="2"/>
      <c r="N482" s="2"/>
      <c r="O482" s="2"/>
      <c r="P482" s="2"/>
      <c r="Q482" s="157"/>
      <c r="R482" s="157"/>
      <c r="S482" s="157"/>
      <c r="T482" s="158"/>
      <c r="U482" s="2"/>
      <c r="V482" s="2"/>
      <c r="W482" s="2"/>
      <c r="X482" s="2"/>
      <c r="Y482" s="2"/>
      <c r="Z482" s="2"/>
    </row>
    <row r="483" ht="13.5" customHeight="1">
      <c r="A483" s="2"/>
      <c r="B483" s="2"/>
      <c r="C483" s="2"/>
      <c r="D483" s="2"/>
      <c r="E483" s="2"/>
      <c r="F483" s="2"/>
      <c r="G483" s="2"/>
      <c r="H483" s="2"/>
      <c r="I483" s="2"/>
      <c r="J483" s="2"/>
      <c r="K483" s="181"/>
      <c r="L483" s="2"/>
      <c r="M483" s="2"/>
      <c r="N483" s="2"/>
      <c r="O483" s="2"/>
      <c r="P483" s="2"/>
      <c r="Q483" s="157"/>
      <c r="R483" s="157"/>
      <c r="S483" s="157"/>
      <c r="T483" s="158"/>
      <c r="U483" s="2"/>
      <c r="V483" s="2"/>
      <c r="W483" s="2"/>
      <c r="X483" s="2"/>
      <c r="Y483" s="2"/>
      <c r="Z483" s="2"/>
    </row>
    <row r="484" ht="13.5" customHeight="1">
      <c r="A484" s="2"/>
      <c r="B484" s="2"/>
      <c r="C484" s="2"/>
      <c r="D484" s="2"/>
      <c r="E484" s="2"/>
      <c r="F484" s="2"/>
      <c r="G484" s="2"/>
      <c r="H484" s="2"/>
      <c r="I484" s="2"/>
      <c r="J484" s="2"/>
      <c r="K484" s="181"/>
      <c r="L484" s="2"/>
      <c r="M484" s="2"/>
      <c r="N484" s="2"/>
      <c r="O484" s="2"/>
      <c r="P484" s="2"/>
      <c r="Q484" s="157"/>
      <c r="R484" s="157"/>
      <c r="S484" s="157"/>
      <c r="T484" s="158"/>
      <c r="U484" s="2"/>
      <c r="V484" s="2"/>
      <c r="W484" s="2"/>
      <c r="X484" s="2"/>
      <c r="Y484" s="2"/>
      <c r="Z484" s="2"/>
    </row>
    <row r="485" ht="13.5" customHeight="1">
      <c r="A485" s="2"/>
      <c r="B485" s="2"/>
      <c r="C485" s="2"/>
      <c r="D485" s="2"/>
      <c r="E485" s="2"/>
      <c r="F485" s="2"/>
      <c r="G485" s="2"/>
      <c r="H485" s="2"/>
      <c r="I485" s="2"/>
      <c r="J485" s="2"/>
      <c r="K485" s="181"/>
      <c r="L485" s="2"/>
      <c r="M485" s="2"/>
      <c r="N485" s="2"/>
      <c r="O485" s="2"/>
      <c r="P485" s="2"/>
      <c r="Q485" s="157"/>
      <c r="R485" s="157"/>
      <c r="S485" s="157"/>
      <c r="T485" s="158"/>
      <c r="U485" s="2"/>
      <c r="V485" s="2"/>
      <c r="W485" s="2"/>
      <c r="X485" s="2"/>
      <c r="Y485" s="2"/>
      <c r="Z485" s="2"/>
    </row>
    <row r="486" ht="13.5" customHeight="1">
      <c r="A486" s="2"/>
      <c r="B486" s="2"/>
      <c r="C486" s="2"/>
      <c r="D486" s="2"/>
      <c r="E486" s="2"/>
      <c r="F486" s="2"/>
      <c r="G486" s="2"/>
      <c r="H486" s="2"/>
      <c r="I486" s="2"/>
      <c r="J486" s="2"/>
      <c r="K486" s="181"/>
      <c r="L486" s="2"/>
      <c r="M486" s="2"/>
      <c r="N486" s="2"/>
      <c r="O486" s="2"/>
      <c r="P486" s="2"/>
      <c r="Q486" s="157"/>
      <c r="R486" s="157"/>
      <c r="S486" s="157"/>
      <c r="T486" s="158"/>
      <c r="U486" s="2"/>
      <c r="V486" s="2"/>
      <c r="W486" s="2"/>
      <c r="X486" s="2"/>
      <c r="Y486" s="2"/>
      <c r="Z486" s="2"/>
    </row>
    <row r="487" ht="13.5" customHeight="1">
      <c r="A487" s="2"/>
      <c r="B487" s="2"/>
      <c r="C487" s="2"/>
      <c r="D487" s="2"/>
      <c r="E487" s="2"/>
      <c r="F487" s="2"/>
      <c r="G487" s="2"/>
      <c r="H487" s="2"/>
      <c r="I487" s="2"/>
      <c r="J487" s="2"/>
      <c r="K487" s="181"/>
      <c r="L487" s="2"/>
      <c r="M487" s="2"/>
      <c r="N487" s="2"/>
      <c r="O487" s="2"/>
      <c r="P487" s="2"/>
      <c r="Q487" s="157"/>
      <c r="R487" s="157"/>
      <c r="S487" s="157"/>
      <c r="T487" s="158"/>
      <c r="U487" s="2"/>
      <c r="V487" s="2"/>
      <c r="W487" s="2"/>
      <c r="X487" s="2"/>
      <c r="Y487" s="2"/>
      <c r="Z487" s="2"/>
    </row>
    <row r="488" ht="13.5" customHeight="1">
      <c r="A488" s="2"/>
      <c r="B488" s="2"/>
      <c r="C488" s="2"/>
      <c r="D488" s="2"/>
      <c r="E488" s="2"/>
      <c r="F488" s="2"/>
      <c r="G488" s="2"/>
      <c r="H488" s="2"/>
      <c r="I488" s="2"/>
      <c r="J488" s="2"/>
      <c r="K488" s="181"/>
      <c r="L488" s="2"/>
      <c r="M488" s="2"/>
      <c r="N488" s="2"/>
      <c r="O488" s="2"/>
      <c r="P488" s="2"/>
      <c r="Q488" s="157"/>
      <c r="R488" s="157"/>
      <c r="S488" s="157"/>
      <c r="T488" s="158"/>
      <c r="U488" s="2"/>
      <c r="V488" s="2"/>
      <c r="W488" s="2"/>
      <c r="X488" s="2"/>
      <c r="Y488" s="2"/>
      <c r="Z488" s="2"/>
    </row>
    <row r="489" ht="13.5" customHeight="1">
      <c r="A489" s="2"/>
      <c r="B489" s="2"/>
      <c r="C489" s="2"/>
      <c r="D489" s="2"/>
      <c r="E489" s="2"/>
      <c r="F489" s="2"/>
      <c r="G489" s="2"/>
      <c r="H489" s="2"/>
      <c r="I489" s="2"/>
      <c r="J489" s="2"/>
      <c r="K489" s="181"/>
      <c r="L489" s="2"/>
      <c r="M489" s="2"/>
      <c r="N489" s="2"/>
      <c r="O489" s="2"/>
      <c r="P489" s="2"/>
      <c r="Q489" s="157"/>
      <c r="R489" s="157"/>
      <c r="S489" s="157"/>
      <c r="T489" s="158"/>
      <c r="U489" s="2"/>
      <c r="V489" s="2"/>
      <c r="W489" s="2"/>
      <c r="X489" s="2"/>
      <c r="Y489" s="2"/>
      <c r="Z489" s="2"/>
    </row>
    <row r="490" ht="13.5" customHeight="1">
      <c r="A490" s="2"/>
      <c r="B490" s="2"/>
      <c r="C490" s="2"/>
      <c r="D490" s="2"/>
      <c r="E490" s="2"/>
      <c r="F490" s="2"/>
      <c r="G490" s="2"/>
      <c r="H490" s="2"/>
      <c r="I490" s="2"/>
      <c r="J490" s="2"/>
      <c r="K490" s="181"/>
      <c r="L490" s="2"/>
      <c r="M490" s="2"/>
      <c r="N490" s="2"/>
      <c r="O490" s="2"/>
      <c r="P490" s="2"/>
      <c r="Q490" s="157"/>
      <c r="R490" s="157"/>
      <c r="S490" s="157"/>
      <c r="T490" s="158"/>
      <c r="U490" s="2"/>
      <c r="V490" s="2"/>
      <c r="W490" s="2"/>
      <c r="X490" s="2"/>
      <c r="Y490" s="2"/>
      <c r="Z490" s="2"/>
    </row>
    <row r="491" ht="13.5" customHeight="1">
      <c r="A491" s="2"/>
      <c r="B491" s="2"/>
      <c r="C491" s="2"/>
      <c r="D491" s="2"/>
      <c r="E491" s="2"/>
      <c r="F491" s="2"/>
      <c r="G491" s="2"/>
      <c r="H491" s="2"/>
      <c r="I491" s="2"/>
      <c r="J491" s="2"/>
      <c r="K491" s="181"/>
      <c r="L491" s="2"/>
      <c r="M491" s="2"/>
      <c r="N491" s="2"/>
      <c r="O491" s="2"/>
      <c r="P491" s="2"/>
      <c r="Q491" s="157"/>
      <c r="R491" s="157"/>
      <c r="S491" s="157"/>
      <c r="T491" s="158"/>
      <c r="U491" s="2"/>
      <c r="V491" s="2"/>
      <c r="W491" s="2"/>
      <c r="X491" s="2"/>
      <c r="Y491" s="2"/>
      <c r="Z491" s="2"/>
    </row>
    <row r="492" ht="13.5" customHeight="1">
      <c r="A492" s="2"/>
      <c r="B492" s="2"/>
      <c r="C492" s="2"/>
      <c r="D492" s="2"/>
      <c r="E492" s="2"/>
      <c r="F492" s="2"/>
      <c r="G492" s="2"/>
      <c r="H492" s="2"/>
      <c r="I492" s="2"/>
      <c r="J492" s="2"/>
      <c r="K492" s="181"/>
      <c r="L492" s="2"/>
      <c r="M492" s="2"/>
      <c r="N492" s="2"/>
      <c r="O492" s="2"/>
      <c r="P492" s="2"/>
      <c r="Q492" s="157"/>
      <c r="R492" s="157"/>
      <c r="S492" s="157"/>
      <c r="T492" s="158"/>
      <c r="U492" s="2"/>
      <c r="V492" s="2"/>
      <c r="W492" s="2"/>
      <c r="X492" s="2"/>
      <c r="Y492" s="2"/>
      <c r="Z492" s="2"/>
    </row>
    <row r="493" ht="13.5" customHeight="1">
      <c r="A493" s="2"/>
      <c r="B493" s="2"/>
      <c r="C493" s="2"/>
      <c r="D493" s="2"/>
      <c r="E493" s="2"/>
      <c r="F493" s="2"/>
      <c r="G493" s="2"/>
      <c r="H493" s="2"/>
      <c r="I493" s="2"/>
      <c r="J493" s="2"/>
      <c r="K493" s="181"/>
      <c r="L493" s="2"/>
      <c r="M493" s="2"/>
      <c r="N493" s="2"/>
      <c r="O493" s="2"/>
      <c r="P493" s="2"/>
      <c r="Q493" s="157"/>
      <c r="R493" s="157"/>
      <c r="S493" s="157"/>
      <c r="T493" s="158"/>
      <c r="U493" s="2"/>
      <c r="V493" s="2"/>
      <c r="W493" s="2"/>
      <c r="X493" s="2"/>
      <c r="Y493" s="2"/>
      <c r="Z493" s="2"/>
    </row>
    <row r="494" ht="13.5" customHeight="1">
      <c r="A494" s="2"/>
      <c r="B494" s="2"/>
      <c r="C494" s="2"/>
      <c r="D494" s="2"/>
      <c r="E494" s="2"/>
      <c r="F494" s="2"/>
      <c r="G494" s="2"/>
      <c r="H494" s="2"/>
      <c r="I494" s="2"/>
      <c r="J494" s="2"/>
      <c r="K494" s="181"/>
      <c r="L494" s="2"/>
      <c r="M494" s="2"/>
      <c r="N494" s="2"/>
      <c r="O494" s="2"/>
      <c r="P494" s="2"/>
      <c r="Q494" s="157"/>
      <c r="R494" s="157"/>
      <c r="S494" s="157"/>
      <c r="T494" s="158"/>
      <c r="U494" s="2"/>
      <c r="V494" s="2"/>
      <c r="W494" s="2"/>
      <c r="X494" s="2"/>
      <c r="Y494" s="2"/>
      <c r="Z494" s="2"/>
    </row>
    <row r="495" ht="13.5" customHeight="1">
      <c r="A495" s="2"/>
      <c r="B495" s="2"/>
      <c r="C495" s="2"/>
      <c r="D495" s="2"/>
      <c r="E495" s="2"/>
      <c r="F495" s="2"/>
      <c r="G495" s="2"/>
      <c r="H495" s="2"/>
      <c r="I495" s="2"/>
      <c r="J495" s="2"/>
      <c r="K495" s="181"/>
      <c r="L495" s="2"/>
      <c r="M495" s="2"/>
      <c r="N495" s="2"/>
      <c r="O495" s="2"/>
      <c r="P495" s="2"/>
      <c r="Q495" s="157"/>
      <c r="R495" s="157"/>
      <c r="S495" s="157"/>
      <c r="T495" s="158"/>
      <c r="U495" s="2"/>
      <c r="V495" s="2"/>
      <c r="W495" s="2"/>
      <c r="X495" s="2"/>
      <c r="Y495" s="2"/>
      <c r="Z495" s="2"/>
    </row>
    <row r="496" ht="13.5" customHeight="1">
      <c r="A496" s="2"/>
      <c r="B496" s="2"/>
      <c r="C496" s="2"/>
      <c r="D496" s="2"/>
      <c r="E496" s="2"/>
      <c r="F496" s="2"/>
      <c r="G496" s="2"/>
      <c r="H496" s="2"/>
      <c r="I496" s="2"/>
      <c r="J496" s="2"/>
      <c r="K496" s="181"/>
      <c r="L496" s="2"/>
      <c r="M496" s="2"/>
      <c r="N496" s="2"/>
      <c r="O496" s="2"/>
      <c r="P496" s="2"/>
      <c r="Q496" s="157"/>
      <c r="R496" s="157"/>
      <c r="S496" s="157"/>
      <c r="T496" s="158"/>
      <c r="U496" s="2"/>
      <c r="V496" s="2"/>
      <c r="W496" s="2"/>
      <c r="X496" s="2"/>
      <c r="Y496" s="2"/>
      <c r="Z496" s="2"/>
    </row>
    <row r="497" ht="13.5" customHeight="1">
      <c r="A497" s="2"/>
      <c r="B497" s="2"/>
      <c r="C497" s="2"/>
      <c r="D497" s="2"/>
      <c r="E497" s="2"/>
      <c r="F497" s="2"/>
      <c r="G497" s="2"/>
      <c r="H497" s="2"/>
      <c r="I497" s="2"/>
      <c r="J497" s="2"/>
      <c r="K497" s="181"/>
      <c r="L497" s="2"/>
      <c r="M497" s="2"/>
      <c r="N497" s="2"/>
      <c r="O497" s="2"/>
      <c r="P497" s="2"/>
      <c r="Q497" s="157"/>
      <c r="R497" s="157"/>
      <c r="S497" s="157"/>
      <c r="T497" s="158"/>
      <c r="U497" s="2"/>
      <c r="V497" s="2"/>
      <c r="W497" s="2"/>
      <c r="X497" s="2"/>
      <c r="Y497" s="2"/>
      <c r="Z497" s="2"/>
    </row>
    <row r="498" ht="13.5" customHeight="1">
      <c r="A498" s="2"/>
      <c r="B498" s="2"/>
      <c r="C498" s="2"/>
      <c r="D498" s="2"/>
      <c r="E498" s="2"/>
      <c r="F498" s="2"/>
      <c r="G498" s="2"/>
      <c r="H498" s="2"/>
      <c r="I498" s="2"/>
      <c r="J498" s="2"/>
      <c r="K498" s="181"/>
      <c r="L498" s="2"/>
      <c r="M498" s="2"/>
      <c r="N498" s="2"/>
      <c r="O498" s="2"/>
      <c r="P498" s="2"/>
      <c r="Q498" s="157"/>
      <c r="R498" s="157"/>
      <c r="S498" s="157"/>
      <c r="T498" s="158"/>
      <c r="U498" s="2"/>
      <c r="V498" s="2"/>
      <c r="W498" s="2"/>
      <c r="X498" s="2"/>
      <c r="Y498" s="2"/>
      <c r="Z498" s="2"/>
    </row>
    <row r="499" ht="13.5" customHeight="1">
      <c r="A499" s="2"/>
      <c r="B499" s="2"/>
      <c r="C499" s="2"/>
      <c r="D499" s="2"/>
      <c r="E499" s="2"/>
      <c r="F499" s="2"/>
      <c r="G499" s="2"/>
      <c r="H499" s="2"/>
      <c r="I499" s="2"/>
      <c r="J499" s="2"/>
      <c r="K499" s="181"/>
      <c r="L499" s="2"/>
      <c r="M499" s="2"/>
      <c r="N499" s="2"/>
      <c r="O499" s="2"/>
      <c r="P499" s="2"/>
      <c r="Q499" s="157"/>
      <c r="R499" s="157"/>
      <c r="S499" s="157"/>
      <c r="T499" s="158"/>
      <c r="U499" s="2"/>
      <c r="V499" s="2"/>
      <c r="W499" s="2"/>
      <c r="X499" s="2"/>
      <c r="Y499" s="2"/>
      <c r="Z499" s="2"/>
    </row>
    <row r="500" ht="13.5" customHeight="1">
      <c r="A500" s="2"/>
      <c r="B500" s="2"/>
      <c r="C500" s="2"/>
      <c r="D500" s="2"/>
      <c r="E500" s="2"/>
      <c r="F500" s="2"/>
      <c r="G500" s="2"/>
      <c r="H500" s="2"/>
      <c r="I500" s="2"/>
      <c r="J500" s="2"/>
      <c r="K500" s="181"/>
      <c r="L500" s="2"/>
      <c r="M500" s="2"/>
      <c r="N500" s="2"/>
      <c r="O500" s="2"/>
      <c r="P500" s="2"/>
      <c r="Q500" s="157"/>
      <c r="R500" s="157"/>
      <c r="S500" s="157"/>
      <c r="T500" s="158"/>
      <c r="U500" s="2"/>
      <c r="V500" s="2"/>
      <c r="W500" s="2"/>
      <c r="X500" s="2"/>
      <c r="Y500" s="2"/>
      <c r="Z500" s="2"/>
    </row>
    <row r="501" ht="13.5" customHeight="1">
      <c r="A501" s="2"/>
      <c r="B501" s="2"/>
      <c r="C501" s="2"/>
      <c r="D501" s="2"/>
      <c r="E501" s="2"/>
      <c r="F501" s="2"/>
      <c r="G501" s="2"/>
      <c r="H501" s="2"/>
      <c r="I501" s="2"/>
      <c r="J501" s="2"/>
      <c r="K501" s="181"/>
      <c r="L501" s="2"/>
      <c r="M501" s="2"/>
      <c r="N501" s="2"/>
      <c r="O501" s="2"/>
      <c r="P501" s="2"/>
      <c r="Q501" s="157"/>
      <c r="R501" s="157"/>
      <c r="S501" s="157"/>
      <c r="T501" s="158"/>
      <c r="U501" s="2"/>
      <c r="V501" s="2"/>
      <c r="W501" s="2"/>
      <c r="X501" s="2"/>
      <c r="Y501" s="2"/>
      <c r="Z501" s="2"/>
    </row>
    <row r="502" ht="13.5" customHeight="1">
      <c r="A502" s="2"/>
      <c r="B502" s="2"/>
      <c r="C502" s="2"/>
      <c r="D502" s="2"/>
      <c r="E502" s="2"/>
      <c r="F502" s="2"/>
      <c r="G502" s="2"/>
      <c r="H502" s="2"/>
      <c r="I502" s="2"/>
      <c r="J502" s="2"/>
      <c r="K502" s="181"/>
      <c r="L502" s="2"/>
      <c r="M502" s="2"/>
      <c r="N502" s="2"/>
      <c r="O502" s="2"/>
      <c r="P502" s="2"/>
      <c r="Q502" s="157"/>
      <c r="R502" s="157"/>
      <c r="S502" s="157"/>
      <c r="T502" s="158"/>
      <c r="U502" s="2"/>
      <c r="V502" s="2"/>
      <c r="W502" s="2"/>
      <c r="X502" s="2"/>
      <c r="Y502" s="2"/>
      <c r="Z502" s="2"/>
    </row>
    <row r="503" ht="13.5" customHeight="1">
      <c r="A503" s="2"/>
      <c r="B503" s="2"/>
      <c r="C503" s="2"/>
      <c r="D503" s="2"/>
      <c r="E503" s="2"/>
      <c r="F503" s="2"/>
      <c r="G503" s="2"/>
      <c r="H503" s="2"/>
      <c r="I503" s="2"/>
      <c r="J503" s="2"/>
      <c r="K503" s="181"/>
      <c r="L503" s="2"/>
      <c r="M503" s="2"/>
      <c r="N503" s="2"/>
      <c r="O503" s="2"/>
      <c r="P503" s="2"/>
      <c r="Q503" s="157"/>
      <c r="R503" s="157"/>
      <c r="S503" s="157"/>
      <c r="T503" s="158"/>
      <c r="U503" s="2"/>
      <c r="V503" s="2"/>
      <c r="W503" s="2"/>
      <c r="X503" s="2"/>
      <c r="Y503" s="2"/>
      <c r="Z503" s="2"/>
    </row>
    <row r="504" ht="13.5" customHeight="1">
      <c r="A504" s="2"/>
      <c r="B504" s="2"/>
      <c r="C504" s="2"/>
      <c r="D504" s="2"/>
      <c r="E504" s="2"/>
      <c r="F504" s="2"/>
      <c r="G504" s="2"/>
      <c r="H504" s="2"/>
      <c r="I504" s="2"/>
      <c r="J504" s="2"/>
      <c r="K504" s="181"/>
      <c r="L504" s="2"/>
      <c r="M504" s="2"/>
      <c r="N504" s="2"/>
      <c r="O504" s="2"/>
      <c r="P504" s="2"/>
      <c r="Q504" s="157"/>
      <c r="R504" s="157"/>
      <c r="S504" s="157"/>
      <c r="T504" s="158"/>
      <c r="U504" s="2"/>
      <c r="V504" s="2"/>
      <c r="W504" s="2"/>
      <c r="X504" s="2"/>
      <c r="Y504" s="2"/>
      <c r="Z504" s="2"/>
    </row>
    <row r="505" ht="13.5" customHeight="1">
      <c r="A505" s="2"/>
      <c r="B505" s="2"/>
      <c r="C505" s="2"/>
      <c r="D505" s="2"/>
      <c r="E505" s="2"/>
      <c r="F505" s="2"/>
      <c r="G505" s="2"/>
      <c r="H505" s="2"/>
      <c r="I505" s="2"/>
      <c r="J505" s="2"/>
      <c r="K505" s="181"/>
      <c r="L505" s="2"/>
      <c r="M505" s="2"/>
      <c r="N505" s="2"/>
      <c r="O505" s="2"/>
      <c r="P505" s="2"/>
      <c r="Q505" s="157"/>
      <c r="R505" s="157"/>
      <c r="S505" s="157"/>
      <c r="T505" s="158"/>
      <c r="U505" s="2"/>
      <c r="V505" s="2"/>
      <c r="W505" s="2"/>
      <c r="X505" s="2"/>
      <c r="Y505" s="2"/>
      <c r="Z505" s="2"/>
    </row>
    <row r="506" ht="13.5" customHeight="1">
      <c r="A506" s="2"/>
      <c r="B506" s="2"/>
      <c r="C506" s="2"/>
      <c r="D506" s="2"/>
      <c r="E506" s="2"/>
      <c r="F506" s="2"/>
      <c r="G506" s="2"/>
      <c r="H506" s="2"/>
      <c r="I506" s="2"/>
      <c r="J506" s="2"/>
      <c r="K506" s="181"/>
      <c r="L506" s="2"/>
      <c r="M506" s="2"/>
      <c r="N506" s="2"/>
      <c r="O506" s="2"/>
      <c r="P506" s="2"/>
      <c r="Q506" s="157"/>
      <c r="R506" s="157"/>
      <c r="S506" s="157"/>
      <c r="T506" s="158"/>
      <c r="U506" s="2"/>
      <c r="V506" s="2"/>
      <c r="W506" s="2"/>
      <c r="X506" s="2"/>
      <c r="Y506" s="2"/>
      <c r="Z506" s="2"/>
    </row>
    <row r="507" ht="13.5" customHeight="1">
      <c r="A507" s="2"/>
      <c r="B507" s="2"/>
      <c r="C507" s="2"/>
      <c r="D507" s="2"/>
      <c r="E507" s="2"/>
      <c r="F507" s="2"/>
      <c r="G507" s="2"/>
      <c r="H507" s="2"/>
      <c r="I507" s="2"/>
      <c r="J507" s="2"/>
      <c r="K507" s="181"/>
      <c r="L507" s="2"/>
      <c r="M507" s="2"/>
      <c r="N507" s="2"/>
      <c r="O507" s="2"/>
      <c r="P507" s="2"/>
      <c r="Q507" s="157"/>
      <c r="R507" s="157"/>
      <c r="S507" s="157"/>
      <c r="T507" s="158"/>
      <c r="U507" s="2"/>
      <c r="V507" s="2"/>
      <c r="W507" s="2"/>
      <c r="X507" s="2"/>
      <c r="Y507" s="2"/>
      <c r="Z507" s="2"/>
    </row>
    <row r="508" ht="13.5" customHeight="1">
      <c r="A508" s="2"/>
      <c r="B508" s="2"/>
      <c r="C508" s="2"/>
      <c r="D508" s="2"/>
      <c r="E508" s="2"/>
      <c r="F508" s="2"/>
      <c r="G508" s="2"/>
      <c r="H508" s="2"/>
      <c r="I508" s="2"/>
      <c r="J508" s="2"/>
      <c r="K508" s="181"/>
      <c r="L508" s="2"/>
      <c r="M508" s="2"/>
      <c r="N508" s="2"/>
      <c r="O508" s="2"/>
      <c r="P508" s="2"/>
      <c r="Q508" s="157"/>
      <c r="R508" s="157"/>
      <c r="S508" s="157"/>
      <c r="T508" s="158"/>
      <c r="U508" s="2"/>
      <c r="V508" s="2"/>
      <c r="W508" s="2"/>
      <c r="X508" s="2"/>
      <c r="Y508" s="2"/>
      <c r="Z508" s="2"/>
    </row>
    <row r="509" ht="13.5" customHeight="1">
      <c r="A509" s="2"/>
      <c r="B509" s="2"/>
      <c r="C509" s="2"/>
      <c r="D509" s="2"/>
      <c r="E509" s="2"/>
      <c r="F509" s="2"/>
      <c r="G509" s="2"/>
      <c r="H509" s="2"/>
      <c r="I509" s="2"/>
      <c r="J509" s="2"/>
      <c r="K509" s="181"/>
      <c r="L509" s="2"/>
      <c r="M509" s="2"/>
      <c r="N509" s="2"/>
      <c r="O509" s="2"/>
      <c r="P509" s="2"/>
      <c r="Q509" s="157"/>
      <c r="R509" s="157"/>
      <c r="S509" s="157"/>
      <c r="T509" s="158"/>
      <c r="U509" s="2"/>
      <c r="V509" s="2"/>
      <c r="W509" s="2"/>
      <c r="X509" s="2"/>
      <c r="Y509" s="2"/>
      <c r="Z509" s="2"/>
    </row>
    <row r="510" ht="13.5" customHeight="1">
      <c r="A510" s="2"/>
      <c r="B510" s="2"/>
      <c r="C510" s="2"/>
      <c r="D510" s="2"/>
      <c r="E510" s="2"/>
      <c r="F510" s="2"/>
      <c r="G510" s="2"/>
      <c r="H510" s="2"/>
      <c r="I510" s="2"/>
      <c r="J510" s="2"/>
      <c r="K510" s="181"/>
      <c r="L510" s="2"/>
      <c r="M510" s="2"/>
      <c r="N510" s="2"/>
      <c r="O510" s="2"/>
      <c r="P510" s="2"/>
      <c r="Q510" s="157"/>
      <c r="R510" s="157"/>
      <c r="S510" s="157"/>
      <c r="T510" s="158"/>
      <c r="U510" s="2"/>
      <c r="V510" s="2"/>
      <c r="W510" s="2"/>
      <c r="X510" s="2"/>
      <c r="Y510" s="2"/>
      <c r="Z510" s="2"/>
    </row>
    <row r="511" ht="13.5" customHeight="1">
      <c r="A511" s="2"/>
      <c r="B511" s="2"/>
      <c r="C511" s="2"/>
      <c r="D511" s="2"/>
      <c r="E511" s="2"/>
      <c r="F511" s="2"/>
      <c r="G511" s="2"/>
      <c r="H511" s="2"/>
      <c r="I511" s="2"/>
      <c r="J511" s="2"/>
      <c r="K511" s="181"/>
      <c r="L511" s="2"/>
      <c r="M511" s="2"/>
      <c r="N511" s="2"/>
      <c r="O511" s="2"/>
      <c r="P511" s="2"/>
      <c r="Q511" s="157"/>
      <c r="R511" s="157"/>
      <c r="S511" s="157"/>
      <c r="T511" s="158"/>
      <c r="U511" s="2"/>
      <c r="V511" s="2"/>
      <c r="W511" s="2"/>
      <c r="X511" s="2"/>
      <c r="Y511" s="2"/>
      <c r="Z511" s="2"/>
    </row>
    <row r="512" ht="13.5" customHeight="1">
      <c r="A512" s="2"/>
      <c r="B512" s="2"/>
      <c r="C512" s="2"/>
      <c r="D512" s="2"/>
      <c r="E512" s="2"/>
      <c r="F512" s="2"/>
      <c r="G512" s="2"/>
      <c r="H512" s="2"/>
      <c r="I512" s="2"/>
      <c r="J512" s="2"/>
      <c r="K512" s="181"/>
      <c r="L512" s="2"/>
      <c r="M512" s="2"/>
      <c r="N512" s="2"/>
      <c r="O512" s="2"/>
      <c r="P512" s="2"/>
      <c r="Q512" s="157"/>
      <c r="R512" s="157"/>
      <c r="S512" s="157"/>
      <c r="T512" s="158"/>
      <c r="U512" s="2"/>
      <c r="V512" s="2"/>
      <c r="W512" s="2"/>
      <c r="X512" s="2"/>
      <c r="Y512" s="2"/>
      <c r="Z512" s="2"/>
    </row>
    <row r="513" ht="13.5" customHeight="1">
      <c r="A513" s="2"/>
      <c r="B513" s="2"/>
      <c r="C513" s="2"/>
      <c r="D513" s="2"/>
      <c r="E513" s="2"/>
      <c r="F513" s="2"/>
      <c r="G513" s="2"/>
      <c r="H513" s="2"/>
      <c r="I513" s="2"/>
      <c r="J513" s="2"/>
      <c r="K513" s="181"/>
      <c r="L513" s="2"/>
      <c r="M513" s="2"/>
      <c r="N513" s="2"/>
      <c r="O513" s="2"/>
      <c r="P513" s="2"/>
      <c r="Q513" s="157"/>
      <c r="R513" s="157"/>
      <c r="S513" s="157"/>
      <c r="T513" s="158"/>
      <c r="U513" s="2"/>
      <c r="V513" s="2"/>
      <c r="W513" s="2"/>
      <c r="X513" s="2"/>
      <c r="Y513" s="2"/>
      <c r="Z513" s="2"/>
    </row>
    <row r="514" ht="13.5" customHeight="1">
      <c r="A514" s="2"/>
      <c r="B514" s="2"/>
      <c r="C514" s="2"/>
      <c r="D514" s="2"/>
      <c r="E514" s="2"/>
      <c r="F514" s="2"/>
      <c r="G514" s="2"/>
      <c r="H514" s="2"/>
      <c r="I514" s="2"/>
      <c r="J514" s="2"/>
      <c r="K514" s="181"/>
      <c r="L514" s="2"/>
      <c r="M514" s="2"/>
      <c r="N514" s="2"/>
      <c r="O514" s="2"/>
      <c r="P514" s="2"/>
      <c r="Q514" s="157"/>
      <c r="R514" s="157"/>
      <c r="S514" s="157"/>
      <c r="T514" s="158"/>
      <c r="U514" s="2"/>
      <c r="V514" s="2"/>
      <c r="W514" s="2"/>
      <c r="X514" s="2"/>
      <c r="Y514" s="2"/>
      <c r="Z514" s="2"/>
    </row>
    <row r="515" ht="13.5" customHeight="1">
      <c r="A515" s="2"/>
      <c r="B515" s="2"/>
      <c r="C515" s="2"/>
      <c r="D515" s="2"/>
      <c r="E515" s="2"/>
      <c r="F515" s="2"/>
      <c r="G515" s="2"/>
      <c r="H515" s="2"/>
      <c r="I515" s="2"/>
      <c r="J515" s="2"/>
      <c r="K515" s="181"/>
      <c r="L515" s="2"/>
      <c r="M515" s="2"/>
      <c r="N515" s="2"/>
      <c r="O515" s="2"/>
      <c r="P515" s="2"/>
      <c r="Q515" s="157"/>
      <c r="R515" s="157"/>
      <c r="S515" s="157"/>
      <c r="T515" s="158"/>
      <c r="U515" s="2"/>
      <c r="V515" s="2"/>
      <c r="W515" s="2"/>
      <c r="X515" s="2"/>
      <c r="Y515" s="2"/>
      <c r="Z515" s="2"/>
    </row>
    <row r="516" ht="13.5" customHeight="1">
      <c r="A516" s="2"/>
      <c r="B516" s="2"/>
      <c r="C516" s="2"/>
      <c r="D516" s="2"/>
      <c r="E516" s="2"/>
      <c r="F516" s="2"/>
      <c r="G516" s="2"/>
      <c r="H516" s="2"/>
      <c r="I516" s="2"/>
      <c r="J516" s="2"/>
      <c r="K516" s="181"/>
      <c r="L516" s="2"/>
      <c r="M516" s="2"/>
      <c r="N516" s="2"/>
      <c r="O516" s="2"/>
      <c r="P516" s="2"/>
      <c r="Q516" s="157"/>
      <c r="R516" s="157"/>
      <c r="S516" s="157"/>
      <c r="T516" s="158"/>
      <c r="U516" s="2"/>
      <c r="V516" s="2"/>
      <c r="W516" s="2"/>
      <c r="X516" s="2"/>
      <c r="Y516" s="2"/>
      <c r="Z516" s="2"/>
    </row>
    <row r="517" ht="13.5" customHeight="1">
      <c r="A517" s="2"/>
      <c r="B517" s="2"/>
      <c r="C517" s="2"/>
      <c r="D517" s="2"/>
      <c r="E517" s="2"/>
      <c r="F517" s="2"/>
      <c r="G517" s="2"/>
      <c r="H517" s="2"/>
      <c r="I517" s="2"/>
      <c r="J517" s="2"/>
      <c r="K517" s="181"/>
      <c r="L517" s="2"/>
      <c r="M517" s="2"/>
      <c r="N517" s="2"/>
      <c r="O517" s="2"/>
      <c r="P517" s="2"/>
      <c r="Q517" s="157"/>
      <c r="R517" s="157"/>
      <c r="S517" s="157"/>
      <c r="T517" s="158"/>
      <c r="U517" s="2"/>
      <c r="V517" s="2"/>
      <c r="W517" s="2"/>
      <c r="X517" s="2"/>
      <c r="Y517" s="2"/>
      <c r="Z517" s="2"/>
    </row>
    <row r="518" ht="13.5" customHeight="1">
      <c r="A518" s="2"/>
      <c r="B518" s="2"/>
      <c r="C518" s="2"/>
      <c r="D518" s="2"/>
      <c r="E518" s="2"/>
      <c r="F518" s="2"/>
      <c r="G518" s="2"/>
      <c r="H518" s="2"/>
      <c r="I518" s="2"/>
      <c r="J518" s="2"/>
      <c r="K518" s="181"/>
      <c r="L518" s="2"/>
      <c r="M518" s="2"/>
      <c r="N518" s="2"/>
      <c r="O518" s="2"/>
      <c r="P518" s="2"/>
      <c r="Q518" s="157"/>
      <c r="R518" s="157"/>
      <c r="S518" s="157"/>
      <c r="T518" s="158"/>
      <c r="U518" s="2"/>
      <c r="V518" s="2"/>
      <c r="W518" s="2"/>
      <c r="X518" s="2"/>
      <c r="Y518" s="2"/>
      <c r="Z518" s="2"/>
    </row>
    <row r="519" ht="13.5" customHeight="1">
      <c r="A519" s="2"/>
      <c r="B519" s="2"/>
      <c r="C519" s="2"/>
      <c r="D519" s="2"/>
      <c r="E519" s="2"/>
      <c r="F519" s="2"/>
      <c r="G519" s="2"/>
      <c r="H519" s="2"/>
      <c r="I519" s="2"/>
      <c r="J519" s="2"/>
      <c r="K519" s="181"/>
      <c r="L519" s="2"/>
      <c r="M519" s="2"/>
      <c r="N519" s="2"/>
      <c r="O519" s="2"/>
      <c r="P519" s="2"/>
      <c r="Q519" s="157"/>
      <c r="R519" s="157"/>
      <c r="S519" s="157"/>
      <c r="T519" s="158"/>
      <c r="U519" s="2"/>
      <c r="V519" s="2"/>
      <c r="W519" s="2"/>
      <c r="X519" s="2"/>
      <c r="Y519" s="2"/>
      <c r="Z519" s="2"/>
    </row>
    <row r="520" ht="13.5" customHeight="1">
      <c r="A520" s="2"/>
      <c r="B520" s="2"/>
      <c r="C520" s="2"/>
      <c r="D520" s="2"/>
      <c r="E520" s="2"/>
      <c r="F520" s="2"/>
      <c r="G520" s="2"/>
      <c r="H520" s="2"/>
      <c r="I520" s="2"/>
      <c r="J520" s="2"/>
      <c r="K520" s="181"/>
      <c r="L520" s="2"/>
      <c r="M520" s="2"/>
      <c r="N520" s="2"/>
      <c r="O520" s="2"/>
      <c r="P520" s="2"/>
      <c r="Q520" s="157"/>
      <c r="R520" s="157"/>
      <c r="S520" s="157"/>
      <c r="T520" s="158"/>
      <c r="U520" s="2"/>
      <c r="V520" s="2"/>
      <c r="W520" s="2"/>
      <c r="X520" s="2"/>
      <c r="Y520" s="2"/>
      <c r="Z520" s="2"/>
    </row>
    <row r="521" ht="13.5" customHeight="1">
      <c r="A521" s="2"/>
      <c r="B521" s="2"/>
      <c r="C521" s="2"/>
      <c r="D521" s="2"/>
      <c r="E521" s="2"/>
      <c r="F521" s="2"/>
      <c r="G521" s="2"/>
      <c r="H521" s="2"/>
      <c r="I521" s="2"/>
      <c r="J521" s="2"/>
      <c r="K521" s="181"/>
      <c r="L521" s="2"/>
      <c r="M521" s="2"/>
      <c r="N521" s="2"/>
      <c r="O521" s="2"/>
      <c r="P521" s="2"/>
      <c r="Q521" s="157"/>
      <c r="R521" s="157"/>
      <c r="S521" s="157"/>
      <c r="T521" s="158"/>
      <c r="U521" s="2"/>
      <c r="V521" s="2"/>
      <c r="W521" s="2"/>
      <c r="X521" s="2"/>
      <c r="Y521" s="2"/>
      <c r="Z521" s="2"/>
    </row>
    <row r="522" ht="13.5" customHeight="1">
      <c r="A522" s="2"/>
      <c r="B522" s="2"/>
      <c r="C522" s="2"/>
      <c r="D522" s="2"/>
      <c r="E522" s="2"/>
      <c r="F522" s="2"/>
      <c r="G522" s="2"/>
      <c r="H522" s="2"/>
      <c r="I522" s="2"/>
      <c r="J522" s="2"/>
      <c r="K522" s="181"/>
      <c r="L522" s="2"/>
      <c r="M522" s="2"/>
      <c r="N522" s="2"/>
      <c r="O522" s="2"/>
      <c r="P522" s="2"/>
      <c r="Q522" s="157"/>
      <c r="R522" s="157"/>
      <c r="S522" s="157"/>
      <c r="T522" s="158"/>
      <c r="U522" s="2"/>
      <c r="V522" s="2"/>
      <c r="W522" s="2"/>
      <c r="X522" s="2"/>
      <c r="Y522" s="2"/>
      <c r="Z522" s="2"/>
    </row>
    <row r="523" ht="13.5" customHeight="1">
      <c r="A523" s="2"/>
      <c r="B523" s="2"/>
      <c r="C523" s="2"/>
      <c r="D523" s="2"/>
      <c r="E523" s="2"/>
      <c r="F523" s="2"/>
      <c r="G523" s="2"/>
      <c r="H523" s="2"/>
      <c r="I523" s="2"/>
      <c r="J523" s="2"/>
      <c r="K523" s="181"/>
      <c r="L523" s="2"/>
      <c r="M523" s="2"/>
      <c r="N523" s="2"/>
      <c r="O523" s="2"/>
      <c r="P523" s="2"/>
      <c r="Q523" s="157"/>
      <c r="R523" s="157"/>
      <c r="S523" s="157"/>
      <c r="T523" s="158"/>
      <c r="U523" s="2"/>
      <c r="V523" s="2"/>
      <c r="W523" s="2"/>
      <c r="X523" s="2"/>
      <c r="Y523" s="2"/>
      <c r="Z523" s="2"/>
    </row>
    <row r="524" ht="13.5" customHeight="1">
      <c r="A524" s="2"/>
      <c r="B524" s="2"/>
      <c r="C524" s="2"/>
      <c r="D524" s="2"/>
      <c r="E524" s="2"/>
      <c r="F524" s="2"/>
      <c r="G524" s="2"/>
      <c r="H524" s="2"/>
      <c r="I524" s="2"/>
      <c r="J524" s="2"/>
      <c r="K524" s="181"/>
      <c r="L524" s="2"/>
      <c r="M524" s="2"/>
      <c r="N524" s="2"/>
      <c r="O524" s="2"/>
      <c r="P524" s="2"/>
      <c r="Q524" s="157"/>
      <c r="R524" s="157"/>
      <c r="S524" s="157"/>
      <c r="T524" s="158"/>
      <c r="U524" s="2"/>
      <c r="V524" s="2"/>
      <c r="W524" s="2"/>
      <c r="X524" s="2"/>
      <c r="Y524" s="2"/>
      <c r="Z524" s="2"/>
    </row>
    <row r="525" ht="13.5" customHeight="1">
      <c r="A525" s="2"/>
      <c r="B525" s="2"/>
      <c r="C525" s="2"/>
      <c r="D525" s="2"/>
      <c r="E525" s="2"/>
      <c r="F525" s="2"/>
      <c r="G525" s="2"/>
      <c r="H525" s="2"/>
      <c r="I525" s="2"/>
      <c r="J525" s="2"/>
      <c r="K525" s="181"/>
      <c r="L525" s="2"/>
      <c r="M525" s="2"/>
      <c r="N525" s="2"/>
      <c r="O525" s="2"/>
      <c r="P525" s="2"/>
      <c r="Q525" s="157"/>
      <c r="R525" s="157"/>
      <c r="S525" s="157"/>
      <c r="T525" s="158"/>
      <c r="U525" s="2"/>
      <c r="V525" s="2"/>
      <c r="W525" s="2"/>
      <c r="X525" s="2"/>
      <c r="Y525" s="2"/>
      <c r="Z525" s="2"/>
    </row>
    <row r="526" ht="13.5" customHeight="1">
      <c r="A526" s="2"/>
      <c r="B526" s="2"/>
      <c r="C526" s="2"/>
      <c r="D526" s="2"/>
      <c r="E526" s="2"/>
      <c r="F526" s="2"/>
      <c r="G526" s="2"/>
      <c r="H526" s="2"/>
      <c r="I526" s="2"/>
      <c r="J526" s="2"/>
      <c r="K526" s="181"/>
      <c r="L526" s="2"/>
      <c r="M526" s="2"/>
      <c r="N526" s="2"/>
      <c r="O526" s="2"/>
      <c r="P526" s="2"/>
      <c r="Q526" s="157"/>
      <c r="R526" s="157"/>
      <c r="S526" s="157"/>
      <c r="T526" s="158"/>
      <c r="U526" s="2"/>
      <c r="V526" s="2"/>
      <c r="W526" s="2"/>
      <c r="X526" s="2"/>
      <c r="Y526" s="2"/>
      <c r="Z526" s="2"/>
    </row>
    <row r="527" ht="13.5" customHeight="1">
      <c r="A527" s="2"/>
      <c r="B527" s="2"/>
      <c r="C527" s="2"/>
      <c r="D527" s="2"/>
      <c r="E527" s="2"/>
      <c r="F527" s="2"/>
      <c r="G527" s="2"/>
      <c r="H527" s="2"/>
      <c r="I527" s="2"/>
      <c r="J527" s="2"/>
      <c r="K527" s="181"/>
      <c r="L527" s="2"/>
      <c r="M527" s="2"/>
      <c r="N527" s="2"/>
      <c r="O527" s="2"/>
      <c r="P527" s="2"/>
      <c r="Q527" s="157"/>
      <c r="R527" s="157"/>
      <c r="S527" s="157"/>
      <c r="T527" s="158"/>
      <c r="U527" s="2"/>
      <c r="V527" s="2"/>
      <c r="W527" s="2"/>
      <c r="X527" s="2"/>
      <c r="Y527" s="2"/>
      <c r="Z527" s="2"/>
    </row>
    <row r="528" ht="13.5" customHeight="1">
      <c r="A528" s="2"/>
      <c r="B528" s="2"/>
      <c r="C528" s="2"/>
      <c r="D528" s="2"/>
      <c r="E528" s="2"/>
      <c r="F528" s="2"/>
      <c r="G528" s="2"/>
      <c r="H528" s="2"/>
      <c r="I528" s="2"/>
      <c r="J528" s="2"/>
      <c r="K528" s="181"/>
      <c r="L528" s="2"/>
      <c r="M528" s="2"/>
      <c r="N528" s="2"/>
      <c r="O528" s="2"/>
      <c r="P528" s="2"/>
      <c r="Q528" s="157"/>
      <c r="R528" s="157"/>
      <c r="S528" s="157"/>
      <c r="T528" s="158"/>
      <c r="U528" s="2"/>
      <c r="V528" s="2"/>
      <c r="W528" s="2"/>
      <c r="X528" s="2"/>
      <c r="Y528" s="2"/>
      <c r="Z528" s="2"/>
    </row>
    <row r="529" ht="13.5" customHeight="1">
      <c r="A529" s="2"/>
      <c r="B529" s="2"/>
      <c r="C529" s="2"/>
      <c r="D529" s="2"/>
      <c r="E529" s="2"/>
      <c r="F529" s="2"/>
      <c r="G529" s="2"/>
      <c r="H529" s="2"/>
      <c r="I529" s="2"/>
      <c r="J529" s="2"/>
      <c r="K529" s="181"/>
      <c r="L529" s="2"/>
      <c r="M529" s="2"/>
      <c r="N529" s="2"/>
      <c r="O529" s="2"/>
      <c r="P529" s="2"/>
      <c r="Q529" s="157"/>
      <c r="R529" s="157"/>
      <c r="S529" s="157"/>
      <c r="T529" s="158"/>
      <c r="U529" s="2"/>
      <c r="V529" s="2"/>
      <c r="W529" s="2"/>
      <c r="X529" s="2"/>
      <c r="Y529" s="2"/>
      <c r="Z529" s="2"/>
    </row>
    <row r="530" ht="13.5" customHeight="1">
      <c r="A530" s="2"/>
      <c r="B530" s="2"/>
      <c r="C530" s="2"/>
      <c r="D530" s="2"/>
      <c r="E530" s="2"/>
      <c r="F530" s="2"/>
      <c r="G530" s="2"/>
      <c r="H530" s="2"/>
      <c r="I530" s="2"/>
      <c r="J530" s="2"/>
      <c r="K530" s="181"/>
      <c r="L530" s="2"/>
      <c r="M530" s="2"/>
      <c r="N530" s="2"/>
      <c r="O530" s="2"/>
      <c r="P530" s="2"/>
      <c r="Q530" s="157"/>
      <c r="R530" s="157"/>
      <c r="S530" s="157"/>
      <c r="T530" s="158"/>
      <c r="U530" s="2"/>
      <c r="V530" s="2"/>
      <c r="W530" s="2"/>
      <c r="X530" s="2"/>
      <c r="Y530" s="2"/>
      <c r="Z530" s="2"/>
    </row>
    <row r="531" ht="13.5" customHeight="1">
      <c r="A531" s="2"/>
      <c r="B531" s="2"/>
      <c r="C531" s="2"/>
      <c r="D531" s="2"/>
      <c r="E531" s="2"/>
      <c r="F531" s="2"/>
      <c r="G531" s="2"/>
      <c r="H531" s="2"/>
      <c r="I531" s="2"/>
      <c r="J531" s="2"/>
      <c r="K531" s="181"/>
      <c r="L531" s="2"/>
      <c r="M531" s="2"/>
      <c r="N531" s="2"/>
      <c r="O531" s="2"/>
      <c r="P531" s="2"/>
      <c r="Q531" s="157"/>
      <c r="R531" s="157"/>
      <c r="S531" s="157"/>
      <c r="T531" s="158"/>
      <c r="U531" s="2"/>
      <c r="V531" s="2"/>
      <c r="W531" s="2"/>
      <c r="X531" s="2"/>
      <c r="Y531" s="2"/>
      <c r="Z531" s="2"/>
    </row>
    <row r="532" ht="13.5" customHeight="1">
      <c r="A532" s="2"/>
      <c r="B532" s="2"/>
      <c r="C532" s="2"/>
      <c r="D532" s="2"/>
      <c r="E532" s="2"/>
      <c r="F532" s="2"/>
      <c r="G532" s="2"/>
      <c r="H532" s="2"/>
      <c r="I532" s="2"/>
      <c r="J532" s="2"/>
      <c r="K532" s="181"/>
      <c r="L532" s="2"/>
      <c r="M532" s="2"/>
      <c r="N532" s="2"/>
      <c r="O532" s="2"/>
      <c r="P532" s="2"/>
      <c r="Q532" s="157"/>
      <c r="R532" s="157"/>
      <c r="S532" s="157"/>
      <c r="T532" s="158"/>
      <c r="U532" s="2"/>
      <c r="V532" s="2"/>
      <c r="W532" s="2"/>
      <c r="X532" s="2"/>
      <c r="Y532" s="2"/>
      <c r="Z532" s="2"/>
    </row>
    <row r="533" ht="13.5" customHeight="1">
      <c r="A533" s="2"/>
      <c r="B533" s="2"/>
      <c r="C533" s="2"/>
      <c r="D533" s="2"/>
      <c r="E533" s="2"/>
      <c r="F533" s="2"/>
      <c r="G533" s="2"/>
      <c r="H533" s="2"/>
      <c r="I533" s="2"/>
      <c r="J533" s="2"/>
      <c r="K533" s="181"/>
      <c r="L533" s="2"/>
      <c r="M533" s="2"/>
      <c r="N533" s="2"/>
      <c r="O533" s="2"/>
      <c r="P533" s="2"/>
      <c r="Q533" s="157"/>
      <c r="R533" s="157"/>
      <c r="S533" s="157"/>
      <c r="T533" s="158"/>
      <c r="U533" s="2"/>
      <c r="V533" s="2"/>
      <c r="W533" s="2"/>
      <c r="X533" s="2"/>
      <c r="Y533" s="2"/>
      <c r="Z533" s="2"/>
    </row>
    <row r="534" ht="13.5" customHeight="1">
      <c r="A534" s="2"/>
      <c r="B534" s="2"/>
      <c r="C534" s="2"/>
      <c r="D534" s="2"/>
      <c r="E534" s="2"/>
      <c r="F534" s="2"/>
      <c r="G534" s="2"/>
      <c r="H534" s="2"/>
      <c r="I534" s="2"/>
      <c r="J534" s="2"/>
      <c r="K534" s="181"/>
      <c r="L534" s="2"/>
      <c r="M534" s="2"/>
      <c r="N534" s="2"/>
      <c r="O534" s="2"/>
      <c r="P534" s="2"/>
      <c r="Q534" s="157"/>
      <c r="R534" s="157"/>
      <c r="S534" s="157"/>
      <c r="T534" s="158"/>
      <c r="U534" s="2"/>
      <c r="V534" s="2"/>
      <c r="W534" s="2"/>
      <c r="X534" s="2"/>
      <c r="Y534" s="2"/>
      <c r="Z534" s="2"/>
    </row>
    <row r="535" ht="13.5" customHeight="1">
      <c r="A535" s="2"/>
      <c r="B535" s="2"/>
      <c r="C535" s="2"/>
      <c r="D535" s="2"/>
      <c r="E535" s="2"/>
      <c r="F535" s="2"/>
      <c r="G535" s="2"/>
      <c r="H535" s="2"/>
      <c r="I535" s="2"/>
      <c r="J535" s="2"/>
      <c r="K535" s="181"/>
      <c r="L535" s="2"/>
      <c r="M535" s="2"/>
      <c r="N535" s="2"/>
      <c r="O535" s="2"/>
      <c r="P535" s="2"/>
      <c r="Q535" s="157"/>
      <c r="R535" s="157"/>
      <c r="S535" s="157"/>
      <c r="T535" s="158"/>
      <c r="U535" s="2"/>
      <c r="V535" s="2"/>
      <c r="W535" s="2"/>
      <c r="X535" s="2"/>
      <c r="Y535" s="2"/>
      <c r="Z535" s="2"/>
    </row>
    <row r="536" ht="13.5" customHeight="1">
      <c r="A536" s="2"/>
      <c r="B536" s="2"/>
      <c r="C536" s="2"/>
      <c r="D536" s="2"/>
      <c r="E536" s="2"/>
      <c r="F536" s="2"/>
      <c r="G536" s="2"/>
      <c r="H536" s="2"/>
      <c r="I536" s="2"/>
      <c r="J536" s="2"/>
      <c r="K536" s="181"/>
      <c r="L536" s="2"/>
      <c r="M536" s="2"/>
      <c r="N536" s="2"/>
      <c r="O536" s="2"/>
      <c r="P536" s="2"/>
      <c r="Q536" s="157"/>
      <c r="R536" s="157"/>
      <c r="S536" s="157"/>
      <c r="T536" s="158"/>
      <c r="U536" s="2"/>
      <c r="V536" s="2"/>
      <c r="W536" s="2"/>
      <c r="X536" s="2"/>
      <c r="Y536" s="2"/>
      <c r="Z536" s="2"/>
    </row>
    <row r="537" ht="13.5" customHeight="1">
      <c r="A537" s="2"/>
      <c r="B537" s="2"/>
      <c r="C537" s="2"/>
      <c r="D537" s="2"/>
      <c r="E537" s="2"/>
      <c r="F537" s="2"/>
      <c r="G537" s="2"/>
      <c r="H537" s="2"/>
      <c r="I537" s="2"/>
      <c r="J537" s="2"/>
      <c r="K537" s="181"/>
      <c r="L537" s="2"/>
      <c r="M537" s="2"/>
      <c r="N537" s="2"/>
      <c r="O537" s="2"/>
      <c r="P537" s="2"/>
      <c r="Q537" s="157"/>
      <c r="R537" s="157"/>
      <c r="S537" s="157"/>
      <c r="T537" s="158"/>
      <c r="U537" s="2"/>
      <c r="V537" s="2"/>
      <c r="W537" s="2"/>
      <c r="X537" s="2"/>
      <c r="Y537" s="2"/>
      <c r="Z537" s="2"/>
    </row>
    <row r="538" ht="13.5" customHeight="1">
      <c r="A538" s="2"/>
      <c r="B538" s="2"/>
      <c r="C538" s="2"/>
      <c r="D538" s="2"/>
      <c r="E538" s="2"/>
      <c r="F538" s="2"/>
      <c r="G538" s="2"/>
      <c r="H538" s="2"/>
      <c r="I538" s="2"/>
      <c r="J538" s="2"/>
      <c r="K538" s="181"/>
      <c r="L538" s="2"/>
      <c r="M538" s="2"/>
      <c r="N538" s="2"/>
      <c r="O538" s="2"/>
      <c r="P538" s="2"/>
      <c r="Q538" s="157"/>
      <c r="R538" s="157"/>
      <c r="S538" s="157"/>
      <c r="T538" s="158"/>
      <c r="U538" s="2"/>
      <c r="V538" s="2"/>
      <c r="W538" s="2"/>
      <c r="X538" s="2"/>
      <c r="Y538" s="2"/>
      <c r="Z538" s="2"/>
    </row>
    <row r="539" ht="13.5" customHeight="1">
      <c r="A539" s="2"/>
      <c r="B539" s="2"/>
      <c r="C539" s="2"/>
      <c r="D539" s="2"/>
      <c r="E539" s="2"/>
      <c r="F539" s="2"/>
      <c r="G539" s="2"/>
      <c r="H539" s="2"/>
      <c r="I539" s="2"/>
      <c r="J539" s="2"/>
      <c r="K539" s="181"/>
      <c r="L539" s="2"/>
      <c r="M539" s="2"/>
      <c r="N539" s="2"/>
      <c r="O539" s="2"/>
      <c r="P539" s="2"/>
      <c r="Q539" s="157"/>
      <c r="R539" s="157"/>
      <c r="S539" s="157"/>
      <c r="T539" s="158"/>
      <c r="U539" s="2"/>
      <c r="V539" s="2"/>
      <c r="W539" s="2"/>
      <c r="X539" s="2"/>
      <c r="Y539" s="2"/>
      <c r="Z539" s="2"/>
    </row>
    <row r="540" ht="13.5" customHeight="1">
      <c r="A540" s="2"/>
      <c r="B540" s="2"/>
      <c r="C540" s="2"/>
      <c r="D540" s="2"/>
      <c r="E540" s="2"/>
      <c r="F540" s="2"/>
      <c r="G540" s="2"/>
      <c r="H540" s="2"/>
      <c r="I540" s="2"/>
      <c r="J540" s="2"/>
      <c r="K540" s="181"/>
      <c r="L540" s="2"/>
      <c r="M540" s="2"/>
      <c r="N540" s="2"/>
      <c r="O540" s="2"/>
      <c r="P540" s="2"/>
      <c r="Q540" s="157"/>
      <c r="R540" s="157"/>
      <c r="S540" s="157"/>
      <c r="T540" s="158"/>
      <c r="U540" s="2"/>
      <c r="V540" s="2"/>
      <c r="W540" s="2"/>
      <c r="X540" s="2"/>
      <c r="Y540" s="2"/>
      <c r="Z540" s="2"/>
    </row>
    <row r="541" ht="13.5" customHeight="1">
      <c r="A541" s="2"/>
      <c r="B541" s="2"/>
      <c r="C541" s="2"/>
      <c r="D541" s="2"/>
      <c r="E541" s="2"/>
      <c r="F541" s="2"/>
      <c r="G541" s="2"/>
      <c r="H541" s="2"/>
      <c r="I541" s="2"/>
      <c r="J541" s="2"/>
      <c r="K541" s="181"/>
      <c r="L541" s="2"/>
      <c r="M541" s="2"/>
      <c r="N541" s="2"/>
      <c r="O541" s="2"/>
      <c r="P541" s="2"/>
      <c r="Q541" s="157"/>
      <c r="R541" s="157"/>
      <c r="S541" s="157"/>
      <c r="T541" s="158"/>
      <c r="U541" s="2"/>
      <c r="V541" s="2"/>
      <c r="W541" s="2"/>
      <c r="X541" s="2"/>
      <c r="Y541" s="2"/>
      <c r="Z541" s="2"/>
    </row>
    <row r="542" ht="13.5" customHeight="1">
      <c r="A542" s="2"/>
      <c r="B542" s="2"/>
      <c r="C542" s="2"/>
      <c r="D542" s="2"/>
      <c r="E542" s="2"/>
      <c r="F542" s="2"/>
      <c r="G542" s="2"/>
      <c r="H542" s="2"/>
      <c r="I542" s="2"/>
      <c r="J542" s="2"/>
      <c r="K542" s="181"/>
      <c r="L542" s="2"/>
      <c r="M542" s="2"/>
      <c r="N542" s="2"/>
      <c r="O542" s="2"/>
      <c r="P542" s="2"/>
      <c r="Q542" s="157"/>
      <c r="R542" s="157"/>
      <c r="S542" s="157"/>
      <c r="T542" s="158"/>
      <c r="U542" s="2"/>
      <c r="V542" s="2"/>
      <c r="W542" s="2"/>
      <c r="X542" s="2"/>
      <c r="Y542" s="2"/>
      <c r="Z542" s="2"/>
    </row>
    <row r="543" ht="13.5" customHeight="1">
      <c r="A543" s="2"/>
      <c r="B543" s="2"/>
      <c r="C543" s="2"/>
      <c r="D543" s="2"/>
      <c r="E543" s="2"/>
      <c r="F543" s="2"/>
      <c r="G543" s="2"/>
      <c r="H543" s="2"/>
      <c r="I543" s="2"/>
      <c r="J543" s="2"/>
      <c r="K543" s="181"/>
      <c r="L543" s="2"/>
      <c r="M543" s="2"/>
      <c r="N543" s="2"/>
      <c r="O543" s="2"/>
      <c r="P543" s="2"/>
      <c r="Q543" s="157"/>
      <c r="R543" s="157"/>
      <c r="S543" s="157"/>
      <c r="T543" s="158"/>
      <c r="U543" s="2"/>
      <c r="V543" s="2"/>
      <c r="W543" s="2"/>
      <c r="X543" s="2"/>
      <c r="Y543" s="2"/>
      <c r="Z543" s="2"/>
    </row>
    <row r="544" ht="13.5" customHeight="1">
      <c r="A544" s="2"/>
      <c r="B544" s="2"/>
      <c r="C544" s="2"/>
      <c r="D544" s="2"/>
      <c r="E544" s="2"/>
      <c r="F544" s="2"/>
      <c r="G544" s="2"/>
      <c r="H544" s="2"/>
      <c r="I544" s="2"/>
      <c r="J544" s="2"/>
      <c r="K544" s="181"/>
      <c r="L544" s="2"/>
      <c r="M544" s="2"/>
      <c r="N544" s="2"/>
      <c r="O544" s="2"/>
      <c r="P544" s="2"/>
      <c r="Q544" s="157"/>
      <c r="R544" s="157"/>
      <c r="S544" s="157"/>
      <c r="T544" s="158"/>
      <c r="U544" s="2"/>
      <c r="V544" s="2"/>
      <c r="W544" s="2"/>
      <c r="X544" s="2"/>
      <c r="Y544" s="2"/>
      <c r="Z544" s="2"/>
    </row>
    <row r="545" ht="13.5" customHeight="1">
      <c r="A545" s="2"/>
      <c r="B545" s="2"/>
      <c r="C545" s="2"/>
      <c r="D545" s="2"/>
      <c r="E545" s="2"/>
      <c r="F545" s="2"/>
      <c r="G545" s="2"/>
      <c r="H545" s="2"/>
      <c r="I545" s="2"/>
      <c r="J545" s="2"/>
      <c r="K545" s="181"/>
      <c r="L545" s="2"/>
      <c r="M545" s="2"/>
      <c r="N545" s="2"/>
      <c r="O545" s="2"/>
      <c r="P545" s="2"/>
      <c r="Q545" s="157"/>
      <c r="R545" s="157"/>
      <c r="S545" s="157"/>
      <c r="T545" s="158"/>
      <c r="U545" s="2"/>
      <c r="V545" s="2"/>
      <c r="W545" s="2"/>
      <c r="X545" s="2"/>
      <c r="Y545" s="2"/>
      <c r="Z545" s="2"/>
    </row>
    <row r="546" ht="13.5" customHeight="1">
      <c r="A546" s="2"/>
      <c r="B546" s="2"/>
      <c r="C546" s="2"/>
      <c r="D546" s="2"/>
      <c r="E546" s="2"/>
      <c r="F546" s="2"/>
      <c r="G546" s="2"/>
      <c r="H546" s="2"/>
      <c r="I546" s="2"/>
      <c r="J546" s="2"/>
      <c r="K546" s="181"/>
      <c r="L546" s="2"/>
      <c r="M546" s="2"/>
      <c r="N546" s="2"/>
      <c r="O546" s="2"/>
      <c r="P546" s="2"/>
      <c r="Q546" s="157"/>
      <c r="R546" s="157"/>
      <c r="S546" s="157"/>
      <c r="T546" s="158"/>
      <c r="U546" s="2"/>
      <c r="V546" s="2"/>
      <c r="W546" s="2"/>
      <c r="X546" s="2"/>
      <c r="Y546" s="2"/>
      <c r="Z546" s="2"/>
    </row>
    <row r="547" ht="13.5" customHeight="1">
      <c r="A547" s="2"/>
      <c r="B547" s="2"/>
      <c r="C547" s="2"/>
      <c r="D547" s="2"/>
      <c r="E547" s="2"/>
      <c r="F547" s="2"/>
      <c r="G547" s="2"/>
      <c r="H547" s="2"/>
      <c r="I547" s="2"/>
      <c r="J547" s="2"/>
      <c r="K547" s="181"/>
      <c r="L547" s="2"/>
      <c r="M547" s="2"/>
      <c r="N547" s="2"/>
      <c r="O547" s="2"/>
      <c r="P547" s="2"/>
      <c r="Q547" s="157"/>
      <c r="R547" s="157"/>
      <c r="S547" s="157"/>
      <c r="T547" s="158"/>
      <c r="U547" s="2"/>
      <c r="V547" s="2"/>
      <c r="W547" s="2"/>
      <c r="X547" s="2"/>
      <c r="Y547" s="2"/>
      <c r="Z547" s="2"/>
    </row>
    <row r="548" ht="13.5" customHeight="1">
      <c r="A548" s="2"/>
      <c r="B548" s="2"/>
      <c r="C548" s="2"/>
      <c r="D548" s="2"/>
      <c r="E548" s="2"/>
      <c r="F548" s="2"/>
      <c r="G548" s="2"/>
      <c r="H548" s="2"/>
      <c r="I548" s="2"/>
      <c r="J548" s="2"/>
      <c r="K548" s="181"/>
      <c r="L548" s="2"/>
      <c r="M548" s="2"/>
      <c r="N548" s="2"/>
      <c r="O548" s="2"/>
      <c r="P548" s="2"/>
      <c r="Q548" s="157"/>
      <c r="R548" s="157"/>
      <c r="S548" s="157"/>
      <c r="T548" s="158"/>
      <c r="U548" s="2"/>
      <c r="V548" s="2"/>
      <c r="W548" s="2"/>
      <c r="X548" s="2"/>
      <c r="Y548" s="2"/>
      <c r="Z548" s="2"/>
    </row>
    <row r="549" ht="13.5" customHeight="1">
      <c r="A549" s="2"/>
      <c r="B549" s="2"/>
      <c r="C549" s="2"/>
      <c r="D549" s="2"/>
      <c r="E549" s="2"/>
      <c r="F549" s="2"/>
      <c r="G549" s="2"/>
      <c r="H549" s="2"/>
      <c r="I549" s="2"/>
      <c r="J549" s="2"/>
      <c r="K549" s="181"/>
      <c r="L549" s="2"/>
      <c r="M549" s="2"/>
      <c r="N549" s="2"/>
      <c r="O549" s="2"/>
      <c r="P549" s="2"/>
      <c r="Q549" s="157"/>
      <c r="R549" s="157"/>
      <c r="S549" s="157"/>
      <c r="T549" s="158"/>
      <c r="U549" s="2"/>
      <c r="V549" s="2"/>
      <c r="W549" s="2"/>
      <c r="X549" s="2"/>
      <c r="Y549" s="2"/>
      <c r="Z549" s="2"/>
    </row>
    <row r="550" ht="13.5" customHeight="1">
      <c r="A550" s="2"/>
      <c r="B550" s="2"/>
      <c r="C550" s="2"/>
      <c r="D550" s="2"/>
      <c r="E550" s="2"/>
      <c r="F550" s="2"/>
      <c r="G550" s="2"/>
      <c r="H550" s="2"/>
      <c r="I550" s="2"/>
      <c r="J550" s="2"/>
      <c r="K550" s="181"/>
      <c r="L550" s="2"/>
      <c r="M550" s="2"/>
      <c r="N550" s="2"/>
      <c r="O550" s="2"/>
      <c r="P550" s="2"/>
      <c r="Q550" s="157"/>
      <c r="R550" s="157"/>
      <c r="S550" s="157"/>
      <c r="T550" s="158"/>
      <c r="U550" s="2"/>
      <c r="V550" s="2"/>
      <c r="W550" s="2"/>
      <c r="X550" s="2"/>
      <c r="Y550" s="2"/>
      <c r="Z550" s="2"/>
    </row>
    <row r="551" ht="13.5" customHeight="1">
      <c r="A551" s="2"/>
      <c r="B551" s="2"/>
      <c r="C551" s="2"/>
      <c r="D551" s="2"/>
      <c r="E551" s="2"/>
      <c r="F551" s="2"/>
      <c r="G551" s="2"/>
      <c r="H551" s="2"/>
      <c r="I551" s="2"/>
      <c r="J551" s="2"/>
      <c r="K551" s="181"/>
      <c r="L551" s="2"/>
      <c r="M551" s="2"/>
      <c r="N551" s="2"/>
      <c r="O551" s="2"/>
      <c r="P551" s="2"/>
      <c r="Q551" s="157"/>
      <c r="R551" s="157"/>
      <c r="S551" s="157"/>
      <c r="T551" s="158"/>
      <c r="U551" s="2"/>
      <c r="V551" s="2"/>
      <c r="W551" s="2"/>
      <c r="X551" s="2"/>
      <c r="Y551" s="2"/>
      <c r="Z551" s="2"/>
    </row>
    <row r="552" ht="13.5" customHeight="1">
      <c r="A552" s="2"/>
      <c r="B552" s="2"/>
      <c r="C552" s="2"/>
      <c r="D552" s="2"/>
      <c r="E552" s="2"/>
      <c r="F552" s="2"/>
      <c r="G552" s="2"/>
      <c r="H552" s="2"/>
      <c r="I552" s="2"/>
      <c r="J552" s="2"/>
      <c r="K552" s="181"/>
      <c r="L552" s="2"/>
      <c r="M552" s="2"/>
      <c r="N552" s="2"/>
      <c r="O552" s="2"/>
      <c r="P552" s="2"/>
      <c r="Q552" s="157"/>
      <c r="R552" s="157"/>
      <c r="S552" s="157"/>
      <c r="T552" s="158"/>
      <c r="U552" s="2"/>
      <c r="V552" s="2"/>
      <c r="W552" s="2"/>
      <c r="X552" s="2"/>
      <c r="Y552" s="2"/>
      <c r="Z552" s="2"/>
    </row>
    <row r="553" ht="13.5" customHeight="1">
      <c r="A553" s="2"/>
      <c r="B553" s="2"/>
      <c r="C553" s="2"/>
      <c r="D553" s="2"/>
      <c r="E553" s="2"/>
      <c r="F553" s="2"/>
      <c r="G553" s="2"/>
      <c r="H553" s="2"/>
      <c r="I553" s="2"/>
      <c r="J553" s="2"/>
      <c r="K553" s="181"/>
      <c r="L553" s="2"/>
      <c r="M553" s="2"/>
      <c r="N553" s="2"/>
      <c r="O553" s="2"/>
      <c r="P553" s="2"/>
      <c r="Q553" s="157"/>
      <c r="R553" s="157"/>
      <c r="S553" s="157"/>
      <c r="T553" s="158"/>
      <c r="U553" s="2"/>
      <c r="V553" s="2"/>
      <c r="W553" s="2"/>
      <c r="X553" s="2"/>
      <c r="Y553" s="2"/>
      <c r="Z553" s="2"/>
    </row>
    <row r="554" ht="13.5" customHeight="1">
      <c r="A554" s="2"/>
      <c r="B554" s="2"/>
      <c r="C554" s="2"/>
      <c r="D554" s="2"/>
      <c r="E554" s="2"/>
      <c r="F554" s="2"/>
      <c r="G554" s="2"/>
      <c r="H554" s="2"/>
      <c r="I554" s="2"/>
      <c r="J554" s="2"/>
      <c r="K554" s="181"/>
      <c r="L554" s="2"/>
      <c r="M554" s="2"/>
      <c r="N554" s="2"/>
      <c r="O554" s="2"/>
      <c r="P554" s="2"/>
      <c r="Q554" s="157"/>
      <c r="R554" s="157"/>
      <c r="S554" s="157"/>
      <c r="T554" s="158"/>
      <c r="U554" s="2"/>
      <c r="V554" s="2"/>
      <c r="W554" s="2"/>
      <c r="X554" s="2"/>
      <c r="Y554" s="2"/>
      <c r="Z554" s="2"/>
    </row>
    <row r="555" ht="13.5" customHeight="1">
      <c r="A555" s="2"/>
      <c r="B555" s="2"/>
      <c r="C555" s="2"/>
      <c r="D555" s="2"/>
      <c r="E555" s="2"/>
      <c r="F555" s="2"/>
      <c r="G555" s="2"/>
      <c r="H555" s="2"/>
      <c r="I555" s="2"/>
      <c r="J555" s="2"/>
      <c r="K555" s="181"/>
      <c r="L555" s="2"/>
      <c r="M555" s="2"/>
      <c r="N555" s="2"/>
      <c r="O555" s="2"/>
      <c r="P555" s="2"/>
      <c r="Q555" s="157"/>
      <c r="R555" s="157"/>
      <c r="S555" s="157"/>
      <c r="T555" s="158"/>
      <c r="U555" s="2"/>
      <c r="V555" s="2"/>
      <c r="W555" s="2"/>
      <c r="X555" s="2"/>
      <c r="Y555" s="2"/>
      <c r="Z555" s="2"/>
    </row>
    <row r="556" ht="13.5" customHeight="1">
      <c r="A556" s="2"/>
      <c r="B556" s="2"/>
      <c r="C556" s="2"/>
      <c r="D556" s="2"/>
      <c r="E556" s="2"/>
      <c r="F556" s="2"/>
      <c r="G556" s="2"/>
      <c r="H556" s="2"/>
      <c r="I556" s="2"/>
      <c r="J556" s="2"/>
      <c r="K556" s="181"/>
      <c r="L556" s="2"/>
      <c r="M556" s="2"/>
      <c r="N556" s="2"/>
      <c r="O556" s="2"/>
      <c r="P556" s="2"/>
      <c r="Q556" s="157"/>
      <c r="R556" s="157"/>
      <c r="S556" s="157"/>
      <c r="T556" s="158"/>
      <c r="U556" s="2"/>
      <c r="V556" s="2"/>
      <c r="W556" s="2"/>
      <c r="X556" s="2"/>
      <c r="Y556" s="2"/>
      <c r="Z556" s="2"/>
    </row>
    <row r="557" ht="13.5" customHeight="1">
      <c r="A557" s="2"/>
      <c r="B557" s="2"/>
      <c r="C557" s="2"/>
      <c r="D557" s="2"/>
      <c r="E557" s="2"/>
      <c r="F557" s="2"/>
      <c r="G557" s="2"/>
      <c r="H557" s="2"/>
      <c r="I557" s="2"/>
      <c r="J557" s="2"/>
      <c r="K557" s="181"/>
      <c r="L557" s="2"/>
      <c r="M557" s="2"/>
      <c r="N557" s="2"/>
      <c r="O557" s="2"/>
      <c r="P557" s="2"/>
      <c r="Q557" s="157"/>
      <c r="R557" s="157"/>
      <c r="S557" s="157"/>
      <c r="T557" s="158"/>
      <c r="U557" s="2"/>
      <c r="V557" s="2"/>
      <c r="W557" s="2"/>
      <c r="X557" s="2"/>
      <c r="Y557" s="2"/>
      <c r="Z557" s="2"/>
    </row>
    <row r="558" ht="13.5" customHeight="1">
      <c r="A558" s="2"/>
      <c r="B558" s="2"/>
      <c r="C558" s="2"/>
      <c r="D558" s="2"/>
      <c r="E558" s="2"/>
      <c r="F558" s="2"/>
      <c r="G558" s="2"/>
      <c r="H558" s="2"/>
      <c r="I558" s="2"/>
      <c r="J558" s="2"/>
      <c r="K558" s="181"/>
      <c r="L558" s="2"/>
      <c r="M558" s="2"/>
      <c r="N558" s="2"/>
      <c r="O558" s="2"/>
      <c r="P558" s="2"/>
      <c r="Q558" s="157"/>
      <c r="R558" s="157"/>
      <c r="S558" s="157"/>
      <c r="T558" s="158"/>
      <c r="U558" s="2"/>
      <c r="V558" s="2"/>
      <c r="W558" s="2"/>
      <c r="X558" s="2"/>
      <c r="Y558" s="2"/>
      <c r="Z558" s="2"/>
    </row>
    <row r="559" ht="13.5" customHeight="1">
      <c r="A559" s="2"/>
      <c r="B559" s="2"/>
      <c r="C559" s="2"/>
      <c r="D559" s="2"/>
      <c r="E559" s="2"/>
      <c r="F559" s="2"/>
      <c r="G559" s="2"/>
      <c r="H559" s="2"/>
      <c r="I559" s="2"/>
      <c r="J559" s="2"/>
      <c r="K559" s="181"/>
      <c r="L559" s="2"/>
      <c r="M559" s="2"/>
      <c r="N559" s="2"/>
      <c r="O559" s="2"/>
      <c r="P559" s="2"/>
      <c r="Q559" s="157"/>
      <c r="R559" s="157"/>
      <c r="S559" s="157"/>
      <c r="T559" s="158"/>
      <c r="U559" s="2"/>
      <c r="V559" s="2"/>
      <c r="W559" s="2"/>
      <c r="X559" s="2"/>
      <c r="Y559" s="2"/>
      <c r="Z559" s="2"/>
    </row>
    <row r="560" ht="13.5" customHeight="1">
      <c r="A560" s="2"/>
      <c r="B560" s="2"/>
      <c r="C560" s="2"/>
      <c r="D560" s="2"/>
      <c r="E560" s="2"/>
      <c r="F560" s="2"/>
      <c r="G560" s="2"/>
      <c r="H560" s="2"/>
      <c r="I560" s="2"/>
      <c r="J560" s="2"/>
      <c r="K560" s="181"/>
      <c r="L560" s="2"/>
      <c r="M560" s="2"/>
      <c r="N560" s="2"/>
      <c r="O560" s="2"/>
      <c r="P560" s="2"/>
      <c r="Q560" s="157"/>
      <c r="R560" s="157"/>
      <c r="S560" s="157"/>
      <c r="T560" s="158"/>
      <c r="U560" s="2"/>
      <c r="V560" s="2"/>
      <c r="W560" s="2"/>
      <c r="X560" s="2"/>
      <c r="Y560" s="2"/>
      <c r="Z560" s="2"/>
    </row>
    <row r="561" ht="13.5" customHeight="1">
      <c r="A561" s="2"/>
      <c r="B561" s="2"/>
      <c r="C561" s="2"/>
      <c r="D561" s="2"/>
      <c r="E561" s="2"/>
      <c r="F561" s="2"/>
      <c r="G561" s="2"/>
      <c r="H561" s="2"/>
      <c r="I561" s="2"/>
      <c r="J561" s="2"/>
      <c r="K561" s="181"/>
      <c r="L561" s="2"/>
      <c r="M561" s="2"/>
      <c r="N561" s="2"/>
      <c r="O561" s="2"/>
      <c r="P561" s="2"/>
      <c r="Q561" s="157"/>
      <c r="R561" s="157"/>
      <c r="S561" s="157"/>
      <c r="T561" s="158"/>
      <c r="U561" s="2"/>
      <c r="V561" s="2"/>
      <c r="W561" s="2"/>
      <c r="X561" s="2"/>
      <c r="Y561" s="2"/>
      <c r="Z561" s="2"/>
    </row>
    <row r="562" ht="13.5" customHeight="1">
      <c r="A562" s="2"/>
      <c r="B562" s="2"/>
      <c r="C562" s="2"/>
      <c r="D562" s="2"/>
      <c r="E562" s="2"/>
      <c r="F562" s="2"/>
      <c r="G562" s="2"/>
      <c r="H562" s="2"/>
      <c r="I562" s="2"/>
      <c r="J562" s="2"/>
      <c r="K562" s="181"/>
      <c r="L562" s="2"/>
      <c r="M562" s="2"/>
      <c r="N562" s="2"/>
      <c r="O562" s="2"/>
      <c r="P562" s="2"/>
      <c r="Q562" s="157"/>
      <c r="R562" s="157"/>
      <c r="S562" s="157"/>
      <c r="T562" s="158"/>
      <c r="U562" s="2"/>
      <c r="V562" s="2"/>
      <c r="W562" s="2"/>
      <c r="X562" s="2"/>
      <c r="Y562" s="2"/>
      <c r="Z562" s="2"/>
    </row>
    <row r="563" ht="13.5" customHeight="1">
      <c r="A563" s="2"/>
      <c r="B563" s="2"/>
      <c r="C563" s="2"/>
      <c r="D563" s="2"/>
      <c r="E563" s="2"/>
      <c r="F563" s="2"/>
      <c r="G563" s="2"/>
      <c r="H563" s="2"/>
      <c r="I563" s="2"/>
      <c r="J563" s="2"/>
      <c r="K563" s="181"/>
      <c r="L563" s="2"/>
      <c r="M563" s="2"/>
      <c r="N563" s="2"/>
      <c r="O563" s="2"/>
      <c r="P563" s="2"/>
      <c r="Q563" s="157"/>
      <c r="R563" s="157"/>
      <c r="S563" s="157"/>
      <c r="T563" s="158"/>
      <c r="U563" s="2"/>
      <c r="V563" s="2"/>
      <c r="W563" s="2"/>
      <c r="X563" s="2"/>
      <c r="Y563" s="2"/>
      <c r="Z563" s="2"/>
    </row>
    <row r="564" ht="13.5" customHeight="1">
      <c r="A564" s="2"/>
      <c r="B564" s="2"/>
      <c r="C564" s="2"/>
      <c r="D564" s="2"/>
      <c r="E564" s="2"/>
      <c r="F564" s="2"/>
      <c r="G564" s="2"/>
      <c r="H564" s="2"/>
      <c r="I564" s="2"/>
      <c r="J564" s="2"/>
      <c r="K564" s="181"/>
      <c r="L564" s="2"/>
      <c r="M564" s="2"/>
      <c r="N564" s="2"/>
      <c r="O564" s="2"/>
      <c r="P564" s="2"/>
      <c r="Q564" s="157"/>
      <c r="R564" s="157"/>
      <c r="S564" s="157"/>
      <c r="T564" s="158"/>
      <c r="U564" s="2"/>
      <c r="V564" s="2"/>
      <c r="W564" s="2"/>
      <c r="X564" s="2"/>
      <c r="Y564" s="2"/>
      <c r="Z564" s="2"/>
    </row>
    <row r="565" ht="13.5" customHeight="1">
      <c r="A565" s="2"/>
      <c r="B565" s="2"/>
      <c r="C565" s="2"/>
      <c r="D565" s="2"/>
      <c r="E565" s="2"/>
      <c r="F565" s="2"/>
      <c r="G565" s="2"/>
      <c r="H565" s="2"/>
      <c r="I565" s="2"/>
      <c r="J565" s="2"/>
      <c r="K565" s="181"/>
      <c r="L565" s="2"/>
      <c r="M565" s="2"/>
      <c r="N565" s="2"/>
      <c r="O565" s="2"/>
      <c r="P565" s="2"/>
      <c r="Q565" s="157"/>
      <c r="R565" s="157"/>
      <c r="S565" s="157"/>
      <c r="T565" s="158"/>
      <c r="U565" s="2"/>
      <c r="V565" s="2"/>
      <c r="W565" s="2"/>
      <c r="X565" s="2"/>
      <c r="Y565" s="2"/>
      <c r="Z565" s="2"/>
    </row>
    <row r="566" ht="13.5" customHeight="1">
      <c r="A566" s="2"/>
      <c r="B566" s="2"/>
      <c r="C566" s="2"/>
      <c r="D566" s="2"/>
      <c r="E566" s="2"/>
      <c r="F566" s="2"/>
      <c r="G566" s="2"/>
      <c r="H566" s="2"/>
      <c r="I566" s="2"/>
      <c r="J566" s="2"/>
      <c r="K566" s="181"/>
      <c r="L566" s="2"/>
      <c r="M566" s="2"/>
      <c r="N566" s="2"/>
      <c r="O566" s="2"/>
      <c r="P566" s="2"/>
      <c r="Q566" s="157"/>
      <c r="R566" s="157"/>
      <c r="S566" s="157"/>
      <c r="T566" s="158"/>
      <c r="U566" s="2"/>
      <c r="V566" s="2"/>
      <c r="W566" s="2"/>
      <c r="X566" s="2"/>
      <c r="Y566" s="2"/>
      <c r="Z566" s="2"/>
    </row>
    <row r="567" ht="13.5" customHeight="1">
      <c r="A567" s="2"/>
      <c r="B567" s="2"/>
      <c r="C567" s="2"/>
      <c r="D567" s="2"/>
      <c r="E567" s="2"/>
      <c r="F567" s="2"/>
      <c r="G567" s="2"/>
      <c r="H567" s="2"/>
      <c r="I567" s="2"/>
      <c r="J567" s="2"/>
      <c r="K567" s="181"/>
      <c r="L567" s="2"/>
      <c r="M567" s="2"/>
      <c r="N567" s="2"/>
      <c r="O567" s="2"/>
      <c r="P567" s="2"/>
      <c r="Q567" s="157"/>
      <c r="R567" s="157"/>
      <c r="S567" s="157"/>
      <c r="T567" s="158"/>
      <c r="U567" s="2"/>
      <c r="V567" s="2"/>
      <c r="W567" s="2"/>
      <c r="X567" s="2"/>
      <c r="Y567" s="2"/>
      <c r="Z567" s="2"/>
    </row>
    <row r="568" ht="13.5" customHeight="1">
      <c r="A568" s="2"/>
      <c r="B568" s="2"/>
      <c r="C568" s="2"/>
      <c r="D568" s="2"/>
      <c r="E568" s="2"/>
      <c r="F568" s="2"/>
      <c r="G568" s="2"/>
      <c r="H568" s="2"/>
      <c r="I568" s="2"/>
      <c r="J568" s="2"/>
      <c r="K568" s="181"/>
      <c r="L568" s="2"/>
      <c r="M568" s="2"/>
      <c r="N568" s="2"/>
      <c r="O568" s="2"/>
      <c r="P568" s="2"/>
      <c r="Q568" s="157"/>
      <c r="R568" s="157"/>
      <c r="S568" s="157"/>
      <c r="T568" s="158"/>
      <c r="U568" s="2"/>
      <c r="V568" s="2"/>
      <c r="W568" s="2"/>
      <c r="X568" s="2"/>
      <c r="Y568" s="2"/>
      <c r="Z568" s="2"/>
    </row>
    <row r="569" ht="13.5" customHeight="1">
      <c r="A569" s="2"/>
      <c r="B569" s="2"/>
      <c r="C569" s="2"/>
      <c r="D569" s="2"/>
      <c r="E569" s="2"/>
      <c r="F569" s="2"/>
      <c r="G569" s="2"/>
      <c r="H569" s="2"/>
      <c r="I569" s="2"/>
      <c r="J569" s="2"/>
      <c r="K569" s="181"/>
      <c r="L569" s="2"/>
      <c r="M569" s="2"/>
      <c r="N569" s="2"/>
      <c r="O569" s="2"/>
      <c r="P569" s="2"/>
      <c r="Q569" s="157"/>
      <c r="R569" s="157"/>
      <c r="S569" s="157"/>
      <c r="T569" s="158"/>
      <c r="U569" s="2"/>
      <c r="V569" s="2"/>
      <c r="W569" s="2"/>
      <c r="X569" s="2"/>
      <c r="Y569" s="2"/>
      <c r="Z569" s="2"/>
    </row>
    <row r="570" ht="13.5" customHeight="1">
      <c r="A570" s="2"/>
      <c r="B570" s="2"/>
      <c r="C570" s="2"/>
      <c r="D570" s="2"/>
      <c r="E570" s="2"/>
      <c r="F570" s="2"/>
      <c r="G570" s="2"/>
      <c r="H570" s="2"/>
      <c r="I570" s="2"/>
      <c r="J570" s="2"/>
      <c r="K570" s="181"/>
      <c r="L570" s="2"/>
      <c r="M570" s="2"/>
      <c r="N570" s="2"/>
      <c r="O570" s="2"/>
      <c r="P570" s="2"/>
      <c r="Q570" s="157"/>
      <c r="R570" s="157"/>
      <c r="S570" s="157"/>
      <c r="T570" s="158"/>
      <c r="U570" s="2"/>
      <c r="V570" s="2"/>
      <c r="W570" s="2"/>
      <c r="X570" s="2"/>
      <c r="Y570" s="2"/>
      <c r="Z570" s="2"/>
    </row>
    <row r="571" ht="13.5" customHeight="1">
      <c r="A571" s="2"/>
      <c r="B571" s="2"/>
      <c r="C571" s="2"/>
      <c r="D571" s="2"/>
      <c r="E571" s="2"/>
      <c r="F571" s="2"/>
      <c r="G571" s="2"/>
      <c r="H571" s="2"/>
      <c r="I571" s="2"/>
      <c r="J571" s="2"/>
      <c r="K571" s="181"/>
      <c r="L571" s="2"/>
      <c r="M571" s="2"/>
      <c r="N571" s="2"/>
      <c r="O571" s="2"/>
      <c r="P571" s="2"/>
      <c r="Q571" s="157"/>
      <c r="R571" s="157"/>
      <c r="S571" s="157"/>
      <c r="T571" s="158"/>
      <c r="U571" s="2"/>
      <c r="V571" s="2"/>
      <c r="W571" s="2"/>
      <c r="X571" s="2"/>
      <c r="Y571" s="2"/>
      <c r="Z571" s="2"/>
    </row>
    <row r="572" ht="13.5" customHeight="1">
      <c r="A572" s="2"/>
      <c r="B572" s="2"/>
      <c r="C572" s="2"/>
      <c r="D572" s="2"/>
      <c r="E572" s="2"/>
      <c r="F572" s="2"/>
      <c r="G572" s="2"/>
      <c r="H572" s="2"/>
      <c r="I572" s="2"/>
      <c r="J572" s="2"/>
      <c r="K572" s="181"/>
      <c r="L572" s="2"/>
      <c r="M572" s="2"/>
      <c r="N572" s="2"/>
      <c r="O572" s="2"/>
      <c r="P572" s="2"/>
      <c r="Q572" s="157"/>
      <c r="R572" s="157"/>
      <c r="S572" s="157"/>
      <c r="T572" s="158"/>
      <c r="U572" s="2"/>
      <c r="V572" s="2"/>
      <c r="W572" s="2"/>
      <c r="X572" s="2"/>
      <c r="Y572" s="2"/>
      <c r="Z572" s="2"/>
    </row>
    <row r="573" ht="13.5" customHeight="1">
      <c r="A573" s="2"/>
      <c r="B573" s="2"/>
      <c r="C573" s="2"/>
      <c r="D573" s="2"/>
      <c r="E573" s="2"/>
      <c r="F573" s="2"/>
      <c r="G573" s="2"/>
      <c r="H573" s="2"/>
      <c r="I573" s="2"/>
      <c r="J573" s="2"/>
      <c r="K573" s="181"/>
      <c r="L573" s="2"/>
      <c r="M573" s="2"/>
      <c r="N573" s="2"/>
      <c r="O573" s="2"/>
      <c r="P573" s="2"/>
      <c r="Q573" s="157"/>
      <c r="R573" s="157"/>
      <c r="S573" s="157"/>
      <c r="T573" s="158"/>
      <c r="U573" s="2"/>
      <c r="V573" s="2"/>
      <c r="W573" s="2"/>
      <c r="X573" s="2"/>
      <c r="Y573" s="2"/>
      <c r="Z573" s="2"/>
    </row>
    <row r="574" ht="13.5" customHeight="1">
      <c r="A574" s="2"/>
      <c r="B574" s="2"/>
      <c r="C574" s="2"/>
      <c r="D574" s="2"/>
      <c r="E574" s="2"/>
      <c r="F574" s="2"/>
      <c r="G574" s="2"/>
      <c r="H574" s="2"/>
      <c r="I574" s="2"/>
      <c r="J574" s="2"/>
      <c r="K574" s="181"/>
      <c r="L574" s="2"/>
      <c r="M574" s="2"/>
      <c r="N574" s="2"/>
      <c r="O574" s="2"/>
      <c r="P574" s="2"/>
      <c r="Q574" s="157"/>
      <c r="R574" s="157"/>
      <c r="S574" s="157"/>
      <c r="T574" s="158"/>
      <c r="U574" s="2"/>
      <c r="V574" s="2"/>
      <c r="W574" s="2"/>
      <c r="X574" s="2"/>
      <c r="Y574" s="2"/>
      <c r="Z574" s="2"/>
    </row>
    <row r="575" ht="13.5" customHeight="1">
      <c r="A575" s="2"/>
      <c r="B575" s="2"/>
      <c r="C575" s="2"/>
      <c r="D575" s="2"/>
      <c r="E575" s="2"/>
      <c r="F575" s="2"/>
      <c r="G575" s="2"/>
      <c r="H575" s="2"/>
      <c r="I575" s="2"/>
      <c r="J575" s="2"/>
      <c r="K575" s="181"/>
      <c r="L575" s="2"/>
      <c r="M575" s="2"/>
      <c r="N575" s="2"/>
      <c r="O575" s="2"/>
      <c r="P575" s="2"/>
      <c r="Q575" s="157"/>
      <c r="R575" s="157"/>
      <c r="S575" s="157"/>
      <c r="T575" s="158"/>
      <c r="U575" s="2"/>
      <c r="V575" s="2"/>
      <c r="W575" s="2"/>
      <c r="X575" s="2"/>
      <c r="Y575" s="2"/>
      <c r="Z575" s="2"/>
    </row>
    <row r="576" ht="13.5" customHeight="1">
      <c r="A576" s="2"/>
      <c r="B576" s="2"/>
      <c r="C576" s="2"/>
      <c r="D576" s="2"/>
      <c r="E576" s="2"/>
      <c r="F576" s="2"/>
      <c r="G576" s="2"/>
      <c r="H576" s="2"/>
      <c r="I576" s="2"/>
      <c r="J576" s="2"/>
      <c r="K576" s="181"/>
      <c r="L576" s="2"/>
      <c r="M576" s="2"/>
      <c r="N576" s="2"/>
      <c r="O576" s="2"/>
      <c r="P576" s="2"/>
      <c r="Q576" s="157"/>
      <c r="R576" s="157"/>
      <c r="S576" s="157"/>
      <c r="T576" s="158"/>
      <c r="U576" s="2"/>
      <c r="V576" s="2"/>
      <c r="W576" s="2"/>
      <c r="X576" s="2"/>
      <c r="Y576" s="2"/>
      <c r="Z576" s="2"/>
    </row>
    <row r="577" ht="13.5" customHeight="1">
      <c r="A577" s="2"/>
      <c r="B577" s="2"/>
      <c r="C577" s="2"/>
      <c r="D577" s="2"/>
      <c r="E577" s="2"/>
      <c r="F577" s="2"/>
      <c r="G577" s="2"/>
      <c r="H577" s="2"/>
      <c r="I577" s="2"/>
      <c r="J577" s="2"/>
      <c r="K577" s="181"/>
      <c r="L577" s="2"/>
      <c r="M577" s="2"/>
      <c r="N577" s="2"/>
      <c r="O577" s="2"/>
      <c r="P577" s="2"/>
      <c r="Q577" s="157"/>
      <c r="R577" s="157"/>
      <c r="S577" s="157"/>
      <c r="T577" s="158"/>
      <c r="U577" s="2"/>
      <c r="V577" s="2"/>
      <c r="W577" s="2"/>
      <c r="X577" s="2"/>
      <c r="Y577" s="2"/>
      <c r="Z577" s="2"/>
    </row>
    <row r="578" ht="13.5" customHeight="1">
      <c r="A578" s="2"/>
      <c r="B578" s="2"/>
      <c r="C578" s="2"/>
      <c r="D578" s="2"/>
      <c r="E578" s="2"/>
      <c r="F578" s="2"/>
      <c r="G578" s="2"/>
      <c r="H578" s="2"/>
      <c r="I578" s="2"/>
      <c r="J578" s="2"/>
      <c r="K578" s="181"/>
      <c r="L578" s="2"/>
      <c r="M578" s="2"/>
      <c r="N578" s="2"/>
      <c r="O578" s="2"/>
      <c r="P578" s="2"/>
      <c r="Q578" s="157"/>
      <c r="R578" s="157"/>
      <c r="S578" s="157"/>
      <c r="T578" s="158"/>
      <c r="U578" s="2"/>
      <c r="V578" s="2"/>
      <c r="W578" s="2"/>
      <c r="X578" s="2"/>
      <c r="Y578" s="2"/>
      <c r="Z578" s="2"/>
    </row>
    <row r="579" ht="13.5" customHeight="1">
      <c r="A579" s="2"/>
      <c r="B579" s="2"/>
      <c r="C579" s="2"/>
      <c r="D579" s="2"/>
      <c r="E579" s="2"/>
      <c r="F579" s="2"/>
      <c r="G579" s="2"/>
      <c r="H579" s="2"/>
      <c r="I579" s="2"/>
      <c r="J579" s="2"/>
      <c r="K579" s="181"/>
      <c r="L579" s="2"/>
      <c r="M579" s="2"/>
      <c r="N579" s="2"/>
      <c r="O579" s="2"/>
      <c r="P579" s="2"/>
      <c r="Q579" s="157"/>
      <c r="R579" s="157"/>
      <c r="S579" s="157"/>
      <c r="T579" s="158"/>
      <c r="U579" s="2"/>
      <c r="V579" s="2"/>
      <c r="W579" s="2"/>
      <c r="X579" s="2"/>
      <c r="Y579" s="2"/>
      <c r="Z579" s="2"/>
    </row>
    <row r="580" ht="13.5" customHeight="1">
      <c r="A580" s="2"/>
      <c r="B580" s="2"/>
      <c r="C580" s="2"/>
      <c r="D580" s="2"/>
      <c r="E580" s="2"/>
      <c r="F580" s="2"/>
      <c r="G580" s="2"/>
      <c r="H580" s="2"/>
      <c r="I580" s="2"/>
      <c r="J580" s="2"/>
      <c r="K580" s="181"/>
      <c r="L580" s="2"/>
      <c r="M580" s="2"/>
      <c r="N580" s="2"/>
      <c r="O580" s="2"/>
      <c r="P580" s="2"/>
      <c r="Q580" s="157"/>
      <c r="R580" s="157"/>
      <c r="S580" s="157"/>
      <c r="T580" s="158"/>
      <c r="U580" s="2"/>
      <c r="V580" s="2"/>
      <c r="W580" s="2"/>
      <c r="X580" s="2"/>
      <c r="Y580" s="2"/>
      <c r="Z580" s="2"/>
    </row>
    <row r="581" ht="13.5" customHeight="1">
      <c r="A581" s="2"/>
      <c r="B581" s="2"/>
      <c r="C581" s="2"/>
      <c r="D581" s="2"/>
      <c r="E581" s="2"/>
      <c r="F581" s="2"/>
      <c r="G581" s="2"/>
      <c r="H581" s="2"/>
      <c r="I581" s="2"/>
      <c r="J581" s="2"/>
      <c r="K581" s="181"/>
      <c r="L581" s="2"/>
      <c r="M581" s="2"/>
      <c r="N581" s="2"/>
      <c r="O581" s="2"/>
      <c r="P581" s="2"/>
      <c r="Q581" s="157"/>
      <c r="R581" s="157"/>
      <c r="S581" s="157"/>
      <c r="T581" s="158"/>
      <c r="U581" s="2"/>
      <c r="V581" s="2"/>
      <c r="W581" s="2"/>
      <c r="X581" s="2"/>
      <c r="Y581" s="2"/>
      <c r="Z581" s="2"/>
    </row>
    <row r="582" ht="13.5" customHeight="1">
      <c r="A582" s="2"/>
      <c r="B582" s="2"/>
      <c r="C582" s="2"/>
      <c r="D582" s="2"/>
      <c r="E582" s="2"/>
      <c r="F582" s="2"/>
      <c r="G582" s="2"/>
      <c r="H582" s="2"/>
      <c r="I582" s="2"/>
      <c r="J582" s="2"/>
      <c r="K582" s="181"/>
      <c r="L582" s="2"/>
      <c r="M582" s="2"/>
      <c r="N582" s="2"/>
      <c r="O582" s="2"/>
      <c r="P582" s="2"/>
      <c r="Q582" s="157"/>
      <c r="R582" s="157"/>
      <c r="S582" s="157"/>
      <c r="T582" s="158"/>
      <c r="U582" s="2"/>
      <c r="V582" s="2"/>
      <c r="W582" s="2"/>
      <c r="X582" s="2"/>
      <c r="Y582" s="2"/>
      <c r="Z582" s="2"/>
    </row>
    <row r="583" ht="13.5" customHeight="1">
      <c r="A583" s="2"/>
      <c r="B583" s="2"/>
      <c r="C583" s="2"/>
      <c r="D583" s="2"/>
      <c r="E583" s="2"/>
      <c r="F583" s="2"/>
      <c r="G583" s="2"/>
      <c r="H583" s="2"/>
      <c r="I583" s="2"/>
      <c r="J583" s="2"/>
      <c r="K583" s="181"/>
      <c r="L583" s="2"/>
      <c r="M583" s="2"/>
      <c r="N583" s="2"/>
      <c r="O583" s="2"/>
      <c r="P583" s="2"/>
      <c r="Q583" s="157"/>
      <c r="R583" s="157"/>
      <c r="S583" s="157"/>
      <c r="T583" s="158"/>
      <c r="U583" s="2"/>
      <c r="V583" s="2"/>
      <c r="W583" s="2"/>
      <c r="X583" s="2"/>
      <c r="Y583" s="2"/>
      <c r="Z583" s="2"/>
    </row>
    <row r="584" ht="13.5" customHeight="1">
      <c r="A584" s="2"/>
      <c r="B584" s="2"/>
      <c r="C584" s="2"/>
      <c r="D584" s="2"/>
      <c r="E584" s="2"/>
      <c r="F584" s="2"/>
      <c r="G584" s="2"/>
      <c r="H584" s="2"/>
      <c r="I584" s="2"/>
      <c r="J584" s="2"/>
      <c r="K584" s="181"/>
      <c r="L584" s="2"/>
      <c r="M584" s="2"/>
      <c r="N584" s="2"/>
      <c r="O584" s="2"/>
      <c r="P584" s="2"/>
      <c r="Q584" s="157"/>
      <c r="R584" s="157"/>
      <c r="S584" s="157"/>
      <c r="T584" s="158"/>
      <c r="U584" s="2"/>
      <c r="V584" s="2"/>
      <c r="W584" s="2"/>
      <c r="X584" s="2"/>
      <c r="Y584" s="2"/>
      <c r="Z584" s="2"/>
    </row>
    <row r="585" ht="13.5" customHeight="1">
      <c r="A585" s="2"/>
      <c r="B585" s="2"/>
      <c r="C585" s="2"/>
      <c r="D585" s="2"/>
      <c r="E585" s="2"/>
      <c r="F585" s="2"/>
      <c r="G585" s="2"/>
      <c r="H585" s="2"/>
      <c r="I585" s="2"/>
      <c r="J585" s="2"/>
      <c r="K585" s="181"/>
      <c r="L585" s="2"/>
      <c r="M585" s="2"/>
      <c r="N585" s="2"/>
      <c r="O585" s="2"/>
      <c r="P585" s="2"/>
      <c r="Q585" s="157"/>
      <c r="R585" s="157"/>
      <c r="S585" s="157"/>
      <c r="T585" s="158"/>
      <c r="U585" s="2"/>
      <c r="V585" s="2"/>
      <c r="W585" s="2"/>
      <c r="X585" s="2"/>
      <c r="Y585" s="2"/>
      <c r="Z585" s="2"/>
    </row>
    <row r="586" ht="13.5" customHeight="1">
      <c r="A586" s="2"/>
      <c r="B586" s="2"/>
      <c r="C586" s="2"/>
      <c r="D586" s="2"/>
      <c r="E586" s="2"/>
      <c r="F586" s="2"/>
      <c r="G586" s="2"/>
      <c r="H586" s="2"/>
      <c r="I586" s="2"/>
      <c r="J586" s="2"/>
      <c r="K586" s="181"/>
      <c r="L586" s="2"/>
      <c r="M586" s="2"/>
      <c r="N586" s="2"/>
      <c r="O586" s="2"/>
      <c r="P586" s="2"/>
      <c r="Q586" s="157"/>
      <c r="R586" s="157"/>
      <c r="S586" s="157"/>
      <c r="T586" s="158"/>
      <c r="U586" s="2"/>
      <c r="V586" s="2"/>
      <c r="W586" s="2"/>
      <c r="X586" s="2"/>
      <c r="Y586" s="2"/>
      <c r="Z586" s="2"/>
    </row>
    <row r="587" ht="13.5" customHeight="1">
      <c r="A587" s="2"/>
      <c r="B587" s="2"/>
      <c r="C587" s="2"/>
      <c r="D587" s="2"/>
      <c r="E587" s="2"/>
      <c r="F587" s="2"/>
      <c r="G587" s="2"/>
      <c r="H587" s="2"/>
      <c r="I587" s="2"/>
      <c r="J587" s="2"/>
      <c r="K587" s="181"/>
      <c r="L587" s="2"/>
      <c r="M587" s="2"/>
      <c r="N587" s="2"/>
      <c r="O587" s="2"/>
      <c r="P587" s="2"/>
      <c r="Q587" s="157"/>
      <c r="R587" s="157"/>
      <c r="S587" s="157"/>
      <c r="T587" s="158"/>
      <c r="U587" s="2"/>
      <c r="V587" s="2"/>
      <c r="W587" s="2"/>
      <c r="X587" s="2"/>
      <c r="Y587" s="2"/>
      <c r="Z587" s="2"/>
    </row>
    <row r="588" ht="13.5" customHeight="1">
      <c r="A588" s="2"/>
      <c r="B588" s="2"/>
      <c r="C588" s="2"/>
      <c r="D588" s="2"/>
      <c r="E588" s="2"/>
      <c r="F588" s="2"/>
      <c r="G588" s="2"/>
      <c r="H588" s="2"/>
      <c r="I588" s="2"/>
      <c r="J588" s="2"/>
      <c r="K588" s="181"/>
      <c r="L588" s="2"/>
      <c r="M588" s="2"/>
      <c r="N588" s="2"/>
      <c r="O588" s="2"/>
      <c r="P588" s="2"/>
      <c r="Q588" s="157"/>
      <c r="R588" s="157"/>
      <c r="S588" s="157"/>
      <c r="T588" s="158"/>
      <c r="U588" s="2"/>
      <c r="V588" s="2"/>
      <c r="W588" s="2"/>
      <c r="X588" s="2"/>
      <c r="Y588" s="2"/>
      <c r="Z588" s="2"/>
    </row>
    <row r="589" ht="13.5" customHeight="1">
      <c r="A589" s="2"/>
      <c r="B589" s="2"/>
      <c r="C589" s="2"/>
      <c r="D589" s="2"/>
      <c r="E589" s="2"/>
      <c r="F589" s="2"/>
      <c r="G589" s="2"/>
      <c r="H589" s="2"/>
      <c r="I589" s="2"/>
      <c r="J589" s="2"/>
      <c r="K589" s="181"/>
      <c r="L589" s="2"/>
      <c r="M589" s="2"/>
      <c r="N589" s="2"/>
      <c r="O589" s="2"/>
      <c r="P589" s="2"/>
      <c r="Q589" s="157"/>
      <c r="R589" s="157"/>
      <c r="S589" s="157"/>
      <c r="T589" s="158"/>
      <c r="U589" s="2"/>
      <c r="V589" s="2"/>
      <c r="W589" s="2"/>
      <c r="X589" s="2"/>
      <c r="Y589" s="2"/>
      <c r="Z589" s="2"/>
    </row>
    <row r="590" ht="13.5" customHeight="1">
      <c r="A590" s="2"/>
      <c r="B590" s="2"/>
      <c r="C590" s="2"/>
      <c r="D590" s="2"/>
      <c r="E590" s="2"/>
      <c r="F590" s="2"/>
      <c r="G590" s="2"/>
      <c r="H590" s="2"/>
      <c r="I590" s="2"/>
      <c r="J590" s="2"/>
      <c r="K590" s="181"/>
      <c r="L590" s="2"/>
      <c r="M590" s="2"/>
      <c r="N590" s="2"/>
      <c r="O590" s="2"/>
      <c r="P590" s="2"/>
      <c r="Q590" s="157"/>
      <c r="R590" s="157"/>
      <c r="S590" s="157"/>
      <c r="T590" s="158"/>
      <c r="U590" s="2"/>
      <c r="V590" s="2"/>
      <c r="W590" s="2"/>
      <c r="X590" s="2"/>
      <c r="Y590" s="2"/>
      <c r="Z590" s="2"/>
    </row>
    <row r="591" ht="13.5" customHeight="1">
      <c r="A591" s="2"/>
      <c r="B591" s="2"/>
      <c r="C591" s="2"/>
      <c r="D591" s="2"/>
      <c r="E591" s="2"/>
      <c r="F591" s="2"/>
      <c r="G591" s="2"/>
      <c r="H591" s="2"/>
      <c r="I591" s="2"/>
      <c r="J591" s="2"/>
      <c r="K591" s="181"/>
      <c r="L591" s="2"/>
      <c r="M591" s="2"/>
      <c r="N591" s="2"/>
      <c r="O591" s="2"/>
      <c r="P591" s="2"/>
      <c r="Q591" s="157"/>
      <c r="R591" s="157"/>
      <c r="S591" s="157"/>
      <c r="T591" s="158"/>
      <c r="U591" s="2"/>
      <c r="V591" s="2"/>
      <c r="W591" s="2"/>
      <c r="X591" s="2"/>
      <c r="Y591" s="2"/>
      <c r="Z591" s="2"/>
    </row>
    <row r="592" ht="13.5" customHeight="1">
      <c r="A592" s="2"/>
      <c r="B592" s="2"/>
      <c r="C592" s="2"/>
      <c r="D592" s="2"/>
      <c r="E592" s="2"/>
      <c r="F592" s="2"/>
      <c r="G592" s="2"/>
      <c r="H592" s="2"/>
      <c r="I592" s="2"/>
      <c r="J592" s="2"/>
      <c r="K592" s="181"/>
      <c r="L592" s="2"/>
      <c r="M592" s="2"/>
      <c r="N592" s="2"/>
      <c r="O592" s="2"/>
      <c r="P592" s="2"/>
      <c r="Q592" s="157"/>
      <c r="R592" s="157"/>
      <c r="S592" s="157"/>
      <c r="T592" s="158"/>
      <c r="U592" s="2"/>
      <c r="V592" s="2"/>
      <c r="W592" s="2"/>
      <c r="X592" s="2"/>
      <c r="Y592" s="2"/>
      <c r="Z592" s="2"/>
    </row>
    <row r="593" ht="13.5" customHeight="1">
      <c r="A593" s="2"/>
      <c r="B593" s="2"/>
      <c r="C593" s="2"/>
      <c r="D593" s="2"/>
      <c r="E593" s="2"/>
      <c r="F593" s="2"/>
      <c r="G593" s="2"/>
      <c r="H593" s="2"/>
      <c r="I593" s="2"/>
      <c r="J593" s="2"/>
      <c r="K593" s="181"/>
      <c r="L593" s="2"/>
      <c r="M593" s="2"/>
      <c r="N593" s="2"/>
      <c r="O593" s="2"/>
      <c r="P593" s="2"/>
      <c r="Q593" s="157"/>
      <c r="R593" s="157"/>
      <c r="S593" s="157"/>
      <c r="T593" s="158"/>
      <c r="U593" s="2"/>
      <c r="V593" s="2"/>
      <c r="W593" s="2"/>
      <c r="X593" s="2"/>
      <c r="Y593" s="2"/>
      <c r="Z593" s="2"/>
    </row>
    <row r="594" ht="13.5" customHeight="1">
      <c r="A594" s="2"/>
      <c r="B594" s="2"/>
      <c r="C594" s="2"/>
      <c r="D594" s="2"/>
      <c r="E594" s="2"/>
      <c r="F594" s="2"/>
      <c r="G594" s="2"/>
      <c r="H594" s="2"/>
      <c r="I594" s="2"/>
      <c r="J594" s="2"/>
      <c r="K594" s="181"/>
      <c r="L594" s="2"/>
      <c r="M594" s="2"/>
      <c r="N594" s="2"/>
      <c r="O594" s="2"/>
      <c r="P594" s="2"/>
      <c r="Q594" s="157"/>
      <c r="R594" s="157"/>
      <c r="S594" s="157"/>
      <c r="T594" s="158"/>
      <c r="U594" s="2"/>
      <c r="V594" s="2"/>
      <c r="W594" s="2"/>
      <c r="X594" s="2"/>
      <c r="Y594" s="2"/>
      <c r="Z594" s="2"/>
    </row>
    <row r="595" ht="13.5" customHeight="1">
      <c r="A595" s="2"/>
      <c r="B595" s="2"/>
      <c r="C595" s="2"/>
      <c r="D595" s="2"/>
      <c r="E595" s="2"/>
      <c r="F595" s="2"/>
      <c r="G595" s="2"/>
      <c r="H595" s="2"/>
      <c r="I595" s="2"/>
      <c r="J595" s="2"/>
      <c r="K595" s="181"/>
      <c r="L595" s="2"/>
      <c r="M595" s="2"/>
      <c r="N595" s="2"/>
      <c r="O595" s="2"/>
      <c r="P595" s="2"/>
      <c r="Q595" s="157"/>
      <c r="R595" s="157"/>
      <c r="S595" s="157"/>
      <c r="T595" s="158"/>
      <c r="U595" s="2"/>
      <c r="V595" s="2"/>
      <c r="W595" s="2"/>
      <c r="X595" s="2"/>
      <c r="Y595" s="2"/>
      <c r="Z595" s="2"/>
    </row>
    <row r="596" ht="13.5" customHeight="1">
      <c r="A596" s="2"/>
      <c r="B596" s="2"/>
      <c r="C596" s="2"/>
      <c r="D596" s="2"/>
      <c r="E596" s="2"/>
      <c r="F596" s="2"/>
      <c r="G596" s="2"/>
      <c r="H596" s="2"/>
      <c r="I596" s="2"/>
      <c r="J596" s="2"/>
      <c r="K596" s="181"/>
      <c r="L596" s="2"/>
      <c r="M596" s="2"/>
      <c r="N596" s="2"/>
      <c r="O596" s="2"/>
      <c r="P596" s="2"/>
      <c r="Q596" s="157"/>
      <c r="R596" s="157"/>
      <c r="S596" s="157"/>
      <c r="T596" s="158"/>
      <c r="U596" s="2"/>
      <c r="V596" s="2"/>
      <c r="W596" s="2"/>
      <c r="X596" s="2"/>
      <c r="Y596" s="2"/>
      <c r="Z596" s="2"/>
    </row>
    <row r="597" ht="13.5" customHeight="1">
      <c r="A597" s="2"/>
      <c r="B597" s="2"/>
      <c r="C597" s="2"/>
      <c r="D597" s="2"/>
      <c r="E597" s="2"/>
      <c r="F597" s="2"/>
      <c r="G597" s="2"/>
      <c r="H597" s="2"/>
      <c r="I597" s="2"/>
      <c r="J597" s="2"/>
      <c r="K597" s="181"/>
      <c r="L597" s="2"/>
      <c r="M597" s="2"/>
      <c r="N597" s="2"/>
      <c r="O597" s="2"/>
      <c r="P597" s="2"/>
      <c r="Q597" s="157"/>
      <c r="R597" s="157"/>
      <c r="S597" s="157"/>
      <c r="T597" s="158"/>
      <c r="U597" s="2"/>
      <c r="V597" s="2"/>
      <c r="W597" s="2"/>
      <c r="X597" s="2"/>
      <c r="Y597" s="2"/>
      <c r="Z597" s="2"/>
    </row>
    <row r="598" ht="13.5" customHeight="1">
      <c r="A598" s="2"/>
      <c r="B598" s="2"/>
      <c r="C598" s="2"/>
      <c r="D598" s="2"/>
      <c r="E598" s="2"/>
      <c r="F598" s="2"/>
      <c r="G598" s="2"/>
      <c r="H598" s="2"/>
      <c r="I598" s="2"/>
      <c r="J598" s="2"/>
      <c r="K598" s="181"/>
      <c r="L598" s="2"/>
      <c r="M598" s="2"/>
      <c r="N598" s="2"/>
      <c r="O598" s="2"/>
      <c r="P598" s="2"/>
      <c r="Q598" s="157"/>
      <c r="R598" s="157"/>
      <c r="S598" s="157"/>
      <c r="T598" s="158"/>
      <c r="U598" s="2"/>
      <c r="V598" s="2"/>
      <c r="W598" s="2"/>
      <c r="X598" s="2"/>
      <c r="Y598" s="2"/>
      <c r="Z598" s="2"/>
    </row>
    <row r="599" ht="13.5" customHeight="1">
      <c r="A599" s="2"/>
      <c r="B599" s="2"/>
      <c r="C599" s="2"/>
      <c r="D599" s="2"/>
      <c r="E599" s="2"/>
      <c r="F599" s="2"/>
      <c r="G599" s="2"/>
      <c r="H599" s="2"/>
      <c r="I599" s="2"/>
      <c r="J599" s="2"/>
      <c r="K599" s="181"/>
      <c r="L599" s="2"/>
      <c r="M599" s="2"/>
      <c r="N599" s="2"/>
      <c r="O599" s="2"/>
      <c r="P599" s="2"/>
      <c r="Q599" s="157"/>
      <c r="R599" s="157"/>
      <c r="S599" s="157"/>
      <c r="T599" s="158"/>
      <c r="U599" s="2"/>
      <c r="V599" s="2"/>
      <c r="W599" s="2"/>
      <c r="X599" s="2"/>
      <c r="Y599" s="2"/>
      <c r="Z599" s="2"/>
    </row>
    <row r="600" ht="13.5" customHeight="1">
      <c r="A600" s="2"/>
      <c r="B600" s="2"/>
      <c r="C600" s="2"/>
      <c r="D600" s="2"/>
      <c r="E600" s="2"/>
      <c r="F600" s="2"/>
      <c r="G600" s="2"/>
      <c r="H600" s="2"/>
      <c r="I600" s="2"/>
      <c r="J600" s="2"/>
      <c r="K600" s="181"/>
      <c r="L600" s="2"/>
      <c r="M600" s="2"/>
      <c r="N600" s="2"/>
      <c r="O600" s="2"/>
      <c r="P600" s="2"/>
      <c r="Q600" s="157"/>
      <c r="R600" s="157"/>
      <c r="S600" s="157"/>
      <c r="T600" s="158"/>
      <c r="U600" s="2"/>
      <c r="V600" s="2"/>
      <c r="W600" s="2"/>
      <c r="X600" s="2"/>
      <c r="Y600" s="2"/>
      <c r="Z600" s="2"/>
    </row>
    <row r="601" ht="13.5" customHeight="1">
      <c r="A601" s="2"/>
      <c r="B601" s="2"/>
      <c r="C601" s="2"/>
      <c r="D601" s="2"/>
      <c r="E601" s="2"/>
      <c r="F601" s="2"/>
      <c r="G601" s="2"/>
      <c r="H601" s="2"/>
      <c r="I601" s="2"/>
      <c r="J601" s="2"/>
      <c r="K601" s="181"/>
      <c r="L601" s="2"/>
      <c r="M601" s="2"/>
      <c r="N601" s="2"/>
      <c r="O601" s="2"/>
      <c r="P601" s="2"/>
      <c r="Q601" s="157"/>
      <c r="R601" s="157"/>
      <c r="S601" s="157"/>
      <c r="T601" s="158"/>
      <c r="U601" s="2"/>
      <c r="V601" s="2"/>
      <c r="W601" s="2"/>
      <c r="X601" s="2"/>
      <c r="Y601" s="2"/>
      <c r="Z601" s="2"/>
    </row>
    <row r="602" ht="13.5" customHeight="1">
      <c r="A602" s="2"/>
      <c r="B602" s="2"/>
      <c r="C602" s="2"/>
      <c r="D602" s="2"/>
      <c r="E602" s="2"/>
      <c r="F602" s="2"/>
      <c r="G602" s="2"/>
      <c r="H602" s="2"/>
      <c r="I602" s="2"/>
      <c r="J602" s="2"/>
      <c r="K602" s="181"/>
      <c r="L602" s="2"/>
      <c r="M602" s="2"/>
      <c r="N602" s="2"/>
      <c r="O602" s="2"/>
      <c r="P602" s="2"/>
      <c r="Q602" s="157"/>
      <c r="R602" s="157"/>
      <c r="S602" s="157"/>
      <c r="T602" s="158"/>
      <c r="U602" s="2"/>
      <c r="V602" s="2"/>
      <c r="W602" s="2"/>
      <c r="X602" s="2"/>
      <c r="Y602" s="2"/>
      <c r="Z602" s="2"/>
    </row>
    <row r="603" ht="13.5" customHeight="1">
      <c r="A603" s="2"/>
      <c r="B603" s="2"/>
      <c r="C603" s="2"/>
      <c r="D603" s="2"/>
      <c r="E603" s="2"/>
      <c r="F603" s="2"/>
      <c r="G603" s="2"/>
      <c r="H603" s="2"/>
      <c r="I603" s="2"/>
      <c r="J603" s="2"/>
      <c r="K603" s="181"/>
      <c r="L603" s="2"/>
      <c r="M603" s="2"/>
      <c r="N603" s="2"/>
      <c r="O603" s="2"/>
      <c r="P603" s="2"/>
      <c r="Q603" s="157"/>
      <c r="R603" s="157"/>
      <c r="S603" s="157"/>
      <c r="T603" s="158"/>
      <c r="U603" s="2"/>
      <c r="V603" s="2"/>
      <c r="W603" s="2"/>
      <c r="X603" s="2"/>
      <c r="Y603" s="2"/>
      <c r="Z603" s="2"/>
    </row>
    <row r="604" ht="13.5" customHeight="1">
      <c r="A604" s="2"/>
      <c r="B604" s="2"/>
      <c r="C604" s="2"/>
      <c r="D604" s="2"/>
      <c r="E604" s="2"/>
      <c r="F604" s="2"/>
      <c r="G604" s="2"/>
      <c r="H604" s="2"/>
      <c r="I604" s="2"/>
      <c r="J604" s="2"/>
      <c r="K604" s="181"/>
      <c r="L604" s="2"/>
      <c r="M604" s="2"/>
      <c r="N604" s="2"/>
      <c r="O604" s="2"/>
      <c r="P604" s="2"/>
      <c r="Q604" s="157"/>
      <c r="R604" s="157"/>
      <c r="S604" s="157"/>
      <c r="T604" s="158"/>
      <c r="U604" s="2"/>
      <c r="V604" s="2"/>
      <c r="W604" s="2"/>
      <c r="X604" s="2"/>
      <c r="Y604" s="2"/>
      <c r="Z604" s="2"/>
    </row>
    <row r="605" ht="13.5" customHeight="1">
      <c r="A605" s="2"/>
      <c r="B605" s="2"/>
      <c r="C605" s="2"/>
      <c r="D605" s="2"/>
      <c r="E605" s="2"/>
      <c r="F605" s="2"/>
      <c r="G605" s="2"/>
      <c r="H605" s="2"/>
      <c r="I605" s="2"/>
      <c r="J605" s="2"/>
      <c r="K605" s="181"/>
      <c r="L605" s="2"/>
      <c r="M605" s="2"/>
      <c r="N605" s="2"/>
      <c r="O605" s="2"/>
      <c r="P605" s="2"/>
      <c r="Q605" s="157"/>
      <c r="R605" s="157"/>
      <c r="S605" s="157"/>
      <c r="T605" s="158"/>
      <c r="U605" s="2"/>
      <c r="V605" s="2"/>
      <c r="W605" s="2"/>
      <c r="X605" s="2"/>
      <c r="Y605" s="2"/>
      <c r="Z605" s="2"/>
    </row>
    <row r="606" ht="13.5" customHeight="1">
      <c r="A606" s="2"/>
      <c r="B606" s="2"/>
      <c r="C606" s="2"/>
      <c r="D606" s="2"/>
      <c r="E606" s="2"/>
      <c r="F606" s="2"/>
      <c r="G606" s="2"/>
      <c r="H606" s="2"/>
      <c r="I606" s="2"/>
      <c r="J606" s="2"/>
      <c r="K606" s="181"/>
      <c r="L606" s="2"/>
      <c r="M606" s="2"/>
      <c r="N606" s="2"/>
      <c r="O606" s="2"/>
      <c r="P606" s="2"/>
      <c r="Q606" s="157"/>
      <c r="R606" s="157"/>
      <c r="S606" s="157"/>
      <c r="T606" s="158"/>
      <c r="U606" s="2"/>
      <c r="V606" s="2"/>
      <c r="W606" s="2"/>
      <c r="X606" s="2"/>
      <c r="Y606" s="2"/>
      <c r="Z606" s="2"/>
    </row>
    <row r="607" ht="13.5" customHeight="1">
      <c r="A607" s="2"/>
      <c r="B607" s="2"/>
      <c r="C607" s="2"/>
      <c r="D607" s="2"/>
      <c r="E607" s="2"/>
      <c r="F607" s="2"/>
      <c r="G607" s="2"/>
      <c r="H607" s="2"/>
      <c r="I607" s="2"/>
      <c r="J607" s="2"/>
      <c r="K607" s="181"/>
      <c r="L607" s="2"/>
      <c r="M607" s="2"/>
      <c r="N607" s="2"/>
      <c r="O607" s="2"/>
      <c r="P607" s="2"/>
      <c r="Q607" s="157"/>
      <c r="R607" s="157"/>
      <c r="S607" s="157"/>
      <c r="T607" s="158"/>
      <c r="U607" s="2"/>
      <c r="V607" s="2"/>
      <c r="W607" s="2"/>
      <c r="X607" s="2"/>
      <c r="Y607" s="2"/>
      <c r="Z607" s="2"/>
    </row>
    <row r="608" ht="13.5" customHeight="1">
      <c r="A608" s="2"/>
      <c r="B608" s="2"/>
      <c r="C608" s="2"/>
      <c r="D608" s="2"/>
      <c r="E608" s="2"/>
      <c r="F608" s="2"/>
      <c r="G608" s="2"/>
      <c r="H608" s="2"/>
      <c r="I608" s="2"/>
      <c r="J608" s="2"/>
      <c r="K608" s="181"/>
      <c r="L608" s="2"/>
      <c r="M608" s="2"/>
      <c r="N608" s="2"/>
      <c r="O608" s="2"/>
      <c r="P608" s="2"/>
      <c r="Q608" s="157"/>
      <c r="R608" s="157"/>
      <c r="S608" s="157"/>
      <c r="T608" s="158"/>
      <c r="U608" s="2"/>
      <c r="V608" s="2"/>
      <c r="W608" s="2"/>
      <c r="X608" s="2"/>
      <c r="Y608" s="2"/>
      <c r="Z608" s="2"/>
    </row>
    <row r="609" ht="13.5" customHeight="1">
      <c r="A609" s="2"/>
      <c r="B609" s="2"/>
      <c r="C609" s="2"/>
      <c r="D609" s="2"/>
      <c r="E609" s="2"/>
      <c r="F609" s="2"/>
      <c r="G609" s="2"/>
      <c r="H609" s="2"/>
      <c r="I609" s="2"/>
      <c r="J609" s="2"/>
      <c r="K609" s="181"/>
      <c r="L609" s="2"/>
      <c r="M609" s="2"/>
      <c r="N609" s="2"/>
      <c r="O609" s="2"/>
      <c r="P609" s="2"/>
      <c r="Q609" s="157"/>
      <c r="R609" s="157"/>
      <c r="S609" s="157"/>
      <c r="T609" s="158"/>
      <c r="U609" s="2"/>
      <c r="V609" s="2"/>
      <c r="W609" s="2"/>
      <c r="X609" s="2"/>
      <c r="Y609" s="2"/>
      <c r="Z609" s="2"/>
    </row>
    <row r="610" ht="13.5" customHeight="1">
      <c r="A610" s="2"/>
      <c r="B610" s="2"/>
      <c r="C610" s="2"/>
      <c r="D610" s="2"/>
      <c r="E610" s="2"/>
      <c r="F610" s="2"/>
      <c r="G610" s="2"/>
      <c r="H610" s="2"/>
      <c r="I610" s="2"/>
      <c r="J610" s="2"/>
      <c r="K610" s="181"/>
      <c r="L610" s="2"/>
      <c r="M610" s="2"/>
      <c r="N610" s="2"/>
      <c r="O610" s="2"/>
      <c r="P610" s="2"/>
      <c r="Q610" s="157"/>
      <c r="R610" s="157"/>
      <c r="S610" s="157"/>
      <c r="T610" s="158"/>
      <c r="U610" s="2"/>
      <c r="V610" s="2"/>
      <c r="W610" s="2"/>
      <c r="X610" s="2"/>
      <c r="Y610" s="2"/>
      <c r="Z610" s="2"/>
    </row>
    <row r="611" ht="13.5" customHeight="1">
      <c r="A611" s="2"/>
      <c r="B611" s="2"/>
      <c r="C611" s="2"/>
      <c r="D611" s="2"/>
      <c r="E611" s="2"/>
      <c r="F611" s="2"/>
      <c r="G611" s="2"/>
      <c r="H611" s="2"/>
      <c r="I611" s="2"/>
      <c r="J611" s="2"/>
      <c r="K611" s="181"/>
      <c r="L611" s="2"/>
      <c r="M611" s="2"/>
      <c r="N611" s="2"/>
      <c r="O611" s="2"/>
      <c r="P611" s="2"/>
      <c r="Q611" s="157"/>
      <c r="R611" s="157"/>
      <c r="S611" s="157"/>
      <c r="T611" s="158"/>
      <c r="U611" s="2"/>
      <c r="V611" s="2"/>
      <c r="W611" s="2"/>
      <c r="X611" s="2"/>
      <c r="Y611" s="2"/>
      <c r="Z611" s="2"/>
    </row>
    <row r="612" ht="13.5" customHeight="1">
      <c r="A612" s="2"/>
      <c r="B612" s="2"/>
      <c r="C612" s="2"/>
      <c r="D612" s="2"/>
      <c r="E612" s="2"/>
      <c r="F612" s="2"/>
      <c r="G612" s="2"/>
      <c r="H612" s="2"/>
      <c r="I612" s="2"/>
      <c r="J612" s="2"/>
      <c r="K612" s="181"/>
      <c r="L612" s="2"/>
      <c r="M612" s="2"/>
      <c r="N612" s="2"/>
      <c r="O612" s="2"/>
      <c r="P612" s="2"/>
      <c r="Q612" s="157"/>
      <c r="R612" s="157"/>
      <c r="S612" s="157"/>
      <c r="T612" s="158"/>
      <c r="U612" s="2"/>
      <c r="V612" s="2"/>
      <c r="W612" s="2"/>
      <c r="X612" s="2"/>
      <c r="Y612" s="2"/>
      <c r="Z612" s="2"/>
    </row>
    <row r="613" ht="13.5" customHeight="1">
      <c r="A613" s="2"/>
      <c r="B613" s="2"/>
      <c r="C613" s="2"/>
      <c r="D613" s="2"/>
      <c r="E613" s="2"/>
      <c r="F613" s="2"/>
      <c r="G613" s="2"/>
      <c r="H613" s="2"/>
      <c r="I613" s="2"/>
      <c r="J613" s="2"/>
      <c r="K613" s="181"/>
      <c r="L613" s="2"/>
      <c r="M613" s="2"/>
      <c r="N613" s="2"/>
      <c r="O613" s="2"/>
      <c r="P613" s="2"/>
      <c r="Q613" s="157"/>
      <c r="R613" s="157"/>
      <c r="S613" s="157"/>
      <c r="T613" s="158"/>
      <c r="U613" s="2"/>
      <c r="V613" s="2"/>
      <c r="W613" s="2"/>
      <c r="X613" s="2"/>
      <c r="Y613" s="2"/>
      <c r="Z613" s="2"/>
    </row>
    <row r="614" ht="13.5" customHeight="1">
      <c r="A614" s="2"/>
      <c r="B614" s="2"/>
      <c r="C614" s="2"/>
      <c r="D614" s="2"/>
      <c r="E614" s="2"/>
      <c r="F614" s="2"/>
      <c r="G614" s="2"/>
      <c r="H614" s="2"/>
      <c r="I614" s="2"/>
      <c r="J614" s="2"/>
      <c r="K614" s="181"/>
      <c r="L614" s="2"/>
      <c r="M614" s="2"/>
      <c r="N614" s="2"/>
      <c r="O614" s="2"/>
      <c r="P614" s="2"/>
      <c r="Q614" s="157"/>
      <c r="R614" s="157"/>
      <c r="S614" s="157"/>
      <c r="T614" s="158"/>
      <c r="U614" s="2"/>
      <c r="V614" s="2"/>
      <c r="W614" s="2"/>
      <c r="X614" s="2"/>
      <c r="Y614" s="2"/>
      <c r="Z614" s="2"/>
    </row>
    <row r="615" ht="13.5" customHeight="1">
      <c r="A615" s="2"/>
      <c r="B615" s="2"/>
      <c r="C615" s="2"/>
      <c r="D615" s="2"/>
      <c r="E615" s="2"/>
      <c r="F615" s="2"/>
      <c r="G615" s="2"/>
      <c r="H615" s="2"/>
      <c r="I615" s="2"/>
      <c r="J615" s="2"/>
      <c r="K615" s="181"/>
      <c r="L615" s="2"/>
      <c r="M615" s="2"/>
      <c r="N615" s="2"/>
      <c r="O615" s="2"/>
      <c r="P615" s="2"/>
      <c r="Q615" s="157"/>
      <c r="R615" s="157"/>
      <c r="S615" s="157"/>
      <c r="T615" s="158"/>
      <c r="U615" s="2"/>
      <c r="V615" s="2"/>
      <c r="W615" s="2"/>
      <c r="X615" s="2"/>
      <c r="Y615" s="2"/>
      <c r="Z615" s="2"/>
    </row>
    <row r="616" ht="13.5" customHeight="1">
      <c r="A616" s="2"/>
      <c r="B616" s="2"/>
      <c r="C616" s="2"/>
      <c r="D616" s="2"/>
      <c r="E616" s="2"/>
      <c r="F616" s="2"/>
      <c r="G616" s="2"/>
      <c r="H616" s="2"/>
      <c r="I616" s="2"/>
      <c r="J616" s="2"/>
      <c r="K616" s="181"/>
      <c r="L616" s="2"/>
      <c r="M616" s="2"/>
      <c r="N616" s="2"/>
      <c r="O616" s="2"/>
      <c r="P616" s="2"/>
      <c r="Q616" s="157"/>
      <c r="R616" s="157"/>
      <c r="S616" s="157"/>
      <c r="T616" s="158"/>
      <c r="U616" s="2"/>
      <c r="V616" s="2"/>
      <c r="W616" s="2"/>
      <c r="X616" s="2"/>
      <c r="Y616" s="2"/>
      <c r="Z616" s="2"/>
    </row>
    <row r="617" ht="13.5" customHeight="1">
      <c r="A617" s="2"/>
      <c r="B617" s="2"/>
      <c r="C617" s="2"/>
      <c r="D617" s="2"/>
      <c r="E617" s="2"/>
      <c r="F617" s="2"/>
      <c r="G617" s="2"/>
      <c r="H617" s="2"/>
      <c r="I617" s="2"/>
      <c r="J617" s="2"/>
      <c r="K617" s="181"/>
      <c r="L617" s="2"/>
      <c r="M617" s="2"/>
      <c r="N617" s="2"/>
      <c r="O617" s="2"/>
      <c r="P617" s="2"/>
      <c r="Q617" s="157"/>
      <c r="R617" s="157"/>
      <c r="S617" s="157"/>
      <c r="T617" s="158"/>
      <c r="U617" s="2"/>
      <c r="V617" s="2"/>
      <c r="W617" s="2"/>
      <c r="X617" s="2"/>
      <c r="Y617" s="2"/>
      <c r="Z617" s="2"/>
    </row>
    <row r="618" ht="13.5" customHeight="1">
      <c r="A618" s="2"/>
      <c r="B618" s="2"/>
      <c r="C618" s="2"/>
      <c r="D618" s="2"/>
      <c r="E618" s="2"/>
      <c r="F618" s="2"/>
      <c r="G618" s="2"/>
      <c r="H618" s="2"/>
      <c r="I618" s="2"/>
      <c r="J618" s="2"/>
      <c r="K618" s="181"/>
      <c r="L618" s="2"/>
      <c r="M618" s="2"/>
      <c r="N618" s="2"/>
      <c r="O618" s="2"/>
      <c r="P618" s="2"/>
      <c r="Q618" s="157"/>
      <c r="R618" s="157"/>
      <c r="S618" s="157"/>
      <c r="T618" s="158"/>
      <c r="U618" s="2"/>
      <c r="V618" s="2"/>
      <c r="W618" s="2"/>
      <c r="X618" s="2"/>
      <c r="Y618" s="2"/>
      <c r="Z618" s="2"/>
    </row>
    <row r="619" ht="13.5" customHeight="1">
      <c r="A619" s="2"/>
      <c r="B619" s="2"/>
      <c r="C619" s="2"/>
      <c r="D619" s="2"/>
      <c r="E619" s="2"/>
      <c r="F619" s="2"/>
      <c r="G619" s="2"/>
      <c r="H619" s="2"/>
      <c r="I619" s="2"/>
      <c r="J619" s="2"/>
      <c r="K619" s="181"/>
      <c r="L619" s="2"/>
      <c r="M619" s="2"/>
      <c r="N619" s="2"/>
      <c r="O619" s="2"/>
      <c r="P619" s="2"/>
      <c r="Q619" s="157"/>
      <c r="R619" s="157"/>
      <c r="S619" s="157"/>
      <c r="T619" s="158"/>
      <c r="U619" s="2"/>
      <c r="V619" s="2"/>
      <c r="W619" s="2"/>
      <c r="X619" s="2"/>
      <c r="Y619" s="2"/>
      <c r="Z619" s="2"/>
    </row>
    <row r="620" ht="13.5" customHeight="1">
      <c r="A620" s="2"/>
      <c r="B620" s="2"/>
      <c r="C620" s="2"/>
      <c r="D620" s="2"/>
      <c r="E620" s="2"/>
      <c r="F620" s="2"/>
      <c r="G620" s="2"/>
      <c r="H620" s="2"/>
      <c r="I620" s="2"/>
      <c r="J620" s="2"/>
      <c r="K620" s="181"/>
      <c r="L620" s="2"/>
      <c r="M620" s="2"/>
      <c r="N620" s="2"/>
      <c r="O620" s="2"/>
      <c r="P620" s="2"/>
      <c r="Q620" s="157"/>
      <c r="R620" s="157"/>
      <c r="S620" s="157"/>
      <c r="T620" s="158"/>
      <c r="U620" s="2"/>
      <c r="V620" s="2"/>
      <c r="W620" s="2"/>
      <c r="X620" s="2"/>
      <c r="Y620" s="2"/>
      <c r="Z620" s="2"/>
    </row>
    <row r="621" ht="13.5" customHeight="1">
      <c r="A621" s="2"/>
      <c r="B621" s="2"/>
      <c r="C621" s="2"/>
      <c r="D621" s="2"/>
      <c r="E621" s="2"/>
      <c r="F621" s="2"/>
      <c r="G621" s="2"/>
      <c r="H621" s="2"/>
      <c r="I621" s="2"/>
      <c r="J621" s="2"/>
      <c r="K621" s="181"/>
      <c r="L621" s="2"/>
      <c r="M621" s="2"/>
      <c r="N621" s="2"/>
      <c r="O621" s="2"/>
      <c r="P621" s="2"/>
      <c r="Q621" s="157"/>
      <c r="R621" s="157"/>
      <c r="S621" s="157"/>
      <c r="T621" s="158"/>
      <c r="U621" s="2"/>
      <c r="V621" s="2"/>
      <c r="W621" s="2"/>
      <c r="X621" s="2"/>
      <c r="Y621" s="2"/>
      <c r="Z621" s="2"/>
    </row>
    <row r="622" ht="13.5" customHeight="1">
      <c r="A622" s="2"/>
      <c r="B622" s="2"/>
      <c r="C622" s="2"/>
      <c r="D622" s="2"/>
      <c r="E622" s="2"/>
      <c r="F622" s="2"/>
      <c r="G622" s="2"/>
      <c r="H622" s="2"/>
      <c r="I622" s="2"/>
      <c r="J622" s="2"/>
      <c r="K622" s="181"/>
      <c r="L622" s="2"/>
      <c r="M622" s="2"/>
      <c r="N622" s="2"/>
      <c r="O622" s="2"/>
      <c r="P622" s="2"/>
      <c r="Q622" s="157"/>
      <c r="R622" s="157"/>
      <c r="S622" s="157"/>
      <c r="T622" s="158"/>
      <c r="U622" s="2"/>
      <c r="V622" s="2"/>
      <c r="W622" s="2"/>
      <c r="X622" s="2"/>
      <c r="Y622" s="2"/>
      <c r="Z622" s="2"/>
    </row>
    <row r="623" ht="13.5" customHeight="1">
      <c r="A623" s="2"/>
      <c r="B623" s="2"/>
      <c r="C623" s="2"/>
      <c r="D623" s="2"/>
      <c r="E623" s="2"/>
      <c r="F623" s="2"/>
      <c r="G623" s="2"/>
      <c r="H623" s="2"/>
      <c r="I623" s="2"/>
      <c r="J623" s="2"/>
      <c r="K623" s="181"/>
      <c r="L623" s="2"/>
      <c r="M623" s="2"/>
      <c r="N623" s="2"/>
      <c r="O623" s="2"/>
      <c r="P623" s="2"/>
      <c r="Q623" s="157"/>
      <c r="R623" s="157"/>
      <c r="S623" s="157"/>
      <c r="T623" s="158"/>
      <c r="U623" s="2"/>
      <c r="V623" s="2"/>
      <c r="W623" s="2"/>
      <c r="X623" s="2"/>
      <c r="Y623" s="2"/>
      <c r="Z623" s="2"/>
    </row>
    <row r="624" ht="13.5" customHeight="1">
      <c r="A624" s="2"/>
      <c r="B624" s="2"/>
      <c r="C624" s="2"/>
      <c r="D624" s="2"/>
      <c r="E624" s="2"/>
      <c r="F624" s="2"/>
      <c r="G624" s="2"/>
      <c r="H624" s="2"/>
      <c r="I624" s="2"/>
      <c r="J624" s="2"/>
      <c r="K624" s="181"/>
      <c r="L624" s="2"/>
      <c r="M624" s="2"/>
      <c r="N624" s="2"/>
      <c r="O624" s="2"/>
      <c r="P624" s="2"/>
      <c r="Q624" s="157"/>
      <c r="R624" s="157"/>
      <c r="S624" s="157"/>
      <c r="T624" s="158"/>
      <c r="U624" s="2"/>
      <c r="V624" s="2"/>
      <c r="W624" s="2"/>
      <c r="X624" s="2"/>
      <c r="Y624" s="2"/>
      <c r="Z624" s="2"/>
    </row>
    <row r="625" ht="13.5" customHeight="1">
      <c r="A625" s="2"/>
      <c r="B625" s="2"/>
      <c r="C625" s="2"/>
      <c r="D625" s="2"/>
      <c r="E625" s="2"/>
      <c r="F625" s="2"/>
      <c r="G625" s="2"/>
      <c r="H625" s="2"/>
      <c r="I625" s="2"/>
      <c r="J625" s="2"/>
      <c r="K625" s="181"/>
      <c r="L625" s="2"/>
      <c r="M625" s="2"/>
      <c r="N625" s="2"/>
      <c r="O625" s="2"/>
      <c r="P625" s="2"/>
      <c r="Q625" s="157"/>
      <c r="R625" s="157"/>
      <c r="S625" s="157"/>
      <c r="T625" s="158"/>
      <c r="U625" s="2"/>
      <c r="V625" s="2"/>
      <c r="W625" s="2"/>
      <c r="X625" s="2"/>
      <c r="Y625" s="2"/>
      <c r="Z625" s="2"/>
    </row>
    <row r="626" ht="13.5" customHeight="1">
      <c r="A626" s="2"/>
      <c r="B626" s="2"/>
      <c r="C626" s="2"/>
      <c r="D626" s="2"/>
      <c r="E626" s="2"/>
      <c r="F626" s="2"/>
      <c r="G626" s="2"/>
      <c r="H626" s="2"/>
      <c r="I626" s="2"/>
      <c r="J626" s="2"/>
      <c r="K626" s="181"/>
      <c r="L626" s="2"/>
      <c r="M626" s="2"/>
      <c r="N626" s="2"/>
      <c r="O626" s="2"/>
      <c r="P626" s="2"/>
      <c r="Q626" s="157"/>
      <c r="R626" s="157"/>
      <c r="S626" s="157"/>
      <c r="T626" s="158"/>
      <c r="U626" s="2"/>
      <c r="V626" s="2"/>
      <c r="W626" s="2"/>
      <c r="X626" s="2"/>
      <c r="Y626" s="2"/>
      <c r="Z626" s="2"/>
    </row>
    <row r="627" ht="13.5" customHeight="1">
      <c r="A627" s="2"/>
      <c r="B627" s="2"/>
      <c r="C627" s="2"/>
      <c r="D627" s="2"/>
      <c r="E627" s="2"/>
      <c r="F627" s="2"/>
      <c r="G627" s="2"/>
      <c r="H627" s="2"/>
      <c r="I627" s="2"/>
      <c r="J627" s="2"/>
      <c r="K627" s="181"/>
      <c r="L627" s="2"/>
      <c r="M627" s="2"/>
      <c r="N627" s="2"/>
      <c r="O627" s="2"/>
      <c r="P627" s="2"/>
      <c r="Q627" s="157"/>
      <c r="R627" s="157"/>
      <c r="S627" s="157"/>
      <c r="T627" s="158"/>
      <c r="U627" s="2"/>
      <c r="V627" s="2"/>
      <c r="W627" s="2"/>
      <c r="X627" s="2"/>
      <c r="Y627" s="2"/>
      <c r="Z627" s="2"/>
    </row>
    <row r="628" ht="13.5" customHeight="1">
      <c r="A628" s="2"/>
      <c r="B628" s="2"/>
      <c r="C628" s="2"/>
      <c r="D628" s="2"/>
      <c r="E628" s="2"/>
      <c r="F628" s="2"/>
      <c r="G628" s="2"/>
      <c r="H628" s="2"/>
      <c r="I628" s="2"/>
      <c r="J628" s="2"/>
      <c r="K628" s="181"/>
      <c r="L628" s="2"/>
      <c r="M628" s="2"/>
      <c r="N628" s="2"/>
      <c r="O628" s="2"/>
      <c r="P628" s="2"/>
      <c r="Q628" s="157"/>
      <c r="R628" s="157"/>
      <c r="S628" s="157"/>
      <c r="T628" s="158"/>
      <c r="U628" s="2"/>
      <c r="V628" s="2"/>
      <c r="W628" s="2"/>
      <c r="X628" s="2"/>
      <c r="Y628" s="2"/>
      <c r="Z628" s="2"/>
    </row>
    <row r="629" ht="13.5" customHeight="1">
      <c r="A629" s="2"/>
      <c r="B629" s="2"/>
      <c r="C629" s="2"/>
      <c r="D629" s="2"/>
      <c r="E629" s="2"/>
      <c r="F629" s="2"/>
      <c r="G629" s="2"/>
      <c r="H629" s="2"/>
      <c r="I629" s="2"/>
      <c r="J629" s="2"/>
      <c r="K629" s="181"/>
      <c r="L629" s="2"/>
      <c r="M629" s="2"/>
      <c r="N629" s="2"/>
      <c r="O629" s="2"/>
      <c r="P629" s="2"/>
      <c r="Q629" s="157"/>
      <c r="R629" s="157"/>
      <c r="S629" s="157"/>
      <c r="T629" s="158"/>
      <c r="U629" s="2"/>
      <c r="V629" s="2"/>
      <c r="W629" s="2"/>
      <c r="X629" s="2"/>
      <c r="Y629" s="2"/>
      <c r="Z629" s="2"/>
    </row>
    <row r="630" ht="13.5" customHeight="1">
      <c r="A630" s="2"/>
      <c r="B630" s="2"/>
      <c r="C630" s="2"/>
      <c r="D630" s="2"/>
      <c r="E630" s="2"/>
      <c r="F630" s="2"/>
      <c r="G630" s="2"/>
      <c r="H630" s="2"/>
      <c r="I630" s="2"/>
      <c r="J630" s="2"/>
      <c r="K630" s="181"/>
      <c r="L630" s="2"/>
      <c r="M630" s="2"/>
      <c r="N630" s="2"/>
      <c r="O630" s="2"/>
      <c r="P630" s="2"/>
      <c r="Q630" s="157"/>
      <c r="R630" s="157"/>
      <c r="S630" s="157"/>
      <c r="T630" s="158"/>
      <c r="U630" s="2"/>
      <c r="V630" s="2"/>
      <c r="W630" s="2"/>
      <c r="X630" s="2"/>
      <c r="Y630" s="2"/>
      <c r="Z630" s="2"/>
    </row>
    <row r="631" ht="13.5" customHeight="1">
      <c r="A631" s="2"/>
      <c r="B631" s="2"/>
      <c r="C631" s="2"/>
      <c r="D631" s="2"/>
      <c r="E631" s="2"/>
      <c r="F631" s="2"/>
      <c r="G631" s="2"/>
      <c r="H631" s="2"/>
      <c r="I631" s="2"/>
      <c r="J631" s="2"/>
      <c r="K631" s="181"/>
      <c r="L631" s="2"/>
      <c r="M631" s="2"/>
      <c r="N631" s="2"/>
      <c r="O631" s="2"/>
      <c r="P631" s="2"/>
      <c r="Q631" s="157"/>
      <c r="R631" s="157"/>
      <c r="S631" s="157"/>
      <c r="T631" s="158"/>
      <c r="U631" s="2"/>
      <c r="V631" s="2"/>
      <c r="W631" s="2"/>
      <c r="X631" s="2"/>
      <c r="Y631" s="2"/>
      <c r="Z631" s="2"/>
    </row>
    <row r="632" ht="13.5" customHeight="1">
      <c r="A632" s="2"/>
      <c r="B632" s="2"/>
      <c r="C632" s="2"/>
      <c r="D632" s="2"/>
      <c r="E632" s="2"/>
      <c r="F632" s="2"/>
      <c r="G632" s="2"/>
      <c r="H632" s="2"/>
      <c r="I632" s="2"/>
      <c r="J632" s="2"/>
      <c r="K632" s="181"/>
      <c r="L632" s="2"/>
      <c r="M632" s="2"/>
      <c r="N632" s="2"/>
      <c r="O632" s="2"/>
      <c r="P632" s="2"/>
      <c r="Q632" s="157"/>
      <c r="R632" s="157"/>
      <c r="S632" s="157"/>
      <c r="T632" s="158"/>
      <c r="U632" s="2"/>
      <c r="V632" s="2"/>
      <c r="W632" s="2"/>
      <c r="X632" s="2"/>
      <c r="Y632" s="2"/>
      <c r="Z632" s="2"/>
    </row>
    <row r="633" ht="13.5" customHeight="1">
      <c r="A633" s="2"/>
      <c r="B633" s="2"/>
      <c r="C633" s="2"/>
      <c r="D633" s="2"/>
      <c r="E633" s="2"/>
      <c r="F633" s="2"/>
      <c r="G633" s="2"/>
      <c r="H633" s="2"/>
      <c r="I633" s="2"/>
      <c r="J633" s="2"/>
      <c r="K633" s="181"/>
      <c r="L633" s="2"/>
      <c r="M633" s="2"/>
      <c r="N633" s="2"/>
      <c r="O633" s="2"/>
      <c r="P633" s="2"/>
      <c r="Q633" s="157"/>
      <c r="R633" s="157"/>
      <c r="S633" s="157"/>
      <c r="T633" s="158"/>
      <c r="U633" s="2"/>
      <c r="V633" s="2"/>
      <c r="W633" s="2"/>
      <c r="X633" s="2"/>
      <c r="Y633" s="2"/>
      <c r="Z633" s="2"/>
    </row>
    <row r="634" ht="13.5" customHeight="1">
      <c r="A634" s="2"/>
      <c r="B634" s="2"/>
      <c r="C634" s="2"/>
      <c r="D634" s="2"/>
      <c r="E634" s="2"/>
      <c r="F634" s="2"/>
      <c r="G634" s="2"/>
      <c r="H634" s="2"/>
      <c r="I634" s="2"/>
      <c r="J634" s="2"/>
      <c r="K634" s="181"/>
      <c r="L634" s="2"/>
      <c r="M634" s="2"/>
      <c r="N634" s="2"/>
      <c r="O634" s="2"/>
      <c r="P634" s="2"/>
      <c r="Q634" s="157"/>
      <c r="R634" s="157"/>
      <c r="S634" s="157"/>
      <c r="T634" s="158"/>
      <c r="U634" s="2"/>
      <c r="V634" s="2"/>
      <c r="W634" s="2"/>
      <c r="X634" s="2"/>
      <c r="Y634" s="2"/>
      <c r="Z634" s="2"/>
    </row>
    <row r="635" ht="13.5" customHeight="1">
      <c r="A635" s="2"/>
      <c r="B635" s="2"/>
      <c r="C635" s="2"/>
      <c r="D635" s="2"/>
      <c r="E635" s="2"/>
      <c r="F635" s="2"/>
      <c r="G635" s="2"/>
      <c r="H635" s="2"/>
      <c r="I635" s="2"/>
      <c r="J635" s="2"/>
      <c r="K635" s="181"/>
      <c r="L635" s="2"/>
      <c r="M635" s="2"/>
      <c r="N635" s="2"/>
      <c r="O635" s="2"/>
      <c r="P635" s="2"/>
      <c r="Q635" s="157"/>
      <c r="R635" s="157"/>
      <c r="S635" s="157"/>
      <c r="T635" s="158"/>
      <c r="U635" s="2"/>
      <c r="V635" s="2"/>
      <c r="W635" s="2"/>
      <c r="X635" s="2"/>
      <c r="Y635" s="2"/>
      <c r="Z635" s="2"/>
    </row>
    <row r="636" ht="13.5" customHeight="1">
      <c r="A636" s="2"/>
      <c r="B636" s="2"/>
      <c r="C636" s="2"/>
      <c r="D636" s="2"/>
      <c r="E636" s="2"/>
      <c r="F636" s="2"/>
      <c r="G636" s="2"/>
      <c r="H636" s="2"/>
      <c r="I636" s="2"/>
      <c r="J636" s="2"/>
      <c r="K636" s="181"/>
      <c r="L636" s="2"/>
      <c r="M636" s="2"/>
      <c r="N636" s="2"/>
      <c r="O636" s="2"/>
      <c r="P636" s="2"/>
      <c r="Q636" s="157"/>
      <c r="R636" s="157"/>
      <c r="S636" s="157"/>
      <c r="T636" s="158"/>
      <c r="U636" s="2"/>
      <c r="V636" s="2"/>
      <c r="W636" s="2"/>
      <c r="X636" s="2"/>
      <c r="Y636" s="2"/>
      <c r="Z636" s="2"/>
    </row>
    <row r="637" ht="13.5" customHeight="1">
      <c r="A637" s="2"/>
      <c r="B637" s="2"/>
      <c r="C637" s="2"/>
      <c r="D637" s="2"/>
      <c r="E637" s="2"/>
      <c r="F637" s="2"/>
      <c r="G637" s="2"/>
      <c r="H637" s="2"/>
      <c r="I637" s="2"/>
      <c r="J637" s="2"/>
      <c r="K637" s="181"/>
      <c r="L637" s="2"/>
      <c r="M637" s="2"/>
      <c r="N637" s="2"/>
      <c r="O637" s="2"/>
      <c r="P637" s="2"/>
      <c r="Q637" s="157"/>
      <c r="R637" s="157"/>
      <c r="S637" s="157"/>
      <c r="T637" s="158"/>
      <c r="U637" s="2"/>
      <c r="V637" s="2"/>
      <c r="W637" s="2"/>
      <c r="X637" s="2"/>
      <c r="Y637" s="2"/>
      <c r="Z637" s="2"/>
    </row>
    <row r="638" ht="13.5" customHeight="1">
      <c r="A638" s="2"/>
      <c r="B638" s="2"/>
      <c r="C638" s="2"/>
      <c r="D638" s="2"/>
      <c r="E638" s="2"/>
      <c r="F638" s="2"/>
      <c r="G638" s="2"/>
      <c r="H638" s="2"/>
      <c r="I638" s="2"/>
      <c r="J638" s="2"/>
      <c r="K638" s="181"/>
      <c r="L638" s="2"/>
      <c r="M638" s="2"/>
      <c r="N638" s="2"/>
      <c r="O638" s="2"/>
      <c r="P638" s="2"/>
      <c r="Q638" s="157"/>
      <c r="R638" s="157"/>
      <c r="S638" s="157"/>
      <c r="T638" s="158"/>
      <c r="U638" s="2"/>
      <c r="V638" s="2"/>
      <c r="W638" s="2"/>
      <c r="X638" s="2"/>
      <c r="Y638" s="2"/>
      <c r="Z638" s="2"/>
    </row>
    <row r="639" ht="13.5" customHeight="1">
      <c r="A639" s="2"/>
      <c r="B639" s="2"/>
      <c r="C639" s="2"/>
      <c r="D639" s="2"/>
      <c r="E639" s="2"/>
      <c r="F639" s="2"/>
      <c r="G639" s="2"/>
      <c r="H639" s="2"/>
      <c r="I639" s="2"/>
      <c r="J639" s="2"/>
      <c r="K639" s="181"/>
      <c r="L639" s="2"/>
      <c r="M639" s="2"/>
      <c r="N639" s="2"/>
      <c r="O639" s="2"/>
      <c r="P639" s="2"/>
      <c r="Q639" s="157"/>
      <c r="R639" s="157"/>
      <c r="S639" s="157"/>
      <c r="T639" s="158"/>
      <c r="U639" s="2"/>
      <c r="V639" s="2"/>
      <c r="W639" s="2"/>
      <c r="X639" s="2"/>
      <c r="Y639" s="2"/>
      <c r="Z639" s="2"/>
    </row>
    <row r="640" ht="13.5" customHeight="1">
      <c r="A640" s="2"/>
      <c r="B640" s="2"/>
      <c r="C640" s="2"/>
      <c r="D640" s="2"/>
      <c r="E640" s="2"/>
      <c r="F640" s="2"/>
      <c r="G640" s="2"/>
      <c r="H640" s="2"/>
      <c r="I640" s="2"/>
      <c r="J640" s="2"/>
      <c r="K640" s="181"/>
      <c r="L640" s="2"/>
      <c r="M640" s="2"/>
      <c r="N640" s="2"/>
      <c r="O640" s="2"/>
      <c r="P640" s="2"/>
      <c r="Q640" s="157"/>
      <c r="R640" s="157"/>
      <c r="S640" s="157"/>
      <c r="T640" s="158"/>
      <c r="U640" s="2"/>
      <c r="V640" s="2"/>
      <c r="W640" s="2"/>
      <c r="X640" s="2"/>
      <c r="Y640" s="2"/>
      <c r="Z640" s="2"/>
    </row>
    <row r="641" ht="13.5" customHeight="1">
      <c r="A641" s="2"/>
      <c r="B641" s="2"/>
      <c r="C641" s="2"/>
      <c r="D641" s="2"/>
      <c r="E641" s="2"/>
      <c r="F641" s="2"/>
      <c r="G641" s="2"/>
      <c r="H641" s="2"/>
      <c r="I641" s="2"/>
      <c r="J641" s="2"/>
      <c r="K641" s="181"/>
      <c r="L641" s="2"/>
      <c r="M641" s="2"/>
      <c r="N641" s="2"/>
      <c r="O641" s="2"/>
      <c r="P641" s="2"/>
      <c r="Q641" s="157"/>
      <c r="R641" s="157"/>
      <c r="S641" s="157"/>
      <c r="T641" s="158"/>
      <c r="U641" s="2"/>
      <c r="V641" s="2"/>
      <c r="W641" s="2"/>
      <c r="X641" s="2"/>
      <c r="Y641" s="2"/>
      <c r="Z641" s="2"/>
    </row>
    <row r="642" ht="13.5" customHeight="1">
      <c r="A642" s="2"/>
      <c r="B642" s="2"/>
      <c r="C642" s="2"/>
      <c r="D642" s="2"/>
      <c r="E642" s="2"/>
      <c r="F642" s="2"/>
      <c r="G642" s="2"/>
      <c r="H642" s="2"/>
      <c r="I642" s="2"/>
      <c r="J642" s="2"/>
      <c r="K642" s="181"/>
      <c r="L642" s="2"/>
      <c r="M642" s="2"/>
      <c r="N642" s="2"/>
      <c r="O642" s="2"/>
      <c r="P642" s="2"/>
      <c r="Q642" s="157"/>
      <c r="R642" s="157"/>
      <c r="S642" s="157"/>
      <c r="T642" s="158"/>
      <c r="U642" s="2"/>
      <c r="V642" s="2"/>
      <c r="W642" s="2"/>
      <c r="X642" s="2"/>
      <c r="Y642" s="2"/>
      <c r="Z642" s="2"/>
    </row>
    <row r="643" ht="13.5" customHeight="1">
      <c r="A643" s="2"/>
      <c r="B643" s="2"/>
      <c r="C643" s="2"/>
      <c r="D643" s="2"/>
      <c r="E643" s="2"/>
      <c r="F643" s="2"/>
      <c r="G643" s="2"/>
      <c r="H643" s="2"/>
      <c r="I643" s="2"/>
      <c r="J643" s="2"/>
      <c r="K643" s="181"/>
      <c r="L643" s="2"/>
      <c r="M643" s="2"/>
      <c r="N643" s="2"/>
      <c r="O643" s="2"/>
      <c r="P643" s="2"/>
      <c r="Q643" s="157"/>
      <c r="R643" s="157"/>
      <c r="S643" s="157"/>
      <c r="T643" s="158"/>
      <c r="U643" s="2"/>
      <c r="V643" s="2"/>
      <c r="W643" s="2"/>
      <c r="X643" s="2"/>
      <c r="Y643" s="2"/>
      <c r="Z643" s="2"/>
    </row>
    <row r="644" ht="13.5" customHeight="1">
      <c r="A644" s="2"/>
      <c r="B644" s="2"/>
      <c r="C644" s="2"/>
      <c r="D644" s="2"/>
      <c r="E644" s="2"/>
      <c r="F644" s="2"/>
      <c r="G644" s="2"/>
      <c r="H644" s="2"/>
      <c r="I644" s="2"/>
      <c r="J644" s="2"/>
      <c r="K644" s="181"/>
      <c r="L644" s="2"/>
      <c r="M644" s="2"/>
      <c r="N644" s="2"/>
      <c r="O644" s="2"/>
      <c r="P644" s="2"/>
      <c r="Q644" s="157"/>
      <c r="R644" s="157"/>
      <c r="S644" s="157"/>
      <c r="T644" s="158"/>
      <c r="U644" s="2"/>
      <c r="V644" s="2"/>
      <c r="W644" s="2"/>
      <c r="X644" s="2"/>
      <c r="Y644" s="2"/>
      <c r="Z644" s="2"/>
    </row>
    <row r="645" ht="13.5" customHeight="1">
      <c r="A645" s="2"/>
      <c r="B645" s="2"/>
      <c r="C645" s="2"/>
      <c r="D645" s="2"/>
      <c r="E645" s="2"/>
      <c r="F645" s="2"/>
      <c r="G645" s="2"/>
      <c r="H645" s="2"/>
      <c r="I645" s="2"/>
      <c r="J645" s="2"/>
      <c r="K645" s="181"/>
      <c r="L645" s="2"/>
      <c r="M645" s="2"/>
      <c r="N645" s="2"/>
      <c r="O645" s="2"/>
      <c r="P645" s="2"/>
      <c r="Q645" s="157"/>
      <c r="R645" s="157"/>
      <c r="S645" s="157"/>
      <c r="T645" s="158"/>
      <c r="U645" s="2"/>
      <c r="V645" s="2"/>
      <c r="W645" s="2"/>
      <c r="X645" s="2"/>
      <c r="Y645" s="2"/>
      <c r="Z645" s="2"/>
    </row>
    <row r="646" ht="13.5" customHeight="1">
      <c r="A646" s="2"/>
      <c r="B646" s="2"/>
      <c r="C646" s="2"/>
      <c r="D646" s="2"/>
      <c r="E646" s="2"/>
      <c r="F646" s="2"/>
      <c r="G646" s="2"/>
      <c r="H646" s="2"/>
      <c r="I646" s="2"/>
      <c r="J646" s="2"/>
      <c r="K646" s="181"/>
      <c r="L646" s="2"/>
      <c r="M646" s="2"/>
      <c r="N646" s="2"/>
      <c r="O646" s="2"/>
      <c r="P646" s="2"/>
      <c r="Q646" s="157"/>
      <c r="R646" s="157"/>
      <c r="S646" s="157"/>
      <c r="T646" s="158"/>
      <c r="U646" s="2"/>
      <c r="V646" s="2"/>
      <c r="W646" s="2"/>
      <c r="X646" s="2"/>
      <c r="Y646" s="2"/>
      <c r="Z646" s="2"/>
    </row>
    <row r="647" ht="13.5" customHeight="1">
      <c r="A647" s="2"/>
      <c r="B647" s="2"/>
      <c r="C647" s="2"/>
      <c r="D647" s="2"/>
      <c r="E647" s="2"/>
      <c r="F647" s="2"/>
      <c r="G647" s="2"/>
      <c r="H647" s="2"/>
      <c r="I647" s="2"/>
      <c r="J647" s="2"/>
      <c r="K647" s="181"/>
      <c r="L647" s="2"/>
      <c r="M647" s="2"/>
      <c r="N647" s="2"/>
      <c r="O647" s="2"/>
      <c r="P647" s="2"/>
      <c r="Q647" s="157"/>
      <c r="R647" s="157"/>
      <c r="S647" s="157"/>
      <c r="T647" s="158"/>
      <c r="U647" s="2"/>
      <c r="V647" s="2"/>
      <c r="W647" s="2"/>
      <c r="X647" s="2"/>
      <c r="Y647" s="2"/>
      <c r="Z647" s="2"/>
    </row>
    <row r="648" ht="13.5" customHeight="1">
      <c r="A648" s="2"/>
      <c r="B648" s="2"/>
      <c r="C648" s="2"/>
      <c r="D648" s="2"/>
      <c r="E648" s="2"/>
      <c r="F648" s="2"/>
      <c r="G648" s="2"/>
      <c r="H648" s="2"/>
      <c r="I648" s="2"/>
      <c r="J648" s="2"/>
      <c r="K648" s="181"/>
      <c r="L648" s="2"/>
      <c r="M648" s="2"/>
      <c r="N648" s="2"/>
      <c r="O648" s="2"/>
      <c r="P648" s="2"/>
      <c r="Q648" s="157"/>
      <c r="R648" s="157"/>
      <c r="S648" s="157"/>
      <c r="T648" s="158"/>
      <c r="U648" s="2"/>
      <c r="V648" s="2"/>
      <c r="W648" s="2"/>
      <c r="X648" s="2"/>
      <c r="Y648" s="2"/>
      <c r="Z648" s="2"/>
    </row>
    <row r="649" ht="13.5" customHeight="1">
      <c r="A649" s="2"/>
      <c r="B649" s="2"/>
      <c r="C649" s="2"/>
      <c r="D649" s="2"/>
      <c r="E649" s="2"/>
      <c r="F649" s="2"/>
      <c r="G649" s="2"/>
      <c r="H649" s="2"/>
      <c r="I649" s="2"/>
      <c r="J649" s="2"/>
      <c r="K649" s="181"/>
      <c r="L649" s="2"/>
      <c r="M649" s="2"/>
      <c r="N649" s="2"/>
      <c r="O649" s="2"/>
      <c r="P649" s="2"/>
      <c r="Q649" s="157"/>
      <c r="R649" s="157"/>
      <c r="S649" s="157"/>
      <c r="T649" s="158"/>
      <c r="U649" s="2"/>
      <c r="V649" s="2"/>
      <c r="W649" s="2"/>
      <c r="X649" s="2"/>
      <c r="Y649" s="2"/>
      <c r="Z649" s="2"/>
    </row>
    <row r="650" ht="13.5" customHeight="1">
      <c r="A650" s="2"/>
      <c r="B650" s="2"/>
      <c r="C650" s="2"/>
      <c r="D650" s="2"/>
      <c r="E650" s="2"/>
      <c r="F650" s="2"/>
      <c r="G650" s="2"/>
      <c r="H650" s="2"/>
      <c r="I650" s="2"/>
      <c r="J650" s="2"/>
      <c r="K650" s="181"/>
      <c r="L650" s="2"/>
      <c r="M650" s="2"/>
      <c r="N650" s="2"/>
      <c r="O650" s="2"/>
      <c r="P650" s="2"/>
      <c r="Q650" s="157"/>
      <c r="R650" s="157"/>
      <c r="S650" s="157"/>
      <c r="T650" s="158"/>
      <c r="U650" s="2"/>
      <c r="V650" s="2"/>
      <c r="W650" s="2"/>
      <c r="X650" s="2"/>
      <c r="Y650" s="2"/>
      <c r="Z650" s="2"/>
    </row>
    <row r="651" ht="13.5" customHeight="1">
      <c r="A651" s="2"/>
      <c r="B651" s="2"/>
      <c r="C651" s="2"/>
      <c r="D651" s="2"/>
      <c r="E651" s="2"/>
      <c r="F651" s="2"/>
      <c r="G651" s="2"/>
      <c r="H651" s="2"/>
      <c r="I651" s="2"/>
      <c r="J651" s="2"/>
      <c r="K651" s="181"/>
      <c r="L651" s="2"/>
      <c r="M651" s="2"/>
      <c r="N651" s="2"/>
      <c r="O651" s="2"/>
      <c r="P651" s="2"/>
      <c r="Q651" s="157"/>
      <c r="R651" s="157"/>
      <c r="S651" s="157"/>
      <c r="T651" s="158"/>
      <c r="U651" s="2"/>
      <c r="V651" s="2"/>
      <c r="W651" s="2"/>
      <c r="X651" s="2"/>
      <c r="Y651" s="2"/>
      <c r="Z651" s="2"/>
    </row>
    <row r="652" ht="13.5" customHeight="1">
      <c r="A652" s="2"/>
      <c r="B652" s="2"/>
      <c r="C652" s="2"/>
      <c r="D652" s="2"/>
      <c r="E652" s="2"/>
      <c r="F652" s="2"/>
      <c r="G652" s="2"/>
      <c r="H652" s="2"/>
      <c r="I652" s="2"/>
      <c r="J652" s="2"/>
      <c r="K652" s="181"/>
      <c r="L652" s="2"/>
      <c r="M652" s="2"/>
      <c r="N652" s="2"/>
      <c r="O652" s="2"/>
      <c r="P652" s="2"/>
      <c r="Q652" s="157"/>
      <c r="R652" s="157"/>
      <c r="S652" s="157"/>
      <c r="T652" s="158"/>
      <c r="U652" s="2"/>
      <c r="V652" s="2"/>
      <c r="W652" s="2"/>
      <c r="X652" s="2"/>
      <c r="Y652" s="2"/>
      <c r="Z652" s="2"/>
    </row>
    <row r="653" ht="13.5" customHeight="1">
      <c r="A653" s="2"/>
      <c r="B653" s="2"/>
      <c r="C653" s="2"/>
      <c r="D653" s="2"/>
      <c r="E653" s="2"/>
      <c r="F653" s="2"/>
      <c r="G653" s="2"/>
      <c r="H653" s="2"/>
      <c r="I653" s="2"/>
      <c r="J653" s="2"/>
      <c r="K653" s="181"/>
      <c r="L653" s="2"/>
      <c r="M653" s="2"/>
      <c r="N653" s="2"/>
      <c r="O653" s="2"/>
      <c r="P653" s="2"/>
      <c r="Q653" s="157"/>
      <c r="R653" s="157"/>
      <c r="S653" s="157"/>
      <c r="T653" s="158"/>
      <c r="U653" s="2"/>
      <c r="V653" s="2"/>
      <c r="W653" s="2"/>
      <c r="X653" s="2"/>
      <c r="Y653" s="2"/>
      <c r="Z653" s="2"/>
    </row>
    <row r="654" ht="13.5" customHeight="1">
      <c r="A654" s="2"/>
      <c r="B654" s="2"/>
      <c r="C654" s="2"/>
      <c r="D654" s="2"/>
      <c r="E654" s="2"/>
      <c r="F654" s="2"/>
      <c r="G654" s="2"/>
      <c r="H654" s="2"/>
      <c r="I654" s="2"/>
      <c r="J654" s="2"/>
      <c r="K654" s="181"/>
      <c r="L654" s="2"/>
      <c r="M654" s="2"/>
      <c r="N654" s="2"/>
      <c r="O654" s="2"/>
      <c r="P654" s="2"/>
      <c r="Q654" s="157"/>
      <c r="R654" s="157"/>
      <c r="S654" s="157"/>
      <c r="T654" s="158"/>
      <c r="U654" s="2"/>
      <c r="V654" s="2"/>
      <c r="W654" s="2"/>
      <c r="X654" s="2"/>
      <c r="Y654" s="2"/>
      <c r="Z654" s="2"/>
    </row>
    <row r="655" ht="13.5" customHeight="1">
      <c r="A655" s="2"/>
      <c r="B655" s="2"/>
      <c r="C655" s="2"/>
      <c r="D655" s="2"/>
      <c r="E655" s="2"/>
      <c r="F655" s="2"/>
      <c r="G655" s="2"/>
      <c r="H655" s="2"/>
      <c r="I655" s="2"/>
      <c r="J655" s="2"/>
      <c r="K655" s="181"/>
      <c r="L655" s="2"/>
      <c r="M655" s="2"/>
      <c r="N655" s="2"/>
      <c r="O655" s="2"/>
      <c r="P655" s="2"/>
      <c r="Q655" s="157"/>
      <c r="R655" s="157"/>
      <c r="S655" s="157"/>
      <c r="T655" s="158"/>
      <c r="U655" s="2"/>
      <c r="V655" s="2"/>
      <c r="W655" s="2"/>
      <c r="X655" s="2"/>
      <c r="Y655" s="2"/>
      <c r="Z655" s="2"/>
    </row>
    <row r="656" ht="13.5" customHeight="1">
      <c r="A656" s="2"/>
      <c r="B656" s="2"/>
      <c r="C656" s="2"/>
      <c r="D656" s="2"/>
      <c r="E656" s="2"/>
      <c r="F656" s="2"/>
      <c r="G656" s="2"/>
      <c r="H656" s="2"/>
      <c r="I656" s="2"/>
      <c r="J656" s="2"/>
      <c r="K656" s="181"/>
      <c r="L656" s="2"/>
      <c r="M656" s="2"/>
      <c r="N656" s="2"/>
      <c r="O656" s="2"/>
      <c r="P656" s="2"/>
      <c r="Q656" s="157"/>
      <c r="R656" s="157"/>
      <c r="S656" s="157"/>
      <c r="T656" s="158"/>
      <c r="U656" s="2"/>
      <c r="V656" s="2"/>
      <c r="W656" s="2"/>
      <c r="X656" s="2"/>
      <c r="Y656" s="2"/>
      <c r="Z656" s="2"/>
    </row>
    <row r="657" ht="13.5" customHeight="1">
      <c r="A657" s="2"/>
      <c r="B657" s="2"/>
      <c r="C657" s="2"/>
      <c r="D657" s="2"/>
      <c r="E657" s="2"/>
      <c r="F657" s="2"/>
      <c r="G657" s="2"/>
      <c r="H657" s="2"/>
      <c r="I657" s="2"/>
      <c r="J657" s="2"/>
      <c r="K657" s="181"/>
      <c r="L657" s="2"/>
      <c r="M657" s="2"/>
      <c r="N657" s="2"/>
      <c r="O657" s="2"/>
      <c r="P657" s="2"/>
      <c r="Q657" s="157"/>
      <c r="R657" s="157"/>
      <c r="S657" s="157"/>
      <c r="T657" s="158"/>
      <c r="U657" s="2"/>
      <c r="V657" s="2"/>
      <c r="W657" s="2"/>
      <c r="X657" s="2"/>
      <c r="Y657" s="2"/>
      <c r="Z657" s="2"/>
    </row>
    <row r="658" ht="13.5" customHeight="1">
      <c r="A658" s="2"/>
      <c r="B658" s="2"/>
      <c r="C658" s="2"/>
      <c r="D658" s="2"/>
      <c r="E658" s="2"/>
      <c r="F658" s="2"/>
      <c r="G658" s="2"/>
      <c r="H658" s="2"/>
      <c r="I658" s="2"/>
      <c r="J658" s="2"/>
      <c r="K658" s="181"/>
      <c r="L658" s="2"/>
      <c r="M658" s="2"/>
      <c r="N658" s="2"/>
      <c r="O658" s="2"/>
      <c r="P658" s="2"/>
      <c r="Q658" s="157"/>
      <c r="R658" s="157"/>
      <c r="S658" s="157"/>
      <c r="T658" s="158"/>
      <c r="U658" s="2"/>
      <c r="V658" s="2"/>
      <c r="W658" s="2"/>
      <c r="X658" s="2"/>
      <c r="Y658" s="2"/>
      <c r="Z658" s="2"/>
    </row>
    <row r="659" ht="13.5" customHeight="1">
      <c r="A659" s="2"/>
      <c r="B659" s="2"/>
      <c r="C659" s="2"/>
      <c r="D659" s="2"/>
      <c r="E659" s="2"/>
      <c r="F659" s="2"/>
      <c r="G659" s="2"/>
      <c r="H659" s="2"/>
      <c r="I659" s="2"/>
      <c r="J659" s="2"/>
      <c r="K659" s="181"/>
      <c r="L659" s="2"/>
      <c r="M659" s="2"/>
      <c r="N659" s="2"/>
      <c r="O659" s="2"/>
      <c r="P659" s="2"/>
      <c r="Q659" s="157"/>
      <c r="R659" s="157"/>
      <c r="S659" s="157"/>
      <c r="T659" s="158"/>
      <c r="U659" s="2"/>
      <c r="V659" s="2"/>
      <c r="W659" s="2"/>
      <c r="X659" s="2"/>
      <c r="Y659" s="2"/>
      <c r="Z659" s="2"/>
    </row>
    <row r="660" ht="13.5" customHeight="1">
      <c r="A660" s="2"/>
      <c r="B660" s="2"/>
      <c r="C660" s="2"/>
      <c r="D660" s="2"/>
      <c r="E660" s="2"/>
      <c r="F660" s="2"/>
      <c r="G660" s="2"/>
      <c r="H660" s="2"/>
      <c r="I660" s="2"/>
      <c r="J660" s="2"/>
      <c r="K660" s="181"/>
      <c r="L660" s="2"/>
      <c r="M660" s="2"/>
      <c r="N660" s="2"/>
      <c r="O660" s="2"/>
      <c r="P660" s="2"/>
      <c r="Q660" s="157"/>
      <c r="R660" s="157"/>
      <c r="S660" s="157"/>
      <c r="T660" s="158"/>
      <c r="U660" s="2"/>
      <c r="V660" s="2"/>
      <c r="W660" s="2"/>
      <c r="X660" s="2"/>
      <c r="Y660" s="2"/>
      <c r="Z660" s="2"/>
    </row>
    <row r="661" ht="13.5" customHeight="1">
      <c r="A661" s="2"/>
      <c r="B661" s="2"/>
      <c r="C661" s="2"/>
      <c r="D661" s="2"/>
      <c r="E661" s="2"/>
      <c r="F661" s="2"/>
      <c r="G661" s="2"/>
      <c r="H661" s="2"/>
      <c r="I661" s="2"/>
      <c r="J661" s="2"/>
      <c r="K661" s="181"/>
      <c r="L661" s="2"/>
      <c r="M661" s="2"/>
      <c r="N661" s="2"/>
      <c r="O661" s="2"/>
      <c r="P661" s="2"/>
      <c r="Q661" s="157"/>
      <c r="R661" s="157"/>
      <c r="S661" s="157"/>
      <c r="T661" s="158"/>
      <c r="U661" s="2"/>
      <c r="V661" s="2"/>
      <c r="W661" s="2"/>
      <c r="X661" s="2"/>
      <c r="Y661" s="2"/>
      <c r="Z661" s="2"/>
    </row>
    <row r="662" ht="13.5" customHeight="1">
      <c r="A662" s="2"/>
      <c r="B662" s="2"/>
      <c r="C662" s="2"/>
      <c r="D662" s="2"/>
      <c r="E662" s="2"/>
      <c r="F662" s="2"/>
      <c r="G662" s="2"/>
      <c r="H662" s="2"/>
      <c r="I662" s="2"/>
      <c r="J662" s="2"/>
      <c r="K662" s="181"/>
      <c r="L662" s="2"/>
      <c r="M662" s="2"/>
      <c r="N662" s="2"/>
      <c r="O662" s="2"/>
      <c r="P662" s="2"/>
      <c r="Q662" s="157"/>
      <c r="R662" s="157"/>
      <c r="S662" s="157"/>
      <c r="T662" s="158"/>
      <c r="U662" s="2"/>
      <c r="V662" s="2"/>
      <c r="W662" s="2"/>
      <c r="X662" s="2"/>
      <c r="Y662" s="2"/>
      <c r="Z662" s="2"/>
    </row>
    <row r="663" ht="13.5" customHeight="1">
      <c r="A663" s="2"/>
      <c r="B663" s="2"/>
      <c r="C663" s="2"/>
      <c r="D663" s="2"/>
      <c r="E663" s="2"/>
      <c r="F663" s="2"/>
      <c r="G663" s="2"/>
      <c r="H663" s="2"/>
      <c r="I663" s="2"/>
      <c r="J663" s="2"/>
      <c r="K663" s="181"/>
      <c r="L663" s="2"/>
      <c r="M663" s="2"/>
      <c r="N663" s="2"/>
      <c r="O663" s="2"/>
      <c r="P663" s="2"/>
      <c r="Q663" s="157"/>
      <c r="R663" s="157"/>
      <c r="S663" s="157"/>
      <c r="T663" s="158"/>
      <c r="U663" s="2"/>
      <c r="V663" s="2"/>
      <c r="W663" s="2"/>
      <c r="X663" s="2"/>
      <c r="Y663" s="2"/>
      <c r="Z663" s="2"/>
    </row>
    <row r="664" ht="13.5" customHeight="1">
      <c r="A664" s="2"/>
      <c r="B664" s="2"/>
      <c r="C664" s="2"/>
      <c r="D664" s="2"/>
      <c r="E664" s="2"/>
      <c r="F664" s="2"/>
      <c r="G664" s="2"/>
      <c r="H664" s="2"/>
      <c r="I664" s="2"/>
      <c r="J664" s="2"/>
      <c r="K664" s="181"/>
      <c r="L664" s="2"/>
      <c r="M664" s="2"/>
      <c r="N664" s="2"/>
      <c r="O664" s="2"/>
      <c r="P664" s="2"/>
      <c r="Q664" s="157"/>
      <c r="R664" s="157"/>
      <c r="S664" s="157"/>
      <c r="T664" s="158"/>
      <c r="U664" s="2"/>
      <c r="V664" s="2"/>
      <c r="W664" s="2"/>
      <c r="X664" s="2"/>
      <c r="Y664" s="2"/>
      <c r="Z664" s="2"/>
    </row>
    <row r="665" ht="13.5" customHeight="1">
      <c r="A665" s="2"/>
      <c r="B665" s="2"/>
      <c r="C665" s="2"/>
      <c r="D665" s="2"/>
      <c r="E665" s="2"/>
      <c r="F665" s="2"/>
      <c r="G665" s="2"/>
      <c r="H665" s="2"/>
      <c r="I665" s="2"/>
      <c r="J665" s="2"/>
      <c r="K665" s="181"/>
      <c r="L665" s="2"/>
      <c r="M665" s="2"/>
      <c r="N665" s="2"/>
      <c r="O665" s="2"/>
      <c r="P665" s="2"/>
      <c r="Q665" s="157"/>
      <c r="R665" s="157"/>
      <c r="S665" s="157"/>
      <c r="T665" s="158"/>
      <c r="U665" s="2"/>
      <c r="V665" s="2"/>
      <c r="W665" s="2"/>
      <c r="X665" s="2"/>
      <c r="Y665" s="2"/>
      <c r="Z665" s="2"/>
    </row>
    <row r="666" ht="13.5" customHeight="1">
      <c r="A666" s="2"/>
      <c r="B666" s="2"/>
      <c r="C666" s="2"/>
      <c r="D666" s="2"/>
      <c r="E666" s="2"/>
      <c r="F666" s="2"/>
      <c r="G666" s="2"/>
      <c r="H666" s="2"/>
      <c r="I666" s="2"/>
      <c r="J666" s="2"/>
      <c r="K666" s="181"/>
      <c r="L666" s="2"/>
      <c r="M666" s="2"/>
      <c r="N666" s="2"/>
      <c r="O666" s="2"/>
      <c r="P666" s="2"/>
      <c r="Q666" s="157"/>
      <c r="R666" s="157"/>
      <c r="S666" s="157"/>
      <c r="T666" s="158"/>
      <c r="U666" s="2"/>
      <c r="V666" s="2"/>
      <c r="W666" s="2"/>
      <c r="X666" s="2"/>
      <c r="Y666" s="2"/>
      <c r="Z666" s="2"/>
    </row>
    <row r="667" ht="13.5" customHeight="1">
      <c r="A667" s="2"/>
      <c r="B667" s="2"/>
      <c r="C667" s="2"/>
      <c r="D667" s="2"/>
      <c r="E667" s="2"/>
      <c r="F667" s="2"/>
      <c r="G667" s="2"/>
      <c r="H667" s="2"/>
      <c r="I667" s="2"/>
      <c r="J667" s="2"/>
      <c r="K667" s="181"/>
      <c r="L667" s="2"/>
      <c r="M667" s="2"/>
      <c r="N667" s="2"/>
      <c r="O667" s="2"/>
      <c r="P667" s="2"/>
      <c r="Q667" s="157"/>
      <c r="R667" s="157"/>
      <c r="S667" s="157"/>
      <c r="T667" s="158"/>
      <c r="U667" s="2"/>
      <c r="V667" s="2"/>
      <c r="W667" s="2"/>
      <c r="X667" s="2"/>
      <c r="Y667" s="2"/>
      <c r="Z667" s="2"/>
    </row>
    <row r="668" ht="13.5" customHeight="1">
      <c r="A668" s="2"/>
      <c r="B668" s="2"/>
      <c r="C668" s="2"/>
      <c r="D668" s="2"/>
      <c r="E668" s="2"/>
      <c r="F668" s="2"/>
      <c r="G668" s="2"/>
      <c r="H668" s="2"/>
      <c r="I668" s="2"/>
      <c r="J668" s="2"/>
      <c r="K668" s="181"/>
      <c r="L668" s="2"/>
      <c r="M668" s="2"/>
      <c r="N668" s="2"/>
      <c r="O668" s="2"/>
      <c r="P668" s="2"/>
      <c r="Q668" s="157"/>
      <c r="R668" s="157"/>
      <c r="S668" s="157"/>
      <c r="T668" s="158"/>
      <c r="U668" s="2"/>
      <c r="V668" s="2"/>
      <c r="W668" s="2"/>
      <c r="X668" s="2"/>
      <c r="Y668" s="2"/>
      <c r="Z668" s="2"/>
    </row>
    <row r="669" ht="13.5" customHeight="1">
      <c r="A669" s="2"/>
      <c r="B669" s="2"/>
      <c r="C669" s="2"/>
      <c r="D669" s="2"/>
      <c r="E669" s="2"/>
      <c r="F669" s="2"/>
      <c r="G669" s="2"/>
      <c r="H669" s="2"/>
      <c r="I669" s="2"/>
      <c r="J669" s="2"/>
      <c r="K669" s="181"/>
      <c r="L669" s="2"/>
      <c r="M669" s="2"/>
      <c r="N669" s="2"/>
      <c r="O669" s="2"/>
      <c r="P669" s="2"/>
      <c r="Q669" s="157"/>
      <c r="R669" s="157"/>
      <c r="S669" s="157"/>
      <c r="T669" s="158"/>
      <c r="U669" s="2"/>
      <c r="V669" s="2"/>
      <c r="W669" s="2"/>
      <c r="X669" s="2"/>
      <c r="Y669" s="2"/>
      <c r="Z669" s="2"/>
    </row>
    <row r="670" ht="13.5" customHeight="1">
      <c r="A670" s="2"/>
      <c r="B670" s="2"/>
      <c r="C670" s="2"/>
      <c r="D670" s="2"/>
      <c r="E670" s="2"/>
      <c r="F670" s="2"/>
      <c r="G670" s="2"/>
      <c r="H670" s="2"/>
      <c r="I670" s="2"/>
      <c r="J670" s="2"/>
      <c r="K670" s="181"/>
      <c r="L670" s="2"/>
      <c r="M670" s="2"/>
      <c r="N670" s="2"/>
      <c r="O670" s="2"/>
      <c r="P670" s="2"/>
      <c r="Q670" s="157"/>
      <c r="R670" s="157"/>
      <c r="S670" s="157"/>
      <c r="T670" s="158"/>
      <c r="U670" s="2"/>
      <c r="V670" s="2"/>
      <c r="W670" s="2"/>
      <c r="X670" s="2"/>
      <c r="Y670" s="2"/>
      <c r="Z670" s="2"/>
    </row>
    <row r="671" ht="13.5" customHeight="1">
      <c r="A671" s="2"/>
      <c r="B671" s="2"/>
      <c r="C671" s="2"/>
      <c r="D671" s="2"/>
      <c r="E671" s="2"/>
      <c r="F671" s="2"/>
      <c r="G671" s="2"/>
      <c r="H671" s="2"/>
      <c r="I671" s="2"/>
      <c r="J671" s="2"/>
      <c r="K671" s="181"/>
      <c r="L671" s="2"/>
      <c r="M671" s="2"/>
      <c r="N671" s="2"/>
      <c r="O671" s="2"/>
      <c r="P671" s="2"/>
      <c r="Q671" s="157"/>
      <c r="R671" s="157"/>
      <c r="S671" s="157"/>
      <c r="T671" s="158"/>
      <c r="U671" s="2"/>
      <c r="V671" s="2"/>
      <c r="W671" s="2"/>
      <c r="X671" s="2"/>
      <c r="Y671" s="2"/>
      <c r="Z671" s="2"/>
    </row>
    <row r="672" ht="13.5" customHeight="1">
      <c r="A672" s="2"/>
      <c r="B672" s="2"/>
      <c r="C672" s="2"/>
      <c r="D672" s="2"/>
      <c r="E672" s="2"/>
      <c r="F672" s="2"/>
      <c r="G672" s="2"/>
      <c r="H672" s="2"/>
      <c r="I672" s="2"/>
      <c r="J672" s="2"/>
      <c r="K672" s="181"/>
      <c r="L672" s="2"/>
      <c r="M672" s="2"/>
      <c r="N672" s="2"/>
      <c r="O672" s="2"/>
      <c r="P672" s="2"/>
      <c r="Q672" s="157"/>
      <c r="R672" s="157"/>
      <c r="S672" s="157"/>
      <c r="T672" s="158"/>
      <c r="U672" s="2"/>
      <c r="V672" s="2"/>
      <c r="W672" s="2"/>
      <c r="X672" s="2"/>
      <c r="Y672" s="2"/>
      <c r="Z672" s="2"/>
    </row>
    <row r="673" ht="13.5" customHeight="1">
      <c r="A673" s="2"/>
      <c r="B673" s="2"/>
      <c r="C673" s="2"/>
      <c r="D673" s="2"/>
      <c r="E673" s="2"/>
      <c r="F673" s="2"/>
      <c r="G673" s="2"/>
      <c r="H673" s="2"/>
      <c r="I673" s="2"/>
      <c r="J673" s="2"/>
      <c r="K673" s="181"/>
      <c r="L673" s="2"/>
      <c r="M673" s="2"/>
      <c r="N673" s="2"/>
      <c r="O673" s="2"/>
      <c r="P673" s="2"/>
      <c r="Q673" s="157"/>
      <c r="R673" s="157"/>
      <c r="S673" s="157"/>
      <c r="T673" s="158"/>
      <c r="U673" s="2"/>
      <c r="V673" s="2"/>
      <c r="W673" s="2"/>
      <c r="X673" s="2"/>
      <c r="Y673" s="2"/>
      <c r="Z673" s="2"/>
    </row>
    <row r="674" ht="13.5" customHeight="1">
      <c r="A674" s="2"/>
      <c r="B674" s="2"/>
      <c r="C674" s="2"/>
      <c r="D674" s="2"/>
      <c r="E674" s="2"/>
      <c r="F674" s="2"/>
      <c r="G674" s="2"/>
      <c r="H674" s="2"/>
      <c r="I674" s="2"/>
      <c r="J674" s="2"/>
      <c r="K674" s="181"/>
      <c r="L674" s="2"/>
      <c r="M674" s="2"/>
      <c r="N674" s="2"/>
      <c r="O674" s="2"/>
      <c r="P674" s="2"/>
      <c r="Q674" s="157"/>
      <c r="R674" s="157"/>
      <c r="S674" s="157"/>
      <c r="T674" s="158"/>
      <c r="U674" s="2"/>
      <c r="V674" s="2"/>
      <c r="W674" s="2"/>
      <c r="X674" s="2"/>
      <c r="Y674" s="2"/>
      <c r="Z674" s="2"/>
    </row>
    <row r="675" ht="13.5" customHeight="1">
      <c r="A675" s="2"/>
      <c r="B675" s="2"/>
      <c r="C675" s="2"/>
      <c r="D675" s="2"/>
      <c r="E675" s="2"/>
      <c r="F675" s="2"/>
      <c r="G675" s="2"/>
      <c r="H675" s="2"/>
      <c r="I675" s="2"/>
      <c r="J675" s="2"/>
      <c r="K675" s="181"/>
      <c r="L675" s="2"/>
      <c r="M675" s="2"/>
      <c r="N675" s="2"/>
      <c r="O675" s="2"/>
      <c r="P675" s="2"/>
      <c r="Q675" s="157"/>
      <c r="R675" s="157"/>
      <c r="S675" s="157"/>
      <c r="T675" s="158"/>
      <c r="U675" s="2"/>
      <c r="V675" s="2"/>
      <c r="W675" s="2"/>
      <c r="X675" s="2"/>
      <c r="Y675" s="2"/>
      <c r="Z675" s="2"/>
    </row>
    <row r="676" ht="13.5" customHeight="1">
      <c r="A676" s="2"/>
      <c r="B676" s="2"/>
      <c r="C676" s="2"/>
      <c r="D676" s="2"/>
      <c r="E676" s="2"/>
      <c r="F676" s="2"/>
      <c r="G676" s="2"/>
      <c r="H676" s="2"/>
      <c r="I676" s="2"/>
      <c r="J676" s="2"/>
      <c r="K676" s="181"/>
      <c r="L676" s="2"/>
      <c r="M676" s="2"/>
      <c r="N676" s="2"/>
      <c r="O676" s="2"/>
      <c r="P676" s="2"/>
      <c r="Q676" s="157"/>
      <c r="R676" s="157"/>
      <c r="S676" s="157"/>
      <c r="T676" s="158"/>
      <c r="U676" s="2"/>
      <c r="V676" s="2"/>
      <c r="W676" s="2"/>
      <c r="X676" s="2"/>
      <c r="Y676" s="2"/>
      <c r="Z676" s="2"/>
    </row>
    <row r="677" ht="13.5" customHeight="1">
      <c r="A677" s="2"/>
      <c r="B677" s="2"/>
      <c r="C677" s="2"/>
      <c r="D677" s="2"/>
      <c r="E677" s="2"/>
      <c r="F677" s="2"/>
      <c r="G677" s="2"/>
      <c r="H677" s="2"/>
      <c r="I677" s="2"/>
      <c r="J677" s="2"/>
      <c r="K677" s="181"/>
      <c r="L677" s="2"/>
      <c r="M677" s="2"/>
      <c r="N677" s="2"/>
      <c r="O677" s="2"/>
      <c r="P677" s="2"/>
      <c r="Q677" s="157"/>
      <c r="R677" s="157"/>
      <c r="S677" s="157"/>
      <c r="T677" s="158"/>
      <c r="U677" s="2"/>
      <c r="V677" s="2"/>
      <c r="W677" s="2"/>
      <c r="X677" s="2"/>
      <c r="Y677" s="2"/>
      <c r="Z677" s="2"/>
    </row>
    <row r="678" ht="13.5" customHeight="1">
      <c r="A678" s="2"/>
      <c r="B678" s="2"/>
      <c r="C678" s="2"/>
      <c r="D678" s="2"/>
      <c r="E678" s="2"/>
      <c r="F678" s="2"/>
      <c r="G678" s="2"/>
      <c r="H678" s="2"/>
      <c r="I678" s="2"/>
      <c r="J678" s="2"/>
      <c r="K678" s="181"/>
      <c r="L678" s="2"/>
      <c r="M678" s="2"/>
      <c r="N678" s="2"/>
      <c r="O678" s="2"/>
      <c r="P678" s="2"/>
      <c r="Q678" s="157"/>
      <c r="R678" s="157"/>
      <c r="S678" s="157"/>
      <c r="T678" s="158"/>
      <c r="U678" s="2"/>
      <c r="V678" s="2"/>
      <c r="W678" s="2"/>
      <c r="X678" s="2"/>
      <c r="Y678" s="2"/>
      <c r="Z678" s="2"/>
    </row>
    <row r="679" ht="13.5" customHeight="1">
      <c r="A679" s="2"/>
      <c r="B679" s="2"/>
      <c r="C679" s="2"/>
      <c r="D679" s="2"/>
      <c r="E679" s="2"/>
      <c r="F679" s="2"/>
      <c r="G679" s="2"/>
      <c r="H679" s="2"/>
      <c r="I679" s="2"/>
      <c r="J679" s="2"/>
      <c r="K679" s="181"/>
      <c r="L679" s="2"/>
      <c r="M679" s="2"/>
      <c r="N679" s="2"/>
      <c r="O679" s="2"/>
      <c r="P679" s="2"/>
      <c r="Q679" s="157"/>
      <c r="R679" s="157"/>
      <c r="S679" s="157"/>
      <c r="T679" s="158"/>
      <c r="U679" s="2"/>
      <c r="V679" s="2"/>
      <c r="W679" s="2"/>
      <c r="X679" s="2"/>
      <c r="Y679" s="2"/>
      <c r="Z679" s="2"/>
    </row>
    <row r="680" ht="13.5" customHeight="1">
      <c r="A680" s="2"/>
      <c r="B680" s="2"/>
      <c r="C680" s="2"/>
      <c r="D680" s="2"/>
      <c r="E680" s="2"/>
      <c r="F680" s="2"/>
      <c r="G680" s="2"/>
      <c r="H680" s="2"/>
      <c r="I680" s="2"/>
      <c r="J680" s="2"/>
      <c r="K680" s="181"/>
      <c r="L680" s="2"/>
      <c r="M680" s="2"/>
      <c r="N680" s="2"/>
      <c r="O680" s="2"/>
      <c r="P680" s="2"/>
      <c r="Q680" s="157"/>
      <c r="R680" s="157"/>
      <c r="S680" s="157"/>
      <c r="T680" s="158"/>
      <c r="U680" s="2"/>
      <c r="V680" s="2"/>
      <c r="W680" s="2"/>
      <c r="X680" s="2"/>
      <c r="Y680" s="2"/>
      <c r="Z680" s="2"/>
    </row>
    <row r="681" ht="13.5" customHeight="1">
      <c r="A681" s="2"/>
      <c r="B681" s="2"/>
      <c r="C681" s="2"/>
      <c r="D681" s="2"/>
      <c r="E681" s="2"/>
      <c r="F681" s="2"/>
      <c r="G681" s="2"/>
      <c r="H681" s="2"/>
      <c r="I681" s="2"/>
      <c r="J681" s="2"/>
      <c r="K681" s="181"/>
      <c r="L681" s="2"/>
      <c r="M681" s="2"/>
      <c r="N681" s="2"/>
      <c r="O681" s="2"/>
      <c r="P681" s="2"/>
      <c r="Q681" s="157"/>
      <c r="R681" s="157"/>
      <c r="S681" s="157"/>
      <c r="T681" s="158"/>
      <c r="U681" s="2"/>
      <c r="V681" s="2"/>
      <c r="W681" s="2"/>
      <c r="X681" s="2"/>
      <c r="Y681" s="2"/>
      <c r="Z681" s="2"/>
    </row>
    <row r="682" ht="13.5" customHeight="1">
      <c r="A682" s="2"/>
      <c r="B682" s="2"/>
      <c r="C682" s="2"/>
      <c r="D682" s="2"/>
      <c r="E682" s="2"/>
      <c r="F682" s="2"/>
      <c r="G682" s="2"/>
      <c r="H682" s="2"/>
      <c r="I682" s="2"/>
      <c r="J682" s="2"/>
      <c r="K682" s="181"/>
      <c r="L682" s="2"/>
      <c r="M682" s="2"/>
      <c r="N682" s="2"/>
      <c r="O682" s="2"/>
      <c r="P682" s="2"/>
      <c r="Q682" s="157"/>
      <c r="R682" s="157"/>
      <c r="S682" s="157"/>
      <c r="T682" s="158"/>
      <c r="U682" s="2"/>
      <c r="V682" s="2"/>
      <c r="W682" s="2"/>
      <c r="X682" s="2"/>
      <c r="Y682" s="2"/>
      <c r="Z682" s="2"/>
    </row>
    <row r="683" ht="13.5" customHeight="1">
      <c r="A683" s="2"/>
      <c r="B683" s="2"/>
      <c r="C683" s="2"/>
      <c r="D683" s="2"/>
      <c r="E683" s="2"/>
      <c r="F683" s="2"/>
      <c r="G683" s="2"/>
      <c r="H683" s="2"/>
      <c r="I683" s="2"/>
      <c r="J683" s="2"/>
      <c r="K683" s="181"/>
      <c r="L683" s="2"/>
      <c r="M683" s="2"/>
      <c r="N683" s="2"/>
      <c r="O683" s="2"/>
      <c r="P683" s="2"/>
      <c r="Q683" s="157"/>
      <c r="R683" s="157"/>
      <c r="S683" s="157"/>
      <c r="T683" s="158"/>
      <c r="U683" s="2"/>
      <c r="V683" s="2"/>
      <c r="W683" s="2"/>
      <c r="X683" s="2"/>
      <c r="Y683" s="2"/>
      <c r="Z683" s="2"/>
    </row>
    <row r="684" ht="13.5" customHeight="1">
      <c r="A684" s="2"/>
      <c r="B684" s="2"/>
      <c r="C684" s="2"/>
      <c r="D684" s="2"/>
      <c r="E684" s="2"/>
      <c r="F684" s="2"/>
      <c r="G684" s="2"/>
      <c r="H684" s="2"/>
      <c r="I684" s="2"/>
      <c r="J684" s="2"/>
      <c r="K684" s="181"/>
      <c r="L684" s="2"/>
      <c r="M684" s="2"/>
      <c r="N684" s="2"/>
      <c r="O684" s="2"/>
      <c r="P684" s="2"/>
      <c r="Q684" s="157"/>
      <c r="R684" s="157"/>
      <c r="S684" s="157"/>
      <c r="T684" s="158"/>
      <c r="U684" s="2"/>
      <c r="V684" s="2"/>
      <c r="W684" s="2"/>
      <c r="X684" s="2"/>
      <c r="Y684" s="2"/>
      <c r="Z684" s="2"/>
    </row>
    <row r="685" ht="13.5" customHeight="1">
      <c r="A685" s="2"/>
      <c r="B685" s="2"/>
      <c r="C685" s="2"/>
      <c r="D685" s="2"/>
      <c r="E685" s="2"/>
      <c r="F685" s="2"/>
      <c r="G685" s="2"/>
      <c r="H685" s="2"/>
      <c r="I685" s="2"/>
      <c r="J685" s="2"/>
      <c r="K685" s="181"/>
      <c r="L685" s="2"/>
      <c r="M685" s="2"/>
      <c r="N685" s="2"/>
      <c r="O685" s="2"/>
      <c r="P685" s="2"/>
      <c r="Q685" s="157"/>
      <c r="R685" s="157"/>
      <c r="S685" s="157"/>
      <c r="T685" s="158"/>
      <c r="U685" s="2"/>
      <c r="V685" s="2"/>
      <c r="W685" s="2"/>
      <c r="X685" s="2"/>
      <c r="Y685" s="2"/>
      <c r="Z685" s="2"/>
    </row>
    <row r="686" ht="13.5" customHeight="1">
      <c r="A686" s="2"/>
      <c r="B686" s="2"/>
      <c r="C686" s="2"/>
      <c r="D686" s="2"/>
      <c r="E686" s="2"/>
      <c r="F686" s="2"/>
      <c r="G686" s="2"/>
      <c r="H686" s="2"/>
      <c r="I686" s="2"/>
      <c r="J686" s="2"/>
      <c r="K686" s="181"/>
      <c r="L686" s="2"/>
      <c r="M686" s="2"/>
      <c r="N686" s="2"/>
      <c r="O686" s="2"/>
      <c r="P686" s="2"/>
      <c r="Q686" s="157"/>
      <c r="R686" s="157"/>
      <c r="S686" s="157"/>
      <c r="T686" s="158"/>
      <c r="U686" s="2"/>
      <c r="V686" s="2"/>
      <c r="W686" s="2"/>
      <c r="X686" s="2"/>
      <c r="Y686" s="2"/>
      <c r="Z686" s="2"/>
    </row>
    <row r="687" ht="13.5" customHeight="1">
      <c r="A687" s="2"/>
      <c r="B687" s="2"/>
      <c r="C687" s="2"/>
      <c r="D687" s="2"/>
      <c r="E687" s="2"/>
      <c r="F687" s="2"/>
      <c r="G687" s="2"/>
      <c r="H687" s="2"/>
      <c r="I687" s="2"/>
      <c r="J687" s="2"/>
      <c r="K687" s="181"/>
      <c r="L687" s="2"/>
      <c r="M687" s="2"/>
      <c r="N687" s="2"/>
      <c r="O687" s="2"/>
      <c r="P687" s="2"/>
      <c r="Q687" s="157"/>
      <c r="R687" s="157"/>
      <c r="S687" s="157"/>
      <c r="T687" s="158"/>
      <c r="U687" s="2"/>
      <c r="V687" s="2"/>
      <c r="W687" s="2"/>
      <c r="X687" s="2"/>
      <c r="Y687" s="2"/>
      <c r="Z687" s="2"/>
    </row>
    <row r="688" ht="13.5" customHeight="1">
      <c r="A688" s="2"/>
      <c r="B688" s="2"/>
      <c r="C688" s="2"/>
      <c r="D688" s="2"/>
      <c r="E688" s="2"/>
      <c r="F688" s="2"/>
      <c r="G688" s="2"/>
      <c r="H688" s="2"/>
      <c r="I688" s="2"/>
      <c r="J688" s="2"/>
      <c r="K688" s="181"/>
      <c r="L688" s="2"/>
      <c r="M688" s="2"/>
      <c r="N688" s="2"/>
      <c r="O688" s="2"/>
      <c r="P688" s="2"/>
      <c r="Q688" s="157"/>
      <c r="R688" s="157"/>
      <c r="S688" s="157"/>
      <c r="T688" s="158"/>
      <c r="U688" s="2"/>
      <c r="V688" s="2"/>
      <c r="W688" s="2"/>
      <c r="X688" s="2"/>
      <c r="Y688" s="2"/>
      <c r="Z688" s="2"/>
    </row>
    <row r="689" ht="13.5" customHeight="1">
      <c r="A689" s="2"/>
      <c r="B689" s="2"/>
      <c r="C689" s="2"/>
      <c r="D689" s="2"/>
      <c r="E689" s="2"/>
      <c r="F689" s="2"/>
      <c r="G689" s="2"/>
      <c r="H689" s="2"/>
      <c r="I689" s="2"/>
      <c r="J689" s="2"/>
      <c r="K689" s="181"/>
      <c r="L689" s="2"/>
      <c r="M689" s="2"/>
      <c r="N689" s="2"/>
      <c r="O689" s="2"/>
      <c r="P689" s="2"/>
      <c r="Q689" s="157"/>
      <c r="R689" s="157"/>
      <c r="S689" s="157"/>
      <c r="T689" s="158"/>
      <c r="U689" s="2"/>
      <c r="V689" s="2"/>
      <c r="W689" s="2"/>
      <c r="X689" s="2"/>
      <c r="Y689" s="2"/>
      <c r="Z689" s="2"/>
    </row>
    <row r="690" ht="13.5" customHeight="1">
      <c r="A690" s="2"/>
      <c r="B690" s="2"/>
      <c r="C690" s="2"/>
      <c r="D690" s="2"/>
      <c r="E690" s="2"/>
      <c r="F690" s="2"/>
      <c r="G690" s="2"/>
      <c r="H690" s="2"/>
      <c r="I690" s="2"/>
      <c r="J690" s="2"/>
      <c r="K690" s="181"/>
      <c r="L690" s="2"/>
      <c r="M690" s="2"/>
      <c r="N690" s="2"/>
      <c r="O690" s="2"/>
      <c r="P690" s="2"/>
      <c r="Q690" s="157"/>
      <c r="R690" s="157"/>
      <c r="S690" s="157"/>
      <c r="T690" s="158"/>
      <c r="U690" s="2"/>
      <c r="V690" s="2"/>
      <c r="W690" s="2"/>
      <c r="X690" s="2"/>
      <c r="Y690" s="2"/>
      <c r="Z690" s="2"/>
    </row>
    <row r="691" ht="13.5" customHeight="1">
      <c r="A691" s="2"/>
      <c r="B691" s="2"/>
      <c r="C691" s="2"/>
      <c r="D691" s="2"/>
      <c r="E691" s="2"/>
      <c r="F691" s="2"/>
      <c r="G691" s="2"/>
      <c r="H691" s="2"/>
      <c r="I691" s="2"/>
      <c r="J691" s="2"/>
      <c r="K691" s="181"/>
      <c r="L691" s="2"/>
      <c r="M691" s="2"/>
      <c r="N691" s="2"/>
      <c r="O691" s="2"/>
      <c r="P691" s="2"/>
      <c r="Q691" s="157"/>
      <c r="R691" s="157"/>
      <c r="S691" s="157"/>
      <c r="T691" s="158"/>
      <c r="U691" s="2"/>
      <c r="V691" s="2"/>
      <c r="W691" s="2"/>
      <c r="X691" s="2"/>
      <c r="Y691" s="2"/>
      <c r="Z691" s="2"/>
    </row>
    <row r="692" ht="13.5" customHeight="1">
      <c r="A692" s="2"/>
      <c r="B692" s="2"/>
      <c r="C692" s="2"/>
      <c r="D692" s="2"/>
      <c r="E692" s="2"/>
      <c r="F692" s="2"/>
      <c r="G692" s="2"/>
      <c r="H692" s="2"/>
      <c r="I692" s="2"/>
      <c r="J692" s="2"/>
      <c r="K692" s="181"/>
      <c r="L692" s="2"/>
      <c r="M692" s="2"/>
      <c r="N692" s="2"/>
      <c r="O692" s="2"/>
      <c r="P692" s="2"/>
      <c r="Q692" s="157"/>
      <c r="R692" s="157"/>
      <c r="S692" s="157"/>
      <c r="T692" s="158"/>
      <c r="U692" s="2"/>
      <c r="V692" s="2"/>
      <c r="W692" s="2"/>
      <c r="X692" s="2"/>
      <c r="Y692" s="2"/>
      <c r="Z692" s="2"/>
    </row>
    <row r="693" ht="13.5" customHeight="1">
      <c r="A693" s="2"/>
      <c r="B693" s="2"/>
      <c r="C693" s="2"/>
      <c r="D693" s="2"/>
      <c r="E693" s="2"/>
      <c r="F693" s="2"/>
      <c r="G693" s="2"/>
      <c r="H693" s="2"/>
      <c r="I693" s="2"/>
      <c r="J693" s="2"/>
      <c r="K693" s="181"/>
      <c r="L693" s="2"/>
      <c r="M693" s="2"/>
      <c r="N693" s="2"/>
      <c r="O693" s="2"/>
      <c r="P693" s="2"/>
      <c r="Q693" s="157"/>
      <c r="R693" s="157"/>
      <c r="S693" s="157"/>
      <c r="T693" s="158"/>
      <c r="U693" s="2"/>
      <c r="V693" s="2"/>
      <c r="W693" s="2"/>
      <c r="X693" s="2"/>
      <c r="Y693" s="2"/>
      <c r="Z693" s="2"/>
    </row>
    <row r="694" ht="13.5" customHeight="1">
      <c r="A694" s="2"/>
      <c r="B694" s="2"/>
      <c r="C694" s="2"/>
      <c r="D694" s="2"/>
      <c r="E694" s="2"/>
      <c r="F694" s="2"/>
      <c r="G694" s="2"/>
      <c r="H694" s="2"/>
      <c r="I694" s="2"/>
      <c r="J694" s="2"/>
      <c r="K694" s="181"/>
      <c r="L694" s="2"/>
      <c r="M694" s="2"/>
      <c r="N694" s="2"/>
      <c r="O694" s="2"/>
      <c r="P694" s="2"/>
      <c r="Q694" s="157"/>
      <c r="R694" s="157"/>
      <c r="S694" s="157"/>
      <c r="T694" s="158"/>
      <c r="U694" s="2"/>
      <c r="V694" s="2"/>
      <c r="W694" s="2"/>
      <c r="X694" s="2"/>
      <c r="Y694" s="2"/>
      <c r="Z694" s="2"/>
    </row>
    <row r="695" ht="13.5" customHeight="1">
      <c r="A695" s="2"/>
      <c r="B695" s="2"/>
      <c r="C695" s="2"/>
      <c r="D695" s="2"/>
      <c r="E695" s="2"/>
      <c r="F695" s="2"/>
      <c r="G695" s="2"/>
      <c r="H695" s="2"/>
      <c r="I695" s="2"/>
      <c r="J695" s="2"/>
      <c r="K695" s="181"/>
      <c r="L695" s="2"/>
      <c r="M695" s="2"/>
      <c r="N695" s="2"/>
      <c r="O695" s="2"/>
      <c r="P695" s="2"/>
      <c r="Q695" s="157"/>
      <c r="R695" s="157"/>
      <c r="S695" s="157"/>
      <c r="T695" s="158"/>
      <c r="U695" s="2"/>
      <c r="V695" s="2"/>
      <c r="W695" s="2"/>
      <c r="X695" s="2"/>
      <c r="Y695" s="2"/>
      <c r="Z695" s="2"/>
    </row>
    <row r="696" ht="13.5" customHeight="1">
      <c r="A696" s="2"/>
      <c r="B696" s="2"/>
      <c r="C696" s="2"/>
      <c r="D696" s="2"/>
      <c r="E696" s="2"/>
      <c r="F696" s="2"/>
      <c r="G696" s="2"/>
      <c r="H696" s="2"/>
      <c r="I696" s="2"/>
      <c r="J696" s="2"/>
      <c r="K696" s="181"/>
      <c r="L696" s="2"/>
      <c r="M696" s="2"/>
      <c r="N696" s="2"/>
      <c r="O696" s="2"/>
      <c r="P696" s="2"/>
      <c r="Q696" s="157"/>
      <c r="R696" s="157"/>
      <c r="S696" s="157"/>
      <c r="T696" s="158"/>
      <c r="U696" s="2"/>
      <c r="V696" s="2"/>
      <c r="W696" s="2"/>
      <c r="X696" s="2"/>
      <c r="Y696" s="2"/>
      <c r="Z696" s="2"/>
    </row>
    <row r="697" ht="13.5" customHeight="1">
      <c r="A697" s="2"/>
      <c r="B697" s="2"/>
      <c r="C697" s="2"/>
      <c r="D697" s="2"/>
      <c r="E697" s="2"/>
      <c r="F697" s="2"/>
      <c r="G697" s="2"/>
      <c r="H697" s="2"/>
      <c r="I697" s="2"/>
      <c r="J697" s="2"/>
      <c r="K697" s="181"/>
      <c r="L697" s="2"/>
      <c r="M697" s="2"/>
      <c r="N697" s="2"/>
      <c r="O697" s="2"/>
      <c r="P697" s="2"/>
      <c r="Q697" s="157"/>
      <c r="R697" s="157"/>
      <c r="S697" s="157"/>
      <c r="T697" s="158"/>
      <c r="U697" s="2"/>
      <c r="V697" s="2"/>
      <c r="W697" s="2"/>
      <c r="X697" s="2"/>
      <c r="Y697" s="2"/>
      <c r="Z697" s="2"/>
    </row>
    <row r="698" ht="13.5" customHeight="1">
      <c r="A698" s="2"/>
      <c r="B698" s="2"/>
      <c r="C698" s="2"/>
      <c r="D698" s="2"/>
      <c r="E698" s="2"/>
      <c r="F698" s="2"/>
      <c r="G698" s="2"/>
      <c r="H698" s="2"/>
      <c r="I698" s="2"/>
      <c r="J698" s="2"/>
      <c r="K698" s="181"/>
      <c r="L698" s="2"/>
      <c r="M698" s="2"/>
      <c r="N698" s="2"/>
      <c r="O698" s="2"/>
      <c r="P698" s="2"/>
      <c r="Q698" s="157"/>
      <c r="R698" s="157"/>
      <c r="S698" s="157"/>
      <c r="T698" s="158"/>
      <c r="U698" s="2"/>
      <c r="V698" s="2"/>
      <c r="W698" s="2"/>
      <c r="X698" s="2"/>
      <c r="Y698" s="2"/>
      <c r="Z698" s="2"/>
    </row>
    <row r="699" ht="13.5" customHeight="1">
      <c r="A699" s="2"/>
      <c r="B699" s="2"/>
      <c r="C699" s="2"/>
      <c r="D699" s="2"/>
      <c r="E699" s="2"/>
      <c r="F699" s="2"/>
      <c r="G699" s="2"/>
      <c r="H699" s="2"/>
      <c r="I699" s="2"/>
      <c r="J699" s="2"/>
      <c r="K699" s="181"/>
      <c r="L699" s="2"/>
      <c r="M699" s="2"/>
      <c r="N699" s="2"/>
      <c r="O699" s="2"/>
      <c r="P699" s="2"/>
      <c r="Q699" s="157"/>
      <c r="R699" s="157"/>
      <c r="S699" s="157"/>
      <c r="T699" s="158"/>
      <c r="U699" s="2"/>
      <c r="V699" s="2"/>
      <c r="W699" s="2"/>
      <c r="X699" s="2"/>
      <c r="Y699" s="2"/>
      <c r="Z699" s="2"/>
    </row>
    <row r="700" ht="13.5" customHeight="1">
      <c r="A700" s="2"/>
      <c r="B700" s="2"/>
      <c r="C700" s="2"/>
      <c r="D700" s="2"/>
      <c r="E700" s="2"/>
      <c r="F700" s="2"/>
      <c r="G700" s="2"/>
      <c r="H700" s="2"/>
      <c r="I700" s="2"/>
      <c r="J700" s="2"/>
      <c r="K700" s="181"/>
      <c r="L700" s="2"/>
      <c r="M700" s="2"/>
      <c r="N700" s="2"/>
      <c r="O700" s="2"/>
      <c r="P700" s="2"/>
      <c r="Q700" s="157"/>
      <c r="R700" s="157"/>
      <c r="S700" s="157"/>
      <c r="T700" s="158"/>
      <c r="U700" s="2"/>
      <c r="V700" s="2"/>
      <c r="W700" s="2"/>
      <c r="X700" s="2"/>
      <c r="Y700" s="2"/>
      <c r="Z700" s="2"/>
    </row>
    <row r="701" ht="13.5" customHeight="1">
      <c r="A701" s="2"/>
      <c r="B701" s="2"/>
      <c r="C701" s="2"/>
      <c r="D701" s="2"/>
      <c r="E701" s="2"/>
      <c r="F701" s="2"/>
      <c r="G701" s="2"/>
      <c r="H701" s="2"/>
      <c r="I701" s="2"/>
      <c r="J701" s="2"/>
      <c r="K701" s="181"/>
      <c r="L701" s="2"/>
      <c r="M701" s="2"/>
      <c r="N701" s="2"/>
      <c r="O701" s="2"/>
      <c r="P701" s="2"/>
      <c r="Q701" s="157"/>
      <c r="R701" s="157"/>
      <c r="S701" s="157"/>
      <c r="T701" s="158"/>
      <c r="U701" s="2"/>
      <c r="V701" s="2"/>
      <c r="W701" s="2"/>
      <c r="X701" s="2"/>
      <c r="Y701" s="2"/>
      <c r="Z701" s="2"/>
    </row>
    <row r="702" ht="13.5" customHeight="1">
      <c r="A702" s="2"/>
      <c r="B702" s="2"/>
      <c r="C702" s="2"/>
      <c r="D702" s="2"/>
      <c r="E702" s="2"/>
      <c r="F702" s="2"/>
      <c r="G702" s="2"/>
      <c r="H702" s="2"/>
      <c r="I702" s="2"/>
      <c r="J702" s="2"/>
      <c r="K702" s="181"/>
      <c r="L702" s="2"/>
      <c r="M702" s="2"/>
      <c r="N702" s="2"/>
      <c r="O702" s="2"/>
      <c r="P702" s="2"/>
      <c r="Q702" s="157"/>
      <c r="R702" s="157"/>
      <c r="S702" s="157"/>
      <c r="T702" s="158"/>
      <c r="U702" s="2"/>
      <c r="V702" s="2"/>
      <c r="W702" s="2"/>
      <c r="X702" s="2"/>
      <c r="Y702" s="2"/>
      <c r="Z702" s="2"/>
    </row>
    <row r="703" ht="13.5" customHeight="1">
      <c r="A703" s="2"/>
      <c r="B703" s="2"/>
      <c r="C703" s="2"/>
      <c r="D703" s="2"/>
      <c r="E703" s="2"/>
      <c r="F703" s="2"/>
      <c r="G703" s="2"/>
      <c r="H703" s="2"/>
      <c r="I703" s="2"/>
      <c r="J703" s="2"/>
      <c r="K703" s="181"/>
      <c r="L703" s="2"/>
      <c r="M703" s="2"/>
      <c r="N703" s="2"/>
      <c r="O703" s="2"/>
      <c r="P703" s="2"/>
      <c r="Q703" s="157"/>
      <c r="R703" s="157"/>
      <c r="S703" s="157"/>
      <c r="T703" s="158"/>
      <c r="U703" s="2"/>
      <c r="V703" s="2"/>
      <c r="W703" s="2"/>
      <c r="X703" s="2"/>
      <c r="Y703" s="2"/>
      <c r="Z703" s="2"/>
    </row>
    <row r="704" ht="13.5" customHeight="1">
      <c r="A704" s="2"/>
      <c r="B704" s="2"/>
      <c r="C704" s="2"/>
      <c r="D704" s="2"/>
      <c r="E704" s="2"/>
      <c r="F704" s="2"/>
      <c r="G704" s="2"/>
      <c r="H704" s="2"/>
      <c r="I704" s="2"/>
      <c r="J704" s="2"/>
      <c r="K704" s="181"/>
      <c r="L704" s="2"/>
      <c r="M704" s="2"/>
      <c r="N704" s="2"/>
      <c r="O704" s="2"/>
      <c r="P704" s="2"/>
      <c r="Q704" s="157"/>
      <c r="R704" s="157"/>
      <c r="S704" s="157"/>
      <c r="T704" s="158"/>
      <c r="U704" s="2"/>
      <c r="V704" s="2"/>
      <c r="W704" s="2"/>
      <c r="X704" s="2"/>
      <c r="Y704" s="2"/>
      <c r="Z704" s="2"/>
    </row>
    <row r="705" ht="13.5" customHeight="1">
      <c r="A705" s="2"/>
      <c r="B705" s="2"/>
      <c r="C705" s="2"/>
      <c r="D705" s="2"/>
      <c r="E705" s="2"/>
      <c r="F705" s="2"/>
      <c r="G705" s="2"/>
      <c r="H705" s="2"/>
      <c r="I705" s="2"/>
      <c r="J705" s="2"/>
      <c r="K705" s="181"/>
      <c r="L705" s="2"/>
      <c r="M705" s="2"/>
      <c r="N705" s="2"/>
      <c r="O705" s="2"/>
      <c r="P705" s="2"/>
      <c r="Q705" s="157"/>
      <c r="R705" s="157"/>
      <c r="S705" s="157"/>
      <c r="T705" s="158"/>
      <c r="U705" s="2"/>
      <c r="V705" s="2"/>
      <c r="W705" s="2"/>
      <c r="X705" s="2"/>
      <c r="Y705" s="2"/>
      <c r="Z705" s="2"/>
    </row>
    <row r="706" ht="13.5" customHeight="1">
      <c r="A706" s="2"/>
      <c r="B706" s="2"/>
      <c r="C706" s="2"/>
      <c r="D706" s="2"/>
      <c r="E706" s="2"/>
      <c r="F706" s="2"/>
      <c r="G706" s="2"/>
      <c r="H706" s="2"/>
      <c r="I706" s="2"/>
      <c r="J706" s="2"/>
      <c r="K706" s="181"/>
      <c r="L706" s="2"/>
      <c r="M706" s="2"/>
      <c r="N706" s="2"/>
      <c r="O706" s="2"/>
      <c r="P706" s="2"/>
      <c r="Q706" s="157"/>
      <c r="R706" s="157"/>
      <c r="S706" s="157"/>
      <c r="T706" s="158"/>
      <c r="U706" s="2"/>
      <c r="V706" s="2"/>
      <c r="W706" s="2"/>
      <c r="X706" s="2"/>
      <c r="Y706" s="2"/>
      <c r="Z706" s="2"/>
    </row>
    <row r="707" ht="13.5" customHeight="1">
      <c r="A707" s="2"/>
      <c r="B707" s="2"/>
      <c r="C707" s="2"/>
      <c r="D707" s="2"/>
      <c r="E707" s="2"/>
      <c r="F707" s="2"/>
      <c r="G707" s="2"/>
      <c r="H707" s="2"/>
      <c r="I707" s="2"/>
      <c r="J707" s="2"/>
      <c r="K707" s="181"/>
      <c r="L707" s="2"/>
      <c r="M707" s="2"/>
      <c r="N707" s="2"/>
      <c r="O707" s="2"/>
      <c r="P707" s="2"/>
      <c r="Q707" s="157"/>
      <c r="R707" s="157"/>
      <c r="S707" s="157"/>
      <c r="T707" s="158"/>
      <c r="U707" s="2"/>
      <c r="V707" s="2"/>
      <c r="W707" s="2"/>
      <c r="X707" s="2"/>
      <c r="Y707" s="2"/>
      <c r="Z707" s="2"/>
    </row>
    <row r="708" ht="13.5" customHeight="1">
      <c r="A708" s="2"/>
      <c r="B708" s="2"/>
      <c r="C708" s="2"/>
      <c r="D708" s="2"/>
      <c r="E708" s="2"/>
      <c r="F708" s="2"/>
      <c r="G708" s="2"/>
      <c r="H708" s="2"/>
      <c r="I708" s="2"/>
      <c r="J708" s="2"/>
      <c r="K708" s="181"/>
      <c r="L708" s="2"/>
      <c r="M708" s="2"/>
      <c r="N708" s="2"/>
      <c r="O708" s="2"/>
      <c r="P708" s="2"/>
      <c r="Q708" s="157"/>
      <c r="R708" s="157"/>
      <c r="S708" s="157"/>
      <c r="T708" s="158"/>
      <c r="U708" s="2"/>
      <c r="V708" s="2"/>
      <c r="W708" s="2"/>
      <c r="X708" s="2"/>
      <c r="Y708" s="2"/>
      <c r="Z708" s="2"/>
    </row>
    <row r="709" ht="13.5" customHeight="1">
      <c r="A709" s="2"/>
      <c r="B709" s="2"/>
      <c r="C709" s="2"/>
      <c r="D709" s="2"/>
      <c r="E709" s="2"/>
      <c r="F709" s="2"/>
      <c r="G709" s="2"/>
      <c r="H709" s="2"/>
      <c r="I709" s="2"/>
      <c r="J709" s="2"/>
      <c r="K709" s="181"/>
      <c r="L709" s="2"/>
      <c r="M709" s="2"/>
      <c r="N709" s="2"/>
      <c r="O709" s="2"/>
      <c r="P709" s="2"/>
      <c r="Q709" s="157"/>
      <c r="R709" s="157"/>
      <c r="S709" s="157"/>
      <c r="T709" s="158"/>
      <c r="U709" s="2"/>
      <c r="V709" s="2"/>
      <c r="W709" s="2"/>
      <c r="X709" s="2"/>
      <c r="Y709" s="2"/>
      <c r="Z709" s="2"/>
    </row>
    <row r="710" ht="13.5" customHeight="1">
      <c r="A710" s="2"/>
      <c r="B710" s="2"/>
      <c r="C710" s="2"/>
      <c r="D710" s="2"/>
      <c r="E710" s="2"/>
      <c r="F710" s="2"/>
      <c r="G710" s="2"/>
      <c r="H710" s="2"/>
      <c r="I710" s="2"/>
      <c r="J710" s="2"/>
      <c r="K710" s="181"/>
      <c r="L710" s="2"/>
      <c r="M710" s="2"/>
      <c r="N710" s="2"/>
      <c r="O710" s="2"/>
      <c r="P710" s="2"/>
      <c r="Q710" s="157"/>
      <c r="R710" s="157"/>
      <c r="S710" s="157"/>
      <c r="T710" s="158"/>
      <c r="U710" s="2"/>
      <c r="V710" s="2"/>
      <c r="W710" s="2"/>
      <c r="X710" s="2"/>
      <c r="Y710" s="2"/>
      <c r="Z710" s="2"/>
    </row>
    <row r="711" ht="13.5" customHeight="1">
      <c r="A711" s="2"/>
      <c r="B711" s="2"/>
      <c r="C711" s="2"/>
      <c r="D711" s="2"/>
      <c r="E711" s="2"/>
      <c r="F711" s="2"/>
      <c r="G711" s="2"/>
      <c r="H711" s="2"/>
      <c r="I711" s="2"/>
      <c r="J711" s="2"/>
      <c r="K711" s="181"/>
      <c r="L711" s="2"/>
      <c r="M711" s="2"/>
      <c r="N711" s="2"/>
      <c r="O711" s="2"/>
      <c r="P711" s="2"/>
      <c r="Q711" s="157"/>
      <c r="R711" s="157"/>
      <c r="S711" s="157"/>
      <c r="T711" s="158"/>
      <c r="U711" s="2"/>
      <c r="V711" s="2"/>
      <c r="W711" s="2"/>
      <c r="X711" s="2"/>
      <c r="Y711" s="2"/>
      <c r="Z711" s="2"/>
    </row>
    <row r="712" ht="13.5" customHeight="1">
      <c r="A712" s="2"/>
      <c r="B712" s="2"/>
      <c r="C712" s="2"/>
      <c r="D712" s="2"/>
      <c r="E712" s="2"/>
      <c r="F712" s="2"/>
      <c r="G712" s="2"/>
      <c r="H712" s="2"/>
      <c r="I712" s="2"/>
      <c r="J712" s="2"/>
      <c r="K712" s="181"/>
      <c r="L712" s="2"/>
      <c r="M712" s="2"/>
      <c r="N712" s="2"/>
      <c r="O712" s="2"/>
      <c r="P712" s="2"/>
      <c r="Q712" s="157"/>
      <c r="R712" s="157"/>
      <c r="S712" s="157"/>
      <c r="T712" s="158"/>
      <c r="U712" s="2"/>
      <c r="V712" s="2"/>
      <c r="W712" s="2"/>
      <c r="X712" s="2"/>
      <c r="Y712" s="2"/>
      <c r="Z712" s="2"/>
    </row>
    <row r="713" ht="13.5" customHeight="1">
      <c r="A713" s="2"/>
      <c r="B713" s="2"/>
      <c r="C713" s="2"/>
      <c r="D713" s="2"/>
      <c r="E713" s="2"/>
      <c r="F713" s="2"/>
      <c r="G713" s="2"/>
      <c r="H713" s="2"/>
      <c r="I713" s="2"/>
      <c r="J713" s="2"/>
      <c r="K713" s="181"/>
      <c r="L713" s="2"/>
      <c r="M713" s="2"/>
      <c r="N713" s="2"/>
      <c r="O713" s="2"/>
      <c r="P713" s="2"/>
      <c r="Q713" s="157"/>
      <c r="R713" s="157"/>
      <c r="S713" s="157"/>
      <c r="T713" s="158"/>
      <c r="U713" s="2"/>
      <c r="V713" s="2"/>
      <c r="W713" s="2"/>
      <c r="X713" s="2"/>
      <c r="Y713" s="2"/>
      <c r="Z713" s="2"/>
    </row>
    <row r="714" ht="13.5" customHeight="1">
      <c r="A714" s="2"/>
      <c r="B714" s="2"/>
      <c r="C714" s="2"/>
      <c r="D714" s="2"/>
      <c r="E714" s="2"/>
      <c r="F714" s="2"/>
      <c r="G714" s="2"/>
      <c r="H714" s="2"/>
      <c r="I714" s="2"/>
      <c r="J714" s="2"/>
      <c r="K714" s="181"/>
      <c r="L714" s="2"/>
      <c r="M714" s="2"/>
      <c r="N714" s="2"/>
      <c r="O714" s="2"/>
      <c r="P714" s="2"/>
      <c r="Q714" s="157"/>
      <c r="R714" s="157"/>
      <c r="S714" s="157"/>
      <c r="T714" s="158"/>
      <c r="U714" s="2"/>
      <c r="V714" s="2"/>
      <c r="W714" s="2"/>
      <c r="X714" s="2"/>
      <c r="Y714" s="2"/>
      <c r="Z714" s="2"/>
    </row>
    <row r="715" ht="13.5" customHeight="1">
      <c r="A715" s="2"/>
      <c r="B715" s="2"/>
      <c r="C715" s="2"/>
      <c r="D715" s="2"/>
      <c r="E715" s="2"/>
      <c r="F715" s="2"/>
      <c r="G715" s="2"/>
      <c r="H715" s="2"/>
      <c r="I715" s="2"/>
      <c r="J715" s="2"/>
      <c r="K715" s="181"/>
      <c r="L715" s="2"/>
      <c r="M715" s="2"/>
      <c r="N715" s="2"/>
      <c r="O715" s="2"/>
      <c r="P715" s="2"/>
      <c r="Q715" s="157"/>
      <c r="R715" s="157"/>
      <c r="S715" s="157"/>
      <c r="T715" s="158"/>
      <c r="U715" s="2"/>
      <c r="V715" s="2"/>
      <c r="W715" s="2"/>
      <c r="X715" s="2"/>
      <c r="Y715" s="2"/>
      <c r="Z715" s="2"/>
    </row>
    <row r="716" ht="13.5" customHeight="1">
      <c r="A716" s="2"/>
      <c r="B716" s="2"/>
      <c r="C716" s="2"/>
      <c r="D716" s="2"/>
      <c r="E716" s="2"/>
      <c r="F716" s="2"/>
      <c r="G716" s="2"/>
      <c r="H716" s="2"/>
      <c r="I716" s="2"/>
      <c r="J716" s="2"/>
      <c r="K716" s="181"/>
      <c r="L716" s="2"/>
      <c r="M716" s="2"/>
      <c r="N716" s="2"/>
      <c r="O716" s="2"/>
      <c r="P716" s="2"/>
      <c r="Q716" s="157"/>
      <c r="R716" s="157"/>
      <c r="S716" s="157"/>
      <c r="T716" s="158"/>
      <c r="U716" s="2"/>
      <c r="V716" s="2"/>
      <c r="W716" s="2"/>
      <c r="X716" s="2"/>
      <c r="Y716" s="2"/>
      <c r="Z716" s="2"/>
    </row>
    <row r="717" ht="13.5" customHeight="1">
      <c r="A717" s="2"/>
      <c r="B717" s="2"/>
      <c r="C717" s="2"/>
      <c r="D717" s="2"/>
      <c r="E717" s="2"/>
      <c r="F717" s="2"/>
      <c r="G717" s="2"/>
      <c r="H717" s="2"/>
      <c r="I717" s="2"/>
      <c r="J717" s="2"/>
      <c r="K717" s="181"/>
      <c r="L717" s="2"/>
      <c r="M717" s="2"/>
      <c r="N717" s="2"/>
      <c r="O717" s="2"/>
      <c r="P717" s="2"/>
      <c r="Q717" s="157"/>
      <c r="R717" s="157"/>
      <c r="S717" s="157"/>
      <c r="T717" s="158"/>
      <c r="U717" s="2"/>
      <c r="V717" s="2"/>
      <c r="W717" s="2"/>
      <c r="X717" s="2"/>
      <c r="Y717" s="2"/>
      <c r="Z717" s="2"/>
    </row>
    <row r="718" ht="13.5" customHeight="1">
      <c r="A718" s="2"/>
      <c r="B718" s="2"/>
      <c r="C718" s="2"/>
      <c r="D718" s="2"/>
      <c r="E718" s="2"/>
      <c r="F718" s="2"/>
      <c r="G718" s="2"/>
      <c r="H718" s="2"/>
      <c r="I718" s="2"/>
      <c r="J718" s="2"/>
      <c r="K718" s="181"/>
      <c r="L718" s="2"/>
      <c r="M718" s="2"/>
      <c r="N718" s="2"/>
      <c r="O718" s="2"/>
      <c r="P718" s="2"/>
      <c r="Q718" s="157"/>
      <c r="R718" s="157"/>
      <c r="S718" s="157"/>
      <c r="T718" s="158"/>
      <c r="U718" s="2"/>
      <c r="V718" s="2"/>
      <c r="W718" s="2"/>
      <c r="X718" s="2"/>
      <c r="Y718" s="2"/>
      <c r="Z718" s="2"/>
    </row>
    <row r="719" ht="13.5" customHeight="1">
      <c r="A719" s="2"/>
      <c r="B719" s="2"/>
      <c r="C719" s="2"/>
      <c r="D719" s="2"/>
      <c r="E719" s="2"/>
      <c r="F719" s="2"/>
      <c r="G719" s="2"/>
      <c r="H719" s="2"/>
      <c r="I719" s="2"/>
      <c r="J719" s="2"/>
      <c r="K719" s="181"/>
      <c r="L719" s="2"/>
      <c r="M719" s="2"/>
      <c r="N719" s="2"/>
      <c r="O719" s="2"/>
      <c r="P719" s="2"/>
      <c r="Q719" s="157"/>
      <c r="R719" s="157"/>
      <c r="S719" s="157"/>
      <c r="T719" s="158"/>
      <c r="U719" s="2"/>
      <c r="V719" s="2"/>
      <c r="W719" s="2"/>
      <c r="X719" s="2"/>
      <c r="Y719" s="2"/>
      <c r="Z719" s="2"/>
    </row>
    <row r="720" ht="13.5" customHeight="1">
      <c r="A720" s="2"/>
      <c r="B720" s="2"/>
      <c r="C720" s="2"/>
      <c r="D720" s="2"/>
      <c r="E720" s="2"/>
      <c r="F720" s="2"/>
      <c r="G720" s="2"/>
      <c r="H720" s="2"/>
      <c r="I720" s="2"/>
      <c r="J720" s="2"/>
      <c r="K720" s="181"/>
      <c r="L720" s="2"/>
      <c r="M720" s="2"/>
      <c r="N720" s="2"/>
      <c r="O720" s="2"/>
      <c r="P720" s="2"/>
      <c r="Q720" s="157"/>
      <c r="R720" s="157"/>
      <c r="S720" s="157"/>
      <c r="T720" s="158"/>
      <c r="U720" s="2"/>
      <c r="V720" s="2"/>
      <c r="W720" s="2"/>
      <c r="X720" s="2"/>
      <c r="Y720" s="2"/>
      <c r="Z720" s="2"/>
    </row>
    <row r="721" ht="13.5" customHeight="1">
      <c r="A721" s="2"/>
      <c r="B721" s="2"/>
      <c r="C721" s="2"/>
      <c r="D721" s="2"/>
      <c r="E721" s="2"/>
      <c r="F721" s="2"/>
      <c r="G721" s="2"/>
      <c r="H721" s="2"/>
      <c r="I721" s="2"/>
      <c r="J721" s="2"/>
      <c r="K721" s="181"/>
      <c r="L721" s="2"/>
      <c r="M721" s="2"/>
      <c r="N721" s="2"/>
      <c r="O721" s="2"/>
      <c r="P721" s="2"/>
      <c r="Q721" s="157"/>
      <c r="R721" s="157"/>
      <c r="S721" s="157"/>
      <c r="T721" s="158"/>
      <c r="U721" s="2"/>
      <c r="V721" s="2"/>
      <c r="W721" s="2"/>
      <c r="X721" s="2"/>
      <c r="Y721" s="2"/>
      <c r="Z721" s="2"/>
    </row>
    <row r="722" ht="13.5" customHeight="1">
      <c r="A722" s="2"/>
      <c r="B722" s="2"/>
      <c r="C722" s="2"/>
      <c r="D722" s="2"/>
      <c r="E722" s="2"/>
      <c r="F722" s="2"/>
      <c r="G722" s="2"/>
      <c r="H722" s="2"/>
      <c r="I722" s="2"/>
      <c r="J722" s="2"/>
      <c r="K722" s="181"/>
      <c r="L722" s="2"/>
      <c r="M722" s="2"/>
      <c r="N722" s="2"/>
      <c r="O722" s="2"/>
      <c r="P722" s="2"/>
      <c r="Q722" s="157"/>
      <c r="R722" s="157"/>
      <c r="S722" s="157"/>
      <c r="T722" s="158"/>
      <c r="U722" s="2"/>
      <c r="V722" s="2"/>
      <c r="W722" s="2"/>
      <c r="X722" s="2"/>
      <c r="Y722" s="2"/>
      <c r="Z722" s="2"/>
    </row>
    <row r="723" ht="13.5" customHeight="1">
      <c r="A723" s="2"/>
      <c r="B723" s="2"/>
      <c r="C723" s="2"/>
      <c r="D723" s="2"/>
      <c r="E723" s="2"/>
      <c r="F723" s="2"/>
      <c r="G723" s="2"/>
      <c r="H723" s="2"/>
      <c r="I723" s="2"/>
      <c r="J723" s="2"/>
      <c r="K723" s="181"/>
      <c r="L723" s="2"/>
      <c r="M723" s="2"/>
      <c r="N723" s="2"/>
      <c r="O723" s="2"/>
      <c r="P723" s="2"/>
      <c r="Q723" s="157"/>
      <c r="R723" s="157"/>
      <c r="S723" s="157"/>
      <c r="T723" s="158"/>
      <c r="U723" s="2"/>
      <c r="V723" s="2"/>
      <c r="W723" s="2"/>
      <c r="X723" s="2"/>
      <c r="Y723" s="2"/>
      <c r="Z723" s="2"/>
    </row>
    <row r="724" ht="13.5" customHeight="1">
      <c r="A724" s="2"/>
      <c r="B724" s="2"/>
      <c r="C724" s="2"/>
      <c r="D724" s="2"/>
      <c r="E724" s="2"/>
      <c r="F724" s="2"/>
      <c r="G724" s="2"/>
      <c r="H724" s="2"/>
      <c r="I724" s="2"/>
      <c r="J724" s="2"/>
      <c r="K724" s="181"/>
      <c r="L724" s="2"/>
      <c r="M724" s="2"/>
      <c r="N724" s="2"/>
      <c r="O724" s="2"/>
      <c r="P724" s="2"/>
      <c r="Q724" s="157"/>
      <c r="R724" s="157"/>
      <c r="S724" s="157"/>
      <c r="T724" s="158"/>
      <c r="U724" s="2"/>
      <c r="V724" s="2"/>
      <c r="W724" s="2"/>
      <c r="X724" s="2"/>
      <c r="Y724" s="2"/>
      <c r="Z724" s="2"/>
    </row>
    <row r="725" ht="13.5" customHeight="1">
      <c r="A725" s="2"/>
      <c r="B725" s="2"/>
      <c r="C725" s="2"/>
      <c r="D725" s="2"/>
      <c r="E725" s="2"/>
      <c r="F725" s="2"/>
      <c r="G725" s="2"/>
      <c r="H725" s="2"/>
      <c r="I725" s="2"/>
      <c r="J725" s="2"/>
      <c r="K725" s="181"/>
      <c r="L725" s="2"/>
      <c r="M725" s="2"/>
      <c r="N725" s="2"/>
      <c r="O725" s="2"/>
      <c r="P725" s="2"/>
      <c r="Q725" s="157"/>
      <c r="R725" s="157"/>
      <c r="S725" s="157"/>
      <c r="T725" s="158"/>
      <c r="U725" s="2"/>
      <c r="V725" s="2"/>
      <c r="W725" s="2"/>
      <c r="X725" s="2"/>
      <c r="Y725" s="2"/>
      <c r="Z725" s="2"/>
    </row>
    <row r="726" ht="13.5" customHeight="1">
      <c r="A726" s="2"/>
      <c r="B726" s="2"/>
      <c r="C726" s="2"/>
      <c r="D726" s="2"/>
      <c r="E726" s="2"/>
      <c r="F726" s="2"/>
      <c r="G726" s="2"/>
      <c r="H726" s="2"/>
      <c r="I726" s="2"/>
      <c r="J726" s="2"/>
      <c r="K726" s="181"/>
      <c r="L726" s="2"/>
      <c r="M726" s="2"/>
      <c r="N726" s="2"/>
      <c r="O726" s="2"/>
      <c r="P726" s="2"/>
      <c r="Q726" s="157"/>
      <c r="R726" s="157"/>
      <c r="S726" s="157"/>
      <c r="T726" s="158"/>
      <c r="U726" s="2"/>
      <c r="V726" s="2"/>
      <c r="W726" s="2"/>
      <c r="X726" s="2"/>
      <c r="Y726" s="2"/>
      <c r="Z726" s="2"/>
    </row>
    <row r="727" ht="13.5" customHeight="1">
      <c r="A727" s="2"/>
      <c r="B727" s="2"/>
      <c r="C727" s="2"/>
      <c r="D727" s="2"/>
      <c r="E727" s="2"/>
      <c r="F727" s="2"/>
      <c r="G727" s="2"/>
      <c r="H727" s="2"/>
      <c r="I727" s="2"/>
      <c r="J727" s="2"/>
      <c r="K727" s="181"/>
      <c r="L727" s="2"/>
      <c r="M727" s="2"/>
      <c r="N727" s="2"/>
      <c r="O727" s="2"/>
      <c r="P727" s="2"/>
      <c r="Q727" s="157"/>
      <c r="R727" s="157"/>
      <c r="S727" s="157"/>
      <c r="T727" s="158"/>
      <c r="U727" s="2"/>
      <c r="V727" s="2"/>
      <c r="W727" s="2"/>
      <c r="X727" s="2"/>
      <c r="Y727" s="2"/>
      <c r="Z727" s="2"/>
    </row>
    <row r="728" ht="13.5" customHeight="1">
      <c r="A728" s="2"/>
      <c r="B728" s="2"/>
      <c r="C728" s="2"/>
      <c r="D728" s="2"/>
      <c r="E728" s="2"/>
      <c r="F728" s="2"/>
      <c r="G728" s="2"/>
      <c r="H728" s="2"/>
      <c r="I728" s="2"/>
      <c r="J728" s="2"/>
      <c r="K728" s="181"/>
      <c r="L728" s="2"/>
      <c r="M728" s="2"/>
      <c r="N728" s="2"/>
      <c r="O728" s="2"/>
      <c r="P728" s="2"/>
      <c r="Q728" s="157"/>
      <c r="R728" s="157"/>
      <c r="S728" s="157"/>
      <c r="T728" s="158"/>
      <c r="U728" s="2"/>
      <c r="V728" s="2"/>
      <c r="W728" s="2"/>
      <c r="X728" s="2"/>
      <c r="Y728" s="2"/>
      <c r="Z728" s="2"/>
    </row>
    <row r="729" ht="13.5" customHeight="1">
      <c r="A729" s="2"/>
      <c r="B729" s="2"/>
      <c r="C729" s="2"/>
      <c r="D729" s="2"/>
      <c r="E729" s="2"/>
      <c r="F729" s="2"/>
      <c r="G729" s="2"/>
      <c r="H729" s="2"/>
      <c r="I729" s="2"/>
      <c r="J729" s="2"/>
      <c r="K729" s="181"/>
      <c r="L729" s="2"/>
      <c r="M729" s="2"/>
      <c r="N729" s="2"/>
      <c r="O729" s="2"/>
      <c r="P729" s="2"/>
      <c r="Q729" s="157"/>
      <c r="R729" s="157"/>
      <c r="S729" s="157"/>
      <c r="T729" s="158"/>
      <c r="U729" s="2"/>
      <c r="V729" s="2"/>
      <c r="W729" s="2"/>
      <c r="X729" s="2"/>
      <c r="Y729" s="2"/>
      <c r="Z729" s="2"/>
    </row>
    <row r="730" ht="13.5" customHeight="1">
      <c r="A730" s="2"/>
      <c r="B730" s="2"/>
      <c r="C730" s="2"/>
      <c r="D730" s="2"/>
      <c r="E730" s="2"/>
      <c r="F730" s="2"/>
      <c r="G730" s="2"/>
      <c r="H730" s="2"/>
      <c r="I730" s="2"/>
      <c r="J730" s="2"/>
      <c r="K730" s="181"/>
      <c r="L730" s="2"/>
      <c r="M730" s="2"/>
      <c r="N730" s="2"/>
      <c r="O730" s="2"/>
      <c r="P730" s="2"/>
      <c r="Q730" s="157"/>
      <c r="R730" s="157"/>
      <c r="S730" s="157"/>
      <c r="T730" s="158"/>
      <c r="U730" s="2"/>
      <c r="V730" s="2"/>
      <c r="W730" s="2"/>
      <c r="X730" s="2"/>
      <c r="Y730" s="2"/>
      <c r="Z730" s="2"/>
    </row>
    <row r="731" ht="13.5" customHeight="1">
      <c r="A731" s="2"/>
      <c r="B731" s="2"/>
      <c r="C731" s="2"/>
      <c r="D731" s="2"/>
      <c r="E731" s="2"/>
      <c r="F731" s="2"/>
      <c r="G731" s="2"/>
      <c r="H731" s="2"/>
      <c r="I731" s="2"/>
      <c r="J731" s="2"/>
      <c r="K731" s="181"/>
      <c r="L731" s="2"/>
      <c r="M731" s="2"/>
      <c r="N731" s="2"/>
      <c r="O731" s="2"/>
      <c r="P731" s="2"/>
      <c r="Q731" s="157"/>
      <c r="R731" s="157"/>
      <c r="S731" s="157"/>
      <c r="T731" s="158"/>
      <c r="U731" s="2"/>
      <c r="V731" s="2"/>
      <c r="W731" s="2"/>
      <c r="X731" s="2"/>
      <c r="Y731" s="2"/>
      <c r="Z731" s="2"/>
    </row>
    <row r="732" ht="13.5" customHeight="1">
      <c r="A732" s="2"/>
      <c r="B732" s="2"/>
      <c r="C732" s="2"/>
      <c r="D732" s="2"/>
      <c r="E732" s="2"/>
      <c r="F732" s="2"/>
      <c r="G732" s="2"/>
      <c r="H732" s="2"/>
      <c r="I732" s="2"/>
      <c r="J732" s="2"/>
      <c r="K732" s="181"/>
      <c r="L732" s="2"/>
      <c r="M732" s="2"/>
      <c r="N732" s="2"/>
      <c r="O732" s="2"/>
      <c r="P732" s="2"/>
      <c r="Q732" s="157"/>
      <c r="R732" s="157"/>
      <c r="S732" s="157"/>
      <c r="T732" s="158"/>
      <c r="U732" s="2"/>
      <c r="V732" s="2"/>
      <c r="W732" s="2"/>
      <c r="X732" s="2"/>
      <c r="Y732" s="2"/>
      <c r="Z732" s="2"/>
    </row>
    <row r="733" ht="13.5" customHeight="1">
      <c r="A733" s="2"/>
      <c r="B733" s="2"/>
      <c r="C733" s="2"/>
      <c r="D733" s="2"/>
      <c r="E733" s="2"/>
      <c r="F733" s="2"/>
      <c r="G733" s="2"/>
      <c r="H733" s="2"/>
      <c r="I733" s="2"/>
      <c r="J733" s="2"/>
      <c r="K733" s="181"/>
      <c r="L733" s="2"/>
      <c r="M733" s="2"/>
      <c r="N733" s="2"/>
      <c r="O733" s="2"/>
      <c r="P733" s="2"/>
      <c r="Q733" s="157"/>
      <c r="R733" s="157"/>
      <c r="S733" s="157"/>
      <c r="T733" s="158"/>
      <c r="U733" s="2"/>
      <c r="V733" s="2"/>
      <c r="W733" s="2"/>
      <c r="X733" s="2"/>
      <c r="Y733" s="2"/>
      <c r="Z733" s="2"/>
    </row>
    <row r="734" ht="13.5" customHeight="1">
      <c r="A734" s="2"/>
      <c r="B734" s="2"/>
      <c r="C734" s="2"/>
      <c r="D734" s="2"/>
      <c r="E734" s="2"/>
      <c r="F734" s="2"/>
      <c r="G734" s="2"/>
      <c r="H734" s="2"/>
      <c r="I734" s="2"/>
      <c r="J734" s="2"/>
      <c r="K734" s="181"/>
      <c r="L734" s="2"/>
      <c r="M734" s="2"/>
      <c r="N734" s="2"/>
      <c r="O734" s="2"/>
      <c r="P734" s="2"/>
      <c r="Q734" s="157"/>
      <c r="R734" s="157"/>
      <c r="S734" s="157"/>
      <c r="T734" s="158"/>
      <c r="U734" s="2"/>
      <c r="V734" s="2"/>
      <c r="W734" s="2"/>
      <c r="X734" s="2"/>
      <c r="Y734" s="2"/>
      <c r="Z734" s="2"/>
    </row>
    <row r="735" ht="13.5" customHeight="1">
      <c r="A735" s="2"/>
      <c r="B735" s="2"/>
      <c r="C735" s="2"/>
      <c r="D735" s="2"/>
      <c r="E735" s="2"/>
      <c r="F735" s="2"/>
      <c r="G735" s="2"/>
      <c r="H735" s="2"/>
      <c r="I735" s="2"/>
      <c r="J735" s="2"/>
      <c r="K735" s="181"/>
      <c r="L735" s="2"/>
      <c r="M735" s="2"/>
      <c r="N735" s="2"/>
      <c r="O735" s="2"/>
      <c r="P735" s="2"/>
      <c r="Q735" s="157"/>
      <c r="R735" s="157"/>
      <c r="S735" s="157"/>
      <c r="T735" s="158"/>
      <c r="U735" s="2"/>
      <c r="V735" s="2"/>
      <c r="W735" s="2"/>
      <c r="X735" s="2"/>
      <c r="Y735" s="2"/>
      <c r="Z735" s="2"/>
    </row>
    <row r="736" ht="13.5" customHeight="1">
      <c r="A736" s="2"/>
      <c r="B736" s="2"/>
      <c r="C736" s="2"/>
      <c r="D736" s="2"/>
      <c r="E736" s="2"/>
      <c r="F736" s="2"/>
      <c r="G736" s="2"/>
      <c r="H736" s="2"/>
      <c r="I736" s="2"/>
      <c r="J736" s="2"/>
      <c r="K736" s="181"/>
      <c r="L736" s="2"/>
      <c r="M736" s="2"/>
      <c r="N736" s="2"/>
      <c r="O736" s="2"/>
      <c r="P736" s="2"/>
      <c r="Q736" s="157"/>
      <c r="R736" s="157"/>
      <c r="S736" s="157"/>
      <c r="T736" s="158"/>
      <c r="U736" s="2"/>
      <c r="V736" s="2"/>
      <c r="W736" s="2"/>
      <c r="X736" s="2"/>
      <c r="Y736" s="2"/>
      <c r="Z736" s="2"/>
    </row>
    <row r="737" ht="13.5" customHeight="1">
      <c r="A737" s="2"/>
      <c r="B737" s="2"/>
      <c r="C737" s="2"/>
      <c r="D737" s="2"/>
      <c r="E737" s="2"/>
      <c r="F737" s="2"/>
      <c r="G737" s="2"/>
      <c r="H737" s="2"/>
      <c r="I737" s="2"/>
      <c r="J737" s="2"/>
      <c r="K737" s="181"/>
      <c r="L737" s="2"/>
      <c r="M737" s="2"/>
      <c r="N737" s="2"/>
      <c r="O737" s="2"/>
      <c r="P737" s="2"/>
      <c r="Q737" s="157"/>
      <c r="R737" s="157"/>
      <c r="S737" s="157"/>
      <c r="T737" s="158"/>
      <c r="U737" s="2"/>
      <c r="V737" s="2"/>
      <c r="W737" s="2"/>
      <c r="X737" s="2"/>
      <c r="Y737" s="2"/>
      <c r="Z737" s="2"/>
    </row>
    <row r="738" ht="13.5" customHeight="1">
      <c r="A738" s="2"/>
      <c r="B738" s="2"/>
      <c r="C738" s="2"/>
      <c r="D738" s="2"/>
      <c r="E738" s="2"/>
      <c r="F738" s="2"/>
      <c r="G738" s="2"/>
      <c r="H738" s="2"/>
      <c r="I738" s="2"/>
      <c r="J738" s="2"/>
      <c r="K738" s="181"/>
      <c r="L738" s="2"/>
      <c r="M738" s="2"/>
      <c r="N738" s="2"/>
      <c r="O738" s="2"/>
      <c r="P738" s="2"/>
      <c r="Q738" s="157"/>
      <c r="R738" s="157"/>
      <c r="S738" s="157"/>
      <c r="T738" s="158"/>
      <c r="U738" s="2"/>
      <c r="V738" s="2"/>
      <c r="W738" s="2"/>
      <c r="X738" s="2"/>
      <c r="Y738" s="2"/>
      <c r="Z738" s="2"/>
    </row>
    <row r="739" ht="13.5" customHeight="1">
      <c r="A739" s="2"/>
      <c r="B739" s="2"/>
      <c r="C739" s="2"/>
      <c r="D739" s="2"/>
      <c r="E739" s="2"/>
      <c r="F739" s="2"/>
      <c r="G739" s="2"/>
      <c r="H739" s="2"/>
      <c r="I739" s="2"/>
      <c r="J739" s="2"/>
      <c r="K739" s="181"/>
      <c r="L739" s="2"/>
      <c r="M739" s="2"/>
      <c r="N739" s="2"/>
      <c r="O739" s="2"/>
      <c r="P739" s="2"/>
      <c r="Q739" s="157"/>
      <c r="R739" s="157"/>
      <c r="S739" s="157"/>
      <c r="T739" s="158"/>
      <c r="U739" s="2"/>
      <c r="V739" s="2"/>
      <c r="W739" s="2"/>
      <c r="X739" s="2"/>
      <c r="Y739" s="2"/>
      <c r="Z739" s="2"/>
    </row>
    <row r="740" ht="13.5" customHeight="1">
      <c r="A740" s="2"/>
      <c r="B740" s="2"/>
      <c r="C740" s="2"/>
      <c r="D740" s="2"/>
      <c r="E740" s="2"/>
      <c r="F740" s="2"/>
      <c r="G740" s="2"/>
      <c r="H740" s="2"/>
      <c r="I740" s="2"/>
      <c r="J740" s="2"/>
      <c r="K740" s="181"/>
      <c r="L740" s="2"/>
      <c r="M740" s="2"/>
      <c r="N740" s="2"/>
      <c r="O740" s="2"/>
      <c r="P740" s="2"/>
      <c r="Q740" s="157"/>
      <c r="R740" s="157"/>
      <c r="S740" s="157"/>
      <c r="T740" s="158"/>
      <c r="U740" s="2"/>
      <c r="V740" s="2"/>
      <c r="W740" s="2"/>
      <c r="X740" s="2"/>
      <c r="Y740" s="2"/>
      <c r="Z740" s="2"/>
    </row>
    <row r="741" ht="13.5" customHeight="1">
      <c r="A741" s="2"/>
      <c r="B741" s="2"/>
      <c r="C741" s="2"/>
      <c r="D741" s="2"/>
      <c r="E741" s="2"/>
      <c r="F741" s="2"/>
      <c r="G741" s="2"/>
      <c r="H741" s="2"/>
      <c r="I741" s="2"/>
      <c r="J741" s="2"/>
      <c r="K741" s="181"/>
      <c r="L741" s="2"/>
      <c r="M741" s="2"/>
      <c r="N741" s="2"/>
      <c r="O741" s="2"/>
      <c r="P741" s="2"/>
      <c r="Q741" s="157"/>
      <c r="R741" s="157"/>
      <c r="S741" s="157"/>
      <c r="T741" s="158"/>
      <c r="U741" s="2"/>
      <c r="V741" s="2"/>
      <c r="W741" s="2"/>
      <c r="X741" s="2"/>
      <c r="Y741" s="2"/>
      <c r="Z741" s="2"/>
    </row>
    <row r="742" ht="13.5" customHeight="1">
      <c r="A742" s="2"/>
      <c r="B742" s="2"/>
      <c r="C742" s="2"/>
      <c r="D742" s="2"/>
      <c r="E742" s="2"/>
      <c r="F742" s="2"/>
      <c r="G742" s="2"/>
      <c r="H742" s="2"/>
      <c r="I742" s="2"/>
      <c r="J742" s="2"/>
      <c r="K742" s="181"/>
      <c r="L742" s="2"/>
      <c r="M742" s="2"/>
      <c r="N742" s="2"/>
      <c r="O742" s="2"/>
      <c r="P742" s="2"/>
      <c r="Q742" s="157"/>
      <c r="R742" s="157"/>
      <c r="S742" s="157"/>
      <c r="T742" s="158"/>
      <c r="U742" s="2"/>
      <c r="V742" s="2"/>
      <c r="W742" s="2"/>
      <c r="X742" s="2"/>
      <c r="Y742" s="2"/>
      <c r="Z742" s="2"/>
    </row>
    <row r="743" ht="13.5" customHeight="1">
      <c r="A743" s="2"/>
      <c r="B743" s="2"/>
      <c r="C743" s="2"/>
      <c r="D743" s="2"/>
      <c r="E743" s="2"/>
      <c r="F743" s="2"/>
      <c r="G743" s="2"/>
      <c r="H743" s="2"/>
      <c r="I743" s="2"/>
      <c r="J743" s="2"/>
      <c r="K743" s="181"/>
      <c r="L743" s="2"/>
      <c r="M743" s="2"/>
      <c r="N743" s="2"/>
      <c r="O743" s="2"/>
      <c r="P743" s="2"/>
      <c r="Q743" s="157"/>
      <c r="R743" s="157"/>
      <c r="S743" s="157"/>
      <c r="T743" s="158"/>
      <c r="U743" s="2"/>
      <c r="V743" s="2"/>
      <c r="W743" s="2"/>
      <c r="X743" s="2"/>
      <c r="Y743" s="2"/>
      <c r="Z743" s="2"/>
    </row>
    <row r="744" ht="13.5" customHeight="1">
      <c r="A744" s="2"/>
      <c r="B744" s="2"/>
      <c r="C744" s="2"/>
      <c r="D744" s="2"/>
      <c r="E744" s="2"/>
      <c r="F744" s="2"/>
      <c r="G744" s="2"/>
      <c r="H744" s="2"/>
      <c r="I744" s="2"/>
      <c r="J744" s="2"/>
      <c r="K744" s="181"/>
      <c r="L744" s="2"/>
      <c r="M744" s="2"/>
      <c r="N744" s="2"/>
      <c r="O744" s="2"/>
      <c r="P744" s="2"/>
      <c r="Q744" s="157"/>
      <c r="R744" s="157"/>
      <c r="S744" s="157"/>
      <c r="T744" s="158"/>
      <c r="U744" s="2"/>
      <c r="V744" s="2"/>
      <c r="W744" s="2"/>
      <c r="X744" s="2"/>
      <c r="Y744" s="2"/>
      <c r="Z744" s="2"/>
    </row>
    <row r="745" ht="13.5" customHeight="1">
      <c r="A745" s="2"/>
      <c r="B745" s="2"/>
      <c r="C745" s="2"/>
      <c r="D745" s="2"/>
      <c r="E745" s="2"/>
      <c r="F745" s="2"/>
      <c r="G745" s="2"/>
      <c r="H745" s="2"/>
      <c r="I745" s="2"/>
      <c r="J745" s="2"/>
      <c r="K745" s="181"/>
      <c r="L745" s="2"/>
      <c r="M745" s="2"/>
      <c r="N745" s="2"/>
      <c r="O745" s="2"/>
      <c r="P745" s="2"/>
      <c r="Q745" s="157"/>
      <c r="R745" s="157"/>
      <c r="S745" s="157"/>
      <c r="T745" s="158"/>
      <c r="U745" s="2"/>
      <c r="V745" s="2"/>
      <c r="W745" s="2"/>
      <c r="X745" s="2"/>
      <c r="Y745" s="2"/>
      <c r="Z745" s="2"/>
    </row>
    <row r="746" ht="13.5" customHeight="1">
      <c r="A746" s="2"/>
      <c r="B746" s="2"/>
      <c r="C746" s="2"/>
      <c r="D746" s="2"/>
      <c r="E746" s="2"/>
      <c r="F746" s="2"/>
      <c r="G746" s="2"/>
      <c r="H746" s="2"/>
      <c r="I746" s="2"/>
      <c r="J746" s="2"/>
      <c r="K746" s="181"/>
      <c r="L746" s="2"/>
      <c r="M746" s="2"/>
      <c r="N746" s="2"/>
      <c r="O746" s="2"/>
      <c r="P746" s="2"/>
      <c r="Q746" s="157"/>
      <c r="R746" s="157"/>
      <c r="S746" s="157"/>
      <c r="T746" s="158"/>
      <c r="U746" s="2"/>
      <c r="V746" s="2"/>
      <c r="W746" s="2"/>
      <c r="X746" s="2"/>
      <c r="Y746" s="2"/>
      <c r="Z746" s="2"/>
    </row>
    <row r="747" ht="13.5" customHeight="1">
      <c r="A747" s="2"/>
      <c r="B747" s="2"/>
      <c r="C747" s="2"/>
      <c r="D747" s="2"/>
      <c r="E747" s="2"/>
      <c r="F747" s="2"/>
      <c r="G747" s="2"/>
      <c r="H747" s="2"/>
      <c r="I747" s="2"/>
      <c r="J747" s="2"/>
      <c r="K747" s="181"/>
      <c r="L747" s="2"/>
      <c r="M747" s="2"/>
      <c r="N747" s="2"/>
      <c r="O747" s="2"/>
      <c r="P747" s="2"/>
      <c r="Q747" s="157"/>
      <c r="R747" s="157"/>
      <c r="S747" s="157"/>
      <c r="T747" s="158"/>
      <c r="U747" s="2"/>
      <c r="V747" s="2"/>
      <c r="W747" s="2"/>
      <c r="X747" s="2"/>
      <c r="Y747" s="2"/>
      <c r="Z747" s="2"/>
    </row>
    <row r="748" ht="13.5" customHeight="1">
      <c r="A748" s="2"/>
      <c r="B748" s="2"/>
      <c r="C748" s="2"/>
      <c r="D748" s="2"/>
      <c r="E748" s="2"/>
      <c r="F748" s="2"/>
      <c r="G748" s="2"/>
      <c r="H748" s="2"/>
      <c r="I748" s="2"/>
      <c r="J748" s="2"/>
      <c r="K748" s="181"/>
      <c r="L748" s="2"/>
      <c r="M748" s="2"/>
      <c r="N748" s="2"/>
      <c r="O748" s="2"/>
      <c r="P748" s="2"/>
      <c r="Q748" s="157"/>
      <c r="R748" s="157"/>
      <c r="S748" s="157"/>
      <c r="T748" s="158"/>
      <c r="U748" s="2"/>
      <c r="V748" s="2"/>
      <c r="W748" s="2"/>
      <c r="X748" s="2"/>
      <c r="Y748" s="2"/>
      <c r="Z748" s="2"/>
    </row>
    <row r="749" ht="13.5" customHeight="1">
      <c r="A749" s="2"/>
      <c r="B749" s="2"/>
      <c r="C749" s="2"/>
      <c r="D749" s="2"/>
      <c r="E749" s="2"/>
      <c r="F749" s="2"/>
      <c r="G749" s="2"/>
      <c r="H749" s="2"/>
      <c r="I749" s="2"/>
      <c r="J749" s="2"/>
      <c r="K749" s="181"/>
      <c r="L749" s="2"/>
      <c r="M749" s="2"/>
      <c r="N749" s="2"/>
      <c r="O749" s="2"/>
      <c r="P749" s="2"/>
      <c r="Q749" s="157"/>
      <c r="R749" s="157"/>
      <c r="S749" s="157"/>
      <c r="T749" s="158"/>
      <c r="U749" s="2"/>
      <c r="V749" s="2"/>
      <c r="W749" s="2"/>
      <c r="X749" s="2"/>
      <c r="Y749" s="2"/>
      <c r="Z749" s="2"/>
    </row>
    <row r="750" ht="13.5" customHeight="1">
      <c r="A750" s="2"/>
      <c r="B750" s="2"/>
      <c r="C750" s="2"/>
      <c r="D750" s="2"/>
      <c r="E750" s="2"/>
      <c r="F750" s="2"/>
      <c r="G750" s="2"/>
      <c r="H750" s="2"/>
      <c r="I750" s="2"/>
      <c r="J750" s="2"/>
      <c r="K750" s="181"/>
      <c r="L750" s="2"/>
      <c r="M750" s="2"/>
      <c r="N750" s="2"/>
      <c r="O750" s="2"/>
      <c r="P750" s="2"/>
      <c r="Q750" s="157"/>
      <c r="R750" s="157"/>
      <c r="S750" s="157"/>
      <c r="T750" s="158"/>
      <c r="U750" s="2"/>
      <c r="V750" s="2"/>
      <c r="W750" s="2"/>
      <c r="X750" s="2"/>
      <c r="Y750" s="2"/>
      <c r="Z750" s="2"/>
    </row>
    <row r="751" ht="13.5" customHeight="1">
      <c r="A751" s="2"/>
      <c r="B751" s="2"/>
      <c r="C751" s="2"/>
      <c r="D751" s="2"/>
      <c r="E751" s="2"/>
      <c r="F751" s="2"/>
      <c r="G751" s="2"/>
      <c r="H751" s="2"/>
      <c r="I751" s="2"/>
      <c r="J751" s="2"/>
      <c r="K751" s="181"/>
      <c r="L751" s="2"/>
      <c r="M751" s="2"/>
      <c r="N751" s="2"/>
      <c r="O751" s="2"/>
      <c r="P751" s="2"/>
      <c r="Q751" s="157"/>
      <c r="R751" s="157"/>
      <c r="S751" s="157"/>
      <c r="T751" s="158"/>
      <c r="U751" s="2"/>
      <c r="V751" s="2"/>
      <c r="W751" s="2"/>
      <c r="X751" s="2"/>
      <c r="Y751" s="2"/>
      <c r="Z751" s="2"/>
    </row>
    <row r="752" ht="13.5" customHeight="1">
      <c r="A752" s="2"/>
      <c r="B752" s="2"/>
      <c r="C752" s="2"/>
      <c r="D752" s="2"/>
      <c r="E752" s="2"/>
      <c r="F752" s="2"/>
      <c r="G752" s="2"/>
      <c r="H752" s="2"/>
      <c r="I752" s="2"/>
      <c r="J752" s="2"/>
      <c r="K752" s="181"/>
      <c r="L752" s="2"/>
      <c r="M752" s="2"/>
      <c r="N752" s="2"/>
      <c r="O752" s="2"/>
      <c r="P752" s="2"/>
      <c r="Q752" s="157"/>
      <c r="R752" s="157"/>
      <c r="S752" s="157"/>
      <c r="T752" s="158"/>
      <c r="U752" s="2"/>
      <c r="V752" s="2"/>
      <c r="W752" s="2"/>
      <c r="X752" s="2"/>
      <c r="Y752" s="2"/>
      <c r="Z752" s="2"/>
    </row>
    <row r="753" ht="13.5" customHeight="1">
      <c r="A753" s="2"/>
      <c r="B753" s="2"/>
      <c r="C753" s="2"/>
      <c r="D753" s="2"/>
      <c r="E753" s="2"/>
      <c r="F753" s="2"/>
      <c r="G753" s="2"/>
      <c r="H753" s="2"/>
      <c r="I753" s="2"/>
      <c r="J753" s="2"/>
      <c r="K753" s="181"/>
      <c r="L753" s="2"/>
      <c r="M753" s="2"/>
      <c r="N753" s="2"/>
      <c r="O753" s="2"/>
      <c r="P753" s="2"/>
      <c r="Q753" s="157"/>
      <c r="R753" s="157"/>
      <c r="S753" s="157"/>
      <c r="T753" s="158"/>
      <c r="U753" s="2"/>
      <c r="V753" s="2"/>
      <c r="W753" s="2"/>
      <c r="X753" s="2"/>
      <c r="Y753" s="2"/>
      <c r="Z753" s="2"/>
    </row>
    <row r="754" ht="13.5" customHeight="1">
      <c r="A754" s="2"/>
      <c r="B754" s="2"/>
      <c r="C754" s="2"/>
      <c r="D754" s="2"/>
      <c r="E754" s="2"/>
      <c r="F754" s="2"/>
      <c r="G754" s="2"/>
      <c r="H754" s="2"/>
      <c r="I754" s="2"/>
      <c r="J754" s="2"/>
      <c r="K754" s="181"/>
      <c r="L754" s="2"/>
      <c r="M754" s="2"/>
      <c r="N754" s="2"/>
      <c r="O754" s="2"/>
      <c r="P754" s="2"/>
      <c r="Q754" s="157"/>
      <c r="R754" s="157"/>
      <c r="S754" s="157"/>
      <c r="T754" s="158"/>
      <c r="U754" s="2"/>
      <c r="V754" s="2"/>
      <c r="W754" s="2"/>
      <c r="X754" s="2"/>
      <c r="Y754" s="2"/>
      <c r="Z754" s="2"/>
    </row>
    <row r="755" ht="13.5" customHeight="1">
      <c r="A755" s="2"/>
      <c r="B755" s="2"/>
      <c r="C755" s="2"/>
      <c r="D755" s="2"/>
      <c r="E755" s="2"/>
      <c r="F755" s="2"/>
      <c r="G755" s="2"/>
      <c r="H755" s="2"/>
      <c r="I755" s="2"/>
      <c r="J755" s="2"/>
      <c r="K755" s="181"/>
      <c r="L755" s="2"/>
      <c r="M755" s="2"/>
      <c r="N755" s="2"/>
      <c r="O755" s="2"/>
      <c r="P755" s="2"/>
      <c r="Q755" s="157"/>
      <c r="R755" s="157"/>
      <c r="S755" s="157"/>
      <c r="T755" s="158"/>
      <c r="U755" s="2"/>
      <c r="V755" s="2"/>
      <c r="W755" s="2"/>
      <c r="X755" s="2"/>
      <c r="Y755" s="2"/>
      <c r="Z755" s="2"/>
    </row>
    <row r="756" ht="13.5" customHeight="1">
      <c r="A756" s="2"/>
      <c r="B756" s="2"/>
      <c r="C756" s="2"/>
      <c r="D756" s="2"/>
      <c r="E756" s="2"/>
      <c r="F756" s="2"/>
      <c r="G756" s="2"/>
      <c r="H756" s="2"/>
      <c r="I756" s="2"/>
      <c r="J756" s="2"/>
      <c r="K756" s="181"/>
      <c r="L756" s="2"/>
      <c r="M756" s="2"/>
      <c r="N756" s="2"/>
      <c r="O756" s="2"/>
      <c r="P756" s="2"/>
      <c r="Q756" s="157"/>
      <c r="R756" s="157"/>
      <c r="S756" s="157"/>
      <c r="T756" s="158"/>
      <c r="U756" s="2"/>
      <c r="V756" s="2"/>
      <c r="W756" s="2"/>
      <c r="X756" s="2"/>
      <c r="Y756" s="2"/>
      <c r="Z756" s="2"/>
    </row>
    <row r="757" ht="13.5" customHeight="1">
      <c r="A757" s="2"/>
      <c r="B757" s="2"/>
      <c r="C757" s="2"/>
      <c r="D757" s="2"/>
      <c r="E757" s="2"/>
      <c r="F757" s="2"/>
      <c r="G757" s="2"/>
      <c r="H757" s="2"/>
      <c r="I757" s="2"/>
      <c r="J757" s="2"/>
      <c r="K757" s="181"/>
      <c r="L757" s="2"/>
      <c r="M757" s="2"/>
      <c r="N757" s="2"/>
      <c r="O757" s="2"/>
      <c r="P757" s="2"/>
      <c r="Q757" s="157"/>
      <c r="R757" s="157"/>
      <c r="S757" s="157"/>
      <c r="T757" s="158"/>
      <c r="U757" s="2"/>
      <c r="V757" s="2"/>
      <c r="W757" s="2"/>
      <c r="X757" s="2"/>
      <c r="Y757" s="2"/>
      <c r="Z757" s="2"/>
    </row>
    <row r="758" ht="13.5" customHeight="1">
      <c r="A758" s="2"/>
      <c r="B758" s="2"/>
      <c r="C758" s="2"/>
      <c r="D758" s="2"/>
      <c r="E758" s="2"/>
      <c r="F758" s="2"/>
      <c r="G758" s="2"/>
      <c r="H758" s="2"/>
      <c r="I758" s="2"/>
      <c r="J758" s="2"/>
      <c r="K758" s="181"/>
      <c r="L758" s="2"/>
      <c r="M758" s="2"/>
      <c r="N758" s="2"/>
      <c r="O758" s="2"/>
      <c r="P758" s="2"/>
      <c r="Q758" s="157"/>
      <c r="R758" s="157"/>
      <c r="S758" s="157"/>
      <c r="T758" s="158"/>
      <c r="U758" s="2"/>
      <c r="V758" s="2"/>
      <c r="W758" s="2"/>
      <c r="X758" s="2"/>
      <c r="Y758" s="2"/>
      <c r="Z758" s="2"/>
    </row>
    <row r="759" ht="13.5" customHeight="1">
      <c r="A759" s="2"/>
      <c r="B759" s="2"/>
      <c r="C759" s="2"/>
      <c r="D759" s="2"/>
      <c r="E759" s="2"/>
      <c r="F759" s="2"/>
      <c r="G759" s="2"/>
      <c r="H759" s="2"/>
      <c r="I759" s="2"/>
      <c r="J759" s="2"/>
      <c r="K759" s="181"/>
      <c r="L759" s="2"/>
      <c r="M759" s="2"/>
      <c r="N759" s="2"/>
      <c r="O759" s="2"/>
      <c r="P759" s="2"/>
      <c r="Q759" s="157"/>
      <c r="R759" s="157"/>
      <c r="S759" s="157"/>
      <c r="T759" s="158"/>
      <c r="U759" s="2"/>
      <c r="V759" s="2"/>
      <c r="W759" s="2"/>
      <c r="X759" s="2"/>
      <c r="Y759" s="2"/>
      <c r="Z759" s="2"/>
    </row>
    <row r="760" ht="13.5" customHeight="1">
      <c r="A760" s="2"/>
      <c r="B760" s="2"/>
      <c r="C760" s="2"/>
      <c r="D760" s="2"/>
      <c r="E760" s="2"/>
      <c r="F760" s="2"/>
      <c r="G760" s="2"/>
      <c r="H760" s="2"/>
      <c r="I760" s="2"/>
      <c r="J760" s="2"/>
      <c r="K760" s="181"/>
      <c r="L760" s="2"/>
      <c r="M760" s="2"/>
      <c r="N760" s="2"/>
      <c r="O760" s="2"/>
      <c r="P760" s="2"/>
      <c r="Q760" s="157"/>
      <c r="R760" s="157"/>
      <c r="S760" s="157"/>
      <c r="T760" s="158"/>
      <c r="U760" s="2"/>
      <c r="V760" s="2"/>
      <c r="W760" s="2"/>
      <c r="X760" s="2"/>
      <c r="Y760" s="2"/>
      <c r="Z760" s="2"/>
    </row>
    <row r="761" ht="13.5" customHeight="1">
      <c r="A761" s="2"/>
      <c r="B761" s="2"/>
      <c r="C761" s="2"/>
      <c r="D761" s="2"/>
      <c r="E761" s="2"/>
      <c r="F761" s="2"/>
      <c r="G761" s="2"/>
      <c r="H761" s="2"/>
      <c r="I761" s="2"/>
      <c r="J761" s="2"/>
      <c r="K761" s="181"/>
      <c r="L761" s="2"/>
      <c r="M761" s="2"/>
      <c r="N761" s="2"/>
      <c r="O761" s="2"/>
      <c r="P761" s="2"/>
      <c r="Q761" s="157"/>
      <c r="R761" s="157"/>
      <c r="S761" s="157"/>
      <c r="T761" s="158"/>
      <c r="U761" s="2"/>
      <c r="V761" s="2"/>
      <c r="W761" s="2"/>
      <c r="X761" s="2"/>
      <c r="Y761" s="2"/>
      <c r="Z761" s="2"/>
    </row>
    <row r="762" ht="13.5" customHeight="1">
      <c r="A762" s="2"/>
      <c r="B762" s="2"/>
      <c r="C762" s="2"/>
      <c r="D762" s="2"/>
      <c r="E762" s="2"/>
      <c r="F762" s="2"/>
      <c r="G762" s="2"/>
      <c r="H762" s="2"/>
      <c r="I762" s="2"/>
      <c r="J762" s="2"/>
      <c r="K762" s="181"/>
      <c r="L762" s="2"/>
      <c r="M762" s="2"/>
      <c r="N762" s="2"/>
      <c r="O762" s="2"/>
      <c r="P762" s="2"/>
      <c r="Q762" s="157"/>
      <c r="R762" s="157"/>
      <c r="S762" s="157"/>
      <c r="T762" s="158"/>
      <c r="U762" s="2"/>
      <c r="V762" s="2"/>
      <c r="W762" s="2"/>
      <c r="X762" s="2"/>
      <c r="Y762" s="2"/>
      <c r="Z762" s="2"/>
    </row>
    <row r="763" ht="13.5" customHeight="1">
      <c r="A763" s="2"/>
      <c r="B763" s="2"/>
      <c r="C763" s="2"/>
      <c r="D763" s="2"/>
      <c r="E763" s="2"/>
      <c r="F763" s="2"/>
      <c r="G763" s="2"/>
      <c r="H763" s="2"/>
      <c r="I763" s="2"/>
      <c r="J763" s="2"/>
      <c r="K763" s="181"/>
      <c r="L763" s="2"/>
      <c r="M763" s="2"/>
      <c r="N763" s="2"/>
      <c r="O763" s="2"/>
      <c r="P763" s="2"/>
      <c r="Q763" s="157"/>
      <c r="R763" s="157"/>
      <c r="S763" s="157"/>
      <c r="T763" s="158"/>
      <c r="U763" s="2"/>
      <c r="V763" s="2"/>
      <c r="W763" s="2"/>
      <c r="X763" s="2"/>
      <c r="Y763" s="2"/>
      <c r="Z763" s="2"/>
    </row>
    <row r="764" ht="13.5" customHeight="1">
      <c r="A764" s="2"/>
      <c r="B764" s="2"/>
      <c r="C764" s="2"/>
      <c r="D764" s="2"/>
      <c r="E764" s="2"/>
      <c r="F764" s="2"/>
      <c r="G764" s="2"/>
      <c r="H764" s="2"/>
      <c r="I764" s="2"/>
      <c r="J764" s="2"/>
      <c r="K764" s="181"/>
      <c r="L764" s="2"/>
      <c r="M764" s="2"/>
      <c r="N764" s="2"/>
      <c r="O764" s="2"/>
      <c r="P764" s="2"/>
      <c r="Q764" s="157"/>
      <c r="R764" s="157"/>
      <c r="S764" s="157"/>
      <c r="T764" s="158"/>
      <c r="U764" s="2"/>
      <c r="V764" s="2"/>
      <c r="W764" s="2"/>
      <c r="X764" s="2"/>
      <c r="Y764" s="2"/>
      <c r="Z764" s="2"/>
    </row>
    <row r="765" ht="13.5" customHeight="1">
      <c r="A765" s="2"/>
      <c r="B765" s="2"/>
      <c r="C765" s="2"/>
      <c r="D765" s="2"/>
      <c r="E765" s="2"/>
      <c r="F765" s="2"/>
      <c r="G765" s="2"/>
      <c r="H765" s="2"/>
      <c r="I765" s="2"/>
      <c r="J765" s="2"/>
      <c r="K765" s="181"/>
      <c r="L765" s="2"/>
      <c r="M765" s="2"/>
      <c r="N765" s="2"/>
      <c r="O765" s="2"/>
      <c r="P765" s="2"/>
      <c r="Q765" s="157"/>
      <c r="R765" s="157"/>
      <c r="S765" s="157"/>
      <c r="T765" s="158"/>
      <c r="U765" s="2"/>
      <c r="V765" s="2"/>
      <c r="W765" s="2"/>
      <c r="X765" s="2"/>
      <c r="Y765" s="2"/>
      <c r="Z765" s="2"/>
    </row>
    <row r="766" ht="13.5" customHeight="1">
      <c r="A766" s="2"/>
      <c r="B766" s="2"/>
      <c r="C766" s="2"/>
      <c r="D766" s="2"/>
      <c r="E766" s="2"/>
      <c r="F766" s="2"/>
      <c r="G766" s="2"/>
      <c r="H766" s="2"/>
      <c r="I766" s="2"/>
      <c r="J766" s="2"/>
      <c r="K766" s="181"/>
      <c r="L766" s="2"/>
      <c r="M766" s="2"/>
      <c r="N766" s="2"/>
      <c r="O766" s="2"/>
      <c r="P766" s="2"/>
      <c r="Q766" s="157"/>
      <c r="R766" s="157"/>
      <c r="S766" s="157"/>
      <c r="T766" s="158"/>
      <c r="U766" s="2"/>
      <c r="V766" s="2"/>
      <c r="W766" s="2"/>
      <c r="X766" s="2"/>
      <c r="Y766" s="2"/>
      <c r="Z766" s="2"/>
    </row>
    <row r="767" ht="13.5" customHeight="1">
      <c r="A767" s="2"/>
      <c r="B767" s="2"/>
      <c r="C767" s="2"/>
      <c r="D767" s="2"/>
      <c r="E767" s="2"/>
      <c r="F767" s="2"/>
      <c r="G767" s="2"/>
      <c r="H767" s="2"/>
      <c r="I767" s="2"/>
      <c r="J767" s="2"/>
      <c r="K767" s="181"/>
      <c r="L767" s="2"/>
      <c r="M767" s="2"/>
      <c r="N767" s="2"/>
      <c r="O767" s="2"/>
      <c r="P767" s="2"/>
      <c r="Q767" s="157"/>
      <c r="R767" s="157"/>
      <c r="S767" s="157"/>
      <c r="T767" s="158"/>
      <c r="U767" s="2"/>
      <c r="V767" s="2"/>
      <c r="W767" s="2"/>
      <c r="X767" s="2"/>
      <c r="Y767" s="2"/>
      <c r="Z767" s="2"/>
    </row>
    <row r="768" ht="13.5" customHeight="1">
      <c r="A768" s="2"/>
      <c r="B768" s="2"/>
      <c r="C768" s="2"/>
      <c r="D768" s="2"/>
      <c r="E768" s="2"/>
      <c r="F768" s="2"/>
      <c r="G768" s="2"/>
      <c r="H768" s="2"/>
      <c r="I768" s="2"/>
      <c r="J768" s="2"/>
      <c r="K768" s="181"/>
      <c r="L768" s="2"/>
      <c r="M768" s="2"/>
      <c r="N768" s="2"/>
      <c r="O768" s="2"/>
      <c r="P768" s="2"/>
      <c r="Q768" s="157"/>
      <c r="R768" s="157"/>
      <c r="S768" s="157"/>
      <c r="T768" s="158"/>
      <c r="U768" s="2"/>
      <c r="V768" s="2"/>
      <c r="W768" s="2"/>
      <c r="X768" s="2"/>
      <c r="Y768" s="2"/>
      <c r="Z768" s="2"/>
    </row>
    <row r="769" ht="13.5" customHeight="1">
      <c r="A769" s="2"/>
      <c r="B769" s="2"/>
      <c r="C769" s="2"/>
      <c r="D769" s="2"/>
      <c r="E769" s="2"/>
      <c r="F769" s="2"/>
      <c r="G769" s="2"/>
      <c r="H769" s="2"/>
      <c r="I769" s="2"/>
      <c r="J769" s="2"/>
      <c r="K769" s="181"/>
      <c r="L769" s="2"/>
      <c r="M769" s="2"/>
      <c r="N769" s="2"/>
      <c r="O769" s="2"/>
      <c r="P769" s="2"/>
      <c r="Q769" s="157"/>
      <c r="R769" s="157"/>
      <c r="S769" s="157"/>
      <c r="T769" s="158"/>
      <c r="U769" s="2"/>
      <c r="V769" s="2"/>
      <c r="W769" s="2"/>
      <c r="X769" s="2"/>
      <c r="Y769" s="2"/>
      <c r="Z769" s="2"/>
    </row>
    <row r="770" ht="13.5" customHeight="1">
      <c r="A770" s="2"/>
      <c r="B770" s="2"/>
      <c r="C770" s="2"/>
      <c r="D770" s="2"/>
      <c r="E770" s="2"/>
      <c r="F770" s="2"/>
      <c r="G770" s="2"/>
      <c r="H770" s="2"/>
      <c r="I770" s="2"/>
      <c r="J770" s="2"/>
      <c r="K770" s="181"/>
      <c r="L770" s="2"/>
      <c r="M770" s="2"/>
      <c r="N770" s="2"/>
      <c r="O770" s="2"/>
      <c r="P770" s="2"/>
      <c r="Q770" s="157"/>
      <c r="R770" s="157"/>
      <c r="S770" s="157"/>
      <c r="T770" s="158"/>
      <c r="U770" s="2"/>
      <c r="V770" s="2"/>
      <c r="W770" s="2"/>
      <c r="X770" s="2"/>
      <c r="Y770" s="2"/>
      <c r="Z770" s="2"/>
    </row>
    <row r="771" ht="13.5" customHeight="1">
      <c r="A771" s="2"/>
      <c r="B771" s="2"/>
      <c r="C771" s="2"/>
      <c r="D771" s="2"/>
      <c r="E771" s="2"/>
      <c r="F771" s="2"/>
      <c r="G771" s="2"/>
      <c r="H771" s="2"/>
      <c r="I771" s="2"/>
      <c r="J771" s="2"/>
      <c r="K771" s="181"/>
      <c r="L771" s="2"/>
      <c r="M771" s="2"/>
      <c r="N771" s="2"/>
      <c r="O771" s="2"/>
      <c r="P771" s="2"/>
      <c r="Q771" s="157"/>
      <c r="R771" s="157"/>
      <c r="S771" s="157"/>
      <c r="T771" s="158"/>
      <c r="U771" s="2"/>
      <c r="V771" s="2"/>
      <c r="W771" s="2"/>
      <c r="X771" s="2"/>
      <c r="Y771" s="2"/>
      <c r="Z771" s="2"/>
    </row>
    <row r="772" ht="13.5" customHeight="1">
      <c r="A772" s="2"/>
      <c r="B772" s="2"/>
      <c r="C772" s="2"/>
      <c r="D772" s="2"/>
      <c r="E772" s="2"/>
      <c r="F772" s="2"/>
      <c r="G772" s="2"/>
      <c r="H772" s="2"/>
      <c r="I772" s="2"/>
      <c r="J772" s="2"/>
      <c r="K772" s="181"/>
      <c r="L772" s="2"/>
      <c r="M772" s="2"/>
      <c r="N772" s="2"/>
      <c r="O772" s="2"/>
      <c r="P772" s="2"/>
      <c r="Q772" s="157"/>
      <c r="R772" s="157"/>
      <c r="S772" s="157"/>
      <c r="T772" s="158"/>
      <c r="U772" s="2"/>
      <c r="V772" s="2"/>
      <c r="W772" s="2"/>
      <c r="X772" s="2"/>
      <c r="Y772" s="2"/>
      <c r="Z772" s="2"/>
    </row>
    <row r="773" ht="13.5" customHeight="1">
      <c r="A773" s="2"/>
      <c r="B773" s="2"/>
      <c r="C773" s="2"/>
      <c r="D773" s="2"/>
      <c r="E773" s="2"/>
      <c r="F773" s="2"/>
      <c r="G773" s="2"/>
      <c r="H773" s="2"/>
      <c r="I773" s="2"/>
      <c r="J773" s="2"/>
      <c r="K773" s="181"/>
      <c r="L773" s="2"/>
      <c r="M773" s="2"/>
      <c r="N773" s="2"/>
      <c r="O773" s="2"/>
      <c r="P773" s="2"/>
      <c r="Q773" s="157"/>
      <c r="R773" s="157"/>
      <c r="S773" s="157"/>
      <c r="T773" s="158"/>
      <c r="U773" s="2"/>
      <c r="V773" s="2"/>
      <c r="W773" s="2"/>
      <c r="X773" s="2"/>
      <c r="Y773" s="2"/>
      <c r="Z773" s="2"/>
    </row>
    <row r="774" ht="13.5" customHeight="1">
      <c r="A774" s="2"/>
      <c r="B774" s="2"/>
      <c r="C774" s="2"/>
      <c r="D774" s="2"/>
      <c r="E774" s="2"/>
      <c r="F774" s="2"/>
      <c r="G774" s="2"/>
      <c r="H774" s="2"/>
      <c r="I774" s="2"/>
      <c r="J774" s="2"/>
      <c r="K774" s="181"/>
      <c r="L774" s="2"/>
      <c r="M774" s="2"/>
      <c r="N774" s="2"/>
      <c r="O774" s="2"/>
      <c r="P774" s="2"/>
      <c r="Q774" s="157"/>
      <c r="R774" s="157"/>
      <c r="S774" s="157"/>
      <c r="T774" s="158"/>
      <c r="U774" s="2"/>
      <c r="V774" s="2"/>
      <c r="W774" s="2"/>
      <c r="X774" s="2"/>
      <c r="Y774" s="2"/>
      <c r="Z774" s="2"/>
    </row>
    <row r="775" ht="13.5" customHeight="1">
      <c r="A775" s="2"/>
      <c r="B775" s="2"/>
      <c r="C775" s="2"/>
      <c r="D775" s="2"/>
      <c r="E775" s="2"/>
      <c r="F775" s="2"/>
      <c r="G775" s="2"/>
      <c r="H775" s="2"/>
      <c r="I775" s="2"/>
      <c r="J775" s="2"/>
      <c r="K775" s="181"/>
      <c r="L775" s="2"/>
      <c r="M775" s="2"/>
      <c r="N775" s="2"/>
      <c r="O775" s="2"/>
      <c r="P775" s="2"/>
      <c r="Q775" s="157"/>
      <c r="R775" s="157"/>
      <c r="S775" s="157"/>
      <c r="T775" s="158"/>
      <c r="U775" s="2"/>
      <c r="V775" s="2"/>
      <c r="W775" s="2"/>
      <c r="X775" s="2"/>
      <c r="Y775" s="2"/>
      <c r="Z775" s="2"/>
    </row>
    <row r="776" ht="13.5" customHeight="1">
      <c r="A776" s="2"/>
      <c r="B776" s="2"/>
      <c r="C776" s="2"/>
      <c r="D776" s="2"/>
      <c r="E776" s="2"/>
      <c r="F776" s="2"/>
      <c r="G776" s="2"/>
      <c r="H776" s="2"/>
      <c r="I776" s="2"/>
      <c r="J776" s="2"/>
      <c r="K776" s="181"/>
      <c r="L776" s="2"/>
      <c r="M776" s="2"/>
      <c r="N776" s="2"/>
      <c r="O776" s="2"/>
      <c r="P776" s="2"/>
      <c r="Q776" s="157"/>
      <c r="R776" s="157"/>
      <c r="S776" s="157"/>
      <c r="T776" s="158"/>
      <c r="U776" s="2"/>
      <c r="V776" s="2"/>
      <c r="W776" s="2"/>
      <c r="X776" s="2"/>
      <c r="Y776" s="2"/>
      <c r="Z776" s="2"/>
    </row>
    <row r="777" ht="13.5" customHeight="1">
      <c r="A777" s="2"/>
      <c r="B777" s="2"/>
      <c r="C777" s="2"/>
      <c r="D777" s="2"/>
      <c r="E777" s="2"/>
      <c r="F777" s="2"/>
      <c r="G777" s="2"/>
      <c r="H777" s="2"/>
      <c r="I777" s="2"/>
      <c r="J777" s="2"/>
      <c r="K777" s="181"/>
      <c r="L777" s="2"/>
      <c r="M777" s="2"/>
      <c r="N777" s="2"/>
      <c r="O777" s="2"/>
      <c r="P777" s="2"/>
      <c r="Q777" s="157"/>
      <c r="R777" s="157"/>
      <c r="S777" s="157"/>
      <c r="T777" s="158"/>
      <c r="U777" s="2"/>
      <c r="V777" s="2"/>
      <c r="W777" s="2"/>
      <c r="X777" s="2"/>
      <c r="Y777" s="2"/>
      <c r="Z777" s="2"/>
    </row>
    <row r="778" ht="13.5" customHeight="1">
      <c r="A778" s="2"/>
      <c r="B778" s="2"/>
      <c r="C778" s="2"/>
      <c r="D778" s="2"/>
      <c r="E778" s="2"/>
      <c r="F778" s="2"/>
      <c r="G778" s="2"/>
      <c r="H778" s="2"/>
      <c r="I778" s="2"/>
      <c r="J778" s="2"/>
      <c r="K778" s="181"/>
      <c r="L778" s="2"/>
      <c r="M778" s="2"/>
      <c r="N778" s="2"/>
      <c r="O778" s="2"/>
      <c r="P778" s="2"/>
      <c r="Q778" s="157"/>
      <c r="R778" s="157"/>
      <c r="S778" s="157"/>
      <c r="T778" s="158"/>
      <c r="U778" s="2"/>
      <c r="V778" s="2"/>
      <c r="W778" s="2"/>
      <c r="X778" s="2"/>
      <c r="Y778" s="2"/>
      <c r="Z778" s="2"/>
    </row>
    <row r="779" ht="13.5" customHeight="1">
      <c r="A779" s="2"/>
      <c r="B779" s="2"/>
      <c r="C779" s="2"/>
      <c r="D779" s="2"/>
      <c r="E779" s="2"/>
      <c r="F779" s="2"/>
      <c r="G779" s="2"/>
      <c r="H779" s="2"/>
      <c r="I779" s="2"/>
      <c r="J779" s="2"/>
      <c r="K779" s="181"/>
      <c r="L779" s="2"/>
      <c r="M779" s="2"/>
      <c r="N779" s="2"/>
      <c r="O779" s="2"/>
      <c r="P779" s="2"/>
      <c r="Q779" s="157"/>
      <c r="R779" s="157"/>
      <c r="S779" s="157"/>
      <c r="T779" s="158"/>
      <c r="U779" s="2"/>
      <c r="V779" s="2"/>
      <c r="W779" s="2"/>
      <c r="X779" s="2"/>
      <c r="Y779" s="2"/>
      <c r="Z779" s="2"/>
    </row>
    <row r="780" ht="13.5" customHeight="1">
      <c r="A780" s="2"/>
      <c r="B780" s="2"/>
      <c r="C780" s="2"/>
      <c r="D780" s="2"/>
      <c r="E780" s="2"/>
      <c r="F780" s="2"/>
      <c r="G780" s="2"/>
      <c r="H780" s="2"/>
      <c r="I780" s="2"/>
      <c r="J780" s="2"/>
      <c r="K780" s="181"/>
      <c r="L780" s="2"/>
      <c r="M780" s="2"/>
      <c r="N780" s="2"/>
      <c r="O780" s="2"/>
      <c r="P780" s="2"/>
      <c r="Q780" s="157"/>
      <c r="R780" s="157"/>
      <c r="S780" s="157"/>
      <c r="T780" s="158"/>
      <c r="U780" s="2"/>
      <c r="V780" s="2"/>
      <c r="W780" s="2"/>
      <c r="X780" s="2"/>
      <c r="Y780" s="2"/>
      <c r="Z780" s="2"/>
    </row>
    <row r="781" ht="13.5" customHeight="1">
      <c r="A781" s="2"/>
      <c r="B781" s="2"/>
      <c r="C781" s="2"/>
      <c r="D781" s="2"/>
      <c r="E781" s="2"/>
      <c r="F781" s="2"/>
      <c r="G781" s="2"/>
      <c r="H781" s="2"/>
      <c r="I781" s="2"/>
      <c r="J781" s="2"/>
      <c r="K781" s="181"/>
      <c r="L781" s="2"/>
      <c r="M781" s="2"/>
      <c r="N781" s="2"/>
      <c r="O781" s="2"/>
      <c r="P781" s="2"/>
      <c r="Q781" s="157"/>
      <c r="R781" s="157"/>
      <c r="S781" s="157"/>
      <c r="T781" s="158"/>
      <c r="U781" s="2"/>
      <c r="V781" s="2"/>
      <c r="W781" s="2"/>
      <c r="X781" s="2"/>
      <c r="Y781" s="2"/>
      <c r="Z781" s="2"/>
    </row>
    <row r="782" ht="13.5" customHeight="1">
      <c r="A782" s="2"/>
      <c r="B782" s="2"/>
      <c r="C782" s="2"/>
      <c r="D782" s="2"/>
      <c r="E782" s="2"/>
      <c r="F782" s="2"/>
      <c r="G782" s="2"/>
      <c r="H782" s="2"/>
      <c r="I782" s="2"/>
      <c r="J782" s="2"/>
      <c r="K782" s="181"/>
      <c r="L782" s="2"/>
      <c r="M782" s="2"/>
      <c r="N782" s="2"/>
      <c r="O782" s="2"/>
      <c r="P782" s="2"/>
      <c r="Q782" s="157"/>
      <c r="R782" s="157"/>
      <c r="S782" s="157"/>
      <c r="T782" s="158"/>
      <c r="U782" s="2"/>
      <c r="V782" s="2"/>
      <c r="W782" s="2"/>
      <c r="X782" s="2"/>
      <c r="Y782" s="2"/>
      <c r="Z782" s="2"/>
    </row>
    <row r="783" ht="13.5" customHeight="1">
      <c r="A783" s="2"/>
      <c r="B783" s="2"/>
      <c r="C783" s="2"/>
      <c r="D783" s="2"/>
      <c r="E783" s="2"/>
      <c r="F783" s="2"/>
      <c r="G783" s="2"/>
      <c r="H783" s="2"/>
      <c r="I783" s="2"/>
      <c r="J783" s="2"/>
      <c r="K783" s="181"/>
      <c r="L783" s="2"/>
      <c r="M783" s="2"/>
      <c r="N783" s="2"/>
      <c r="O783" s="2"/>
      <c r="P783" s="2"/>
      <c r="Q783" s="157"/>
      <c r="R783" s="157"/>
      <c r="S783" s="157"/>
      <c r="T783" s="158"/>
      <c r="U783" s="2"/>
      <c r="V783" s="2"/>
      <c r="W783" s="2"/>
      <c r="X783" s="2"/>
      <c r="Y783" s="2"/>
      <c r="Z783" s="2"/>
    </row>
    <row r="784" ht="13.5" customHeight="1">
      <c r="A784" s="2"/>
      <c r="B784" s="2"/>
      <c r="C784" s="2"/>
      <c r="D784" s="2"/>
      <c r="E784" s="2"/>
      <c r="F784" s="2"/>
      <c r="G784" s="2"/>
      <c r="H784" s="2"/>
      <c r="I784" s="2"/>
      <c r="J784" s="2"/>
      <c r="K784" s="181"/>
      <c r="L784" s="2"/>
      <c r="M784" s="2"/>
      <c r="N784" s="2"/>
      <c r="O784" s="2"/>
      <c r="P784" s="2"/>
      <c r="Q784" s="157"/>
      <c r="R784" s="157"/>
      <c r="S784" s="157"/>
      <c r="T784" s="158"/>
      <c r="U784" s="2"/>
      <c r="V784" s="2"/>
      <c r="W784" s="2"/>
      <c r="X784" s="2"/>
      <c r="Y784" s="2"/>
      <c r="Z784" s="2"/>
    </row>
    <row r="785" ht="13.5" customHeight="1">
      <c r="A785" s="2"/>
      <c r="B785" s="2"/>
      <c r="C785" s="2"/>
      <c r="D785" s="2"/>
      <c r="E785" s="2"/>
      <c r="F785" s="2"/>
      <c r="G785" s="2"/>
      <c r="H785" s="2"/>
      <c r="I785" s="2"/>
      <c r="J785" s="2"/>
      <c r="K785" s="181"/>
      <c r="L785" s="2"/>
      <c r="M785" s="2"/>
      <c r="N785" s="2"/>
      <c r="O785" s="2"/>
      <c r="P785" s="2"/>
      <c r="Q785" s="157"/>
      <c r="R785" s="157"/>
      <c r="S785" s="157"/>
      <c r="T785" s="158"/>
      <c r="U785" s="2"/>
      <c r="V785" s="2"/>
      <c r="W785" s="2"/>
      <c r="X785" s="2"/>
      <c r="Y785" s="2"/>
      <c r="Z785" s="2"/>
    </row>
    <row r="786" ht="13.5" customHeight="1">
      <c r="A786" s="2"/>
      <c r="B786" s="2"/>
      <c r="C786" s="2"/>
      <c r="D786" s="2"/>
      <c r="E786" s="2"/>
      <c r="F786" s="2"/>
      <c r="G786" s="2"/>
      <c r="H786" s="2"/>
      <c r="I786" s="2"/>
      <c r="J786" s="2"/>
      <c r="K786" s="181"/>
      <c r="L786" s="2"/>
      <c r="M786" s="2"/>
      <c r="N786" s="2"/>
      <c r="O786" s="2"/>
      <c r="P786" s="2"/>
      <c r="Q786" s="157"/>
      <c r="R786" s="157"/>
      <c r="S786" s="157"/>
      <c r="T786" s="158"/>
      <c r="U786" s="2"/>
      <c r="V786" s="2"/>
      <c r="W786" s="2"/>
      <c r="X786" s="2"/>
      <c r="Y786" s="2"/>
      <c r="Z786" s="2"/>
    </row>
    <row r="787" ht="13.5" customHeight="1">
      <c r="A787" s="2"/>
      <c r="B787" s="2"/>
      <c r="C787" s="2"/>
      <c r="D787" s="2"/>
      <c r="E787" s="2"/>
      <c r="F787" s="2"/>
      <c r="G787" s="2"/>
      <c r="H787" s="2"/>
      <c r="I787" s="2"/>
      <c r="J787" s="2"/>
      <c r="K787" s="181"/>
      <c r="L787" s="2"/>
      <c r="M787" s="2"/>
      <c r="N787" s="2"/>
      <c r="O787" s="2"/>
      <c r="P787" s="2"/>
      <c r="Q787" s="157"/>
      <c r="R787" s="157"/>
      <c r="S787" s="157"/>
      <c r="T787" s="158"/>
      <c r="U787" s="2"/>
      <c r="V787" s="2"/>
      <c r="W787" s="2"/>
      <c r="X787" s="2"/>
      <c r="Y787" s="2"/>
      <c r="Z787" s="2"/>
    </row>
    <row r="788" ht="13.5" customHeight="1">
      <c r="A788" s="2"/>
      <c r="B788" s="2"/>
      <c r="C788" s="2"/>
      <c r="D788" s="2"/>
      <c r="E788" s="2"/>
      <c r="F788" s="2"/>
      <c r="G788" s="2"/>
      <c r="H788" s="2"/>
      <c r="I788" s="2"/>
      <c r="J788" s="2"/>
      <c r="K788" s="181"/>
      <c r="L788" s="2"/>
      <c r="M788" s="2"/>
      <c r="N788" s="2"/>
      <c r="O788" s="2"/>
      <c r="P788" s="2"/>
      <c r="Q788" s="157"/>
      <c r="R788" s="157"/>
      <c r="S788" s="157"/>
      <c r="T788" s="158"/>
      <c r="U788" s="2"/>
      <c r="V788" s="2"/>
      <c r="W788" s="2"/>
      <c r="X788" s="2"/>
      <c r="Y788" s="2"/>
      <c r="Z788" s="2"/>
    </row>
    <row r="789" ht="13.5" customHeight="1">
      <c r="A789" s="2"/>
      <c r="B789" s="2"/>
      <c r="C789" s="2"/>
      <c r="D789" s="2"/>
      <c r="E789" s="2"/>
      <c r="F789" s="2"/>
      <c r="G789" s="2"/>
      <c r="H789" s="2"/>
      <c r="I789" s="2"/>
      <c r="J789" s="2"/>
      <c r="K789" s="181"/>
      <c r="L789" s="2"/>
      <c r="M789" s="2"/>
      <c r="N789" s="2"/>
      <c r="O789" s="2"/>
      <c r="P789" s="2"/>
      <c r="Q789" s="157"/>
      <c r="R789" s="157"/>
      <c r="S789" s="157"/>
      <c r="T789" s="158"/>
      <c r="U789" s="2"/>
      <c r="V789" s="2"/>
      <c r="W789" s="2"/>
      <c r="X789" s="2"/>
      <c r="Y789" s="2"/>
      <c r="Z789" s="2"/>
    </row>
    <row r="790" ht="13.5" customHeight="1">
      <c r="A790" s="2"/>
      <c r="B790" s="2"/>
      <c r="C790" s="2"/>
      <c r="D790" s="2"/>
      <c r="E790" s="2"/>
      <c r="F790" s="2"/>
      <c r="G790" s="2"/>
      <c r="H790" s="2"/>
      <c r="I790" s="2"/>
      <c r="J790" s="2"/>
      <c r="K790" s="181"/>
      <c r="L790" s="2"/>
      <c r="M790" s="2"/>
      <c r="N790" s="2"/>
      <c r="O790" s="2"/>
      <c r="P790" s="2"/>
      <c r="Q790" s="157"/>
      <c r="R790" s="157"/>
      <c r="S790" s="157"/>
      <c r="T790" s="158"/>
      <c r="U790" s="2"/>
      <c r="V790" s="2"/>
      <c r="W790" s="2"/>
      <c r="X790" s="2"/>
      <c r="Y790" s="2"/>
      <c r="Z790" s="2"/>
    </row>
    <row r="791" ht="13.5" customHeight="1">
      <c r="A791" s="2"/>
      <c r="B791" s="2"/>
      <c r="C791" s="2"/>
      <c r="D791" s="2"/>
      <c r="E791" s="2"/>
      <c r="F791" s="2"/>
      <c r="G791" s="2"/>
      <c r="H791" s="2"/>
      <c r="I791" s="2"/>
      <c r="J791" s="2"/>
      <c r="K791" s="181"/>
      <c r="L791" s="2"/>
      <c r="M791" s="2"/>
      <c r="N791" s="2"/>
      <c r="O791" s="2"/>
      <c r="P791" s="2"/>
      <c r="Q791" s="157"/>
      <c r="R791" s="157"/>
      <c r="S791" s="157"/>
      <c r="T791" s="158"/>
      <c r="U791" s="2"/>
      <c r="V791" s="2"/>
      <c r="W791" s="2"/>
      <c r="X791" s="2"/>
      <c r="Y791" s="2"/>
      <c r="Z791" s="2"/>
    </row>
    <row r="792" ht="13.5" customHeight="1">
      <c r="A792" s="2"/>
      <c r="B792" s="2"/>
      <c r="C792" s="2"/>
      <c r="D792" s="2"/>
      <c r="E792" s="2"/>
      <c r="F792" s="2"/>
      <c r="G792" s="2"/>
      <c r="H792" s="2"/>
      <c r="I792" s="2"/>
      <c r="J792" s="2"/>
      <c r="K792" s="181"/>
      <c r="L792" s="2"/>
      <c r="M792" s="2"/>
      <c r="N792" s="2"/>
      <c r="O792" s="2"/>
      <c r="P792" s="2"/>
      <c r="Q792" s="157"/>
      <c r="R792" s="157"/>
      <c r="S792" s="157"/>
      <c r="T792" s="158"/>
      <c r="U792" s="2"/>
      <c r="V792" s="2"/>
      <c r="W792" s="2"/>
      <c r="X792" s="2"/>
      <c r="Y792" s="2"/>
      <c r="Z792" s="2"/>
    </row>
    <row r="793" ht="13.5" customHeight="1">
      <c r="A793" s="2"/>
      <c r="B793" s="2"/>
      <c r="C793" s="2"/>
      <c r="D793" s="2"/>
      <c r="E793" s="2"/>
      <c r="F793" s="2"/>
      <c r="G793" s="2"/>
      <c r="H793" s="2"/>
      <c r="I793" s="2"/>
      <c r="J793" s="2"/>
      <c r="K793" s="181"/>
      <c r="L793" s="2"/>
      <c r="M793" s="2"/>
      <c r="N793" s="2"/>
      <c r="O793" s="2"/>
      <c r="P793" s="2"/>
      <c r="Q793" s="157"/>
      <c r="R793" s="157"/>
      <c r="S793" s="157"/>
      <c r="T793" s="158"/>
      <c r="U793" s="2"/>
      <c r="V793" s="2"/>
      <c r="W793" s="2"/>
      <c r="X793" s="2"/>
      <c r="Y793" s="2"/>
      <c r="Z793" s="2"/>
    </row>
    <row r="794" ht="13.5" customHeight="1">
      <c r="A794" s="2"/>
      <c r="B794" s="2"/>
      <c r="C794" s="2"/>
      <c r="D794" s="2"/>
      <c r="E794" s="2"/>
      <c r="F794" s="2"/>
      <c r="G794" s="2"/>
      <c r="H794" s="2"/>
      <c r="I794" s="2"/>
      <c r="J794" s="2"/>
      <c r="K794" s="181"/>
      <c r="L794" s="2"/>
      <c r="M794" s="2"/>
      <c r="N794" s="2"/>
      <c r="O794" s="2"/>
      <c r="P794" s="2"/>
      <c r="Q794" s="157"/>
      <c r="R794" s="157"/>
      <c r="S794" s="157"/>
      <c r="T794" s="158"/>
      <c r="U794" s="2"/>
      <c r="V794" s="2"/>
      <c r="W794" s="2"/>
      <c r="X794" s="2"/>
      <c r="Y794" s="2"/>
      <c r="Z794" s="2"/>
    </row>
    <row r="795" ht="13.5" customHeight="1">
      <c r="A795" s="2"/>
      <c r="B795" s="2"/>
      <c r="C795" s="2"/>
      <c r="D795" s="2"/>
      <c r="E795" s="2"/>
      <c r="F795" s="2"/>
      <c r="G795" s="2"/>
      <c r="H795" s="2"/>
      <c r="I795" s="2"/>
      <c r="J795" s="2"/>
      <c r="K795" s="181"/>
      <c r="L795" s="2"/>
      <c r="M795" s="2"/>
      <c r="N795" s="2"/>
      <c r="O795" s="2"/>
      <c r="P795" s="2"/>
      <c r="Q795" s="157"/>
      <c r="R795" s="157"/>
      <c r="S795" s="157"/>
      <c r="T795" s="158"/>
      <c r="U795" s="2"/>
      <c r="V795" s="2"/>
      <c r="W795" s="2"/>
      <c r="X795" s="2"/>
      <c r="Y795" s="2"/>
      <c r="Z795" s="2"/>
    </row>
    <row r="796" ht="13.5" customHeight="1">
      <c r="A796" s="2"/>
      <c r="B796" s="2"/>
      <c r="C796" s="2"/>
      <c r="D796" s="2"/>
      <c r="E796" s="2"/>
      <c r="F796" s="2"/>
      <c r="G796" s="2"/>
      <c r="H796" s="2"/>
      <c r="I796" s="2"/>
      <c r="J796" s="2"/>
      <c r="K796" s="181"/>
      <c r="L796" s="2"/>
      <c r="M796" s="2"/>
      <c r="N796" s="2"/>
      <c r="O796" s="2"/>
      <c r="P796" s="2"/>
      <c r="Q796" s="157"/>
      <c r="R796" s="157"/>
      <c r="S796" s="157"/>
      <c r="T796" s="158"/>
      <c r="U796" s="2"/>
      <c r="V796" s="2"/>
      <c r="W796" s="2"/>
      <c r="X796" s="2"/>
      <c r="Y796" s="2"/>
      <c r="Z796" s="2"/>
    </row>
    <row r="797" ht="13.5" customHeight="1">
      <c r="A797" s="2"/>
      <c r="B797" s="2"/>
      <c r="C797" s="2"/>
      <c r="D797" s="2"/>
      <c r="E797" s="2"/>
      <c r="F797" s="2"/>
      <c r="G797" s="2"/>
      <c r="H797" s="2"/>
      <c r="I797" s="2"/>
      <c r="J797" s="2"/>
      <c r="K797" s="181"/>
      <c r="L797" s="2"/>
      <c r="M797" s="2"/>
      <c r="N797" s="2"/>
      <c r="O797" s="2"/>
      <c r="P797" s="2"/>
      <c r="Q797" s="157"/>
      <c r="R797" s="157"/>
      <c r="S797" s="157"/>
      <c r="T797" s="158"/>
      <c r="U797" s="2"/>
      <c r="V797" s="2"/>
      <c r="W797" s="2"/>
      <c r="X797" s="2"/>
      <c r="Y797" s="2"/>
      <c r="Z797" s="2"/>
    </row>
    <row r="798" ht="13.5" customHeight="1">
      <c r="A798" s="2"/>
      <c r="B798" s="2"/>
      <c r="C798" s="2"/>
      <c r="D798" s="2"/>
      <c r="E798" s="2"/>
      <c r="F798" s="2"/>
      <c r="G798" s="2"/>
      <c r="H798" s="2"/>
      <c r="I798" s="2"/>
      <c r="J798" s="2"/>
      <c r="K798" s="181"/>
      <c r="L798" s="2"/>
      <c r="M798" s="2"/>
      <c r="N798" s="2"/>
      <c r="O798" s="2"/>
      <c r="P798" s="2"/>
      <c r="Q798" s="157"/>
      <c r="R798" s="157"/>
      <c r="S798" s="157"/>
      <c r="T798" s="158"/>
      <c r="U798" s="2"/>
      <c r="V798" s="2"/>
      <c r="W798" s="2"/>
      <c r="X798" s="2"/>
      <c r="Y798" s="2"/>
      <c r="Z798" s="2"/>
    </row>
    <row r="799" ht="13.5" customHeight="1">
      <c r="A799" s="2"/>
      <c r="B799" s="2"/>
      <c r="C799" s="2"/>
      <c r="D799" s="2"/>
      <c r="E799" s="2"/>
      <c r="F799" s="2"/>
      <c r="G799" s="2"/>
      <c r="H799" s="2"/>
      <c r="I799" s="2"/>
      <c r="J799" s="2"/>
      <c r="K799" s="181"/>
      <c r="L799" s="2"/>
      <c r="M799" s="2"/>
      <c r="N799" s="2"/>
      <c r="O799" s="2"/>
      <c r="P799" s="2"/>
      <c r="Q799" s="157"/>
      <c r="R799" s="157"/>
      <c r="S799" s="157"/>
      <c r="T799" s="158"/>
      <c r="U799" s="2"/>
      <c r="V799" s="2"/>
      <c r="W799" s="2"/>
      <c r="X799" s="2"/>
      <c r="Y799" s="2"/>
      <c r="Z799" s="2"/>
    </row>
    <row r="800" ht="13.5" customHeight="1">
      <c r="A800" s="2"/>
      <c r="B800" s="2"/>
      <c r="C800" s="2"/>
      <c r="D800" s="2"/>
      <c r="E800" s="2"/>
      <c r="F800" s="2"/>
      <c r="G800" s="2"/>
      <c r="H800" s="2"/>
      <c r="I800" s="2"/>
      <c r="J800" s="2"/>
      <c r="K800" s="181"/>
      <c r="L800" s="2"/>
      <c r="M800" s="2"/>
      <c r="N800" s="2"/>
      <c r="O800" s="2"/>
      <c r="P800" s="2"/>
      <c r="Q800" s="157"/>
      <c r="R800" s="157"/>
      <c r="S800" s="157"/>
      <c r="T800" s="158"/>
      <c r="U800" s="2"/>
      <c r="V800" s="2"/>
      <c r="W800" s="2"/>
      <c r="X800" s="2"/>
      <c r="Y800" s="2"/>
      <c r="Z800" s="2"/>
    </row>
    <row r="801" ht="13.5" customHeight="1">
      <c r="A801" s="2"/>
      <c r="B801" s="2"/>
      <c r="C801" s="2"/>
      <c r="D801" s="2"/>
      <c r="E801" s="2"/>
      <c r="F801" s="2"/>
      <c r="G801" s="2"/>
      <c r="H801" s="2"/>
      <c r="I801" s="2"/>
      <c r="J801" s="2"/>
      <c r="K801" s="181"/>
      <c r="L801" s="2"/>
      <c r="M801" s="2"/>
      <c r="N801" s="2"/>
      <c r="O801" s="2"/>
      <c r="P801" s="2"/>
      <c r="Q801" s="157"/>
      <c r="R801" s="157"/>
      <c r="S801" s="157"/>
      <c r="T801" s="158"/>
      <c r="U801" s="2"/>
      <c r="V801" s="2"/>
      <c r="W801" s="2"/>
      <c r="X801" s="2"/>
      <c r="Y801" s="2"/>
      <c r="Z801" s="2"/>
    </row>
    <row r="802" ht="13.5" customHeight="1">
      <c r="A802" s="2"/>
      <c r="B802" s="2"/>
      <c r="C802" s="2"/>
      <c r="D802" s="2"/>
      <c r="E802" s="2"/>
      <c r="F802" s="2"/>
      <c r="G802" s="2"/>
      <c r="H802" s="2"/>
      <c r="I802" s="2"/>
      <c r="J802" s="2"/>
      <c r="K802" s="181"/>
      <c r="L802" s="2"/>
      <c r="M802" s="2"/>
      <c r="N802" s="2"/>
      <c r="O802" s="2"/>
      <c r="P802" s="2"/>
      <c r="Q802" s="157"/>
      <c r="R802" s="157"/>
      <c r="S802" s="157"/>
      <c r="T802" s="158"/>
      <c r="U802" s="2"/>
      <c r="V802" s="2"/>
      <c r="W802" s="2"/>
      <c r="X802" s="2"/>
      <c r="Y802" s="2"/>
      <c r="Z802" s="2"/>
    </row>
    <row r="803" ht="13.5" customHeight="1">
      <c r="A803" s="2"/>
      <c r="B803" s="2"/>
      <c r="C803" s="2"/>
      <c r="D803" s="2"/>
      <c r="E803" s="2"/>
      <c r="F803" s="2"/>
      <c r="G803" s="2"/>
      <c r="H803" s="2"/>
      <c r="I803" s="2"/>
      <c r="J803" s="2"/>
      <c r="K803" s="181"/>
      <c r="L803" s="2"/>
      <c r="M803" s="2"/>
      <c r="N803" s="2"/>
      <c r="O803" s="2"/>
      <c r="P803" s="2"/>
      <c r="Q803" s="157"/>
      <c r="R803" s="157"/>
      <c r="S803" s="157"/>
      <c r="T803" s="158"/>
      <c r="U803" s="2"/>
      <c r="V803" s="2"/>
      <c r="W803" s="2"/>
      <c r="X803" s="2"/>
      <c r="Y803" s="2"/>
      <c r="Z803" s="2"/>
    </row>
    <row r="804" ht="13.5" customHeight="1">
      <c r="A804" s="2"/>
      <c r="B804" s="2"/>
      <c r="C804" s="2"/>
      <c r="D804" s="2"/>
      <c r="E804" s="2"/>
      <c r="F804" s="2"/>
      <c r="G804" s="2"/>
      <c r="H804" s="2"/>
      <c r="I804" s="2"/>
      <c r="J804" s="2"/>
      <c r="K804" s="181"/>
      <c r="L804" s="2"/>
      <c r="M804" s="2"/>
      <c r="N804" s="2"/>
      <c r="O804" s="2"/>
      <c r="P804" s="2"/>
      <c r="Q804" s="157"/>
      <c r="R804" s="157"/>
      <c r="S804" s="157"/>
      <c r="T804" s="158"/>
      <c r="U804" s="2"/>
      <c r="V804" s="2"/>
      <c r="W804" s="2"/>
      <c r="X804" s="2"/>
      <c r="Y804" s="2"/>
      <c r="Z804" s="2"/>
    </row>
    <row r="805" ht="13.5" customHeight="1">
      <c r="A805" s="2"/>
      <c r="B805" s="2"/>
      <c r="C805" s="2"/>
      <c r="D805" s="2"/>
      <c r="E805" s="2"/>
      <c r="F805" s="2"/>
      <c r="G805" s="2"/>
      <c r="H805" s="2"/>
      <c r="I805" s="2"/>
      <c r="J805" s="2"/>
      <c r="K805" s="181"/>
      <c r="L805" s="2"/>
      <c r="M805" s="2"/>
      <c r="N805" s="2"/>
      <c r="O805" s="2"/>
      <c r="P805" s="2"/>
      <c r="Q805" s="157"/>
      <c r="R805" s="157"/>
      <c r="S805" s="157"/>
      <c r="T805" s="158"/>
      <c r="U805" s="2"/>
      <c r="V805" s="2"/>
      <c r="W805" s="2"/>
      <c r="X805" s="2"/>
      <c r="Y805" s="2"/>
      <c r="Z805" s="2"/>
    </row>
    <row r="806" ht="13.5" customHeight="1">
      <c r="A806" s="2"/>
      <c r="B806" s="2"/>
      <c r="C806" s="2"/>
      <c r="D806" s="2"/>
      <c r="E806" s="2"/>
      <c r="F806" s="2"/>
      <c r="G806" s="2"/>
      <c r="H806" s="2"/>
      <c r="I806" s="2"/>
      <c r="J806" s="2"/>
      <c r="K806" s="181"/>
      <c r="L806" s="2"/>
      <c r="M806" s="2"/>
      <c r="N806" s="2"/>
      <c r="O806" s="2"/>
      <c r="P806" s="2"/>
      <c r="Q806" s="157"/>
      <c r="R806" s="157"/>
      <c r="S806" s="157"/>
      <c r="T806" s="158"/>
      <c r="U806" s="2"/>
      <c r="V806" s="2"/>
      <c r="W806" s="2"/>
      <c r="X806" s="2"/>
      <c r="Y806" s="2"/>
      <c r="Z806" s="2"/>
    </row>
    <row r="807" ht="13.5" customHeight="1">
      <c r="A807" s="2"/>
      <c r="B807" s="2"/>
      <c r="C807" s="2"/>
      <c r="D807" s="2"/>
      <c r="E807" s="2"/>
      <c r="F807" s="2"/>
      <c r="G807" s="2"/>
      <c r="H807" s="2"/>
      <c r="I807" s="2"/>
      <c r="J807" s="2"/>
      <c r="K807" s="181"/>
      <c r="L807" s="2"/>
      <c r="M807" s="2"/>
      <c r="N807" s="2"/>
      <c r="O807" s="2"/>
      <c r="P807" s="2"/>
      <c r="Q807" s="157"/>
      <c r="R807" s="157"/>
      <c r="S807" s="157"/>
      <c r="T807" s="158"/>
      <c r="U807" s="2"/>
      <c r="V807" s="2"/>
      <c r="W807" s="2"/>
      <c r="X807" s="2"/>
      <c r="Y807" s="2"/>
      <c r="Z807" s="2"/>
    </row>
    <row r="808" ht="13.5" customHeight="1">
      <c r="A808" s="2"/>
      <c r="B808" s="2"/>
      <c r="C808" s="2"/>
      <c r="D808" s="2"/>
      <c r="E808" s="2"/>
      <c r="F808" s="2"/>
      <c r="G808" s="2"/>
      <c r="H808" s="2"/>
      <c r="I808" s="2"/>
      <c r="J808" s="2"/>
      <c r="K808" s="181"/>
      <c r="L808" s="2"/>
      <c r="M808" s="2"/>
      <c r="N808" s="2"/>
      <c r="O808" s="2"/>
      <c r="P808" s="2"/>
      <c r="Q808" s="157"/>
      <c r="R808" s="157"/>
      <c r="S808" s="157"/>
      <c r="T808" s="158"/>
      <c r="U808" s="2"/>
      <c r="V808" s="2"/>
      <c r="W808" s="2"/>
      <c r="X808" s="2"/>
      <c r="Y808" s="2"/>
      <c r="Z808" s="2"/>
    </row>
    <row r="809" ht="13.5" customHeight="1">
      <c r="A809" s="2"/>
      <c r="B809" s="2"/>
      <c r="C809" s="2"/>
      <c r="D809" s="2"/>
      <c r="E809" s="2"/>
      <c r="F809" s="2"/>
      <c r="G809" s="2"/>
      <c r="H809" s="2"/>
      <c r="I809" s="2"/>
      <c r="J809" s="2"/>
      <c r="K809" s="181"/>
      <c r="L809" s="2"/>
      <c r="M809" s="2"/>
      <c r="N809" s="2"/>
      <c r="O809" s="2"/>
      <c r="P809" s="2"/>
      <c r="Q809" s="157"/>
      <c r="R809" s="157"/>
      <c r="S809" s="157"/>
      <c r="T809" s="158"/>
      <c r="U809" s="2"/>
      <c r="V809" s="2"/>
      <c r="W809" s="2"/>
      <c r="X809" s="2"/>
      <c r="Y809" s="2"/>
      <c r="Z809" s="2"/>
    </row>
    <row r="810" ht="13.5" customHeight="1">
      <c r="A810" s="2"/>
      <c r="B810" s="2"/>
      <c r="C810" s="2"/>
      <c r="D810" s="2"/>
      <c r="E810" s="2"/>
      <c r="F810" s="2"/>
      <c r="G810" s="2"/>
      <c r="H810" s="2"/>
      <c r="I810" s="2"/>
      <c r="J810" s="2"/>
      <c r="K810" s="181"/>
      <c r="L810" s="2"/>
      <c r="M810" s="2"/>
      <c r="N810" s="2"/>
      <c r="O810" s="2"/>
      <c r="P810" s="2"/>
      <c r="Q810" s="157"/>
      <c r="R810" s="157"/>
      <c r="S810" s="157"/>
      <c r="T810" s="158"/>
      <c r="U810" s="2"/>
      <c r="V810" s="2"/>
      <c r="W810" s="2"/>
      <c r="X810" s="2"/>
      <c r="Y810" s="2"/>
      <c r="Z810" s="2"/>
    </row>
    <row r="811" ht="13.5" customHeight="1">
      <c r="A811" s="2"/>
      <c r="B811" s="2"/>
      <c r="C811" s="2"/>
      <c r="D811" s="2"/>
      <c r="E811" s="2"/>
      <c r="F811" s="2"/>
      <c r="G811" s="2"/>
      <c r="H811" s="2"/>
      <c r="I811" s="2"/>
      <c r="J811" s="2"/>
      <c r="K811" s="181"/>
      <c r="L811" s="2"/>
      <c r="M811" s="2"/>
      <c r="N811" s="2"/>
      <c r="O811" s="2"/>
      <c r="P811" s="2"/>
      <c r="Q811" s="157"/>
      <c r="R811" s="157"/>
      <c r="S811" s="157"/>
      <c r="T811" s="158"/>
      <c r="U811" s="2"/>
      <c r="V811" s="2"/>
      <c r="W811" s="2"/>
      <c r="X811" s="2"/>
      <c r="Y811" s="2"/>
      <c r="Z811" s="2"/>
    </row>
    <row r="812" ht="13.5" customHeight="1">
      <c r="A812" s="2"/>
      <c r="B812" s="2"/>
      <c r="C812" s="2"/>
      <c r="D812" s="2"/>
      <c r="E812" s="2"/>
      <c r="F812" s="2"/>
      <c r="G812" s="2"/>
      <c r="H812" s="2"/>
      <c r="I812" s="2"/>
      <c r="J812" s="2"/>
      <c r="K812" s="181"/>
      <c r="L812" s="2"/>
      <c r="M812" s="2"/>
      <c r="N812" s="2"/>
      <c r="O812" s="2"/>
      <c r="P812" s="2"/>
      <c r="Q812" s="157"/>
      <c r="R812" s="157"/>
      <c r="S812" s="157"/>
      <c r="T812" s="158"/>
      <c r="U812" s="2"/>
      <c r="V812" s="2"/>
      <c r="W812" s="2"/>
      <c r="X812" s="2"/>
      <c r="Y812" s="2"/>
      <c r="Z812" s="2"/>
    </row>
    <row r="813" ht="13.5" customHeight="1">
      <c r="A813" s="2"/>
      <c r="B813" s="2"/>
      <c r="C813" s="2"/>
      <c r="D813" s="2"/>
      <c r="E813" s="2"/>
      <c r="F813" s="2"/>
      <c r="G813" s="2"/>
      <c r="H813" s="2"/>
      <c r="I813" s="2"/>
      <c r="J813" s="2"/>
      <c r="K813" s="181"/>
      <c r="L813" s="2"/>
      <c r="M813" s="2"/>
      <c r="N813" s="2"/>
      <c r="O813" s="2"/>
      <c r="P813" s="2"/>
      <c r="Q813" s="157"/>
      <c r="R813" s="157"/>
      <c r="S813" s="157"/>
      <c r="T813" s="158"/>
      <c r="U813" s="2"/>
      <c r="V813" s="2"/>
      <c r="W813" s="2"/>
      <c r="X813" s="2"/>
      <c r="Y813" s="2"/>
      <c r="Z813" s="2"/>
    </row>
    <row r="814" ht="13.5" customHeight="1">
      <c r="A814" s="2"/>
      <c r="B814" s="2"/>
      <c r="C814" s="2"/>
      <c r="D814" s="2"/>
      <c r="E814" s="2"/>
      <c r="F814" s="2"/>
      <c r="G814" s="2"/>
      <c r="H814" s="2"/>
      <c r="I814" s="2"/>
      <c r="J814" s="2"/>
      <c r="K814" s="181"/>
      <c r="L814" s="2"/>
      <c r="M814" s="2"/>
      <c r="N814" s="2"/>
      <c r="O814" s="2"/>
      <c r="P814" s="2"/>
      <c r="Q814" s="157"/>
      <c r="R814" s="157"/>
      <c r="S814" s="157"/>
      <c r="T814" s="158"/>
      <c r="U814" s="2"/>
      <c r="V814" s="2"/>
      <c r="W814" s="2"/>
      <c r="X814" s="2"/>
      <c r="Y814" s="2"/>
      <c r="Z814" s="2"/>
    </row>
    <row r="815" ht="13.5" customHeight="1">
      <c r="A815" s="2"/>
      <c r="B815" s="2"/>
      <c r="C815" s="2"/>
      <c r="D815" s="2"/>
      <c r="E815" s="2"/>
      <c r="F815" s="2"/>
      <c r="G815" s="2"/>
      <c r="H815" s="2"/>
      <c r="I815" s="2"/>
      <c r="J815" s="2"/>
      <c r="K815" s="181"/>
      <c r="L815" s="2"/>
      <c r="M815" s="2"/>
      <c r="N815" s="2"/>
      <c r="O815" s="2"/>
      <c r="P815" s="2"/>
      <c r="Q815" s="157"/>
      <c r="R815" s="157"/>
      <c r="S815" s="157"/>
      <c r="T815" s="158"/>
      <c r="U815" s="2"/>
      <c r="V815" s="2"/>
      <c r="W815" s="2"/>
      <c r="X815" s="2"/>
      <c r="Y815" s="2"/>
      <c r="Z815" s="2"/>
    </row>
    <row r="816" ht="13.5" customHeight="1">
      <c r="A816" s="2"/>
      <c r="B816" s="2"/>
      <c r="C816" s="2"/>
      <c r="D816" s="2"/>
      <c r="E816" s="2"/>
      <c r="F816" s="2"/>
      <c r="G816" s="2"/>
      <c r="H816" s="2"/>
      <c r="I816" s="2"/>
      <c r="J816" s="2"/>
      <c r="K816" s="181"/>
      <c r="L816" s="2"/>
      <c r="M816" s="2"/>
      <c r="N816" s="2"/>
      <c r="O816" s="2"/>
      <c r="P816" s="2"/>
      <c r="Q816" s="157"/>
      <c r="R816" s="157"/>
      <c r="S816" s="157"/>
      <c r="T816" s="158"/>
      <c r="U816" s="2"/>
      <c r="V816" s="2"/>
      <c r="W816" s="2"/>
      <c r="X816" s="2"/>
      <c r="Y816" s="2"/>
      <c r="Z816" s="2"/>
    </row>
    <row r="817" ht="13.5" customHeight="1">
      <c r="A817" s="2"/>
      <c r="B817" s="2"/>
      <c r="C817" s="2"/>
      <c r="D817" s="2"/>
      <c r="E817" s="2"/>
      <c r="F817" s="2"/>
      <c r="G817" s="2"/>
      <c r="H817" s="2"/>
      <c r="I817" s="2"/>
      <c r="J817" s="2"/>
      <c r="K817" s="181"/>
      <c r="L817" s="2"/>
      <c r="M817" s="2"/>
      <c r="N817" s="2"/>
      <c r="O817" s="2"/>
      <c r="P817" s="2"/>
      <c r="Q817" s="157"/>
      <c r="R817" s="157"/>
      <c r="S817" s="157"/>
      <c r="T817" s="158"/>
      <c r="U817" s="2"/>
      <c r="V817" s="2"/>
      <c r="W817" s="2"/>
      <c r="X817" s="2"/>
      <c r="Y817" s="2"/>
      <c r="Z817" s="2"/>
    </row>
    <row r="818" ht="13.5" customHeight="1">
      <c r="A818" s="2"/>
      <c r="B818" s="2"/>
      <c r="C818" s="2"/>
      <c r="D818" s="2"/>
      <c r="E818" s="2"/>
      <c r="F818" s="2"/>
      <c r="G818" s="2"/>
      <c r="H818" s="2"/>
      <c r="I818" s="2"/>
      <c r="J818" s="2"/>
      <c r="K818" s="181"/>
      <c r="L818" s="2"/>
      <c r="M818" s="2"/>
      <c r="N818" s="2"/>
      <c r="O818" s="2"/>
      <c r="P818" s="2"/>
      <c r="Q818" s="157"/>
      <c r="R818" s="157"/>
      <c r="S818" s="157"/>
      <c r="T818" s="158"/>
      <c r="U818" s="2"/>
      <c r="V818" s="2"/>
      <c r="W818" s="2"/>
      <c r="X818" s="2"/>
      <c r="Y818" s="2"/>
      <c r="Z818" s="2"/>
    </row>
    <row r="819" ht="13.5" customHeight="1">
      <c r="A819" s="2"/>
      <c r="B819" s="2"/>
      <c r="C819" s="2"/>
      <c r="D819" s="2"/>
      <c r="E819" s="2"/>
      <c r="F819" s="2"/>
      <c r="G819" s="2"/>
      <c r="H819" s="2"/>
      <c r="I819" s="2"/>
      <c r="J819" s="2"/>
      <c r="K819" s="181"/>
      <c r="L819" s="2"/>
      <c r="M819" s="2"/>
      <c r="N819" s="2"/>
      <c r="O819" s="2"/>
      <c r="P819" s="2"/>
      <c r="Q819" s="157"/>
      <c r="R819" s="157"/>
      <c r="S819" s="157"/>
      <c r="T819" s="158"/>
      <c r="U819" s="2"/>
      <c r="V819" s="2"/>
      <c r="W819" s="2"/>
      <c r="X819" s="2"/>
      <c r="Y819" s="2"/>
      <c r="Z819" s="2"/>
    </row>
    <row r="820" ht="13.5" customHeight="1">
      <c r="A820" s="2"/>
      <c r="B820" s="2"/>
      <c r="C820" s="2"/>
      <c r="D820" s="2"/>
      <c r="E820" s="2"/>
      <c r="F820" s="2"/>
      <c r="G820" s="2"/>
      <c r="H820" s="2"/>
      <c r="I820" s="2"/>
      <c r="J820" s="2"/>
      <c r="K820" s="181"/>
      <c r="L820" s="2"/>
      <c r="M820" s="2"/>
      <c r="N820" s="2"/>
      <c r="O820" s="2"/>
      <c r="P820" s="2"/>
      <c r="Q820" s="157"/>
      <c r="R820" s="157"/>
      <c r="S820" s="157"/>
      <c r="T820" s="158"/>
      <c r="U820" s="2"/>
      <c r="V820" s="2"/>
      <c r="W820" s="2"/>
      <c r="X820" s="2"/>
      <c r="Y820" s="2"/>
      <c r="Z820" s="2"/>
    </row>
    <row r="821" ht="13.5" customHeight="1">
      <c r="A821" s="2"/>
      <c r="B821" s="2"/>
      <c r="C821" s="2"/>
      <c r="D821" s="2"/>
      <c r="E821" s="2"/>
      <c r="F821" s="2"/>
      <c r="G821" s="2"/>
      <c r="H821" s="2"/>
      <c r="I821" s="2"/>
      <c r="J821" s="2"/>
      <c r="K821" s="181"/>
      <c r="L821" s="2"/>
      <c r="M821" s="2"/>
      <c r="N821" s="2"/>
      <c r="O821" s="2"/>
      <c r="P821" s="2"/>
      <c r="Q821" s="157"/>
      <c r="R821" s="157"/>
      <c r="S821" s="157"/>
      <c r="T821" s="158"/>
      <c r="U821" s="2"/>
      <c r="V821" s="2"/>
      <c r="W821" s="2"/>
      <c r="X821" s="2"/>
      <c r="Y821" s="2"/>
      <c r="Z821" s="2"/>
    </row>
    <row r="822" ht="13.5" customHeight="1">
      <c r="A822" s="2"/>
      <c r="B822" s="2"/>
      <c r="C822" s="2"/>
      <c r="D822" s="2"/>
      <c r="E822" s="2"/>
      <c r="F822" s="2"/>
      <c r="G822" s="2"/>
      <c r="H822" s="2"/>
      <c r="I822" s="2"/>
      <c r="J822" s="2"/>
      <c r="K822" s="181"/>
      <c r="L822" s="2"/>
      <c r="M822" s="2"/>
      <c r="N822" s="2"/>
      <c r="O822" s="2"/>
      <c r="P822" s="2"/>
      <c r="Q822" s="157"/>
      <c r="R822" s="157"/>
      <c r="S822" s="157"/>
      <c r="T822" s="158"/>
      <c r="U822" s="2"/>
      <c r="V822" s="2"/>
      <c r="W822" s="2"/>
      <c r="X822" s="2"/>
      <c r="Y822" s="2"/>
      <c r="Z822" s="2"/>
    </row>
    <row r="823" ht="13.5" customHeight="1">
      <c r="A823" s="2"/>
      <c r="B823" s="2"/>
      <c r="C823" s="2"/>
      <c r="D823" s="2"/>
      <c r="E823" s="2"/>
      <c r="F823" s="2"/>
      <c r="G823" s="2"/>
      <c r="H823" s="2"/>
      <c r="I823" s="2"/>
      <c r="J823" s="2"/>
      <c r="K823" s="181"/>
      <c r="L823" s="2"/>
      <c r="M823" s="2"/>
      <c r="N823" s="2"/>
      <c r="O823" s="2"/>
      <c r="P823" s="2"/>
      <c r="Q823" s="157"/>
      <c r="R823" s="157"/>
      <c r="S823" s="157"/>
      <c r="T823" s="158"/>
      <c r="U823" s="2"/>
      <c r="V823" s="2"/>
      <c r="W823" s="2"/>
      <c r="X823" s="2"/>
      <c r="Y823" s="2"/>
      <c r="Z823" s="2"/>
    </row>
    <row r="824" ht="13.5" customHeight="1">
      <c r="A824" s="2"/>
      <c r="B824" s="2"/>
      <c r="C824" s="2"/>
      <c r="D824" s="2"/>
      <c r="E824" s="2"/>
      <c r="F824" s="2"/>
      <c r="G824" s="2"/>
      <c r="H824" s="2"/>
      <c r="I824" s="2"/>
      <c r="J824" s="2"/>
      <c r="K824" s="181"/>
      <c r="L824" s="2"/>
      <c r="M824" s="2"/>
      <c r="N824" s="2"/>
      <c r="O824" s="2"/>
      <c r="P824" s="2"/>
      <c r="Q824" s="157"/>
      <c r="R824" s="157"/>
      <c r="S824" s="157"/>
      <c r="T824" s="158"/>
      <c r="U824" s="2"/>
      <c r="V824" s="2"/>
      <c r="W824" s="2"/>
      <c r="X824" s="2"/>
      <c r="Y824" s="2"/>
      <c r="Z824" s="2"/>
    </row>
    <row r="825" ht="13.5" customHeight="1">
      <c r="A825" s="2"/>
      <c r="B825" s="2"/>
      <c r="C825" s="2"/>
      <c r="D825" s="2"/>
      <c r="E825" s="2"/>
      <c r="F825" s="2"/>
      <c r="G825" s="2"/>
      <c r="H825" s="2"/>
      <c r="I825" s="2"/>
      <c r="J825" s="2"/>
      <c r="K825" s="181"/>
      <c r="L825" s="2"/>
      <c r="M825" s="2"/>
      <c r="N825" s="2"/>
      <c r="O825" s="2"/>
      <c r="P825" s="2"/>
      <c r="Q825" s="157"/>
      <c r="R825" s="157"/>
      <c r="S825" s="157"/>
      <c r="T825" s="158"/>
      <c r="U825" s="2"/>
      <c r="V825" s="2"/>
      <c r="W825" s="2"/>
      <c r="X825" s="2"/>
      <c r="Y825" s="2"/>
      <c r="Z825" s="2"/>
    </row>
    <row r="826" ht="13.5" customHeight="1">
      <c r="A826" s="2"/>
      <c r="B826" s="2"/>
      <c r="C826" s="2"/>
      <c r="D826" s="2"/>
      <c r="E826" s="2"/>
      <c r="F826" s="2"/>
      <c r="G826" s="2"/>
      <c r="H826" s="2"/>
      <c r="I826" s="2"/>
      <c r="J826" s="2"/>
      <c r="K826" s="181"/>
      <c r="L826" s="2"/>
      <c r="M826" s="2"/>
      <c r="N826" s="2"/>
      <c r="O826" s="2"/>
      <c r="P826" s="2"/>
      <c r="Q826" s="157"/>
      <c r="R826" s="157"/>
      <c r="S826" s="157"/>
      <c r="T826" s="158"/>
      <c r="U826" s="2"/>
      <c r="V826" s="2"/>
      <c r="W826" s="2"/>
      <c r="X826" s="2"/>
      <c r="Y826" s="2"/>
      <c r="Z826" s="2"/>
    </row>
    <row r="827" ht="13.5" customHeight="1">
      <c r="A827" s="2"/>
      <c r="B827" s="2"/>
      <c r="C827" s="2"/>
      <c r="D827" s="2"/>
      <c r="E827" s="2"/>
      <c r="F827" s="2"/>
      <c r="G827" s="2"/>
      <c r="H827" s="2"/>
      <c r="I827" s="2"/>
      <c r="J827" s="2"/>
      <c r="K827" s="181"/>
      <c r="L827" s="2"/>
      <c r="M827" s="2"/>
      <c r="N827" s="2"/>
      <c r="O827" s="2"/>
      <c r="P827" s="2"/>
      <c r="Q827" s="157"/>
      <c r="R827" s="157"/>
      <c r="S827" s="157"/>
      <c r="T827" s="158"/>
      <c r="U827" s="2"/>
      <c r="V827" s="2"/>
      <c r="W827" s="2"/>
      <c r="X827" s="2"/>
      <c r="Y827" s="2"/>
      <c r="Z827" s="2"/>
    </row>
    <row r="828" ht="13.5" customHeight="1">
      <c r="A828" s="2"/>
      <c r="B828" s="2"/>
      <c r="C828" s="2"/>
      <c r="D828" s="2"/>
      <c r="E828" s="2"/>
      <c r="F828" s="2"/>
      <c r="G828" s="2"/>
      <c r="H828" s="2"/>
      <c r="I828" s="2"/>
      <c r="J828" s="2"/>
      <c r="K828" s="181"/>
      <c r="L828" s="2"/>
      <c r="M828" s="2"/>
      <c r="N828" s="2"/>
      <c r="O828" s="2"/>
      <c r="P828" s="2"/>
      <c r="Q828" s="157"/>
      <c r="R828" s="157"/>
      <c r="S828" s="157"/>
      <c r="T828" s="158"/>
      <c r="U828" s="2"/>
      <c r="V828" s="2"/>
      <c r="W828" s="2"/>
      <c r="X828" s="2"/>
      <c r="Y828" s="2"/>
      <c r="Z828" s="2"/>
    </row>
    <row r="829" ht="13.5" customHeight="1">
      <c r="A829" s="2"/>
      <c r="B829" s="2"/>
      <c r="C829" s="2"/>
      <c r="D829" s="2"/>
      <c r="E829" s="2"/>
      <c r="F829" s="2"/>
      <c r="G829" s="2"/>
      <c r="H829" s="2"/>
      <c r="I829" s="2"/>
      <c r="J829" s="2"/>
      <c r="K829" s="181"/>
      <c r="L829" s="2"/>
      <c r="M829" s="2"/>
      <c r="N829" s="2"/>
      <c r="O829" s="2"/>
      <c r="P829" s="2"/>
      <c r="Q829" s="157"/>
      <c r="R829" s="157"/>
      <c r="S829" s="157"/>
      <c r="T829" s="158"/>
      <c r="U829" s="2"/>
      <c r="V829" s="2"/>
      <c r="W829" s="2"/>
      <c r="X829" s="2"/>
      <c r="Y829" s="2"/>
      <c r="Z829" s="2"/>
    </row>
    <row r="830" ht="13.5" customHeight="1">
      <c r="A830" s="2"/>
      <c r="B830" s="2"/>
      <c r="C830" s="2"/>
      <c r="D830" s="2"/>
      <c r="E830" s="2"/>
      <c r="F830" s="2"/>
      <c r="G830" s="2"/>
      <c r="H830" s="2"/>
      <c r="I830" s="2"/>
      <c r="J830" s="2"/>
      <c r="K830" s="181"/>
      <c r="L830" s="2"/>
      <c r="M830" s="2"/>
      <c r="N830" s="2"/>
      <c r="O830" s="2"/>
      <c r="P830" s="2"/>
      <c r="Q830" s="157"/>
      <c r="R830" s="157"/>
      <c r="S830" s="157"/>
      <c r="T830" s="158"/>
      <c r="U830" s="2"/>
      <c r="V830" s="2"/>
      <c r="W830" s="2"/>
      <c r="X830" s="2"/>
      <c r="Y830" s="2"/>
      <c r="Z830" s="2"/>
    </row>
    <row r="831" ht="13.5" customHeight="1">
      <c r="A831" s="2"/>
      <c r="B831" s="2"/>
      <c r="C831" s="2"/>
      <c r="D831" s="2"/>
      <c r="E831" s="2"/>
      <c r="F831" s="2"/>
      <c r="G831" s="2"/>
      <c r="H831" s="2"/>
      <c r="I831" s="2"/>
      <c r="J831" s="2"/>
      <c r="K831" s="181"/>
      <c r="L831" s="2"/>
      <c r="M831" s="2"/>
      <c r="N831" s="2"/>
      <c r="O831" s="2"/>
      <c r="P831" s="2"/>
      <c r="Q831" s="157"/>
      <c r="R831" s="157"/>
      <c r="S831" s="157"/>
      <c r="T831" s="158"/>
      <c r="U831" s="2"/>
      <c r="V831" s="2"/>
      <c r="W831" s="2"/>
      <c r="X831" s="2"/>
      <c r="Y831" s="2"/>
      <c r="Z831" s="2"/>
    </row>
    <row r="832" ht="13.5" customHeight="1">
      <c r="A832" s="2"/>
      <c r="B832" s="2"/>
      <c r="C832" s="2"/>
      <c r="D832" s="2"/>
      <c r="E832" s="2"/>
      <c r="F832" s="2"/>
      <c r="G832" s="2"/>
      <c r="H832" s="2"/>
      <c r="I832" s="2"/>
      <c r="J832" s="2"/>
      <c r="K832" s="181"/>
      <c r="L832" s="2"/>
      <c r="M832" s="2"/>
      <c r="N832" s="2"/>
      <c r="O832" s="2"/>
      <c r="P832" s="2"/>
      <c r="Q832" s="157"/>
      <c r="R832" s="157"/>
      <c r="S832" s="157"/>
      <c r="T832" s="158"/>
      <c r="U832" s="2"/>
      <c r="V832" s="2"/>
      <c r="W832" s="2"/>
      <c r="X832" s="2"/>
      <c r="Y832" s="2"/>
      <c r="Z832" s="2"/>
    </row>
    <row r="833" ht="13.5" customHeight="1">
      <c r="A833" s="2"/>
      <c r="B833" s="2"/>
      <c r="C833" s="2"/>
      <c r="D833" s="2"/>
      <c r="E833" s="2"/>
      <c r="F833" s="2"/>
      <c r="G833" s="2"/>
      <c r="H833" s="2"/>
      <c r="I833" s="2"/>
      <c r="J833" s="2"/>
      <c r="K833" s="181"/>
      <c r="L833" s="2"/>
      <c r="M833" s="2"/>
      <c r="N833" s="2"/>
      <c r="O833" s="2"/>
      <c r="P833" s="2"/>
      <c r="Q833" s="157"/>
      <c r="R833" s="157"/>
      <c r="S833" s="157"/>
      <c r="T833" s="158"/>
      <c r="U833" s="2"/>
      <c r="V833" s="2"/>
      <c r="W833" s="2"/>
      <c r="X833" s="2"/>
      <c r="Y833" s="2"/>
      <c r="Z833" s="2"/>
    </row>
    <row r="834" ht="13.5" customHeight="1">
      <c r="A834" s="2"/>
      <c r="B834" s="2"/>
      <c r="C834" s="2"/>
      <c r="D834" s="2"/>
      <c r="E834" s="2"/>
      <c r="F834" s="2"/>
      <c r="G834" s="2"/>
      <c r="H834" s="2"/>
      <c r="I834" s="2"/>
      <c r="J834" s="2"/>
      <c r="K834" s="181"/>
      <c r="L834" s="2"/>
      <c r="M834" s="2"/>
      <c r="N834" s="2"/>
      <c r="O834" s="2"/>
      <c r="P834" s="2"/>
      <c r="Q834" s="157"/>
      <c r="R834" s="157"/>
      <c r="S834" s="157"/>
      <c r="T834" s="158"/>
      <c r="U834" s="2"/>
      <c r="V834" s="2"/>
      <c r="W834" s="2"/>
      <c r="X834" s="2"/>
      <c r="Y834" s="2"/>
      <c r="Z834" s="2"/>
    </row>
    <row r="835" ht="13.5" customHeight="1">
      <c r="A835" s="2"/>
      <c r="B835" s="2"/>
      <c r="C835" s="2"/>
      <c r="D835" s="2"/>
      <c r="E835" s="2"/>
      <c r="F835" s="2"/>
      <c r="G835" s="2"/>
      <c r="H835" s="2"/>
      <c r="I835" s="2"/>
      <c r="J835" s="2"/>
      <c r="K835" s="181"/>
      <c r="L835" s="2"/>
      <c r="M835" s="2"/>
      <c r="N835" s="2"/>
      <c r="O835" s="2"/>
      <c r="P835" s="2"/>
      <c r="Q835" s="157"/>
      <c r="R835" s="157"/>
      <c r="S835" s="157"/>
      <c r="T835" s="158"/>
      <c r="U835" s="2"/>
      <c r="V835" s="2"/>
      <c r="W835" s="2"/>
      <c r="X835" s="2"/>
      <c r="Y835" s="2"/>
      <c r="Z835" s="2"/>
    </row>
    <row r="836" ht="13.5" customHeight="1">
      <c r="A836" s="2"/>
      <c r="B836" s="2"/>
      <c r="C836" s="2"/>
      <c r="D836" s="2"/>
      <c r="E836" s="2"/>
      <c r="F836" s="2"/>
      <c r="G836" s="2"/>
      <c r="H836" s="2"/>
      <c r="I836" s="2"/>
      <c r="J836" s="2"/>
      <c r="K836" s="181"/>
      <c r="L836" s="2"/>
      <c r="M836" s="2"/>
      <c r="N836" s="2"/>
      <c r="O836" s="2"/>
      <c r="P836" s="2"/>
      <c r="Q836" s="157"/>
      <c r="R836" s="157"/>
      <c r="S836" s="157"/>
      <c r="T836" s="158"/>
      <c r="U836" s="2"/>
      <c r="V836" s="2"/>
      <c r="W836" s="2"/>
      <c r="X836" s="2"/>
      <c r="Y836" s="2"/>
      <c r="Z836" s="2"/>
    </row>
    <row r="837" ht="13.5" customHeight="1">
      <c r="A837" s="2"/>
      <c r="B837" s="2"/>
      <c r="C837" s="2"/>
      <c r="D837" s="2"/>
      <c r="E837" s="2"/>
      <c r="F837" s="2"/>
      <c r="G837" s="2"/>
      <c r="H837" s="2"/>
      <c r="I837" s="2"/>
      <c r="J837" s="2"/>
      <c r="K837" s="181"/>
      <c r="L837" s="2"/>
      <c r="M837" s="2"/>
      <c r="N837" s="2"/>
      <c r="O837" s="2"/>
      <c r="P837" s="2"/>
      <c r="Q837" s="157"/>
      <c r="R837" s="157"/>
      <c r="S837" s="157"/>
      <c r="T837" s="158"/>
      <c r="U837" s="2"/>
      <c r="V837" s="2"/>
      <c r="W837" s="2"/>
      <c r="X837" s="2"/>
      <c r="Y837" s="2"/>
      <c r="Z837" s="2"/>
    </row>
    <row r="838" ht="13.5" customHeight="1">
      <c r="A838" s="2"/>
      <c r="B838" s="2"/>
      <c r="C838" s="2"/>
      <c r="D838" s="2"/>
      <c r="E838" s="2"/>
      <c r="F838" s="2"/>
      <c r="G838" s="2"/>
      <c r="H838" s="2"/>
      <c r="I838" s="2"/>
      <c r="J838" s="2"/>
      <c r="K838" s="181"/>
      <c r="L838" s="2"/>
      <c r="M838" s="2"/>
      <c r="N838" s="2"/>
      <c r="O838" s="2"/>
      <c r="P838" s="2"/>
      <c r="Q838" s="157"/>
      <c r="R838" s="157"/>
      <c r="S838" s="157"/>
      <c r="T838" s="158"/>
      <c r="U838" s="2"/>
      <c r="V838" s="2"/>
      <c r="W838" s="2"/>
      <c r="X838" s="2"/>
      <c r="Y838" s="2"/>
      <c r="Z838" s="2"/>
    </row>
    <row r="839" ht="13.5" customHeight="1">
      <c r="A839" s="2"/>
      <c r="B839" s="2"/>
      <c r="C839" s="2"/>
      <c r="D839" s="2"/>
      <c r="E839" s="2"/>
      <c r="F839" s="2"/>
      <c r="G839" s="2"/>
      <c r="H839" s="2"/>
      <c r="I839" s="2"/>
      <c r="J839" s="2"/>
      <c r="K839" s="181"/>
      <c r="L839" s="2"/>
      <c r="M839" s="2"/>
      <c r="N839" s="2"/>
      <c r="O839" s="2"/>
      <c r="P839" s="2"/>
      <c r="Q839" s="157"/>
      <c r="R839" s="157"/>
      <c r="S839" s="157"/>
      <c r="T839" s="158"/>
      <c r="U839" s="2"/>
      <c r="V839" s="2"/>
      <c r="W839" s="2"/>
      <c r="X839" s="2"/>
      <c r="Y839" s="2"/>
      <c r="Z839" s="2"/>
    </row>
    <row r="840" ht="13.5" customHeight="1">
      <c r="A840" s="2"/>
      <c r="B840" s="2"/>
      <c r="C840" s="2"/>
      <c r="D840" s="2"/>
      <c r="E840" s="2"/>
      <c r="F840" s="2"/>
      <c r="G840" s="2"/>
      <c r="H840" s="2"/>
      <c r="I840" s="2"/>
      <c r="J840" s="2"/>
      <c r="K840" s="181"/>
      <c r="L840" s="2"/>
      <c r="M840" s="2"/>
      <c r="N840" s="2"/>
      <c r="O840" s="2"/>
      <c r="P840" s="2"/>
      <c r="Q840" s="157"/>
      <c r="R840" s="157"/>
      <c r="S840" s="157"/>
      <c r="T840" s="158"/>
      <c r="U840" s="2"/>
      <c r="V840" s="2"/>
      <c r="W840" s="2"/>
      <c r="X840" s="2"/>
      <c r="Y840" s="2"/>
      <c r="Z840" s="2"/>
    </row>
    <row r="841" ht="13.5" customHeight="1">
      <c r="A841" s="2"/>
      <c r="B841" s="2"/>
      <c r="C841" s="2"/>
      <c r="D841" s="2"/>
      <c r="E841" s="2"/>
      <c r="F841" s="2"/>
      <c r="G841" s="2"/>
      <c r="H841" s="2"/>
      <c r="I841" s="2"/>
      <c r="J841" s="2"/>
      <c r="K841" s="181"/>
      <c r="L841" s="2"/>
      <c r="M841" s="2"/>
      <c r="N841" s="2"/>
      <c r="O841" s="2"/>
      <c r="P841" s="2"/>
      <c r="Q841" s="157"/>
      <c r="R841" s="157"/>
      <c r="S841" s="157"/>
      <c r="T841" s="158"/>
      <c r="U841" s="2"/>
      <c r="V841" s="2"/>
      <c r="W841" s="2"/>
      <c r="X841" s="2"/>
      <c r="Y841" s="2"/>
      <c r="Z841" s="2"/>
    </row>
    <row r="842" ht="13.5" customHeight="1">
      <c r="A842" s="2"/>
      <c r="B842" s="2"/>
      <c r="C842" s="2"/>
      <c r="D842" s="2"/>
      <c r="E842" s="2"/>
      <c r="F842" s="2"/>
      <c r="G842" s="2"/>
      <c r="H842" s="2"/>
      <c r="I842" s="2"/>
      <c r="J842" s="2"/>
      <c r="K842" s="181"/>
      <c r="L842" s="2"/>
      <c r="M842" s="2"/>
      <c r="N842" s="2"/>
      <c r="O842" s="2"/>
      <c r="P842" s="2"/>
      <c r="Q842" s="157"/>
      <c r="R842" s="157"/>
      <c r="S842" s="157"/>
      <c r="T842" s="158"/>
      <c r="U842" s="2"/>
      <c r="V842" s="2"/>
      <c r="W842" s="2"/>
      <c r="X842" s="2"/>
      <c r="Y842" s="2"/>
      <c r="Z842" s="2"/>
    </row>
    <row r="843" ht="13.5" customHeight="1">
      <c r="A843" s="2"/>
      <c r="B843" s="2"/>
      <c r="C843" s="2"/>
      <c r="D843" s="2"/>
      <c r="E843" s="2"/>
      <c r="F843" s="2"/>
      <c r="G843" s="2"/>
      <c r="H843" s="2"/>
      <c r="I843" s="2"/>
      <c r="J843" s="2"/>
      <c r="K843" s="181"/>
      <c r="L843" s="2"/>
      <c r="M843" s="2"/>
      <c r="N843" s="2"/>
      <c r="O843" s="2"/>
      <c r="P843" s="2"/>
      <c r="Q843" s="157"/>
      <c r="R843" s="157"/>
      <c r="S843" s="157"/>
      <c r="T843" s="158"/>
      <c r="U843" s="2"/>
      <c r="V843" s="2"/>
      <c r="W843" s="2"/>
      <c r="X843" s="2"/>
      <c r="Y843" s="2"/>
      <c r="Z843" s="2"/>
    </row>
    <row r="844" ht="13.5" customHeight="1">
      <c r="A844" s="2"/>
      <c r="B844" s="2"/>
      <c r="C844" s="2"/>
      <c r="D844" s="2"/>
      <c r="E844" s="2"/>
      <c r="F844" s="2"/>
      <c r="G844" s="2"/>
      <c r="H844" s="2"/>
      <c r="I844" s="2"/>
      <c r="J844" s="2"/>
      <c r="K844" s="181"/>
      <c r="L844" s="2"/>
      <c r="M844" s="2"/>
      <c r="N844" s="2"/>
      <c r="O844" s="2"/>
      <c r="P844" s="2"/>
      <c r="Q844" s="157"/>
      <c r="R844" s="157"/>
      <c r="S844" s="157"/>
      <c r="T844" s="158"/>
      <c r="U844" s="2"/>
      <c r="V844" s="2"/>
      <c r="W844" s="2"/>
      <c r="X844" s="2"/>
      <c r="Y844" s="2"/>
      <c r="Z844" s="2"/>
    </row>
    <row r="845" ht="13.5" customHeight="1">
      <c r="A845" s="2"/>
      <c r="B845" s="2"/>
      <c r="C845" s="2"/>
      <c r="D845" s="2"/>
      <c r="E845" s="2"/>
      <c r="F845" s="2"/>
      <c r="G845" s="2"/>
      <c r="H845" s="2"/>
      <c r="I845" s="2"/>
      <c r="J845" s="2"/>
      <c r="K845" s="181"/>
      <c r="L845" s="2"/>
      <c r="M845" s="2"/>
      <c r="N845" s="2"/>
      <c r="O845" s="2"/>
      <c r="P845" s="2"/>
      <c r="Q845" s="157"/>
      <c r="R845" s="157"/>
      <c r="S845" s="157"/>
      <c r="T845" s="158"/>
      <c r="U845" s="2"/>
      <c r="V845" s="2"/>
      <c r="W845" s="2"/>
      <c r="X845" s="2"/>
      <c r="Y845" s="2"/>
      <c r="Z845" s="2"/>
    </row>
    <row r="846" ht="13.5" customHeight="1">
      <c r="A846" s="2"/>
      <c r="B846" s="2"/>
      <c r="C846" s="2"/>
      <c r="D846" s="2"/>
      <c r="E846" s="2"/>
      <c r="F846" s="2"/>
      <c r="G846" s="2"/>
      <c r="H846" s="2"/>
      <c r="I846" s="2"/>
      <c r="J846" s="2"/>
      <c r="K846" s="181"/>
      <c r="L846" s="2"/>
      <c r="M846" s="2"/>
      <c r="N846" s="2"/>
      <c r="O846" s="2"/>
      <c r="P846" s="2"/>
      <c r="Q846" s="157"/>
      <c r="R846" s="157"/>
      <c r="S846" s="157"/>
      <c r="T846" s="158"/>
      <c r="U846" s="2"/>
      <c r="V846" s="2"/>
      <c r="W846" s="2"/>
      <c r="X846" s="2"/>
      <c r="Y846" s="2"/>
      <c r="Z846" s="2"/>
    </row>
    <row r="847" ht="13.5" customHeight="1">
      <c r="A847" s="2"/>
      <c r="B847" s="2"/>
      <c r="C847" s="2"/>
      <c r="D847" s="2"/>
      <c r="E847" s="2"/>
      <c r="F847" s="2"/>
      <c r="G847" s="2"/>
      <c r="H847" s="2"/>
      <c r="I847" s="2"/>
      <c r="J847" s="2"/>
      <c r="K847" s="181"/>
      <c r="L847" s="2"/>
      <c r="M847" s="2"/>
      <c r="N847" s="2"/>
      <c r="O847" s="2"/>
      <c r="P847" s="2"/>
      <c r="Q847" s="157"/>
      <c r="R847" s="157"/>
      <c r="S847" s="157"/>
      <c r="T847" s="158"/>
      <c r="U847" s="2"/>
      <c r="V847" s="2"/>
      <c r="W847" s="2"/>
      <c r="X847" s="2"/>
      <c r="Y847" s="2"/>
      <c r="Z847" s="2"/>
    </row>
    <row r="848" ht="13.5" customHeight="1">
      <c r="A848" s="2"/>
      <c r="B848" s="2"/>
      <c r="C848" s="2"/>
      <c r="D848" s="2"/>
      <c r="E848" s="2"/>
      <c r="F848" s="2"/>
      <c r="G848" s="2"/>
      <c r="H848" s="2"/>
      <c r="I848" s="2"/>
      <c r="J848" s="2"/>
      <c r="K848" s="181"/>
      <c r="L848" s="2"/>
      <c r="M848" s="2"/>
      <c r="N848" s="2"/>
      <c r="O848" s="2"/>
      <c r="P848" s="2"/>
      <c r="Q848" s="157"/>
      <c r="R848" s="157"/>
      <c r="S848" s="157"/>
      <c r="T848" s="158"/>
      <c r="U848" s="2"/>
      <c r="V848" s="2"/>
      <c r="W848" s="2"/>
      <c r="X848" s="2"/>
      <c r="Y848" s="2"/>
      <c r="Z848" s="2"/>
    </row>
    <row r="849" ht="13.5" customHeight="1">
      <c r="A849" s="2"/>
      <c r="B849" s="2"/>
      <c r="C849" s="2"/>
      <c r="D849" s="2"/>
      <c r="E849" s="2"/>
      <c r="F849" s="2"/>
      <c r="G849" s="2"/>
      <c r="H849" s="2"/>
      <c r="I849" s="2"/>
      <c r="J849" s="2"/>
      <c r="K849" s="181"/>
      <c r="L849" s="2"/>
      <c r="M849" s="2"/>
      <c r="N849" s="2"/>
      <c r="O849" s="2"/>
      <c r="P849" s="2"/>
      <c r="Q849" s="157"/>
      <c r="R849" s="157"/>
      <c r="S849" s="157"/>
      <c r="T849" s="158"/>
      <c r="U849" s="2"/>
      <c r="V849" s="2"/>
      <c r="W849" s="2"/>
      <c r="X849" s="2"/>
      <c r="Y849" s="2"/>
      <c r="Z849" s="2"/>
    </row>
    <row r="850" ht="13.5" customHeight="1">
      <c r="A850" s="2"/>
      <c r="B850" s="2"/>
      <c r="C850" s="2"/>
      <c r="D850" s="2"/>
      <c r="E850" s="2"/>
      <c r="F850" s="2"/>
      <c r="G850" s="2"/>
      <c r="H850" s="2"/>
      <c r="I850" s="2"/>
      <c r="J850" s="2"/>
      <c r="K850" s="181"/>
      <c r="L850" s="2"/>
      <c r="M850" s="2"/>
      <c r="N850" s="2"/>
      <c r="O850" s="2"/>
      <c r="P850" s="2"/>
      <c r="Q850" s="157"/>
      <c r="R850" s="157"/>
      <c r="S850" s="157"/>
      <c r="T850" s="158"/>
      <c r="U850" s="2"/>
      <c r="V850" s="2"/>
      <c r="W850" s="2"/>
      <c r="X850" s="2"/>
      <c r="Y850" s="2"/>
      <c r="Z850" s="2"/>
    </row>
    <row r="851" ht="13.5" customHeight="1">
      <c r="A851" s="2"/>
      <c r="B851" s="2"/>
      <c r="C851" s="2"/>
      <c r="D851" s="2"/>
      <c r="E851" s="2"/>
      <c r="F851" s="2"/>
      <c r="G851" s="2"/>
      <c r="H851" s="2"/>
      <c r="I851" s="2"/>
      <c r="J851" s="2"/>
      <c r="K851" s="181"/>
      <c r="L851" s="2"/>
      <c r="M851" s="2"/>
      <c r="N851" s="2"/>
      <c r="O851" s="2"/>
      <c r="P851" s="2"/>
      <c r="Q851" s="157"/>
      <c r="R851" s="157"/>
      <c r="S851" s="157"/>
      <c r="T851" s="158"/>
      <c r="U851" s="2"/>
      <c r="V851" s="2"/>
      <c r="W851" s="2"/>
      <c r="X851" s="2"/>
      <c r="Y851" s="2"/>
      <c r="Z851" s="2"/>
    </row>
    <row r="852" ht="13.5" customHeight="1">
      <c r="A852" s="2"/>
      <c r="B852" s="2"/>
      <c r="C852" s="2"/>
      <c r="D852" s="2"/>
      <c r="E852" s="2"/>
      <c r="F852" s="2"/>
      <c r="G852" s="2"/>
      <c r="H852" s="2"/>
      <c r="I852" s="2"/>
      <c r="J852" s="2"/>
      <c r="K852" s="181"/>
      <c r="L852" s="2"/>
      <c r="M852" s="2"/>
      <c r="N852" s="2"/>
      <c r="O852" s="2"/>
      <c r="P852" s="2"/>
      <c r="Q852" s="157"/>
      <c r="R852" s="157"/>
      <c r="S852" s="157"/>
      <c r="T852" s="158"/>
      <c r="U852" s="2"/>
      <c r="V852" s="2"/>
      <c r="W852" s="2"/>
      <c r="X852" s="2"/>
      <c r="Y852" s="2"/>
      <c r="Z852" s="2"/>
    </row>
    <row r="853" ht="13.5" customHeight="1">
      <c r="A853" s="2"/>
      <c r="B853" s="2"/>
      <c r="C853" s="2"/>
      <c r="D853" s="2"/>
      <c r="E853" s="2"/>
      <c r="F853" s="2"/>
      <c r="G853" s="2"/>
      <c r="H853" s="2"/>
      <c r="I853" s="2"/>
      <c r="J853" s="2"/>
      <c r="K853" s="181"/>
      <c r="L853" s="2"/>
      <c r="M853" s="2"/>
      <c r="N853" s="2"/>
      <c r="O853" s="2"/>
      <c r="P853" s="2"/>
      <c r="Q853" s="157"/>
      <c r="R853" s="157"/>
      <c r="S853" s="157"/>
      <c r="T853" s="158"/>
      <c r="U853" s="2"/>
      <c r="V853" s="2"/>
      <c r="W853" s="2"/>
      <c r="X853" s="2"/>
      <c r="Y853" s="2"/>
      <c r="Z853" s="2"/>
    </row>
    <row r="854" ht="13.5" customHeight="1">
      <c r="A854" s="2"/>
      <c r="B854" s="2"/>
      <c r="C854" s="2"/>
      <c r="D854" s="2"/>
      <c r="E854" s="2"/>
      <c r="F854" s="2"/>
      <c r="G854" s="2"/>
      <c r="H854" s="2"/>
      <c r="I854" s="2"/>
      <c r="J854" s="2"/>
      <c r="K854" s="181"/>
      <c r="L854" s="2"/>
      <c r="M854" s="2"/>
      <c r="N854" s="2"/>
      <c r="O854" s="2"/>
      <c r="P854" s="2"/>
      <c r="Q854" s="157"/>
      <c r="R854" s="157"/>
      <c r="S854" s="157"/>
      <c r="T854" s="158"/>
      <c r="U854" s="2"/>
      <c r="V854" s="2"/>
      <c r="W854" s="2"/>
      <c r="X854" s="2"/>
      <c r="Y854" s="2"/>
      <c r="Z854" s="2"/>
    </row>
    <row r="855" ht="13.5" customHeight="1">
      <c r="A855" s="2"/>
      <c r="B855" s="2"/>
      <c r="C855" s="2"/>
      <c r="D855" s="2"/>
      <c r="E855" s="2"/>
      <c r="F855" s="2"/>
      <c r="G855" s="2"/>
      <c r="H855" s="2"/>
      <c r="I855" s="2"/>
      <c r="J855" s="2"/>
      <c r="K855" s="181"/>
      <c r="L855" s="2"/>
      <c r="M855" s="2"/>
      <c r="N855" s="2"/>
      <c r="O855" s="2"/>
      <c r="P855" s="2"/>
      <c r="Q855" s="157"/>
      <c r="R855" s="157"/>
      <c r="S855" s="157"/>
      <c r="T855" s="158"/>
      <c r="U855" s="2"/>
      <c r="V855" s="2"/>
      <c r="W855" s="2"/>
      <c r="X855" s="2"/>
      <c r="Y855" s="2"/>
      <c r="Z855" s="2"/>
    </row>
    <row r="856" ht="13.5" customHeight="1">
      <c r="A856" s="2"/>
      <c r="B856" s="2"/>
      <c r="C856" s="2"/>
      <c r="D856" s="2"/>
      <c r="E856" s="2"/>
      <c r="F856" s="2"/>
      <c r="G856" s="2"/>
      <c r="H856" s="2"/>
      <c r="I856" s="2"/>
      <c r="J856" s="2"/>
      <c r="K856" s="181"/>
      <c r="L856" s="2"/>
      <c r="M856" s="2"/>
      <c r="N856" s="2"/>
      <c r="O856" s="2"/>
      <c r="P856" s="2"/>
      <c r="Q856" s="157"/>
      <c r="R856" s="157"/>
      <c r="S856" s="157"/>
      <c r="T856" s="158"/>
      <c r="U856" s="2"/>
      <c r="V856" s="2"/>
      <c r="W856" s="2"/>
      <c r="X856" s="2"/>
      <c r="Y856" s="2"/>
      <c r="Z856" s="2"/>
    </row>
    <row r="857" ht="13.5" customHeight="1">
      <c r="A857" s="2"/>
      <c r="B857" s="2"/>
      <c r="C857" s="2"/>
      <c r="D857" s="2"/>
      <c r="E857" s="2"/>
      <c r="F857" s="2"/>
      <c r="G857" s="2"/>
      <c r="H857" s="2"/>
      <c r="I857" s="2"/>
      <c r="J857" s="2"/>
      <c r="K857" s="181"/>
      <c r="L857" s="2"/>
      <c r="M857" s="2"/>
      <c r="N857" s="2"/>
      <c r="O857" s="2"/>
      <c r="P857" s="2"/>
      <c r="Q857" s="157"/>
      <c r="R857" s="157"/>
      <c r="S857" s="157"/>
      <c r="T857" s="158"/>
      <c r="U857" s="2"/>
      <c r="V857" s="2"/>
      <c r="W857" s="2"/>
      <c r="X857" s="2"/>
      <c r="Y857" s="2"/>
      <c r="Z857" s="2"/>
    </row>
    <row r="858" ht="13.5" customHeight="1">
      <c r="A858" s="2"/>
      <c r="B858" s="2"/>
      <c r="C858" s="2"/>
      <c r="D858" s="2"/>
      <c r="E858" s="2"/>
      <c r="F858" s="2"/>
      <c r="G858" s="2"/>
      <c r="H858" s="2"/>
      <c r="I858" s="2"/>
      <c r="J858" s="2"/>
      <c r="K858" s="181"/>
      <c r="L858" s="2"/>
      <c r="M858" s="2"/>
      <c r="N858" s="2"/>
      <c r="O858" s="2"/>
      <c r="P858" s="2"/>
      <c r="Q858" s="157"/>
      <c r="R858" s="157"/>
      <c r="S858" s="157"/>
      <c r="T858" s="158"/>
      <c r="U858" s="2"/>
      <c r="V858" s="2"/>
      <c r="W858" s="2"/>
      <c r="X858" s="2"/>
      <c r="Y858" s="2"/>
      <c r="Z858" s="2"/>
    </row>
    <row r="859" ht="13.5" customHeight="1">
      <c r="A859" s="2"/>
      <c r="B859" s="2"/>
      <c r="C859" s="2"/>
      <c r="D859" s="2"/>
      <c r="E859" s="2"/>
      <c r="F859" s="2"/>
      <c r="G859" s="2"/>
      <c r="H859" s="2"/>
      <c r="I859" s="2"/>
      <c r="J859" s="2"/>
      <c r="K859" s="181"/>
      <c r="L859" s="2"/>
      <c r="M859" s="2"/>
      <c r="N859" s="2"/>
      <c r="O859" s="2"/>
      <c r="P859" s="2"/>
      <c r="Q859" s="157"/>
      <c r="R859" s="157"/>
      <c r="S859" s="157"/>
      <c r="T859" s="158"/>
      <c r="U859" s="2"/>
      <c r="V859" s="2"/>
      <c r="W859" s="2"/>
      <c r="X859" s="2"/>
      <c r="Y859" s="2"/>
      <c r="Z859" s="2"/>
    </row>
    <row r="860" ht="13.5" customHeight="1">
      <c r="A860" s="2"/>
      <c r="B860" s="2"/>
      <c r="C860" s="2"/>
      <c r="D860" s="2"/>
      <c r="E860" s="2"/>
      <c r="F860" s="2"/>
      <c r="G860" s="2"/>
      <c r="H860" s="2"/>
      <c r="I860" s="2"/>
      <c r="J860" s="2"/>
      <c r="K860" s="181"/>
      <c r="L860" s="2"/>
      <c r="M860" s="2"/>
      <c r="N860" s="2"/>
      <c r="O860" s="2"/>
      <c r="P860" s="2"/>
      <c r="Q860" s="157"/>
      <c r="R860" s="157"/>
      <c r="S860" s="157"/>
      <c r="T860" s="158"/>
      <c r="U860" s="2"/>
      <c r="V860" s="2"/>
      <c r="W860" s="2"/>
      <c r="X860" s="2"/>
      <c r="Y860" s="2"/>
      <c r="Z860" s="2"/>
    </row>
    <row r="861" ht="13.5" customHeight="1">
      <c r="A861" s="2"/>
      <c r="B861" s="2"/>
      <c r="C861" s="2"/>
      <c r="D861" s="2"/>
      <c r="E861" s="2"/>
      <c r="F861" s="2"/>
      <c r="G861" s="2"/>
      <c r="H861" s="2"/>
      <c r="I861" s="2"/>
      <c r="J861" s="2"/>
      <c r="K861" s="181"/>
      <c r="L861" s="2"/>
      <c r="M861" s="2"/>
      <c r="N861" s="2"/>
      <c r="O861" s="2"/>
      <c r="P861" s="2"/>
      <c r="Q861" s="157"/>
      <c r="R861" s="157"/>
      <c r="S861" s="157"/>
      <c r="T861" s="158"/>
      <c r="U861" s="2"/>
      <c r="V861" s="2"/>
      <c r="W861" s="2"/>
      <c r="X861" s="2"/>
      <c r="Y861" s="2"/>
      <c r="Z861" s="2"/>
    </row>
    <row r="862" ht="13.5" customHeight="1">
      <c r="A862" s="2"/>
      <c r="B862" s="2"/>
      <c r="C862" s="2"/>
      <c r="D862" s="2"/>
      <c r="E862" s="2"/>
      <c r="F862" s="2"/>
      <c r="G862" s="2"/>
      <c r="H862" s="2"/>
      <c r="I862" s="2"/>
      <c r="J862" s="2"/>
      <c r="K862" s="181"/>
      <c r="L862" s="2"/>
      <c r="M862" s="2"/>
      <c r="N862" s="2"/>
      <c r="O862" s="2"/>
      <c r="P862" s="2"/>
      <c r="Q862" s="157"/>
      <c r="R862" s="157"/>
      <c r="S862" s="157"/>
      <c r="T862" s="158"/>
      <c r="U862" s="2"/>
      <c r="V862" s="2"/>
      <c r="W862" s="2"/>
      <c r="X862" s="2"/>
      <c r="Y862" s="2"/>
      <c r="Z862" s="2"/>
    </row>
    <row r="863" ht="13.5" customHeight="1">
      <c r="A863" s="2"/>
      <c r="B863" s="2"/>
      <c r="C863" s="2"/>
      <c r="D863" s="2"/>
      <c r="E863" s="2"/>
      <c r="F863" s="2"/>
      <c r="G863" s="2"/>
      <c r="H863" s="2"/>
      <c r="I863" s="2"/>
      <c r="J863" s="2"/>
      <c r="K863" s="181"/>
      <c r="L863" s="2"/>
      <c r="M863" s="2"/>
      <c r="N863" s="2"/>
      <c r="O863" s="2"/>
      <c r="P863" s="2"/>
      <c r="Q863" s="157"/>
      <c r="R863" s="157"/>
      <c r="S863" s="157"/>
      <c r="T863" s="158"/>
      <c r="U863" s="2"/>
      <c r="V863" s="2"/>
      <c r="W863" s="2"/>
      <c r="X863" s="2"/>
      <c r="Y863" s="2"/>
      <c r="Z863" s="2"/>
    </row>
    <row r="864" ht="13.5" customHeight="1">
      <c r="A864" s="2"/>
      <c r="B864" s="2"/>
      <c r="C864" s="2"/>
      <c r="D864" s="2"/>
      <c r="E864" s="2"/>
      <c r="F864" s="2"/>
      <c r="G864" s="2"/>
      <c r="H864" s="2"/>
      <c r="I864" s="2"/>
      <c r="J864" s="2"/>
      <c r="K864" s="181"/>
      <c r="L864" s="2"/>
      <c r="M864" s="2"/>
      <c r="N864" s="2"/>
      <c r="O864" s="2"/>
      <c r="P864" s="2"/>
      <c r="Q864" s="157"/>
      <c r="R864" s="157"/>
      <c r="S864" s="157"/>
      <c r="T864" s="158"/>
      <c r="U864" s="2"/>
      <c r="V864" s="2"/>
      <c r="W864" s="2"/>
      <c r="X864" s="2"/>
      <c r="Y864" s="2"/>
      <c r="Z864" s="2"/>
    </row>
    <row r="865" ht="13.5" customHeight="1">
      <c r="A865" s="2"/>
      <c r="B865" s="2"/>
      <c r="C865" s="2"/>
      <c r="D865" s="2"/>
      <c r="E865" s="2"/>
      <c r="F865" s="2"/>
      <c r="G865" s="2"/>
      <c r="H865" s="2"/>
      <c r="I865" s="2"/>
      <c r="J865" s="2"/>
      <c r="K865" s="181"/>
      <c r="L865" s="2"/>
      <c r="M865" s="2"/>
      <c r="N865" s="2"/>
      <c r="O865" s="2"/>
      <c r="P865" s="2"/>
      <c r="Q865" s="157"/>
      <c r="R865" s="157"/>
      <c r="S865" s="157"/>
      <c r="T865" s="158"/>
      <c r="U865" s="2"/>
      <c r="V865" s="2"/>
      <c r="W865" s="2"/>
      <c r="X865" s="2"/>
      <c r="Y865" s="2"/>
      <c r="Z865" s="2"/>
    </row>
    <row r="866" ht="13.5" customHeight="1">
      <c r="A866" s="2"/>
      <c r="B866" s="2"/>
      <c r="C866" s="2"/>
      <c r="D866" s="2"/>
      <c r="E866" s="2"/>
      <c r="F866" s="2"/>
      <c r="G866" s="2"/>
      <c r="H866" s="2"/>
      <c r="I866" s="2"/>
      <c r="J866" s="2"/>
      <c r="K866" s="181"/>
      <c r="L866" s="2"/>
      <c r="M866" s="2"/>
      <c r="N866" s="2"/>
      <c r="O866" s="2"/>
      <c r="P866" s="2"/>
      <c r="Q866" s="157"/>
      <c r="R866" s="157"/>
      <c r="S866" s="157"/>
      <c r="T866" s="158"/>
      <c r="U866" s="2"/>
      <c r="V866" s="2"/>
      <c r="W866" s="2"/>
      <c r="X866" s="2"/>
      <c r="Y866" s="2"/>
      <c r="Z866" s="2"/>
    </row>
    <row r="867" ht="13.5" customHeight="1">
      <c r="A867" s="2"/>
      <c r="B867" s="2"/>
      <c r="C867" s="2"/>
      <c r="D867" s="2"/>
      <c r="E867" s="2"/>
      <c r="F867" s="2"/>
      <c r="G867" s="2"/>
      <c r="H867" s="2"/>
      <c r="I867" s="2"/>
      <c r="J867" s="2"/>
      <c r="K867" s="181"/>
      <c r="L867" s="2"/>
      <c r="M867" s="2"/>
      <c r="N867" s="2"/>
      <c r="O867" s="2"/>
      <c r="P867" s="2"/>
      <c r="Q867" s="157"/>
      <c r="R867" s="157"/>
      <c r="S867" s="157"/>
      <c r="T867" s="158"/>
      <c r="U867" s="2"/>
      <c r="V867" s="2"/>
      <c r="W867" s="2"/>
      <c r="X867" s="2"/>
      <c r="Y867" s="2"/>
      <c r="Z867" s="2"/>
    </row>
    <row r="868" ht="13.5" customHeight="1">
      <c r="A868" s="2"/>
      <c r="B868" s="2"/>
      <c r="C868" s="2"/>
      <c r="D868" s="2"/>
      <c r="E868" s="2"/>
      <c r="F868" s="2"/>
      <c r="G868" s="2"/>
      <c r="H868" s="2"/>
      <c r="I868" s="2"/>
      <c r="J868" s="2"/>
      <c r="K868" s="181"/>
      <c r="L868" s="2"/>
      <c r="M868" s="2"/>
      <c r="N868" s="2"/>
      <c r="O868" s="2"/>
      <c r="P868" s="2"/>
      <c r="Q868" s="157"/>
      <c r="R868" s="157"/>
      <c r="S868" s="157"/>
      <c r="T868" s="158"/>
      <c r="U868" s="2"/>
      <c r="V868" s="2"/>
      <c r="W868" s="2"/>
      <c r="X868" s="2"/>
      <c r="Y868" s="2"/>
      <c r="Z868" s="2"/>
    </row>
    <row r="869" ht="13.5" customHeight="1">
      <c r="A869" s="2"/>
      <c r="B869" s="2"/>
      <c r="C869" s="2"/>
      <c r="D869" s="2"/>
      <c r="E869" s="2"/>
      <c r="F869" s="2"/>
      <c r="G869" s="2"/>
      <c r="H869" s="2"/>
      <c r="I869" s="2"/>
      <c r="J869" s="2"/>
      <c r="K869" s="181"/>
      <c r="L869" s="2"/>
      <c r="M869" s="2"/>
      <c r="N869" s="2"/>
      <c r="O869" s="2"/>
      <c r="P869" s="2"/>
      <c r="Q869" s="157"/>
      <c r="R869" s="157"/>
      <c r="S869" s="157"/>
      <c r="T869" s="158"/>
      <c r="U869" s="2"/>
      <c r="V869" s="2"/>
      <c r="W869" s="2"/>
      <c r="X869" s="2"/>
      <c r="Y869" s="2"/>
      <c r="Z869" s="2"/>
    </row>
    <row r="870" ht="13.5" customHeight="1">
      <c r="A870" s="2"/>
      <c r="B870" s="2"/>
      <c r="C870" s="2"/>
      <c r="D870" s="2"/>
      <c r="E870" s="2"/>
      <c r="F870" s="2"/>
      <c r="G870" s="2"/>
      <c r="H870" s="2"/>
      <c r="I870" s="2"/>
      <c r="J870" s="2"/>
      <c r="K870" s="181"/>
      <c r="L870" s="2"/>
      <c r="M870" s="2"/>
      <c r="N870" s="2"/>
      <c r="O870" s="2"/>
      <c r="P870" s="2"/>
      <c r="Q870" s="157"/>
      <c r="R870" s="157"/>
      <c r="S870" s="157"/>
      <c r="T870" s="158"/>
      <c r="U870" s="2"/>
      <c r="V870" s="2"/>
      <c r="W870" s="2"/>
      <c r="X870" s="2"/>
      <c r="Y870" s="2"/>
      <c r="Z870" s="2"/>
    </row>
    <row r="871" ht="13.5" customHeight="1">
      <c r="A871" s="2"/>
      <c r="B871" s="2"/>
      <c r="C871" s="2"/>
      <c r="D871" s="2"/>
      <c r="E871" s="2"/>
      <c r="F871" s="2"/>
      <c r="G871" s="2"/>
      <c r="H871" s="2"/>
      <c r="I871" s="2"/>
      <c r="J871" s="2"/>
      <c r="K871" s="181"/>
      <c r="L871" s="2"/>
      <c r="M871" s="2"/>
      <c r="N871" s="2"/>
      <c r="O871" s="2"/>
      <c r="P871" s="2"/>
      <c r="Q871" s="157"/>
      <c r="R871" s="157"/>
      <c r="S871" s="157"/>
      <c r="T871" s="158"/>
      <c r="U871" s="2"/>
      <c r="V871" s="2"/>
      <c r="W871" s="2"/>
      <c r="X871" s="2"/>
      <c r="Y871" s="2"/>
      <c r="Z871" s="2"/>
    </row>
    <row r="872" ht="13.5" customHeight="1">
      <c r="A872" s="2"/>
      <c r="B872" s="2"/>
      <c r="C872" s="2"/>
      <c r="D872" s="2"/>
      <c r="E872" s="2"/>
      <c r="F872" s="2"/>
      <c r="G872" s="2"/>
      <c r="H872" s="2"/>
      <c r="I872" s="2"/>
      <c r="J872" s="2"/>
      <c r="K872" s="181"/>
      <c r="L872" s="2"/>
      <c r="M872" s="2"/>
      <c r="N872" s="2"/>
      <c r="O872" s="2"/>
      <c r="P872" s="2"/>
      <c r="Q872" s="157"/>
      <c r="R872" s="157"/>
      <c r="S872" s="157"/>
      <c r="T872" s="158"/>
      <c r="U872" s="2"/>
      <c r="V872" s="2"/>
      <c r="W872" s="2"/>
      <c r="X872" s="2"/>
      <c r="Y872" s="2"/>
      <c r="Z872" s="2"/>
    </row>
    <row r="873" ht="13.5" customHeight="1">
      <c r="A873" s="2"/>
      <c r="B873" s="2"/>
      <c r="C873" s="2"/>
      <c r="D873" s="2"/>
      <c r="E873" s="2"/>
      <c r="F873" s="2"/>
      <c r="G873" s="2"/>
      <c r="H873" s="2"/>
      <c r="I873" s="2"/>
      <c r="J873" s="2"/>
      <c r="K873" s="181"/>
      <c r="L873" s="2"/>
      <c r="M873" s="2"/>
      <c r="N873" s="2"/>
      <c r="O873" s="2"/>
      <c r="P873" s="2"/>
      <c r="Q873" s="157"/>
      <c r="R873" s="157"/>
      <c r="S873" s="157"/>
      <c r="T873" s="158"/>
      <c r="U873" s="2"/>
      <c r="V873" s="2"/>
      <c r="W873" s="2"/>
      <c r="X873" s="2"/>
      <c r="Y873" s="2"/>
      <c r="Z873" s="2"/>
    </row>
    <row r="874" ht="13.5" customHeight="1">
      <c r="A874" s="2"/>
      <c r="B874" s="2"/>
      <c r="C874" s="2"/>
      <c r="D874" s="2"/>
      <c r="E874" s="2"/>
      <c r="F874" s="2"/>
      <c r="G874" s="2"/>
      <c r="H874" s="2"/>
      <c r="I874" s="2"/>
      <c r="J874" s="2"/>
      <c r="K874" s="181"/>
      <c r="L874" s="2"/>
      <c r="M874" s="2"/>
      <c r="N874" s="2"/>
      <c r="O874" s="2"/>
      <c r="P874" s="2"/>
      <c r="Q874" s="157"/>
      <c r="R874" s="157"/>
      <c r="S874" s="157"/>
      <c r="T874" s="158"/>
      <c r="U874" s="2"/>
      <c r="V874" s="2"/>
      <c r="W874" s="2"/>
      <c r="X874" s="2"/>
      <c r="Y874" s="2"/>
      <c r="Z874" s="2"/>
    </row>
    <row r="875" ht="13.5" customHeight="1">
      <c r="A875" s="2"/>
      <c r="B875" s="2"/>
      <c r="C875" s="2"/>
      <c r="D875" s="2"/>
      <c r="E875" s="2"/>
      <c r="F875" s="2"/>
      <c r="G875" s="2"/>
      <c r="H875" s="2"/>
      <c r="I875" s="2"/>
      <c r="J875" s="2"/>
      <c r="K875" s="181"/>
      <c r="L875" s="2"/>
      <c r="M875" s="2"/>
      <c r="N875" s="2"/>
      <c r="O875" s="2"/>
      <c r="P875" s="2"/>
      <c r="Q875" s="157"/>
      <c r="R875" s="157"/>
      <c r="S875" s="157"/>
      <c r="T875" s="158"/>
      <c r="U875" s="2"/>
      <c r="V875" s="2"/>
      <c r="W875" s="2"/>
      <c r="X875" s="2"/>
      <c r="Y875" s="2"/>
      <c r="Z875" s="2"/>
    </row>
    <row r="876" ht="13.5" customHeight="1">
      <c r="A876" s="2"/>
      <c r="B876" s="2"/>
      <c r="C876" s="2"/>
      <c r="D876" s="2"/>
      <c r="E876" s="2"/>
      <c r="F876" s="2"/>
      <c r="G876" s="2"/>
      <c r="H876" s="2"/>
      <c r="I876" s="2"/>
      <c r="J876" s="2"/>
      <c r="K876" s="181"/>
      <c r="L876" s="2"/>
      <c r="M876" s="2"/>
      <c r="N876" s="2"/>
      <c r="O876" s="2"/>
      <c r="P876" s="2"/>
      <c r="Q876" s="157"/>
      <c r="R876" s="157"/>
      <c r="S876" s="157"/>
      <c r="T876" s="158"/>
      <c r="U876" s="2"/>
      <c r="V876" s="2"/>
      <c r="W876" s="2"/>
      <c r="X876" s="2"/>
      <c r="Y876" s="2"/>
      <c r="Z876" s="2"/>
    </row>
    <row r="877" ht="13.5" customHeight="1">
      <c r="A877" s="2"/>
      <c r="B877" s="2"/>
      <c r="C877" s="2"/>
      <c r="D877" s="2"/>
      <c r="E877" s="2"/>
      <c r="F877" s="2"/>
      <c r="G877" s="2"/>
      <c r="H877" s="2"/>
      <c r="I877" s="2"/>
      <c r="J877" s="2"/>
      <c r="K877" s="181"/>
      <c r="L877" s="2"/>
      <c r="M877" s="2"/>
      <c r="N877" s="2"/>
      <c r="O877" s="2"/>
      <c r="P877" s="2"/>
      <c r="Q877" s="157"/>
      <c r="R877" s="157"/>
      <c r="S877" s="157"/>
      <c r="T877" s="158"/>
      <c r="U877" s="2"/>
      <c r="V877" s="2"/>
      <c r="W877" s="2"/>
      <c r="X877" s="2"/>
      <c r="Y877" s="2"/>
      <c r="Z877" s="2"/>
    </row>
    <row r="878" ht="13.5" customHeight="1">
      <c r="A878" s="2"/>
      <c r="B878" s="2"/>
      <c r="C878" s="2"/>
      <c r="D878" s="2"/>
      <c r="E878" s="2"/>
      <c r="F878" s="2"/>
      <c r="G878" s="2"/>
      <c r="H878" s="2"/>
      <c r="I878" s="2"/>
      <c r="J878" s="2"/>
      <c r="K878" s="181"/>
      <c r="L878" s="2"/>
      <c r="M878" s="2"/>
      <c r="N878" s="2"/>
      <c r="O878" s="2"/>
      <c r="P878" s="2"/>
      <c r="Q878" s="157"/>
      <c r="R878" s="157"/>
      <c r="S878" s="157"/>
      <c r="T878" s="158"/>
      <c r="U878" s="2"/>
      <c r="V878" s="2"/>
      <c r="W878" s="2"/>
      <c r="X878" s="2"/>
      <c r="Y878" s="2"/>
      <c r="Z878" s="2"/>
    </row>
    <row r="879" ht="13.5" customHeight="1">
      <c r="A879" s="2"/>
      <c r="B879" s="2"/>
      <c r="C879" s="2"/>
      <c r="D879" s="2"/>
      <c r="E879" s="2"/>
      <c r="F879" s="2"/>
      <c r="G879" s="2"/>
      <c r="H879" s="2"/>
      <c r="I879" s="2"/>
      <c r="J879" s="2"/>
      <c r="K879" s="181"/>
      <c r="L879" s="2"/>
      <c r="M879" s="2"/>
      <c r="N879" s="2"/>
      <c r="O879" s="2"/>
      <c r="P879" s="2"/>
      <c r="Q879" s="157"/>
      <c r="R879" s="157"/>
      <c r="S879" s="157"/>
      <c r="T879" s="158"/>
      <c r="U879" s="2"/>
      <c r="V879" s="2"/>
      <c r="W879" s="2"/>
      <c r="X879" s="2"/>
      <c r="Y879" s="2"/>
      <c r="Z879" s="2"/>
    </row>
    <row r="880" ht="13.5" customHeight="1">
      <c r="A880" s="2"/>
      <c r="B880" s="2"/>
      <c r="C880" s="2"/>
      <c r="D880" s="2"/>
      <c r="E880" s="2"/>
      <c r="F880" s="2"/>
      <c r="G880" s="2"/>
      <c r="H880" s="2"/>
      <c r="I880" s="2"/>
      <c r="J880" s="2"/>
      <c r="K880" s="181"/>
      <c r="L880" s="2"/>
      <c r="M880" s="2"/>
      <c r="N880" s="2"/>
      <c r="O880" s="2"/>
      <c r="P880" s="2"/>
      <c r="Q880" s="157"/>
      <c r="R880" s="157"/>
      <c r="S880" s="157"/>
      <c r="T880" s="158"/>
      <c r="U880" s="2"/>
      <c r="V880" s="2"/>
      <c r="W880" s="2"/>
      <c r="X880" s="2"/>
      <c r="Y880" s="2"/>
      <c r="Z880" s="2"/>
    </row>
    <row r="881" ht="13.5" customHeight="1">
      <c r="A881" s="2"/>
      <c r="B881" s="2"/>
      <c r="C881" s="2"/>
      <c r="D881" s="2"/>
      <c r="E881" s="2"/>
      <c r="F881" s="2"/>
      <c r="G881" s="2"/>
      <c r="H881" s="2"/>
      <c r="I881" s="2"/>
      <c r="J881" s="2"/>
      <c r="K881" s="181"/>
      <c r="L881" s="2"/>
      <c r="M881" s="2"/>
      <c r="N881" s="2"/>
      <c r="O881" s="2"/>
      <c r="P881" s="2"/>
      <c r="Q881" s="157"/>
      <c r="R881" s="157"/>
      <c r="S881" s="157"/>
      <c r="T881" s="158"/>
      <c r="U881" s="2"/>
      <c r="V881" s="2"/>
      <c r="W881" s="2"/>
      <c r="X881" s="2"/>
      <c r="Y881" s="2"/>
      <c r="Z881" s="2"/>
    </row>
    <row r="882" ht="13.5" customHeight="1">
      <c r="A882" s="2"/>
      <c r="B882" s="2"/>
      <c r="C882" s="2"/>
      <c r="D882" s="2"/>
      <c r="E882" s="2"/>
      <c r="F882" s="2"/>
      <c r="G882" s="2"/>
      <c r="H882" s="2"/>
      <c r="I882" s="2"/>
      <c r="J882" s="2"/>
      <c r="K882" s="181"/>
      <c r="L882" s="2"/>
      <c r="M882" s="2"/>
      <c r="N882" s="2"/>
      <c r="O882" s="2"/>
      <c r="P882" s="2"/>
      <c r="Q882" s="157"/>
      <c r="R882" s="157"/>
      <c r="S882" s="157"/>
      <c r="T882" s="158"/>
      <c r="U882" s="2"/>
      <c r="V882" s="2"/>
      <c r="W882" s="2"/>
      <c r="X882" s="2"/>
      <c r="Y882" s="2"/>
      <c r="Z882" s="2"/>
    </row>
    <row r="883" ht="13.5" customHeight="1">
      <c r="A883" s="2"/>
      <c r="B883" s="2"/>
      <c r="C883" s="2"/>
      <c r="D883" s="2"/>
      <c r="E883" s="2"/>
      <c r="F883" s="2"/>
      <c r="G883" s="2"/>
      <c r="H883" s="2"/>
      <c r="I883" s="2"/>
      <c r="J883" s="2"/>
      <c r="K883" s="181"/>
      <c r="L883" s="2"/>
      <c r="M883" s="2"/>
      <c r="N883" s="2"/>
      <c r="O883" s="2"/>
      <c r="P883" s="2"/>
      <c r="Q883" s="157"/>
      <c r="R883" s="157"/>
      <c r="S883" s="157"/>
      <c r="T883" s="158"/>
      <c r="U883" s="2"/>
      <c r="V883" s="2"/>
      <c r="W883" s="2"/>
      <c r="X883" s="2"/>
      <c r="Y883" s="2"/>
      <c r="Z883" s="2"/>
    </row>
    <row r="884" ht="13.5" customHeight="1">
      <c r="A884" s="2"/>
      <c r="B884" s="2"/>
      <c r="C884" s="2"/>
      <c r="D884" s="2"/>
      <c r="E884" s="2"/>
      <c r="F884" s="2"/>
      <c r="G884" s="2"/>
      <c r="H884" s="2"/>
      <c r="I884" s="2"/>
      <c r="J884" s="2"/>
      <c r="K884" s="181"/>
      <c r="L884" s="2"/>
      <c r="M884" s="2"/>
      <c r="N884" s="2"/>
      <c r="O884" s="2"/>
      <c r="P884" s="2"/>
      <c r="Q884" s="157"/>
      <c r="R884" s="157"/>
      <c r="S884" s="157"/>
      <c r="T884" s="158"/>
      <c r="U884" s="2"/>
      <c r="V884" s="2"/>
      <c r="W884" s="2"/>
      <c r="X884" s="2"/>
      <c r="Y884" s="2"/>
      <c r="Z884" s="2"/>
    </row>
    <row r="885" ht="13.5" customHeight="1">
      <c r="A885" s="2"/>
      <c r="B885" s="2"/>
      <c r="C885" s="2"/>
      <c r="D885" s="2"/>
      <c r="E885" s="2"/>
      <c r="F885" s="2"/>
      <c r="G885" s="2"/>
      <c r="H885" s="2"/>
      <c r="I885" s="2"/>
      <c r="J885" s="2"/>
      <c r="K885" s="181"/>
      <c r="L885" s="2"/>
      <c r="M885" s="2"/>
      <c r="N885" s="2"/>
      <c r="O885" s="2"/>
      <c r="P885" s="2"/>
      <c r="Q885" s="157"/>
      <c r="R885" s="157"/>
      <c r="S885" s="157"/>
      <c r="T885" s="158"/>
      <c r="U885" s="2"/>
      <c r="V885" s="2"/>
      <c r="W885" s="2"/>
      <c r="X885" s="2"/>
      <c r="Y885" s="2"/>
      <c r="Z885" s="2"/>
    </row>
    <row r="886" ht="13.5" customHeight="1">
      <c r="A886" s="2"/>
      <c r="B886" s="2"/>
      <c r="C886" s="2"/>
      <c r="D886" s="2"/>
      <c r="E886" s="2"/>
      <c r="F886" s="2"/>
      <c r="G886" s="2"/>
      <c r="H886" s="2"/>
      <c r="I886" s="2"/>
      <c r="J886" s="2"/>
      <c r="K886" s="181"/>
      <c r="L886" s="2"/>
      <c r="M886" s="2"/>
      <c r="N886" s="2"/>
      <c r="O886" s="2"/>
      <c r="P886" s="2"/>
      <c r="Q886" s="157"/>
      <c r="R886" s="157"/>
      <c r="S886" s="157"/>
      <c r="T886" s="158"/>
      <c r="U886" s="2"/>
      <c r="V886" s="2"/>
      <c r="W886" s="2"/>
      <c r="X886" s="2"/>
      <c r="Y886" s="2"/>
      <c r="Z886" s="2"/>
    </row>
    <row r="887" ht="13.5" customHeight="1">
      <c r="A887" s="2"/>
      <c r="B887" s="2"/>
      <c r="C887" s="2"/>
      <c r="D887" s="2"/>
      <c r="E887" s="2"/>
      <c r="F887" s="2"/>
      <c r="G887" s="2"/>
      <c r="H887" s="2"/>
      <c r="I887" s="2"/>
      <c r="J887" s="2"/>
      <c r="K887" s="181"/>
      <c r="L887" s="2"/>
      <c r="M887" s="2"/>
      <c r="N887" s="2"/>
      <c r="O887" s="2"/>
      <c r="P887" s="2"/>
      <c r="Q887" s="157"/>
      <c r="R887" s="157"/>
      <c r="S887" s="157"/>
      <c r="T887" s="158"/>
      <c r="U887" s="2"/>
      <c r="V887" s="2"/>
      <c r="W887" s="2"/>
      <c r="X887" s="2"/>
      <c r="Y887" s="2"/>
      <c r="Z887" s="2"/>
    </row>
    <row r="888" ht="13.5" customHeight="1">
      <c r="A888" s="2"/>
      <c r="B888" s="2"/>
      <c r="C888" s="2"/>
      <c r="D888" s="2"/>
      <c r="E888" s="2"/>
      <c r="F888" s="2"/>
      <c r="G888" s="2"/>
      <c r="H888" s="2"/>
      <c r="I888" s="2"/>
      <c r="J888" s="2"/>
      <c r="K888" s="181"/>
      <c r="L888" s="2"/>
      <c r="M888" s="2"/>
      <c r="N888" s="2"/>
      <c r="O888" s="2"/>
      <c r="P888" s="2"/>
      <c r="Q888" s="157"/>
      <c r="R888" s="157"/>
      <c r="S888" s="157"/>
      <c r="T888" s="158"/>
      <c r="U888" s="2"/>
      <c r="V888" s="2"/>
      <c r="W888" s="2"/>
      <c r="X888" s="2"/>
      <c r="Y888" s="2"/>
      <c r="Z888" s="2"/>
    </row>
    <row r="889" ht="13.5" customHeight="1">
      <c r="A889" s="2"/>
      <c r="B889" s="2"/>
      <c r="C889" s="2"/>
      <c r="D889" s="2"/>
      <c r="E889" s="2"/>
      <c r="F889" s="2"/>
      <c r="G889" s="2"/>
      <c r="H889" s="2"/>
      <c r="I889" s="2"/>
      <c r="J889" s="2"/>
      <c r="K889" s="181"/>
      <c r="L889" s="2"/>
      <c r="M889" s="2"/>
      <c r="N889" s="2"/>
      <c r="O889" s="2"/>
      <c r="P889" s="2"/>
      <c r="Q889" s="157"/>
      <c r="R889" s="157"/>
      <c r="S889" s="157"/>
      <c r="T889" s="158"/>
      <c r="U889" s="2"/>
      <c r="V889" s="2"/>
      <c r="W889" s="2"/>
      <c r="X889" s="2"/>
      <c r="Y889" s="2"/>
      <c r="Z889" s="2"/>
    </row>
    <row r="890" ht="13.5" customHeight="1">
      <c r="A890" s="2"/>
      <c r="B890" s="2"/>
      <c r="C890" s="2"/>
      <c r="D890" s="2"/>
      <c r="E890" s="2"/>
      <c r="F890" s="2"/>
      <c r="G890" s="2"/>
      <c r="H890" s="2"/>
      <c r="I890" s="2"/>
      <c r="J890" s="2"/>
      <c r="K890" s="181"/>
      <c r="L890" s="2"/>
      <c r="M890" s="2"/>
      <c r="N890" s="2"/>
      <c r="O890" s="2"/>
      <c r="P890" s="2"/>
      <c r="Q890" s="157"/>
      <c r="R890" s="157"/>
      <c r="S890" s="157"/>
      <c r="T890" s="158"/>
      <c r="U890" s="2"/>
      <c r="V890" s="2"/>
      <c r="W890" s="2"/>
      <c r="X890" s="2"/>
      <c r="Y890" s="2"/>
      <c r="Z890" s="2"/>
    </row>
    <row r="891" ht="13.5" customHeight="1">
      <c r="A891" s="2"/>
      <c r="B891" s="2"/>
      <c r="C891" s="2"/>
      <c r="D891" s="2"/>
      <c r="E891" s="2"/>
      <c r="F891" s="2"/>
      <c r="G891" s="2"/>
      <c r="H891" s="2"/>
      <c r="I891" s="2"/>
      <c r="J891" s="2"/>
      <c r="K891" s="181"/>
      <c r="L891" s="2"/>
      <c r="M891" s="2"/>
      <c r="N891" s="2"/>
      <c r="O891" s="2"/>
      <c r="P891" s="2"/>
      <c r="Q891" s="157"/>
      <c r="R891" s="157"/>
      <c r="S891" s="157"/>
      <c r="T891" s="158"/>
      <c r="U891" s="2"/>
      <c r="V891" s="2"/>
      <c r="W891" s="2"/>
      <c r="X891" s="2"/>
      <c r="Y891" s="2"/>
      <c r="Z891" s="2"/>
    </row>
    <row r="892" ht="13.5" customHeight="1">
      <c r="A892" s="2"/>
      <c r="B892" s="2"/>
      <c r="C892" s="2"/>
      <c r="D892" s="2"/>
      <c r="E892" s="2"/>
      <c r="F892" s="2"/>
      <c r="G892" s="2"/>
      <c r="H892" s="2"/>
      <c r="I892" s="2"/>
      <c r="J892" s="2"/>
      <c r="K892" s="181"/>
      <c r="L892" s="2"/>
      <c r="M892" s="2"/>
      <c r="N892" s="2"/>
      <c r="O892" s="2"/>
      <c r="P892" s="2"/>
      <c r="Q892" s="157"/>
      <c r="R892" s="157"/>
      <c r="S892" s="157"/>
      <c r="T892" s="158"/>
      <c r="U892" s="2"/>
      <c r="V892" s="2"/>
      <c r="W892" s="2"/>
      <c r="X892" s="2"/>
      <c r="Y892" s="2"/>
      <c r="Z892" s="2"/>
    </row>
    <row r="893" ht="13.5" customHeight="1">
      <c r="A893" s="2"/>
      <c r="B893" s="2"/>
      <c r="C893" s="2"/>
      <c r="D893" s="2"/>
      <c r="E893" s="2"/>
      <c r="F893" s="2"/>
      <c r="G893" s="2"/>
      <c r="H893" s="2"/>
      <c r="I893" s="2"/>
      <c r="J893" s="2"/>
      <c r="K893" s="181"/>
      <c r="L893" s="2"/>
      <c r="M893" s="2"/>
      <c r="N893" s="2"/>
      <c r="O893" s="2"/>
      <c r="P893" s="2"/>
      <c r="Q893" s="157"/>
      <c r="R893" s="157"/>
      <c r="S893" s="157"/>
      <c r="T893" s="158"/>
      <c r="U893" s="2"/>
      <c r="V893" s="2"/>
      <c r="W893" s="2"/>
      <c r="X893" s="2"/>
      <c r="Y893" s="2"/>
      <c r="Z893" s="2"/>
    </row>
    <row r="894" ht="13.5" customHeight="1">
      <c r="A894" s="2"/>
      <c r="B894" s="2"/>
      <c r="C894" s="2"/>
      <c r="D894" s="2"/>
      <c r="E894" s="2"/>
      <c r="F894" s="2"/>
      <c r="G894" s="2"/>
      <c r="H894" s="2"/>
      <c r="I894" s="2"/>
      <c r="J894" s="2"/>
      <c r="K894" s="181"/>
      <c r="L894" s="2"/>
      <c r="M894" s="2"/>
      <c r="N894" s="2"/>
      <c r="O894" s="2"/>
      <c r="P894" s="2"/>
      <c r="Q894" s="157"/>
      <c r="R894" s="157"/>
      <c r="S894" s="157"/>
      <c r="T894" s="158"/>
      <c r="U894" s="2"/>
      <c r="V894" s="2"/>
      <c r="W894" s="2"/>
      <c r="X894" s="2"/>
      <c r="Y894" s="2"/>
      <c r="Z894" s="2"/>
    </row>
    <row r="895" ht="13.5" customHeight="1">
      <c r="A895" s="2"/>
      <c r="B895" s="2"/>
      <c r="C895" s="2"/>
      <c r="D895" s="2"/>
      <c r="E895" s="2"/>
      <c r="F895" s="2"/>
      <c r="G895" s="2"/>
      <c r="H895" s="2"/>
      <c r="I895" s="2"/>
      <c r="J895" s="2"/>
      <c r="K895" s="181"/>
      <c r="L895" s="2"/>
      <c r="M895" s="2"/>
      <c r="N895" s="2"/>
      <c r="O895" s="2"/>
      <c r="P895" s="2"/>
      <c r="Q895" s="157"/>
      <c r="R895" s="157"/>
      <c r="S895" s="157"/>
      <c r="T895" s="158"/>
      <c r="U895" s="2"/>
      <c r="V895" s="2"/>
      <c r="W895" s="2"/>
      <c r="X895" s="2"/>
      <c r="Y895" s="2"/>
      <c r="Z895" s="2"/>
    </row>
    <row r="896" ht="13.5" customHeight="1">
      <c r="A896" s="2"/>
      <c r="B896" s="2"/>
      <c r="C896" s="2"/>
      <c r="D896" s="2"/>
      <c r="E896" s="2"/>
      <c r="F896" s="2"/>
      <c r="G896" s="2"/>
      <c r="H896" s="2"/>
      <c r="I896" s="2"/>
      <c r="J896" s="2"/>
      <c r="K896" s="181"/>
      <c r="L896" s="2"/>
      <c r="M896" s="2"/>
      <c r="N896" s="2"/>
      <c r="O896" s="2"/>
      <c r="P896" s="2"/>
      <c r="Q896" s="157"/>
      <c r="R896" s="157"/>
      <c r="S896" s="157"/>
      <c r="T896" s="158"/>
      <c r="U896" s="2"/>
      <c r="V896" s="2"/>
      <c r="W896" s="2"/>
      <c r="X896" s="2"/>
      <c r="Y896" s="2"/>
      <c r="Z896" s="2"/>
    </row>
    <row r="897" ht="13.5" customHeight="1">
      <c r="A897" s="2"/>
      <c r="B897" s="2"/>
      <c r="C897" s="2"/>
      <c r="D897" s="2"/>
      <c r="E897" s="2"/>
      <c r="F897" s="2"/>
      <c r="G897" s="2"/>
      <c r="H897" s="2"/>
      <c r="I897" s="2"/>
      <c r="J897" s="2"/>
      <c r="K897" s="181"/>
      <c r="L897" s="2"/>
      <c r="M897" s="2"/>
      <c r="N897" s="2"/>
      <c r="O897" s="2"/>
      <c r="P897" s="2"/>
      <c r="Q897" s="157"/>
      <c r="R897" s="157"/>
      <c r="S897" s="157"/>
      <c r="T897" s="158"/>
      <c r="U897" s="2"/>
      <c r="V897" s="2"/>
      <c r="W897" s="2"/>
      <c r="X897" s="2"/>
      <c r="Y897" s="2"/>
      <c r="Z897" s="2"/>
    </row>
    <row r="898" ht="13.5" customHeight="1">
      <c r="A898" s="2"/>
      <c r="B898" s="2"/>
      <c r="C898" s="2"/>
      <c r="D898" s="2"/>
      <c r="E898" s="2"/>
      <c r="F898" s="2"/>
      <c r="G898" s="2"/>
      <c r="H898" s="2"/>
      <c r="I898" s="2"/>
      <c r="J898" s="2"/>
      <c r="K898" s="181"/>
      <c r="L898" s="2"/>
      <c r="M898" s="2"/>
      <c r="N898" s="2"/>
      <c r="O898" s="2"/>
      <c r="P898" s="2"/>
      <c r="Q898" s="157"/>
      <c r="R898" s="157"/>
      <c r="S898" s="157"/>
      <c r="T898" s="158"/>
      <c r="U898" s="2"/>
      <c r="V898" s="2"/>
      <c r="W898" s="2"/>
      <c r="X898" s="2"/>
      <c r="Y898" s="2"/>
      <c r="Z898" s="2"/>
    </row>
    <row r="899" ht="13.5" customHeight="1">
      <c r="A899" s="2"/>
      <c r="B899" s="2"/>
      <c r="C899" s="2"/>
      <c r="D899" s="2"/>
      <c r="E899" s="2"/>
      <c r="F899" s="2"/>
      <c r="G899" s="2"/>
      <c r="H899" s="2"/>
      <c r="I899" s="2"/>
      <c r="J899" s="2"/>
      <c r="K899" s="181"/>
      <c r="L899" s="2"/>
      <c r="M899" s="2"/>
      <c r="N899" s="2"/>
      <c r="O899" s="2"/>
      <c r="P899" s="2"/>
      <c r="Q899" s="157"/>
      <c r="R899" s="157"/>
      <c r="S899" s="157"/>
      <c r="T899" s="158"/>
      <c r="U899" s="2"/>
      <c r="V899" s="2"/>
      <c r="W899" s="2"/>
      <c r="X899" s="2"/>
      <c r="Y899" s="2"/>
      <c r="Z899" s="2"/>
    </row>
    <row r="900" ht="13.5" customHeight="1">
      <c r="A900" s="2"/>
      <c r="B900" s="2"/>
      <c r="C900" s="2"/>
      <c r="D900" s="2"/>
      <c r="E900" s="2"/>
      <c r="F900" s="2"/>
      <c r="G900" s="2"/>
      <c r="H900" s="2"/>
      <c r="I900" s="2"/>
      <c r="J900" s="2"/>
      <c r="K900" s="181"/>
      <c r="L900" s="2"/>
      <c r="M900" s="2"/>
      <c r="N900" s="2"/>
      <c r="O900" s="2"/>
      <c r="P900" s="2"/>
      <c r="Q900" s="157"/>
      <c r="R900" s="157"/>
      <c r="S900" s="157"/>
      <c r="T900" s="158"/>
      <c r="U900" s="2"/>
      <c r="V900" s="2"/>
      <c r="W900" s="2"/>
      <c r="X900" s="2"/>
      <c r="Y900" s="2"/>
      <c r="Z900" s="2"/>
    </row>
    <row r="901" ht="13.5" customHeight="1">
      <c r="A901" s="2"/>
      <c r="B901" s="2"/>
      <c r="C901" s="2"/>
      <c r="D901" s="2"/>
      <c r="E901" s="2"/>
      <c r="F901" s="2"/>
      <c r="G901" s="2"/>
      <c r="H901" s="2"/>
      <c r="I901" s="2"/>
      <c r="J901" s="2"/>
      <c r="K901" s="181"/>
      <c r="L901" s="2"/>
      <c r="M901" s="2"/>
      <c r="N901" s="2"/>
      <c r="O901" s="2"/>
      <c r="P901" s="2"/>
      <c r="Q901" s="157"/>
      <c r="R901" s="157"/>
      <c r="S901" s="157"/>
      <c r="T901" s="158"/>
      <c r="U901" s="2"/>
      <c r="V901" s="2"/>
      <c r="W901" s="2"/>
      <c r="X901" s="2"/>
      <c r="Y901" s="2"/>
      <c r="Z901" s="2"/>
    </row>
    <row r="902" ht="13.5" customHeight="1">
      <c r="A902" s="2"/>
      <c r="B902" s="2"/>
      <c r="C902" s="2"/>
      <c r="D902" s="2"/>
      <c r="E902" s="2"/>
      <c r="F902" s="2"/>
      <c r="G902" s="2"/>
      <c r="H902" s="2"/>
      <c r="I902" s="2"/>
      <c r="J902" s="2"/>
      <c r="K902" s="181"/>
      <c r="L902" s="2"/>
      <c r="M902" s="2"/>
      <c r="N902" s="2"/>
      <c r="O902" s="2"/>
      <c r="P902" s="2"/>
      <c r="Q902" s="157"/>
      <c r="R902" s="157"/>
      <c r="S902" s="157"/>
      <c r="T902" s="158"/>
      <c r="U902" s="2"/>
      <c r="V902" s="2"/>
      <c r="W902" s="2"/>
      <c r="X902" s="2"/>
      <c r="Y902" s="2"/>
      <c r="Z902" s="2"/>
    </row>
    <row r="903" ht="13.5" customHeight="1">
      <c r="A903" s="2"/>
      <c r="B903" s="2"/>
      <c r="C903" s="2"/>
      <c r="D903" s="2"/>
      <c r="E903" s="2"/>
      <c r="F903" s="2"/>
      <c r="G903" s="2"/>
      <c r="H903" s="2"/>
      <c r="I903" s="2"/>
      <c r="J903" s="2"/>
      <c r="K903" s="181"/>
      <c r="L903" s="2"/>
      <c r="M903" s="2"/>
      <c r="N903" s="2"/>
      <c r="O903" s="2"/>
      <c r="P903" s="2"/>
      <c r="Q903" s="157"/>
      <c r="R903" s="157"/>
      <c r="S903" s="157"/>
      <c r="T903" s="158"/>
      <c r="U903" s="2"/>
      <c r="V903" s="2"/>
      <c r="W903" s="2"/>
      <c r="X903" s="2"/>
      <c r="Y903" s="2"/>
      <c r="Z903" s="2"/>
    </row>
    <row r="904" ht="13.5" customHeight="1">
      <c r="A904" s="2"/>
      <c r="B904" s="2"/>
      <c r="C904" s="2"/>
      <c r="D904" s="2"/>
      <c r="E904" s="2"/>
      <c r="F904" s="2"/>
      <c r="G904" s="2"/>
      <c r="H904" s="2"/>
      <c r="I904" s="2"/>
      <c r="J904" s="2"/>
      <c r="K904" s="181"/>
      <c r="L904" s="2"/>
      <c r="M904" s="2"/>
      <c r="N904" s="2"/>
      <c r="O904" s="2"/>
      <c r="P904" s="2"/>
      <c r="Q904" s="157"/>
      <c r="R904" s="157"/>
      <c r="S904" s="157"/>
      <c r="T904" s="158"/>
      <c r="U904" s="2"/>
      <c r="V904" s="2"/>
      <c r="W904" s="2"/>
      <c r="X904" s="2"/>
      <c r="Y904" s="2"/>
      <c r="Z904" s="2"/>
    </row>
    <row r="905" ht="13.5" customHeight="1">
      <c r="A905" s="2"/>
      <c r="B905" s="2"/>
      <c r="C905" s="2"/>
      <c r="D905" s="2"/>
      <c r="E905" s="2"/>
      <c r="F905" s="2"/>
      <c r="G905" s="2"/>
      <c r="H905" s="2"/>
      <c r="I905" s="2"/>
      <c r="J905" s="2"/>
      <c r="K905" s="181"/>
      <c r="L905" s="2"/>
      <c r="M905" s="2"/>
      <c r="N905" s="2"/>
      <c r="O905" s="2"/>
      <c r="P905" s="2"/>
      <c r="Q905" s="157"/>
      <c r="R905" s="157"/>
      <c r="S905" s="157"/>
      <c r="T905" s="158"/>
      <c r="U905" s="2"/>
      <c r="V905" s="2"/>
      <c r="W905" s="2"/>
      <c r="X905" s="2"/>
      <c r="Y905" s="2"/>
      <c r="Z905" s="2"/>
    </row>
    <row r="906" ht="13.5" customHeight="1">
      <c r="A906" s="2"/>
      <c r="B906" s="2"/>
      <c r="C906" s="2"/>
      <c r="D906" s="2"/>
      <c r="E906" s="2"/>
      <c r="F906" s="2"/>
      <c r="G906" s="2"/>
      <c r="H906" s="2"/>
      <c r="I906" s="2"/>
      <c r="J906" s="2"/>
      <c r="K906" s="181"/>
      <c r="L906" s="2"/>
      <c r="M906" s="2"/>
      <c r="N906" s="2"/>
      <c r="O906" s="2"/>
      <c r="P906" s="2"/>
      <c r="Q906" s="157"/>
      <c r="R906" s="157"/>
      <c r="S906" s="157"/>
      <c r="T906" s="158"/>
      <c r="U906" s="2"/>
      <c r="V906" s="2"/>
      <c r="W906" s="2"/>
      <c r="X906" s="2"/>
      <c r="Y906" s="2"/>
      <c r="Z906" s="2"/>
    </row>
    <row r="907" ht="13.5" customHeight="1">
      <c r="A907" s="2"/>
      <c r="B907" s="2"/>
      <c r="C907" s="2"/>
      <c r="D907" s="2"/>
      <c r="E907" s="2"/>
      <c r="F907" s="2"/>
      <c r="G907" s="2"/>
      <c r="H907" s="2"/>
      <c r="I907" s="2"/>
      <c r="J907" s="2"/>
      <c r="K907" s="181"/>
      <c r="L907" s="2"/>
      <c r="M907" s="2"/>
      <c r="N907" s="2"/>
      <c r="O907" s="2"/>
      <c r="P907" s="2"/>
      <c r="Q907" s="157"/>
      <c r="R907" s="157"/>
      <c r="S907" s="157"/>
      <c r="T907" s="158"/>
      <c r="U907" s="2"/>
      <c r="V907" s="2"/>
      <c r="W907" s="2"/>
      <c r="X907" s="2"/>
      <c r="Y907" s="2"/>
      <c r="Z907" s="2"/>
    </row>
    <row r="908" ht="13.5" customHeight="1">
      <c r="A908" s="2"/>
      <c r="B908" s="2"/>
      <c r="C908" s="2"/>
      <c r="D908" s="2"/>
      <c r="E908" s="2"/>
      <c r="F908" s="2"/>
      <c r="G908" s="2"/>
      <c r="H908" s="2"/>
      <c r="I908" s="2"/>
      <c r="J908" s="2"/>
      <c r="K908" s="181"/>
      <c r="L908" s="2"/>
      <c r="M908" s="2"/>
      <c r="N908" s="2"/>
      <c r="O908" s="2"/>
      <c r="P908" s="2"/>
      <c r="Q908" s="157"/>
      <c r="R908" s="157"/>
      <c r="S908" s="157"/>
      <c r="T908" s="158"/>
      <c r="U908" s="2"/>
      <c r="V908" s="2"/>
      <c r="W908" s="2"/>
      <c r="X908" s="2"/>
      <c r="Y908" s="2"/>
      <c r="Z908" s="2"/>
    </row>
    <row r="909" ht="13.5" customHeight="1">
      <c r="A909" s="2"/>
      <c r="B909" s="2"/>
      <c r="C909" s="2"/>
      <c r="D909" s="2"/>
      <c r="E909" s="2"/>
      <c r="F909" s="2"/>
      <c r="G909" s="2"/>
      <c r="H909" s="2"/>
      <c r="I909" s="2"/>
      <c r="J909" s="2"/>
      <c r="K909" s="181"/>
      <c r="L909" s="2"/>
      <c r="M909" s="2"/>
      <c r="N909" s="2"/>
      <c r="O909" s="2"/>
      <c r="P909" s="2"/>
      <c r="Q909" s="157"/>
      <c r="R909" s="157"/>
      <c r="S909" s="157"/>
      <c r="T909" s="158"/>
      <c r="U909" s="2"/>
      <c r="V909" s="2"/>
      <c r="W909" s="2"/>
      <c r="X909" s="2"/>
      <c r="Y909" s="2"/>
      <c r="Z909" s="2"/>
    </row>
    <row r="910" ht="13.5" customHeight="1">
      <c r="A910" s="2"/>
      <c r="B910" s="2"/>
      <c r="C910" s="2"/>
      <c r="D910" s="2"/>
      <c r="E910" s="2"/>
      <c r="F910" s="2"/>
      <c r="G910" s="2"/>
      <c r="H910" s="2"/>
      <c r="I910" s="2"/>
      <c r="J910" s="2"/>
      <c r="K910" s="181"/>
      <c r="L910" s="2"/>
      <c r="M910" s="2"/>
      <c r="N910" s="2"/>
      <c r="O910" s="2"/>
      <c r="P910" s="2"/>
      <c r="Q910" s="157"/>
      <c r="R910" s="157"/>
      <c r="S910" s="157"/>
      <c r="T910" s="158"/>
      <c r="U910" s="2"/>
      <c r="V910" s="2"/>
      <c r="W910" s="2"/>
      <c r="X910" s="2"/>
      <c r="Y910" s="2"/>
      <c r="Z910" s="2"/>
    </row>
    <row r="911" ht="13.5" customHeight="1">
      <c r="A911" s="2"/>
      <c r="B911" s="2"/>
      <c r="C911" s="2"/>
      <c r="D911" s="2"/>
      <c r="E911" s="2"/>
      <c r="F911" s="2"/>
      <c r="G911" s="2"/>
      <c r="H911" s="2"/>
      <c r="I911" s="2"/>
      <c r="J911" s="2"/>
      <c r="K911" s="181"/>
      <c r="L911" s="2"/>
      <c r="M911" s="2"/>
      <c r="N911" s="2"/>
      <c r="O911" s="2"/>
      <c r="P911" s="2"/>
      <c r="Q911" s="157"/>
      <c r="R911" s="157"/>
      <c r="S911" s="157"/>
      <c r="T911" s="158"/>
      <c r="U911" s="2"/>
      <c r="V911" s="2"/>
      <c r="W911" s="2"/>
      <c r="X911" s="2"/>
      <c r="Y911" s="2"/>
      <c r="Z911" s="2"/>
    </row>
    <row r="912" ht="13.5" customHeight="1">
      <c r="A912" s="2"/>
      <c r="B912" s="2"/>
      <c r="C912" s="2"/>
      <c r="D912" s="2"/>
      <c r="E912" s="2"/>
      <c r="F912" s="2"/>
      <c r="G912" s="2"/>
      <c r="H912" s="2"/>
      <c r="I912" s="2"/>
      <c r="J912" s="2"/>
      <c r="K912" s="181"/>
      <c r="L912" s="2"/>
      <c r="M912" s="2"/>
      <c r="N912" s="2"/>
      <c r="O912" s="2"/>
      <c r="P912" s="2"/>
      <c r="Q912" s="157"/>
      <c r="R912" s="157"/>
      <c r="S912" s="157"/>
      <c r="T912" s="158"/>
      <c r="U912" s="2"/>
      <c r="V912" s="2"/>
      <c r="W912" s="2"/>
      <c r="X912" s="2"/>
      <c r="Y912" s="2"/>
      <c r="Z912" s="2"/>
    </row>
    <row r="913" ht="13.5" customHeight="1">
      <c r="A913" s="2"/>
      <c r="B913" s="2"/>
      <c r="C913" s="2"/>
      <c r="D913" s="2"/>
      <c r="E913" s="2"/>
      <c r="F913" s="2"/>
      <c r="G913" s="2"/>
      <c r="H913" s="2"/>
      <c r="I913" s="2"/>
      <c r="J913" s="2"/>
      <c r="K913" s="181"/>
      <c r="L913" s="2"/>
      <c r="M913" s="2"/>
      <c r="N913" s="2"/>
      <c r="O913" s="2"/>
      <c r="P913" s="2"/>
      <c r="Q913" s="157"/>
      <c r="R913" s="157"/>
      <c r="S913" s="157"/>
      <c r="T913" s="158"/>
      <c r="U913" s="2"/>
      <c r="V913" s="2"/>
      <c r="W913" s="2"/>
      <c r="X913" s="2"/>
      <c r="Y913" s="2"/>
      <c r="Z913" s="2"/>
    </row>
    <row r="914" ht="13.5" customHeight="1">
      <c r="A914" s="2"/>
      <c r="B914" s="2"/>
      <c r="C914" s="2"/>
      <c r="D914" s="2"/>
      <c r="E914" s="2"/>
      <c r="F914" s="2"/>
      <c r="G914" s="2"/>
      <c r="H914" s="2"/>
      <c r="I914" s="2"/>
      <c r="J914" s="2"/>
      <c r="K914" s="181"/>
      <c r="L914" s="2"/>
      <c r="M914" s="2"/>
      <c r="N914" s="2"/>
      <c r="O914" s="2"/>
      <c r="P914" s="2"/>
      <c r="Q914" s="157"/>
      <c r="R914" s="157"/>
      <c r="S914" s="157"/>
      <c r="T914" s="158"/>
      <c r="U914" s="2"/>
      <c r="V914" s="2"/>
      <c r="W914" s="2"/>
      <c r="X914" s="2"/>
      <c r="Y914" s="2"/>
      <c r="Z914" s="2"/>
    </row>
    <row r="915" ht="13.5" customHeight="1">
      <c r="A915" s="2"/>
      <c r="B915" s="2"/>
      <c r="C915" s="2"/>
      <c r="D915" s="2"/>
      <c r="E915" s="2"/>
      <c r="F915" s="2"/>
      <c r="G915" s="2"/>
      <c r="H915" s="2"/>
      <c r="I915" s="2"/>
      <c r="J915" s="2"/>
      <c r="K915" s="181"/>
      <c r="L915" s="2"/>
      <c r="M915" s="2"/>
      <c r="N915" s="2"/>
      <c r="O915" s="2"/>
      <c r="P915" s="2"/>
      <c r="Q915" s="157"/>
      <c r="R915" s="157"/>
      <c r="S915" s="157"/>
      <c r="T915" s="158"/>
      <c r="U915" s="2"/>
      <c r="V915" s="2"/>
      <c r="W915" s="2"/>
      <c r="X915" s="2"/>
      <c r="Y915" s="2"/>
      <c r="Z915" s="2"/>
    </row>
    <row r="916" ht="13.5" customHeight="1">
      <c r="A916" s="2"/>
      <c r="B916" s="2"/>
      <c r="C916" s="2"/>
      <c r="D916" s="2"/>
      <c r="E916" s="2"/>
      <c r="F916" s="2"/>
      <c r="G916" s="2"/>
      <c r="H916" s="2"/>
      <c r="I916" s="2"/>
      <c r="J916" s="2"/>
      <c r="K916" s="181"/>
      <c r="L916" s="2"/>
      <c r="M916" s="2"/>
      <c r="N916" s="2"/>
      <c r="O916" s="2"/>
      <c r="P916" s="2"/>
      <c r="Q916" s="157"/>
      <c r="R916" s="157"/>
      <c r="S916" s="157"/>
      <c r="T916" s="158"/>
      <c r="U916" s="2"/>
      <c r="V916" s="2"/>
      <c r="W916" s="2"/>
      <c r="X916" s="2"/>
      <c r="Y916" s="2"/>
      <c r="Z916" s="2"/>
    </row>
    <row r="917" ht="13.5" customHeight="1">
      <c r="A917" s="2"/>
      <c r="B917" s="2"/>
      <c r="C917" s="2"/>
      <c r="D917" s="2"/>
      <c r="E917" s="2"/>
      <c r="F917" s="2"/>
      <c r="G917" s="2"/>
      <c r="H917" s="2"/>
      <c r="I917" s="2"/>
      <c r="J917" s="2"/>
      <c r="K917" s="181"/>
      <c r="L917" s="2"/>
      <c r="M917" s="2"/>
      <c r="N917" s="2"/>
      <c r="O917" s="2"/>
      <c r="P917" s="2"/>
      <c r="Q917" s="157"/>
      <c r="R917" s="157"/>
      <c r="S917" s="157"/>
      <c r="T917" s="158"/>
      <c r="U917" s="2"/>
      <c r="V917" s="2"/>
      <c r="W917" s="2"/>
      <c r="X917" s="2"/>
      <c r="Y917" s="2"/>
      <c r="Z917" s="2"/>
    </row>
    <row r="918" ht="13.5" customHeight="1">
      <c r="A918" s="2"/>
      <c r="B918" s="2"/>
      <c r="C918" s="2"/>
      <c r="D918" s="2"/>
      <c r="E918" s="2"/>
      <c r="F918" s="2"/>
      <c r="G918" s="2"/>
      <c r="H918" s="2"/>
      <c r="I918" s="2"/>
      <c r="J918" s="2"/>
      <c r="K918" s="181"/>
      <c r="L918" s="2"/>
      <c r="M918" s="2"/>
      <c r="N918" s="2"/>
      <c r="O918" s="2"/>
      <c r="P918" s="2"/>
      <c r="Q918" s="157"/>
      <c r="R918" s="157"/>
      <c r="S918" s="157"/>
      <c r="T918" s="158"/>
      <c r="U918" s="2"/>
      <c r="V918" s="2"/>
      <c r="W918" s="2"/>
      <c r="X918" s="2"/>
      <c r="Y918" s="2"/>
      <c r="Z918" s="2"/>
    </row>
    <row r="919" ht="13.5" customHeight="1">
      <c r="A919" s="2"/>
      <c r="B919" s="2"/>
      <c r="C919" s="2"/>
      <c r="D919" s="2"/>
      <c r="E919" s="2"/>
      <c r="F919" s="2"/>
      <c r="G919" s="2"/>
      <c r="H919" s="2"/>
      <c r="I919" s="2"/>
      <c r="J919" s="2"/>
      <c r="K919" s="181"/>
      <c r="L919" s="2"/>
      <c r="M919" s="2"/>
      <c r="N919" s="2"/>
      <c r="O919" s="2"/>
      <c r="P919" s="2"/>
      <c r="Q919" s="157"/>
      <c r="R919" s="157"/>
      <c r="S919" s="157"/>
      <c r="T919" s="158"/>
      <c r="U919" s="2"/>
      <c r="V919" s="2"/>
      <c r="W919" s="2"/>
      <c r="X919" s="2"/>
      <c r="Y919" s="2"/>
      <c r="Z919" s="2"/>
    </row>
    <row r="920" ht="13.5" customHeight="1">
      <c r="A920" s="2"/>
      <c r="B920" s="2"/>
      <c r="C920" s="2"/>
      <c r="D920" s="2"/>
      <c r="E920" s="2"/>
      <c r="F920" s="2"/>
      <c r="G920" s="2"/>
      <c r="H920" s="2"/>
      <c r="I920" s="2"/>
      <c r="J920" s="2"/>
      <c r="K920" s="181"/>
      <c r="L920" s="2"/>
      <c r="M920" s="2"/>
      <c r="N920" s="2"/>
      <c r="O920" s="2"/>
      <c r="P920" s="2"/>
      <c r="Q920" s="157"/>
      <c r="R920" s="157"/>
      <c r="S920" s="157"/>
      <c r="T920" s="158"/>
      <c r="U920" s="2"/>
      <c r="V920" s="2"/>
      <c r="W920" s="2"/>
      <c r="X920" s="2"/>
      <c r="Y920" s="2"/>
      <c r="Z920" s="2"/>
    </row>
    <row r="921" ht="13.5" customHeight="1">
      <c r="A921" s="2"/>
      <c r="B921" s="2"/>
      <c r="C921" s="2"/>
      <c r="D921" s="2"/>
      <c r="E921" s="2"/>
      <c r="F921" s="2"/>
      <c r="G921" s="2"/>
      <c r="H921" s="2"/>
      <c r="I921" s="2"/>
      <c r="J921" s="2"/>
      <c r="K921" s="181"/>
      <c r="L921" s="2"/>
      <c r="M921" s="2"/>
      <c r="N921" s="2"/>
      <c r="O921" s="2"/>
      <c r="P921" s="2"/>
      <c r="Q921" s="157"/>
      <c r="R921" s="157"/>
      <c r="S921" s="157"/>
      <c r="T921" s="158"/>
      <c r="U921" s="2"/>
      <c r="V921" s="2"/>
      <c r="W921" s="2"/>
      <c r="X921" s="2"/>
      <c r="Y921" s="2"/>
      <c r="Z921" s="2"/>
    </row>
    <row r="922" ht="13.5" customHeight="1">
      <c r="A922" s="2"/>
      <c r="B922" s="2"/>
      <c r="C922" s="2"/>
      <c r="D922" s="2"/>
      <c r="E922" s="2"/>
      <c r="F922" s="2"/>
      <c r="G922" s="2"/>
      <c r="H922" s="2"/>
      <c r="I922" s="2"/>
      <c r="J922" s="2"/>
      <c r="K922" s="181"/>
      <c r="L922" s="2"/>
      <c r="M922" s="2"/>
      <c r="N922" s="2"/>
      <c r="O922" s="2"/>
      <c r="P922" s="2"/>
      <c r="Q922" s="157"/>
      <c r="R922" s="157"/>
      <c r="S922" s="157"/>
      <c r="T922" s="158"/>
      <c r="U922" s="2"/>
      <c r="V922" s="2"/>
      <c r="W922" s="2"/>
      <c r="X922" s="2"/>
      <c r="Y922" s="2"/>
      <c r="Z922" s="2"/>
    </row>
    <row r="923" ht="13.5" customHeight="1">
      <c r="A923" s="2"/>
      <c r="B923" s="2"/>
      <c r="C923" s="2"/>
      <c r="D923" s="2"/>
      <c r="E923" s="2"/>
      <c r="F923" s="2"/>
      <c r="G923" s="2"/>
      <c r="H923" s="2"/>
      <c r="I923" s="2"/>
      <c r="J923" s="2"/>
      <c r="K923" s="181"/>
      <c r="L923" s="2"/>
      <c r="M923" s="2"/>
      <c r="N923" s="2"/>
      <c r="O923" s="2"/>
      <c r="P923" s="2"/>
      <c r="Q923" s="157"/>
      <c r="R923" s="157"/>
      <c r="S923" s="157"/>
      <c r="T923" s="158"/>
      <c r="U923" s="2"/>
      <c r="V923" s="2"/>
      <c r="W923" s="2"/>
      <c r="X923" s="2"/>
      <c r="Y923" s="2"/>
      <c r="Z923" s="2"/>
    </row>
    <row r="924" ht="13.5" customHeight="1">
      <c r="A924" s="2"/>
      <c r="B924" s="2"/>
      <c r="C924" s="2"/>
      <c r="D924" s="2"/>
      <c r="E924" s="2"/>
      <c r="F924" s="2"/>
      <c r="G924" s="2"/>
      <c r="H924" s="2"/>
      <c r="I924" s="2"/>
      <c r="J924" s="2"/>
      <c r="K924" s="181"/>
      <c r="L924" s="2"/>
      <c r="M924" s="2"/>
      <c r="N924" s="2"/>
      <c r="O924" s="2"/>
      <c r="P924" s="2"/>
      <c r="Q924" s="157"/>
      <c r="R924" s="157"/>
      <c r="S924" s="157"/>
      <c r="T924" s="158"/>
      <c r="U924" s="2"/>
      <c r="V924" s="2"/>
      <c r="W924" s="2"/>
      <c r="X924" s="2"/>
      <c r="Y924" s="2"/>
      <c r="Z924" s="2"/>
    </row>
    <row r="925" ht="13.5" customHeight="1">
      <c r="A925" s="2"/>
      <c r="B925" s="2"/>
      <c r="C925" s="2"/>
      <c r="D925" s="2"/>
      <c r="E925" s="2"/>
      <c r="F925" s="2"/>
      <c r="G925" s="2"/>
      <c r="H925" s="2"/>
      <c r="I925" s="2"/>
      <c r="J925" s="2"/>
      <c r="K925" s="181"/>
      <c r="L925" s="2"/>
      <c r="M925" s="2"/>
      <c r="N925" s="2"/>
      <c r="O925" s="2"/>
      <c r="P925" s="2"/>
      <c r="Q925" s="157"/>
      <c r="R925" s="157"/>
      <c r="S925" s="157"/>
      <c r="T925" s="158"/>
      <c r="U925" s="2"/>
      <c r="V925" s="2"/>
      <c r="W925" s="2"/>
      <c r="X925" s="2"/>
      <c r="Y925" s="2"/>
      <c r="Z925" s="2"/>
    </row>
    <row r="926" ht="13.5" customHeight="1">
      <c r="A926" s="2"/>
      <c r="B926" s="2"/>
      <c r="C926" s="2"/>
      <c r="D926" s="2"/>
      <c r="E926" s="2"/>
      <c r="F926" s="2"/>
      <c r="G926" s="2"/>
      <c r="H926" s="2"/>
      <c r="I926" s="2"/>
      <c r="J926" s="2"/>
      <c r="K926" s="181"/>
      <c r="L926" s="2"/>
      <c r="M926" s="2"/>
      <c r="N926" s="2"/>
      <c r="O926" s="2"/>
      <c r="P926" s="2"/>
      <c r="Q926" s="157"/>
      <c r="R926" s="157"/>
      <c r="S926" s="157"/>
      <c r="T926" s="158"/>
      <c r="U926" s="2"/>
      <c r="V926" s="2"/>
      <c r="W926" s="2"/>
      <c r="X926" s="2"/>
      <c r="Y926" s="2"/>
      <c r="Z926" s="2"/>
    </row>
    <row r="927" ht="13.5" customHeight="1">
      <c r="A927" s="2"/>
      <c r="B927" s="2"/>
      <c r="C927" s="2"/>
      <c r="D927" s="2"/>
      <c r="E927" s="2"/>
      <c r="F927" s="2"/>
      <c r="G927" s="2"/>
      <c r="H927" s="2"/>
      <c r="I927" s="2"/>
      <c r="J927" s="2"/>
      <c r="K927" s="181"/>
      <c r="L927" s="2"/>
      <c r="M927" s="2"/>
      <c r="N927" s="2"/>
      <c r="O927" s="2"/>
      <c r="P927" s="2"/>
      <c r="Q927" s="157"/>
      <c r="R927" s="157"/>
      <c r="S927" s="157"/>
      <c r="T927" s="158"/>
      <c r="U927" s="2"/>
      <c r="V927" s="2"/>
      <c r="W927" s="2"/>
      <c r="X927" s="2"/>
      <c r="Y927" s="2"/>
      <c r="Z927" s="2"/>
    </row>
    <row r="928" ht="13.5" customHeight="1">
      <c r="A928" s="2"/>
      <c r="B928" s="2"/>
      <c r="C928" s="2"/>
      <c r="D928" s="2"/>
      <c r="E928" s="2"/>
      <c r="F928" s="2"/>
      <c r="G928" s="2"/>
      <c r="H928" s="2"/>
      <c r="I928" s="2"/>
      <c r="J928" s="2"/>
      <c r="K928" s="181"/>
      <c r="L928" s="2"/>
      <c r="M928" s="2"/>
      <c r="N928" s="2"/>
      <c r="O928" s="2"/>
      <c r="P928" s="2"/>
      <c r="Q928" s="157"/>
      <c r="R928" s="157"/>
      <c r="S928" s="157"/>
      <c r="T928" s="158"/>
      <c r="U928" s="2"/>
      <c r="V928" s="2"/>
      <c r="W928" s="2"/>
      <c r="X928" s="2"/>
      <c r="Y928" s="2"/>
      <c r="Z928" s="2"/>
    </row>
    <row r="929" ht="13.5" customHeight="1">
      <c r="A929" s="2"/>
      <c r="B929" s="2"/>
      <c r="C929" s="2"/>
      <c r="D929" s="2"/>
      <c r="E929" s="2"/>
      <c r="F929" s="2"/>
      <c r="G929" s="2"/>
      <c r="H929" s="2"/>
      <c r="I929" s="2"/>
      <c r="J929" s="2"/>
      <c r="K929" s="181"/>
      <c r="L929" s="2"/>
      <c r="M929" s="2"/>
      <c r="N929" s="2"/>
      <c r="O929" s="2"/>
      <c r="P929" s="2"/>
      <c r="Q929" s="157"/>
      <c r="R929" s="157"/>
      <c r="S929" s="157"/>
      <c r="T929" s="158"/>
      <c r="U929" s="2"/>
      <c r="V929" s="2"/>
      <c r="W929" s="2"/>
      <c r="X929" s="2"/>
      <c r="Y929" s="2"/>
      <c r="Z929" s="2"/>
    </row>
    <row r="930" ht="13.5" customHeight="1">
      <c r="A930" s="2"/>
      <c r="B930" s="2"/>
      <c r="C930" s="2"/>
      <c r="D930" s="2"/>
      <c r="E930" s="2"/>
      <c r="F930" s="2"/>
      <c r="G930" s="2"/>
      <c r="H930" s="2"/>
      <c r="I930" s="2"/>
      <c r="J930" s="2"/>
      <c r="K930" s="181"/>
      <c r="L930" s="2"/>
      <c r="M930" s="2"/>
      <c r="N930" s="2"/>
      <c r="O930" s="2"/>
      <c r="P930" s="2"/>
      <c r="Q930" s="157"/>
      <c r="R930" s="157"/>
      <c r="S930" s="157"/>
      <c r="T930" s="158"/>
      <c r="U930" s="2"/>
      <c r="V930" s="2"/>
      <c r="W930" s="2"/>
      <c r="X930" s="2"/>
      <c r="Y930" s="2"/>
      <c r="Z930" s="2"/>
    </row>
    <row r="931" ht="13.5" customHeight="1">
      <c r="A931" s="2"/>
      <c r="B931" s="2"/>
      <c r="C931" s="2"/>
      <c r="D931" s="2"/>
      <c r="E931" s="2"/>
      <c r="F931" s="2"/>
      <c r="G931" s="2"/>
      <c r="H931" s="2"/>
      <c r="I931" s="2"/>
      <c r="J931" s="2"/>
      <c r="K931" s="181"/>
      <c r="L931" s="2"/>
      <c r="M931" s="2"/>
      <c r="N931" s="2"/>
      <c r="O931" s="2"/>
      <c r="P931" s="2"/>
      <c r="Q931" s="157"/>
      <c r="R931" s="157"/>
      <c r="S931" s="157"/>
      <c r="T931" s="158"/>
      <c r="U931" s="2"/>
      <c r="V931" s="2"/>
      <c r="W931" s="2"/>
      <c r="X931" s="2"/>
      <c r="Y931" s="2"/>
      <c r="Z931" s="2"/>
    </row>
    <row r="932" ht="13.5" customHeight="1">
      <c r="A932" s="2"/>
      <c r="B932" s="2"/>
      <c r="C932" s="2"/>
      <c r="D932" s="2"/>
      <c r="E932" s="2"/>
      <c r="F932" s="2"/>
      <c r="G932" s="2"/>
      <c r="H932" s="2"/>
      <c r="I932" s="2"/>
      <c r="J932" s="2"/>
      <c r="K932" s="181"/>
      <c r="L932" s="2"/>
      <c r="M932" s="2"/>
      <c r="N932" s="2"/>
      <c r="O932" s="2"/>
      <c r="P932" s="2"/>
      <c r="Q932" s="157"/>
      <c r="R932" s="157"/>
      <c r="S932" s="157"/>
      <c r="T932" s="158"/>
      <c r="U932" s="2"/>
      <c r="V932" s="2"/>
      <c r="W932" s="2"/>
      <c r="X932" s="2"/>
      <c r="Y932" s="2"/>
      <c r="Z932" s="2"/>
    </row>
    <row r="933" ht="13.5" customHeight="1">
      <c r="A933" s="2"/>
      <c r="B933" s="2"/>
      <c r="C933" s="2"/>
      <c r="D933" s="2"/>
      <c r="E933" s="2"/>
      <c r="F933" s="2"/>
      <c r="G933" s="2"/>
      <c r="H933" s="2"/>
      <c r="I933" s="2"/>
      <c r="J933" s="2"/>
      <c r="K933" s="181"/>
      <c r="L933" s="2"/>
      <c r="M933" s="2"/>
      <c r="N933" s="2"/>
      <c r="O933" s="2"/>
      <c r="P933" s="2"/>
      <c r="Q933" s="157"/>
      <c r="R933" s="157"/>
      <c r="S933" s="157"/>
      <c r="T933" s="158"/>
      <c r="U933" s="2"/>
      <c r="V933" s="2"/>
      <c r="W933" s="2"/>
      <c r="X933" s="2"/>
      <c r="Y933" s="2"/>
      <c r="Z933" s="2"/>
    </row>
    <row r="934" ht="13.5" customHeight="1">
      <c r="A934" s="2"/>
      <c r="B934" s="2"/>
      <c r="C934" s="2"/>
      <c r="D934" s="2"/>
      <c r="E934" s="2"/>
      <c r="F934" s="2"/>
      <c r="G934" s="2"/>
      <c r="H934" s="2"/>
      <c r="I934" s="2"/>
      <c r="J934" s="2"/>
      <c r="K934" s="181"/>
      <c r="L934" s="2"/>
      <c r="M934" s="2"/>
      <c r="N934" s="2"/>
      <c r="O934" s="2"/>
      <c r="P934" s="2"/>
      <c r="Q934" s="157"/>
      <c r="R934" s="157"/>
      <c r="S934" s="157"/>
      <c r="T934" s="158"/>
      <c r="U934" s="2"/>
      <c r="V934" s="2"/>
      <c r="W934" s="2"/>
      <c r="X934" s="2"/>
      <c r="Y934" s="2"/>
      <c r="Z934" s="2"/>
    </row>
    <row r="935" ht="13.5" customHeight="1">
      <c r="A935" s="2"/>
      <c r="B935" s="2"/>
      <c r="C935" s="2"/>
      <c r="D935" s="2"/>
      <c r="E935" s="2"/>
      <c r="F935" s="2"/>
      <c r="G935" s="2"/>
      <c r="H935" s="2"/>
      <c r="I935" s="2"/>
      <c r="J935" s="2"/>
      <c r="K935" s="181"/>
      <c r="L935" s="2"/>
      <c r="M935" s="2"/>
      <c r="N935" s="2"/>
      <c r="O935" s="2"/>
      <c r="P935" s="2"/>
      <c r="Q935" s="157"/>
      <c r="R935" s="157"/>
      <c r="S935" s="157"/>
      <c r="T935" s="158"/>
      <c r="U935" s="2"/>
      <c r="V935" s="2"/>
      <c r="W935" s="2"/>
      <c r="X935" s="2"/>
      <c r="Y935" s="2"/>
      <c r="Z935" s="2"/>
    </row>
    <row r="936" ht="13.5" customHeight="1">
      <c r="A936" s="2"/>
      <c r="B936" s="2"/>
      <c r="C936" s="2"/>
      <c r="D936" s="2"/>
      <c r="E936" s="2"/>
      <c r="F936" s="2"/>
      <c r="G936" s="2"/>
      <c r="H936" s="2"/>
      <c r="I936" s="2"/>
      <c r="J936" s="2"/>
      <c r="K936" s="181"/>
      <c r="L936" s="2"/>
      <c r="M936" s="2"/>
      <c r="N936" s="2"/>
      <c r="O936" s="2"/>
      <c r="P936" s="2"/>
      <c r="Q936" s="157"/>
      <c r="R936" s="157"/>
      <c r="S936" s="157"/>
      <c r="T936" s="158"/>
      <c r="U936" s="2"/>
      <c r="V936" s="2"/>
      <c r="W936" s="2"/>
      <c r="X936" s="2"/>
      <c r="Y936" s="2"/>
      <c r="Z936" s="2"/>
    </row>
    <row r="937" ht="13.5" customHeight="1">
      <c r="A937" s="2"/>
      <c r="B937" s="2"/>
      <c r="C937" s="2"/>
      <c r="D937" s="2"/>
      <c r="E937" s="2"/>
      <c r="F937" s="2"/>
      <c r="G937" s="2"/>
      <c r="H937" s="2"/>
      <c r="I937" s="2"/>
      <c r="J937" s="2"/>
      <c r="K937" s="181"/>
      <c r="L937" s="2"/>
      <c r="M937" s="2"/>
      <c r="N937" s="2"/>
      <c r="O937" s="2"/>
      <c r="P937" s="2"/>
      <c r="Q937" s="157"/>
      <c r="R937" s="157"/>
      <c r="S937" s="157"/>
      <c r="T937" s="158"/>
      <c r="U937" s="2"/>
      <c r="V937" s="2"/>
      <c r="W937" s="2"/>
      <c r="X937" s="2"/>
      <c r="Y937" s="2"/>
      <c r="Z937" s="2"/>
    </row>
    <row r="938" ht="13.5" customHeight="1">
      <c r="A938" s="2"/>
      <c r="B938" s="2"/>
      <c r="C938" s="2"/>
      <c r="D938" s="2"/>
      <c r="E938" s="2"/>
      <c r="F938" s="2"/>
      <c r="G938" s="2"/>
      <c r="H938" s="2"/>
      <c r="I938" s="2"/>
      <c r="J938" s="2"/>
      <c r="K938" s="181"/>
      <c r="L938" s="2"/>
      <c r="M938" s="2"/>
      <c r="N938" s="2"/>
      <c r="O938" s="2"/>
      <c r="P938" s="2"/>
      <c r="Q938" s="157"/>
      <c r="R938" s="157"/>
      <c r="S938" s="157"/>
      <c r="T938" s="158"/>
      <c r="U938" s="2"/>
      <c r="V938" s="2"/>
      <c r="W938" s="2"/>
      <c r="X938" s="2"/>
      <c r="Y938" s="2"/>
      <c r="Z938" s="2"/>
    </row>
    <row r="939" ht="13.5" customHeight="1">
      <c r="A939" s="2"/>
      <c r="B939" s="2"/>
      <c r="C939" s="2"/>
      <c r="D939" s="2"/>
      <c r="E939" s="2"/>
      <c r="F939" s="2"/>
      <c r="G939" s="2"/>
      <c r="H939" s="2"/>
      <c r="I939" s="2"/>
      <c r="J939" s="2"/>
      <c r="K939" s="181"/>
      <c r="L939" s="2"/>
      <c r="M939" s="2"/>
      <c r="N939" s="2"/>
      <c r="O939" s="2"/>
      <c r="P939" s="2"/>
      <c r="Q939" s="157"/>
      <c r="R939" s="157"/>
      <c r="S939" s="157"/>
      <c r="T939" s="158"/>
      <c r="U939" s="2"/>
      <c r="V939" s="2"/>
      <c r="W939" s="2"/>
      <c r="X939" s="2"/>
      <c r="Y939" s="2"/>
      <c r="Z939" s="2"/>
    </row>
    <row r="940" ht="13.5" customHeight="1">
      <c r="A940" s="2"/>
      <c r="B940" s="2"/>
      <c r="C940" s="2"/>
      <c r="D940" s="2"/>
      <c r="E940" s="2"/>
      <c r="F940" s="2"/>
      <c r="G940" s="2"/>
      <c r="H940" s="2"/>
      <c r="I940" s="2"/>
      <c r="J940" s="2"/>
      <c r="K940" s="181"/>
      <c r="L940" s="2"/>
      <c r="M940" s="2"/>
      <c r="N940" s="2"/>
      <c r="O940" s="2"/>
      <c r="P940" s="2"/>
      <c r="Q940" s="157"/>
      <c r="R940" s="157"/>
      <c r="S940" s="157"/>
      <c r="T940" s="158"/>
      <c r="U940" s="2"/>
      <c r="V940" s="2"/>
      <c r="W940" s="2"/>
      <c r="X940" s="2"/>
      <c r="Y940" s="2"/>
      <c r="Z940" s="2"/>
    </row>
    <row r="941" ht="13.5" customHeight="1">
      <c r="A941" s="2"/>
      <c r="B941" s="2"/>
      <c r="C941" s="2"/>
      <c r="D941" s="2"/>
      <c r="E941" s="2"/>
      <c r="F941" s="2"/>
      <c r="G941" s="2"/>
      <c r="H941" s="2"/>
      <c r="I941" s="2"/>
      <c r="J941" s="2"/>
      <c r="K941" s="181"/>
      <c r="L941" s="2"/>
      <c r="M941" s="2"/>
      <c r="N941" s="2"/>
      <c r="O941" s="2"/>
      <c r="P941" s="2"/>
      <c r="Q941" s="157"/>
      <c r="R941" s="157"/>
      <c r="S941" s="157"/>
      <c r="T941" s="158"/>
      <c r="U941" s="2"/>
      <c r="V941" s="2"/>
      <c r="W941" s="2"/>
      <c r="X941" s="2"/>
      <c r="Y941" s="2"/>
      <c r="Z941" s="2"/>
    </row>
    <row r="942" ht="13.5" customHeight="1">
      <c r="A942" s="2"/>
      <c r="B942" s="2"/>
      <c r="C942" s="2"/>
      <c r="D942" s="2"/>
      <c r="E942" s="2"/>
      <c r="F942" s="2"/>
      <c r="G942" s="2"/>
      <c r="H942" s="2"/>
      <c r="I942" s="2"/>
      <c r="J942" s="2"/>
      <c r="K942" s="181"/>
      <c r="L942" s="2"/>
      <c r="M942" s="2"/>
      <c r="N942" s="2"/>
      <c r="O942" s="2"/>
      <c r="P942" s="2"/>
      <c r="Q942" s="157"/>
      <c r="R942" s="157"/>
      <c r="S942" s="157"/>
      <c r="T942" s="158"/>
      <c r="U942" s="2"/>
      <c r="V942" s="2"/>
      <c r="W942" s="2"/>
      <c r="X942" s="2"/>
      <c r="Y942" s="2"/>
      <c r="Z942" s="2"/>
    </row>
    <row r="943" ht="13.5" customHeight="1">
      <c r="A943" s="2"/>
      <c r="B943" s="2"/>
      <c r="C943" s="2"/>
      <c r="D943" s="2"/>
      <c r="E943" s="2"/>
      <c r="F943" s="2"/>
      <c r="G943" s="2"/>
      <c r="H943" s="2"/>
      <c r="I943" s="2"/>
      <c r="J943" s="2"/>
      <c r="K943" s="181"/>
      <c r="L943" s="2"/>
      <c r="M943" s="2"/>
      <c r="N943" s="2"/>
      <c r="O943" s="2"/>
      <c r="P943" s="2"/>
      <c r="Q943" s="157"/>
      <c r="R943" s="157"/>
      <c r="S943" s="157"/>
      <c r="T943" s="158"/>
      <c r="U943" s="2"/>
      <c r="V943" s="2"/>
      <c r="W943" s="2"/>
      <c r="X943" s="2"/>
      <c r="Y943" s="2"/>
      <c r="Z943" s="2"/>
    </row>
    <row r="944" ht="13.5" customHeight="1">
      <c r="A944" s="2"/>
      <c r="B944" s="2"/>
      <c r="C944" s="2"/>
      <c r="D944" s="2"/>
      <c r="E944" s="2"/>
      <c r="F944" s="2"/>
      <c r="G944" s="2"/>
      <c r="H944" s="2"/>
      <c r="I944" s="2"/>
      <c r="J944" s="2"/>
      <c r="K944" s="181"/>
      <c r="L944" s="2"/>
      <c r="M944" s="2"/>
      <c r="N944" s="2"/>
      <c r="O944" s="2"/>
      <c r="P944" s="2"/>
      <c r="Q944" s="157"/>
      <c r="R944" s="157"/>
      <c r="S944" s="157"/>
      <c r="T944" s="158"/>
      <c r="U944" s="2"/>
      <c r="V944" s="2"/>
      <c r="W944" s="2"/>
      <c r="X944" s="2"/>
      <c r="Y944" s="2"/>
      <c r="Z944" s="2"/>
    </row>
    <row r="945" ht="13.5" customHeight="1">
      <c r="A945" s="2"/>
      <c r="B945" s="2"/>
      <c r="C945" s="2"/>
      <c r="D945" s="2"/>
      <c r="E945" s="2"/>
      <c r="F945" s="2"/>
      <c r="G945" s="2"/>
      <c r="H945" s="2"/>
      <c r="I945" s="2"/>
      <c r="J945" s="2"/>
      <c r="K945" s="181"/>
      <c r="L945" s="2"/>
      <c r="M945" s="2"/>
      <c r="N945" s="2"/>
      <c r="O945" s="2"/>
      <c r="P945" s="2"/>
      <c r="Q945" s="157"/>
      <c r="R945" s="157"/>
      <c r="S945" s="157"/>
      <c r="T945" s="158"/>
      <c r="U945" s="2"/>
      <c r="V945" s="2"/>
      <c r="W945" s="2"/>
      <c r="X945" s="2"/>
      <c r="Y945" s="2"/>
      <c r="Z945" s="2"/>
    </row>
    <row r="946" ht="13.5" customHeight="1">
      <c r="A946" s="2"/>
      <c r="B946" s="2"/>
      <c r="C946" s="2"/>
      <c r="D946" s="2"/>
      <c r="E946" s="2"/>
      <c r="F946" s="2"/>
      <c r="G946" s="2"/>
      <c r="H946" s="2"/>
      <c r="I946" s="2"/>
      <c r="J946" s="2"/>
      <c r="K946" s="181"/>
      <c r="L946" s="2"/>
      <c r="M946" s="2"/>
      <c r="N946" s="2"/>
      <c r="O946" s="2"/>
      <c r="P946" s="2"/>
      <c r="Q946" s="157"/>
      <c r="R946" s="157"/>
      <c r="S946" s="157"/>
      <c r="T946" s="158"/>
      <c r="U946" s="2"/>
      <c r="V946" s="2"/>
      <c r="W946" s="2"/>
      <c r="X946" s="2"/>
      <c r="Y946" s="2"/>
      <c r="Z946" s="2"/>
    </row>
    <row r="947" ht="13.5" customHeight="1">
      <c r="A947" s="2"/>
      <c r="B947" s="2"/>
      <c r="C947" s="2"/>
      <c r="D947" s="2"/>
      <c r="E947" s="2"/>
      <c r="F947" s="2"/>
      <c r="G947" s="2"/>
      <c r="H947" s="2"/>
      <c r="I947" s="2"/>
      <c r="J947" s="2"/>
      <c r="K947" s="181"/>
      <c r="L947" s="2"/>
      <c r="M947" s="2"/>
      <c r="N947" s="2"/>
      <c r="O947" s="2"/>
      <c r="P947" s="2"/>
      <c r="Q947" s="157"/>
      <c r="R947" s="157"/>
      <c r="S947" s="157"/>
      <c r="T947" s="158"/>
      <c r="U947" s="2"/>
      <c r="V947" s="2"/>
      <c r="W947" s="2"/>
      <c r="X947" s="2"/>
      <c r="Y947" s="2"/>
      <c r="Z947" s="2"/>
    </row>
    <row r="948" ht="13.5" customHeight="1">
      <c r="A948" s="2"/>
      <c r="B948" s="2"/>
      <c r="C948" s="2"/>
      <c r="D948" s="2"/>
      <c r="E948" s="2"/>
      <c r="F948" s="2"/>
      <c r="G948" s="2"/>
      <c r="H948" s="2"/>
      <c r="I948" s="2"/>
      <c r="J948" s="2"/>
      <c r="K948" s="181"/>
      <c r="L948" s="2"/>
      <c r="M948" s="2"/>
      <c r="N948" s="2"/>
      <c r="O948" s="2"/>
      <c r="P948" s="2"/>
      <c r="Q948" s="157"/>
      <c r="R948" s="157"/>
      <c r="S948" s="157"/>
      <c r="T948" s="158"/>
      <c r="U948" s="2"/>
      <c r="V948" s="2"/>
      <c r="W948" s="2"/>
      <c r="X948" s="2"/>
      <c r="Y948" s="2"/>
      <c r="Z948" s="2"/>
    </row>
    <row r="949" ht="13.5" customHeight="1">
      <c r="A949" s="2"/>
      <c r="B949" s="2"/>
      <c r="C949" s="2"/>
      <c r="D949" s="2"/>
      <c r="E949" s="2"/>
      <c r="F949" s="2"/>
      <c r="G949" s="2"/>
      <c r="H949" s="2"/>
      <c r="I949" s="2"/>
      <c r="J949" s="2"/>
      <c r="K949" s="181"/>
      <c r="L949" s="2"/>
      <c r="M949" s="2"/>
      <c r="N949" s="2"/>
      <c r="O949" s="2"/>
      <c r="P949" s="2"/>
      <c r="Q949" s="157"/>
      <c r="R949" s="157"/>
      <c r="S949" s="157"/>
      <c r="T949" s="158"/>
      <c r="U949" s="2"/>
      <c r="V949" s="2"/>
      <c r="W949" s="2"/>
      <c r="X949" s="2"/>
      <c r="Y949" s="2"/>
      <c r="Z949" s="2"/>
    </row>
    <row r="950" ht="13.5" customHeight="1">
      <c r="A950" s="2"/>
      <c r="B950" s="2"/>
      <c r="C950" s="2"/>
      <c r="D950" s="2"/>
      <c r="E950" s="2"/>
      <c r="F950" s="2"/>
      <c r="G950" s="2"/>
      <c r="H950" s="2"/>
      <c r="I950" s="2"/>
      <c r="J950" s="2"/>
      <c r="K950" s="181"/>
      <c r="L950" s="2"/>
      <c r="M950" s="2"/>
      <c r="N950" s="2"/>
      <c r="O950" s="2"/>
      <c r="P950" s="2"/>
      <c r="Q950" s="157"/>
      <c r="R950" s="157"/>
      <c r="S950" s="157"/>
      <c r="T950" s="158"/>
      <c r="U950" s="2"/>
      <c r="V950" s="2"/>
      <c r="W950" s="2"/>
      <c r="X950" s="2"/>
      <c r="Y950" s="2"/>
      <c r="Z950" s="2"/>
    </row>
    <row r="951" ht="13.5" customHeight="1">
      <c r="A951" s="2"/>
      <c r="B951" s="2"/>
      <c r="C951" s="2"/>
      <c r="D951" s="2"/>
      <c r="E951" s="2"/>
      <c r="F951" s="2"/>
      <c r="G951" s="2"/>
      <c r="H951" s="2"/>
      <c r="I951" s="2"/>
      <c r="J951" s="2"/>
      <c r="K951" s="181"/>
      <c r="L951" s="2"/>
      <c r="M951" s="2"/>
      <c r="N951" s="2"/>
      <c r="O951" s="2"/>
      <c r="P951" s="2"/>
      <c r="Q951" s="157"/>
      <c r="R951" s="157"/>
      <c r="S951" s="157"/>
      <c r="T951" s="158"/>
      <c r="U951" s="2"/>
      <c r="V951" s="2"/>
      <c r="W951" s="2"/>
      <c r="X951" s="2"/>
      <c r="Y951" s="2"/>
      <c r="Z951" s="2"/>
    </row>
    <row r="952" ht="13.5" customHeight="1">
      <c r="A952" s="2"/>
      <c r="B952" s="2"/>
      <c r="C952" s="2"/>
      <c r="D952" s="2"/>
      <c r="E952" s="2"/>
      <c r="F952" s="2"/>
      <c r="G952" s="2"/>
      <c r="H952" s="2"/>
      <c r="I952" s="2"/>
      <c r="J952" s="2"/>
      <c r="K952" s="181"/>
      <c r="L952" s="2"/>
      <c r="M952" s="2"/>
      <c r="N952" s="2"/>
      <c r="O952" s="2"/>
      <c r="P952" s="2"/>
      <c r="Q952" s="157"/>
      <c r="R952" s="157"/>
      <c r="S952" s="157"/>
      <c r="T952" s="158"/>
      <c r="U952" s="2"/>
      <c r="V952" s="2"/>
      <c r="W952" s="2"/>
      <c r="X952" s="2"/>
      <c r="Y952" s="2"/>
      <c r="Z952" s="2"/>
    </row>
    <row r="953" ht="13.5" customHeight="1">
      <c r="A953" s="2"/>
      <c r="B953" s="2"/>
      <c r="C953" s="2"/>
      <c r="D953" s="2"/>
      <c r="E953" s="2"/>
      <c r="F953" s="2"/>
      <c r="G953" s="2"/>
      <c r="H953" s="2"/>
      <c r="I953" s="2"/>
      <c r="J953" s="2"/>
      <c r="K953" s="181"/>
      <c r="L953" s="2"/>
      <c r="M953" s="2"/>
      <c r="N953" s="2"/>
      <c r="O953" s="2"/>
      <c r="P953" s="2"/>
      <c r="Q953" s="157"/>
      <c r="R953" s="157"/>
      <c r="S953" s="157"/>
      <c r="T953" s="158"/>
      <c r="U953" s="2"/>
      <c r="V953" s="2"/>
      <c r="W953" s="2"/>
      <c r="X953" s="2"/>
      <c r="Y953" s="2"/>
      <c r="Z953" s="2"/>
    </row>
    <row r="954" ht="13.5" customHeight="1">
      <c r="A954" s="2"/>
      <c r="B954" s="2"/>
      <c r="C954" s="2"/>
      <c r="D954" s="2"/>
      <c r="E954" s="2"/>
      <c r="F954" s="2"/>
      <c r="G954" s="2"/>
      <c r="H954" s="2"/>
      <c r="I954" s="2"/>
      <c r="J954" s="2"/>
      <c r="K954" s="181"/>
      <c r="L954" s="2"/>
      <c r="M954" s="2"/>
      <c r="N954" s="2"/>
      <c r="O954" s="2"/>
      <c r="P954" s="2"/>
      <c r="Q954" s="157"/>
      <c r="R954" s="157"/>
      <c r="S954" s="157"/>
      <c r="T954" s="158"/>
      <c r="U954" s="2"/>
      <c r="V954" s="2"/>
      <c r="W954" s="2"/>
      <c r="X954" s="2"/>
      <c r="Y954" s="2"/>
      <c r="Z954" s="2"/>
    </row>
    <row r="955" ht="13.5" customHeight="1">
      <c r="A955" s="2"/>
      <c r="B955" s="2"/>
      <c r="C955" s="2"/>
      <c r="D955" s="2"/>
      <c r="E955" s="2"/>
      <c r="F955" s="2"/>
      <c r="G955" s="2"/>
      <c r="H955" s="2"/>
      <c r="I955" s="2"/>
      <c r="J955" s="2"/>
      <c r="K955" s="181"/>
      <c r="L955" s="2"/>
      <c r="M955" s="2"/>
      <c r="N955" s="2"/>
      <c r="O955" s="2"/>
      <c r="P955" s="2"/>
      <c r="Q955" s="157"/>
      <c r="R955" s="157"/>
      <c r="S955" s="157"/>
      <c r="T955" s="158"/>
      <c r="U955" s="2"/>
      <c r="V955" s="2"/>
      <c r="W955" s="2"/>
      <c r="X955" s="2"/>
      <c r="Y955" s="2"/>
      <c r="Z955" s="2"/>
    </row>
    <row r="956" ht="13.5" customHeight="1">
      <c r="A956" s="2"/>
      <c r="B956" s="2"/>
      <c r="C956" s="2"/>
      <c r="D956" s="2"/>
      <c r="E956" s="2"/>
      <c r="F956" s="2"/>
      <c r="G956" s="2"/>
      <c r="H956" s="2"/>
      <c r="I956" s="2"/>
      <c r="J956" s="2"/>
      <c r="K956" s="181"/>
      <c r="L956" s="2"/>
      <c r="M956" s="2"/>
      <c r="N956" s="2"/>
      <c r="O956" s="2"/>
      <c r="P956" s="2"/>
      <c r="Q956" s="157"/>
      <c r="R956" s="157"/>
      <c r="S956" s="157"/>
      <c r="T956" s="158"/>
      <c r="U956" s="2"/>
      <c r="V956" s="2"/>
      <c r="W956" s="2"/>
      <c r="X956" s="2"/>
      <c r="Y956" s="2"/>
      <c r="Z956" s="2"/>
    </row>
    <row r="957" ht="13.5" customHeight="1">
      <c r="A957" s="2"/>
      <c r="B957" s="2"/>
      <c r="C957" s="2"/>
      <c r="D957" s="2"/>
      <c r="E957" s="2"/>
      <c r="F957" s="2"/>
      <c r="G957" s="2"/>
      <c r="H957" s="2"/>
      <c r="I957" s="2"/>
      <c r="J957" s="2"/>
      <c r="K957" s="181"/>
      <c r="L957" s="2"/>
      <c r="M957" s="2"/>
      <c r="N957" s="2"/>
      <c r="O957" s="2"/>
      <c r="P957" s="2"/>
      <c r="Q957" s="157"/>
      <c r="R957" s="157"/>
      <c r="S957" s="157"/>
      <c r="T957" s="158"/>
      <c r="U957" s="2"/>
      <c r="V957" s="2"/>
      <c r="W957" s="2"/>
      <c r="X957" s="2"/>
      <c r="Y957" s="2"/>
      <c r="Z957" s="2"/>
    </row>
    <row r="958" ht="13.5" customHeight="1">
      <c r="A958" s="2"/>
      <c r="B958" s="2"/>
      <c r="C958" s="2"/>
      <c r="D958" s="2"/>
      <c r="E958" s="2"/>
      <c r="F958" s="2"/>
      <c r="G958" s="2"/>
      <c r="H958" s="2"/>
      <c r="I958" s="2"/>
      <c r="J958" s="2"/>
      <c r="K958" s="181"/>
      <c r="L958" s="2"/>
      <c r="M958" s="2"/>
      <c r="N958" s="2"/>
      <c r="O958" s="2"/>
      <c r="P958" s="2"/>
      <c r="Q958" s="157"/>
      <c r="R958" s="157"/>
      <c r="S958" s="157"/>
      <c r="T958" s="158"/>
      <c r="U958" s="2"/>
      <c r="V958" s="2"/>
      <c r="W958" s="2"/>
      <c r="X958" s="2"/>
      <c r="Y958" s="2"/>
      <c r="Z958" s="2"/>
    </row>
    <row r="959" ht="13.5" customHeight="1">
      <c r="A959" s="2"/>
      <c r="B959" s="2"/>
      <c r="C959" s="2"/>
      <c r="D959" s="2"/>
      <c r="E959" s="2"/>
      <c r="F959" s="2"/>
      <c r="G959" s="2"/>
      <c r="H959" s="2"/>
      <c r="I959" s="2"/>
      <c r="J959" s="2"/>
      <c r="K959" s="181"/>
      <c r="L959" s="2"/>
      <c r="M959" s="2"/>
      <c r="N959" s="2"/>
      <c r="O959" s="2"/>
      <c r="P959" s="2"/>
      <c r="Q959" s="157"/>
      <c r="R959" s="157"/>
      <c r="S959" s="157"/>
      <c r="T959" s="158"/>
      <c r="U959" s="2"/>
      <c r="V959" s="2"/>
      <c r="W959" s="2"/>
      <c r="X959" s="2"/>
      <c r="Y959" s="2"/>
      <c r="Z959" s="2"/>
    </row>
    <row r="960" ht="13.5" customHeight="1">
      <c r="A960" s="2"/>
      <c r="B960" s="2"/>
      <c r="C960" s="2"/>
      <c r="D960" s="2"/>
      <c r="E960" s="2"/>
      <c r="F960" s="2"/>
      <c r="G960" s="2"/>
      <c r="H960" s="2"/>
      <c r="I960" s="2"/>
      <c r="J960" s="2"/>
      <c r="K960" s="181"/>
      <c r="L960" s="2"/>
      <c r="M960" s="2"/>
      <c r="N960" s="2"/>
      <c r="O960" s="2"/>
      <c r="P960" s="2"/>
      <c r="Q960" s="157"/>
      <c r="R960" s="157"/>
      <c r="S960" s="157"/>
      <c r="T960" s="158"/>
      <c r="U960" s="2"/>
      <c r="V960" s="2"/>
      <c r="W960" s="2"/>
      <c r="X960" s="2"/>
      <c r="Y960" s="2"/>
      <c r="Z960" s="2"/>
    </row>
    <row r="961" ht="13.5" customHeight="1">
      <c r="A961" s="2"/>
      <c r="B961" s="2"/>
      <c r="C961" s="2"/>
      <c r="D961" s="2"/>
      <c r="E961" s="2"/>
      <c r="F961" s="2"/>
      <c r="G961" s="2"/>
      <c r="H961" s="2"/>
      <c r="I961" s="2"/>
      <c r="J961" s="2"/>
      <c r="K961" s="181"/>
      <c r="L961" s="2"/>
      <c r="M961" s="2"/>
      <c r="N961" s="2"/>
      <c r="O961" s="2"/>
      <c r="P961" s="2"/>
      <c r="Q961" s="157"/>
      <c r="R961" s="157"/>
      <c r="S961" s="157"/>
      <c r="T961" s="158"/>
      <c r="U961" s="2"/>
      <c r="V961" s="2"/>
      <c r="W961" s="2"/>
      <c r="X961" s="2"/>
      <c r="Y961" s="2"/>
      <c r="Z961" s="2"/>
    </row>
    <row r="962" ht="13.5" customHeight="1">
      <c r="A962" s="2"/>
      <c r="B962" s="2"/>
      <c r="C962" s="2"/>
      <c r="D962" s="2"/>
      <c r="E962" s="2"/>
      <c r="F962" s="2"/>
      <c r="G962" s="2"/>
      <c r="H962" s="2"/>
      <c r="I962" s="2"/>
      <c r="J962" s="2"/>
      <c r="K962" s="181"/>
      <c r="L962" s="2"/>
      <c r="M962" s="2"/>
      <c r="N962" s="2"/>
      <c r="O962" s="2"/>
      <c r="P962" s="2"/>
      <c r="Q962" s="157"/>
      <c r="R962" s="157"/>
      <c r="S962" s="157"/>
      <c r="T962" s="158"/>
      <c r="U962" s="2"/>
      <c r="V962" s="2"/>
      <c r="W962" s="2"/>
      <c r="X962" s="2"/>
      <c r="Y962" s="2"/>
      <c r="Z962" s="2"/>
    </row>
    <row r="963" ht="13.5" customHeight="1">
      <c r="A963" s="2"/>
      <c r="B963" s="2"/>
      <c r="C963" s="2"/>
      <c r="D963" s="2"/>
      <c r="E963" s="2"/>
      <c r="F963" s="2"/>
      <c r="G963" s="2"/>
      <c r="H963" s="2"/>
      <c r="I963" s="2"/>
      <c r="J963" s="2"/>
      <c r="K963" s="181"/>
      <c r="L963" s="2"/>
      <c r="M963" s="2"/>
      <c r="N963" s="2"/>
      <c r="O963" s="2"/>
      <c r="P963" s="2"/>
      <c r="Q963" s="157"/>
      <c r="R963" s="157"/>
      <c r="S963" s="157"/>
      <c r="T963" s="158"/>
      <c r="U963" s="2"/>
      <c r="V963" s="2"/>
      <c r="W963" s="2"/>
      <c r="X963" s="2"/>
      <c r="Y963" s="2"/>
      <c r="Z963" s="2"/>
    </row>
    <row r="964" ht="13.5" customHeight="1">
      <c r="A964" s="2"/>
      <c r="B964" s="2"/>
      <c r="C964" s="2"/>
      <c r="D964" s="2"/>
      <c r="E964" s="2"/>
      <c r="F964" s="2"/>
      <c r="G964" s="2"/>
      <c r="H964" s="2"/>
      <c r="I964" s="2"/>
      <c r="J964" s="2"/>
      <c r="K964" s="181"/>
      <c r="L964" s="2"/>
      <c r="M964" s="2"/>
      <c r="N964" s="2"/>
      <c r="O964" s="2"/>
      <c r="P964" s="2"/>
      <c r="Q964" s="157"/>
      <c r="R964" s="157"/>
      <c r="S964" s="157"/>
      <c r="T964" s="158"/>
      <c r="U964" s="2"/>
      <c r="V964" s="2"/>
      <c r="W964" s="2"/>
      <c r="X964" s="2"/>
      <c r="Y964" s="2"/>
      <c r="Z964" s="2"/>
    </row>
    <row r="965" ht="13.5" customHeight="1">
      <c r="A965" s="2"/>
      <c r="B965" s="2"/>
      <c r="C965" s="2"/>
      <c r="D965" s="2"/>
      <c r="E965" s="2"/>
      <c r="F965" s="2"/>
      <c r="G965" s="2"/>
      <c r="H965" s="2"/>
      <c r="I965" s="2"/>
      <c r="J965" s="2"/>
      <c r="K965" s="181"/>
      <c r="L965" s="2"/>
      <c r="M965" s="2"/>
      <c r="N965" s="2"/>
      <c r="O965" s="2"/>
      <c r="P965" s="2"/>
      <c r="Q965" s="157"/>
      <c r="R965" s="157"/>
      <c r="S965" s="157"/>
      <c r="T965" s="158"/>
      <c r="U965" s="2"/>
      <c r="V965" s="2"/>
      <c r="W965" s="2"/>
      <c r="X965" s="2"/>
      <c r="Y965" s="2"/>
      <c r="Z965" s="2"/>
    </row>
    <row r="966" ht="13.5" customHeight="1">
      <c r="A966" s="2"/>
      <c r="B966" s="2"/>
      <c r="C966" s="2"/>
      <c r="D966" s="2"/>
      <c r="E966" s="2"/>
      <c r="F966" s="2"/>
      <c r="G966" s="2"/>
      <c r="H966" s="2"/>
      <c r="I966" s="2"/>
      <c r="J966" s="2"/>
      <c r="K966" s="181"/>
      <c r="L966" s="2"/>
      <c r="M966" s="2"/>
      <c r="N966" s="2"/>
      <c r="O966" s="2"/>
      <c r="P966" s="2"/>
      <c r="Q966" s="157"/>
      <c r="R966" s="157"/>
      <c r="S966" s="157"/>
      <c r="T966" s="158"/>
      <c r="U966" s="2"/>
      <c r="V966" s="2"/>
      <c r="W966" s="2"/>
      <c r="X966" s="2"/>
      <c r="Y966" s="2"/>
      <c r="Z966" s="2"/>
    </row>
    <row r="967" ht="13.5" customHeight="1">
      <c r="A967" s="2"/>
      <c r="B967" s="2"/>
      <c r="C967" s="2"/>
      <c r="D967" s="2"/>
      <c r="E967" s="2"/>
      <c r="F967" s="2"/>
      <c r="G967" s="2"/>
      <c r="H967" s="2"/>
      <c r="I967" s="2"/>
      <c r="J967" s="2"/>
      <c r="K967" s="181"/>
      <c r="L967" s="2"/>
      <c r="M967" s="2"/>
      <c r="N967" s="2"/>
      <c r="O967" s="2"/>
      <c r="P967" s="2"/>
      <c r="Q967" s="157"/>
      <c r="R967" s="157"/>
      <c r="S967" s="157"/>
      <c r="T967" s="158"/>
      <c r="U967" s="2"/>
      <c r="V967" s="2"/>
      <c r="W967" s="2"/>
      <c r="X967" s="2"/>
      <c r="Y967" s="2"/>
      <c r="Z967" s="2"/>
    </row>
    <row r="968" ht="13.5" customHeight="1">
      <c r="A968" s="2"/>
      <c r="B968" s="2"/>
      <c r="C968" s="2"/>
      <c r="D968" s="2"/>
      <c r="E968" s="2"/>
      <c r="F968" s="2"/>
      <c r="G968" s="2"/>
      <c r="H968" s="2"/>
      <c r="I968" s="2"/>
      <c r="J968" s="2"/>
      <c r="K968" s="181"/>
      <c r="L968" s="2"/>
      <c r="M968" s="2"/>
      <c r="N968" s="2"/>
      <c r="O968" s="2"/>
      <c r="P968" s="2"/>
      <c r="Q968" s="157"/>
      <c r="R968" s="157"/>
      <c r="S968" s="157"/>
      <c r="T968" s="158"/>
      <c r="U968" s="2"/>
      <c r="V968" s="2"/>
      <c r="W968" s="2"/>
      <c r="X968" s="2"/>
      <c r="Y968" s="2"/>
      <c r="Z968" s="2"/>
    </row>
    <row r="969" ht="13.5" customHeight="1">
      <c r="A969" s="2"/>
      <c r="B969" s="2"/>
      <c r="C969" s="2"/>
      <c r="D969" s="2"/>
      <c r="E969" s="2"/>
      <c r="F969" s="2"/>
      <c r="G969" s="2"/>
      <c r="H969" s="2"/>
      <c r="I969" s="2"/>
      <c r="J969" s="2"/>
      <c r="K969" s="181"/>
      <c r="L969" s="2"/>
      <c r="M969" s="2"/>
      <c r="N969" s="2"/>
      <c r="O969" s="2"/>
      <c r="P969" s="2"/>
      <c r="Q969" s="157"/>
      <c r="R969" s="157"/>
      <c r="S969" s="157"/>
      <c r="T969" s="158"/>
      <c r="U969" s="2"/>
      <c r="V969" s="2"/>
      <c r="W969" s="2"/>
      <c r="X969" s="2"/>
      <c r="Y969" s="2"/>
      <c r="Z969" s="2"/>
    </row>
    <row r="970" ht="13.5" customHeight="1">
      <c r="A970" s="2"/>
      <c r="B970" s="2"/>
      <c r="C970" s="2"/>
      <c r="D970" s="2"/>
      <c r="E970" s="2"/>
      <c r="F970" s="2"/>
      <c r="G970" s="2"/>
      <c r="H970" s="2"/>
      <c r="I970" s="2"/>
      <c r="J970" s="2"/>
      <c r="K970" s="181"/>
      <c r="L970" s="2"/>
      <c r="M970" s="2"/>
      <c r="N970" s="2"/>
      <c r="O970" s="2"/>
      <c r="P970" s="2"/>
      <c r="Q970" s="157"/>
      <c r="R970" s="157"/>
      <c r="S970" s="157"/>
      <c r="T970" s="158"/>
      <c r="U970" s="2"/>
      <c r="V970" s="2"/>
      <c r="W970" s="2"/>
      <c r="X970" s="2"/>
      <c r="Y970" s="2"/>
      <c r="Z970" s="2"/>
    </row>
    <row r="971" ht="13.5" customHeight="1">
      <c r="A971" s="2"/>
      <c r="B971" s="2"/>
      <c r="C971" s="2"/>
      <c r="D971" s="2"/>
      <c r="E971" s="2"/>
      <c r="F971" s="2"/>
      <c r="G971" s="2"/>
      <c r="H971" s="2"/>
      <c r="I971" s="2"/>
      <c r="J971" s="2"/>
      <c r="K971" s="181"/>
      <c r="L971" s="2"/>
      <c r="M971" s="2"/>
      <c r="N971" s="2"/>
      <c r="O971" s="2"/>
      <c r="P971" s="2"/>
      <c r="Q971" s="157"/>
      <c r="R971" s="157"/>
      <c r="S971" s="157"/>
      <c r="T971" s="158"/>
      <c r="U971" s="2"/>
      <c r="V971" s="2"/>
      <c r="W971" s="2"/>
      <c r="X971" s="2"/>
      <c r="Y971" s="2"/>
      <c r="Z971" s="2"/>
    </row>
    <row r="972" ht="13.5" customHeight="1">
      <c r="A972" s="2"/>
      <c r="B972" s="2"/>
      <c r="C972" s="2"/>
      <c r="D972" s="2"/>
      <c r="E972" s="2"/>
      <c r="F972" s="2"/>
      <c r="G972" s="2"/>
      <c r="H972" s="2"/>
      <c r="I972" s="2"/>
      <c r="J972" s="2"/>
      <c r="K972" s="181"/>
      <c r="L972" s="2"/>
      <c r="M972" s="2"/>
      <c r="N972" s="2"/>
      <c r="O972" s="2"/>
      <c r="P972" s="2"/>
      <c r="Q972" s="157"/>
      <c r="R972" s="157"/>
      <c r="S972" s="157"/>
      <c r="T972" s="158"/>
      <c r="U972" s="2"/>
      <c r="V972" s="2"/>
      <c r="W972" s="2"/>
      <c r="X972" s="2"/>
      <c r="Y972" s="2"/>
      <c r="Z972" s="2"/>
    </row>
    <row r="973" ht="13.5" customHeight="1">
      <c r="A973" s="2"/>
      <c r="B973" s="2"/>
      <c r="C973" s="2"/>
      <c r="D973" s="2"/>
      <c r="E973" s="2"/>
      <c r="F973" s="2"/>
      <c r="G973" s="2"/>
      <c r="H973" s="2"/>
      <c r="I973" s="2"/>
      <c r="J973" s="2"/>
      <c r="K973" s="181"/>
      <c r="L973" s="2"/>
      <c r="M973" s="2"/>
      <c r="N973" s="2"/>
      <c r="O973" s="2"/>
      <c r="P973" s="2"/>
      <c r="Q973" s="157"/>
      <c r="R973" s="157"/>
      <c r="S973" s="157"/>
      <c r="T973" s="158"/>
      <c r="U973" s="2"/>
      <c r="V973" s="2"/>
      <c r="W973" s="2"/>
      <c r="X973" s="2"/>
      <c r="Y973" s="2"/>
      <c r="Z973" s="2"/>
    </row>
    <row r="974" ht="13.5" customHeight="1">
      <c r="A974" s="2"/>
      <c r="B974" s="2"/>
      <c r="C974" s="2"/>
      <c r="D974" s="2"/>
      <c r="E974" s="2"/>
      <c r="F974" s="2"/>
      <c r="G974" s="2"/>
      <c r="H974" s="2"/>
      <c r="I974" s="2"/>
      <c r="J974" s="2"/>
      <c r="K974" s="181"/>
      <c r="L974" s="2"/>
      <c r="M974" s="2"/>
      <c r="N974" s="2"/>
      <c r="O974" s="2"/>
      <c r="P974" s="2"/>
      <c r="Q974" s="157"/>
      <c r="R974" s="157"/>
      <c r="S974" s="157"/>
      <c r="T974" s="158"/>
      <c r="U974" s="2"/>
      <c r="V974" s="2"/>
      <c r="W974" s="2"/>
      <c r="X974" s="2"/>
      <c r="Y974" s="2"/>
      <c r="Z974" s="2"/>
    </row>
    <row r="975" ht="13.5" customHeight="1">
      <c r="A975" s="2"/>
      <c r="B975" s="2"/>
      <c r="C975" s="2"/>
      <c r="D975" s="2"/>
      <c r="E975" s="2"/>
      <c r="F975" s="2"/>
      <c r="G975" s="2"/>
      <c r="H975" s="2"/>
      <c r="I975" s="2"/>
      <c r="J975" s="2"/>
      <c r="K975" s="181"/>
      <c r="L975" s="2"/>
      <c r="M975" s="2"/>
      <c r="N975" s="2"/>
      <c r="O975" s="2"/>
      <c r="P975" s="2"/>
      <c r="Q975" s="157"/>
      <c r="R975" s="157"/>
      <c r="S975" s="157"/>
      <c r="T975" s="158"/>
      <c r="U975" s="2"/>
      <c r="V975" s="2"/>
      <c r="W975" s="2"/>
      <c r="X975" s="2"/>
      <c r="Y975" s="2"/>
      <c r="Z975" s="2"/>
    </row>
    <row r="976" ht="13.5" customHeight="1">
      <c r="A976" s="2"/>
      <c r="B976" s="2"/>
      <c r="C976" s="2"/>
      <c r="D976" s="2"/>
      <c r="E976" s="2"/>
      <c r="F976" s="2"/>
      <c r="G976" s="2"/>
      <c r="H976" s="2"/>
      <c r="I976" s="2"/>
      <c r="J976" s="2"/>
      <c r="K976" s="181"/>
      <c r="L976" s="2"/>
      <c r="M976" s="2"/>
      <c r="N976" s="2"/>
      <c r="O976" s="2"/>
      <c r="P976" s="2"/>
      <c r="Q976" s="157"/>
      <c r="R976" s="157"/>
      <c r="S976" s="157"/>
      <c r="T976" s="158"/>
      <c r="U976" s="2"/>
      <c r="V976" s="2"/>
      <c r="W976" s="2"/>
      <c r="X976" s="2"/>
      <c r="Y976" s="2"/>
      <c r="Z976" s="2"/>
    </row>
    <row r="977" ht="13.5" customHeight="1">
      <c r="A977" s="2"/>
      <c r="B977" s="2"/>
      <c r="C977" s="2"/>
      <c r="D977" s="2"/>
      <c r="E977" s="2"/>
      <c r="F977" s="2"/>
      <c r="G977" s="2"/>
      <c r="H977" s="2"/>
      <c r="I977" s="2"/>
      <c r="J977" s="2"/>
      <c r="K977" s="181"/>
      <c r="L977" s="2"/>
      <c r="M977" s="2"/>
      <c r="N977" s="2"/>
      <c r="O977" s="2"/>
      <c r="P977" s="2"/>
      <c r="Q977" s="157"/>
      <c r="R977" s="157"/>
      <c r="S977" s="157"/>
      <c r="T977" s="158"/>
      <c r="U977" s="2"/>
      <c r="V977" s="2"/>
      <c r="W977" s="2"/>
      <c r="X977" s="2"/>
      <c r="Y977" s="2"/>
      <c r="Z977" s="2"/>
    </row>
    <row r="978" ht="13.5" customHeight="1">
      <c r="A978" s="2"/>
      <c r="B978" s="2"/>
      <c r="C978" s="2"/>
      <c r="D978" s="2"/>
      <c r="E978" s="2"/>
      <c r="F978" s="2"/>
      <c r="G978" s="2"/>
      <c r="H978" s="2"/>
      <c r="I978" s="2"/>
      <c r="J978" s="2"/>
      <c r="K978" s="181"/>
      <c r="L978" s="2"/>
      <c r="M978" s="2"/>
      <c r="N978" s="2"/>
      <c r="O978" s="2"/>
      <c r="P978" s="2"/>
      <c r="Q978" s="157"/>
      <c r="R978" s="157"/>
      <c r="S978" s="157"/>
      <c r="T978" s="158"/>
      <c r="U978" s="2"/>
      <c r="V978" s="2"/>
      <c r="W978" s="2"/>
      <c r="X978" s="2"/>
      <c r="Y978" s="2"/>
      <c r="Z978" s="2"/>
    </row>
    <row r="979" ht="13.5" customHeight="1">
      <c r="A979" s="2"/>
      <c r="B979" s="2"/>
      <c r="C979" s="2"/>
      <c r="D979" s="2"/>
      <c r="E979" s="2"/>
      <c r="F979" s="2"/>
      <c r="G979" s="2"/>
      <c r="H979" s="2"/>
      <c r="I979" s="2"/>
      <c r="J979" s="2"/>
      <c r="K979" s="181"/>
      <c r="L979" s="2"/>
      <c r="M979" s="2"/>
      <c r="N979" s="2"/>
      <c r="O979" s="2"/>
      <c r="P979" s="2"/>
      <c r="Q979" s="157"/>
      <c r="R979" s="157"/>
      <c r="S979" s="157"/>
      <c r="T979" s="158"/>
      <c r="U979" s="2"/>
      <c r="V979" s="2"/>
      <c r="W979" s="2"/>
      <c r="X979" s="2"/>
      <c r="Y979" s="2"/>
      <c r="Z979" s="2"/>
    </row>
    <row r="980" ht="13.5" customHeight="1">
      <c r="A980" s="2"/>
      <c r="B980" s="2"/>
      <c r="C980" s="2"/>
      <c r="D980" s="2"/>
      <c r="E980" s="2"/>
      <c r="F980" s="2"/>
      <c r="G980" s="2"/>
      <c r="H980" s="2"/>
      <c r="I980" s="2"/>
      <c r="J980" s="2"/>
      <c r="K980" s="181"/>
      <c r="L980" s="2"/>
      <c r="M980" s="2"/>
      <c r="N980" s="2"/>
      <c r="O980" s="2"/>
      <c r="P980" s="2"/>
      <c r="Q980" s="157"/>
      <c r="R980" s="157"/>
      <c r="S980" s="157"/>
      <c r="T980" s="158"/>
      <c r="U980" s="2"/>
      <c r="V980" s="2"/>
      <c r="W980" s="2"/>
      <c r="X980" s="2"/>
      <c r="Y980" s="2"/>
      <c r="Z980" s="2"/>
    </row>
    <row r="981" ht="13.5" customHeight="1">
      <c r="A981" s="2"/>
      <c r="B981" s="2"/>
      <c r="C981" s="2"/>
      <c r="D981" s="2"/>
      <c r="E981" s="2"/>
      <c r="F981" s="2"/>
      <c r="G981" s="2"/>
      <c r="H981" s="2"/>
      <c r="I981" s="2"/>
      <c r="J981" s="2"/>
      <c r="K981" s="181"/>
      <c r="L981" s="2"/>
      <c r="M981" s="2"/>
      <c r="N981" s="2"/>
      <c r="O981" s="2"/>
      <c r="P981" s="2"/>
      <c r="Q981" s="157"/>
      <c r="R981" s="157"/>
      <c r="S981" s="157"/>
      <c r="T981" s="158"/>
      <c r="U981" s="2"/>
      <c r="V981" s="2"/>
      <c r="W981" s="2"/>
      <c r="X981" s="2"/>
      <c r="Y981" s="2"/>
      <c r="Z981" s="2"/>
    </row>
    <row r="982" ht="13.5" customHeight="1">
      <c r="A982" s="2"/>
      <c r="B982" s="2"/>
      <c r="C982" s="2"/>
      <c r="D982" s="2"/>
      <c r="E982" s="2"/>
      <c r="F982" s="2"/>
      <c r="G982" s="2"/>
      <c r="H982" s="2"/>
      <c r="I982" s="2"/>
      <c r="J982" s="2"/>
      <c r="K982" s="181"/>
      <c r="L982" s="2"/>
      <c r="M982" s="2"/>
      <c r="N982" s="2"/>
      <c r="O982" s="2"/>
      <c r="P982" s="2"/>
      <c r="Q982" s="157"/>
      <c r="R982" s="157"/>
      <c r="S982" s="157"/>
      <c r="T982" s="158"/>
      <c r="U982" s="2"/>
      <c r="V982" s="2"/>
      <c r="W982" s="2"/>
      <c r="X982" s="2"/>
      <c r="Y982" s="2"/>
      <c r="Z982" s="2"/>
    </row>
    <row r="983" ht="13.5" customHeight="1">
      <c r="A983" s="2"/>
      <c r="B983" s="2"/>
      <c r="C983" s="2"/>
      <c r="D983" s="2"/>
      <c r="E983" s="2"/>
      <c r="F983" s="2"/>
      <c r="G983" s="2"/>
      <c r="H983" s="2"/>
      <c r="I983" s="2"/>
      <c r="J983" s="2"/>
      <c r="K983" s="181"/>
      <c r="L983" s="2"/>
      <c r="M983" s="2"/>
      <c r="N983" s="2"/>
      <c r="O983" s="2"/>
      <c r="P983" s="2"/>
      <c r="Q983" s="157"/>
      <c r="R983" s="157"/>
      <c r="S983" s="157"/>
      <c r="T983" s="158"/>
      <c r="U983" s="2"/>
      <c r="V983" s="2"/>
      <c r="W983" s="2"/>
      <c r="X983" s="2"/>
      <c r="Y983" s="2"/>
      <c r="Z983" s="2"/>
    </row>
    <row r="984" ht="13.5" customHeight="1">
      <c r="A984" s="2"/>
      <c r="B984" s="2"/>
      <c r="C984" s="2"/>
      <c r="D984" s="2"/>
      <c r="E984" s="2"/>
      <c r="F984" s="2"/>
      <c r="G984" s="2"/>
      <c r="H984" s="2"/>
      <c r="I984" s="2"/>
      <c r="J984" s="2"/>
      <c r="K984" s="181"/>
      <c r="L984" s="2"/>
      <c r="M984" s="2"/>
      <c r="N984" s="2"/>
      <c r="O984" s="2"/>
      <c r="P984" s="2"/>
      <c r="Q984" s="157"/>
      <c r="R984" s="157"/>
      <c r="S984" s="157"/>
      <c r="T984" s="158"/>
      <c r="U984" s="2"/>
      <c r="V984" s="2"/>
      <c r="W984" s="2"/>
      <c r="X984" s="2"/>
      <c r="Y984" s="2"/>
      <c r="Z984" s="2"/>
    </row>
    <row r="985" ht="13.5" customHeight="1">
      <c r="A985" s="2"/>
      <c r="B985" s="2"/>
      <c r="C985" s="2"/>
      <c r="D985" s="2"/>
      <c r="E985" s="2"/>
      <c r="F985" s="2"/>
      <c r="G985" s="2"/>
      <c r="H985" s="2"/>
      <c r="I985" s="2"/>
      <c r="J985" s="2"/>
      <c r="K985" s="181"/>
      <c r="L985" s="2"/>
      <c r="M985" s="2"/>
      <c r="N985" s="2"/>
      <c r="O985" s="2"/>
      <c r="P985" s="2"/>
      <c r="Q985" s="157"/>
      <c r="R985" s="157"/>
      <c r="S985" s="157"/>
      <c r="T985" s="158"/>
      <c r="U985" s="2"/>
      <c r="V985" s="2"/>
      <c r="W985" s="2"/>
      <c r="X985" s="2"/>
      <c r="Y985" s="2"/>
      <c r="Z985" s="2"/>
    </row>
    <row r="986" ht="13.5" customHeight="1">
      <c r="A986" s="2"/>
      <c r="B986" s="2"/>
      <c r="C986" s="2"/>
      <c r="D986" s="2"/>
      <c r="E986" s="2"/>
      <c r="F986" s="2"/>
      <c r="G986" s="2"/>
      <c r="H986" s="2"/>
      <c r="I986" s="2"/>
      <c r="J986" s="2"/>
      <c r="K986" s="181"/>
      <c r="L986" s="2"/>
      <c r="M986" s="2"/>
      <c r="N986" s="2"/>
      <c r="O986" s="2"/>
      <c r="P986" s="2"/>
      <c r="Q986" s="157"/>
      <c r="R986" s="157"/>
      <c r="S986" s="157"/>
      <c r="T986" s="158"/>
      <c r="U986" s="2"/>
      <c r="V986" s="2"/>
      <c r="W986" s="2"/>
      <c r="X986" s="2"/>
      <c r="Y986" s="2"/>
      <c r="Z986" s="2"/>
    </row>
    <row r="987" ht="13.5" customHeight="1">
      <c r="A987" s="2"/>
      <c r="B987" s="2"/>
      <c r="C987" s="2"/>
      <c r="D987" s="2"/>
      <c r="E987" s="2"/>
      <c r="F987" s="2"/>
      <c r="G987" s="2"/>
      <c r="H987" s="2"/>
      <c r="I987" s="2"/>
      <c r="J987" s="2"/>
      <c r="K987" s="181"/>
      <c r="L987" s="2"/>
      <c r="M987" s="2"/>
      <c r="N987" s="2"/>
      <c r="O987" s="2"/>
      <c r="P987" s="2"/>
      <c r="Q987" s="157"/>
      <c r="R987" s="157"/>
      <c r="S987" s="157"/>
      <c r="T987" s="158"/>
      <c r="U987" s="2"/>
      <c r="V987" s="2"/>
      <c r="W987" s="2"/>
      <c r="X987" s="2"/>
      <c r="Y987" s="2"/>
      <c r="Z987" s="2"/>
    </row>
    <row r="988" ht="13.5" customHeight="1">
      <c r="A988" s="2"/>
      <c r="B988" s="2"/>
      <c r="C988" s="2"/>
      <c r="D988" s="2"/>
      <c r="E988" s="2"/>
      <c r="F988" s="2"/>
      <c r="G988" s="2"/>
      <c r="H988" s="2"/>
      <c r="I988" s="2"/>
      <c r="J988" s="2"/>
      <c r="K988" s="181"/>
      <c r="L988" s="2"/>
      <c r="M988" s="2"/>
      <c r="N988" s="2"/>
      <c r="O988" s="2"/>
      <c r="P988" s="2"/>
      <c r="Q988" s="157"/>
      <c r="R988" s="157"/>
      <c r="S988" s="157"/>
      <c r="T988" s="158"/>
      <c r="U988" s="2"/>
      <c r="V988" s="2"/>
      <c r="W988" s="2"/>
      <c r="X988" s="2"/>
      <c r="Y988" s="2"/>
      <c r="Z988" s="2"/>
    </row>
    <row r="989" ht="13.5" customHeight="1">
      <c r="A989" s="2"/>
      <c r="B989" s="2"/>
      <c r="C989" s="2"/>
      <c r="D989" s="2"/>
      <c r="E989" s="2"/>
      <c r="F989" s="2"/>
      <c r="G989" s="2"/>
      <c r="H989" s="2"/>
      <c r="I989" s="2"/>
      <c r="J989" s="2"/>
      <c r="K989" s="181"/>
      <c r="L989" s="2"/>
      <c r="M989" s="2"/>
      <c r="N989" s="2"/>
      <c r="O989" s="2"/>
      <c r="P989" s="2"/>
      <c r="Q989" s="157"/>
      <c r="R989" s="157"/>
      <c r="S989" s="157"/>
      <c r="T989" s="158"/>
      <c r="U989" s="2"/>
      <c r="V989" s="2"/>
      <c r="W989" s="2"/>
      <c r="X989" s="2"/>
      <c r="Y989" s="2"/>
      <c r="Z989" s="2"/>
    </row>
    <row r="990" ht="13.5" customHeight="1">
      <c r="A990" s="2"/>
      <c r="B990" s="2"/>
      <c r="C990" s="2"/>
      <c r="D990" s="2"/>
      <c r="E990" s="2"/>
      <c r="F990" s="2"/>
      <c r="G990" s="2"/>
      <c r="H990" s="2"/>
      <c r="I990" s="2"/>
      <c r="J990" s="2"/>
      <c r="K990" s="181"/>
      <c r="L990" s="2"/>
      <c r="M990" s="2"/>
      <c r="N990" s="2"/>
      <c r="O990" s="2"/>
      <c r="P990" s="2"/>
      <c r="Q990" s="157"/>
      <c r="R990" s="157"/>
      <c r="S990" s="157"/>
      <c r="T990" s="158"/>
      <c r="U990" s="2"/>
      <c r="V990" s="2"/>
      <c r="W990" s="2"/>
      <c r="X990" s="2"/>
      <c r="Y990" s="2"/>
      <c r="Z990" s="2"/>
    </row>
    <row r="991" ht="13.5" customHeight="1">
      <c r="A991" s="2"/>
      <c r="B991" s="2"/>
      <c r="C991" s="2"/>
      <c r="D991" s="2"/>
      <c r="E991" s="2"/>
      <c r="F991" s="2"/>
      <c r="G991" s="2"/>
      <c r="H991" s="2"/>
      <c r="I991" s="2"/>
      <c r="J991" s="2"/>
      <c r="K991" s="181"/>
      <c r="L991" s="2"/>
      <c r="M991" s="2"/>
      <c r="N991" s="2"/>
      <c r="O991" s="2"/>
      <c r="P991" s="2"/>
      <c r="Q991" s="157"/>
      <c r="R991" s="157"/>
      <c r="S991" s="157"/>
      <c r="T991" s="158"/>
      <c r="U991" s="2"/>
      <c r="V991" s="2"/>
      <c r="W991" s="2"/>
      <c r="X991" s="2"/>
      <c r="Y991" s="2"/>
      <c r="Z991" s="2"/>
    </row>
    <row r="992" ht="13.5" customHeight="1">
      <c r="A992" s="2"/>
      <c r="B992" s="2"/>
      <c r="C992" s="2"/>
      <c r="D992" s="2"/>
      <c r="E992" s="2"/>
      <c r="F992" s="2"/>
      <c r="G992" s="2"/>
      <c r="H992" s="2"/>
      <c r="I992" s="2"/>
      <c r="J992" s="2"/>
      <c r="K992" s="181"/>
      <c r="L992" s="2"/>
      <c r="M992" s="2"/>
      <c r="N992" s="2"/>
      <c r="O992" s="2"/>
      <c r="P992" s="2"/>
      <c r="Q992" s="157"/>
      <c r="R992" s="157"/>
      <c r="S992" s="157"/>
      <c r="T992" s="158"/>
      <c r="U992" s="2"/>
      <c r="V992" s="2"/>
      <c r="W992" s="2"/>
      <c r="X992" s="2"/>
      <c r="Y992" s="2"/>
      <c r="Z992" s="2"/>
    </row>
    <row r="993" ht="13.5" customHeight="1">
      <c r="A993" s="2"/>
      <c r="B993" s="2"/>
      <c r="C993" s="2"/>
      <c r="D993" s="2"/>
      <c r="E993" s="2"/>
      <c r="F993" s="2"/>
      <c r="G993" s="2"/>
      <c r="H993" s="2"/>
      <c r="I993" s="2"/>
      <c r="J993" s="2"/>
      <c r="K993" s="181"/>
      <c r="L993" s="2"/>
      <c r="M993" s="2"/>
      <c r="N993" s="2"/>
      <c r="O993" s="2"/>
      <c r="P993" s="2"/>
      <c r="Q993" s="157"/>
      <c r="R993" s="157"/>
      <c r="S993" s="157"/>
      <c r="T993" s="158"/>
      <c r="U993" s="2"/>
      <c r="V993" s="2"/>
      <c r="W993" s="2"/>
      <c r="X993" s="2"/>
      <c r="Y993" s="2"/>
      <c r="Z993" s="2"/>
    </row>
    <row r="994" ht="13.5" customHeight="1">
      <c r="A994" s="2"/>
      <c r="B994" s="2"/>
      <c r="C994" s="2"/>
      <c r="D994" s="2"/>
      <c r="E994" s="2"/>
      <c r="F994" s="2"/>
      <c r="G994" s="2"/>
      <c r="H994" s="2"/>
      <c r="I994" s="2"/>
      <c r="J994" s="2"/>
      <c r="K994" s="181"/>
      <c r="L994" s="2"/>
      <c r="M994" s="2"/>
      <c r="N994" s="2"/>
      <c r="O994" s="2"/>
      <c r="P994" s="2"/>
      <c r="Q994" s="157"/>
      <c r="R994" s="157"/>
      <c r="S994" s="157"/>
      <c r="T994" s="158"/>
      <c r="U994" s="2"/>
      <c r="V994" s="2"/>
      <c r="W994" s="2"/>
      <c r="X994" s="2"/>
      <c r="Y994" s="2"/>
      <c r="Z994" s="2"/>
    </row>
    <row r="995" ht="13.5" customHeight="1">
      <c r="A995" s="2"/>
      <c r="B995" s="2"/>
      <c r="C995" s="2"/>
      <c r="D995" s="2"/>
      <c r="E995" s="2"/>
      <c r="F995" s="2"/>
      <c r="G995" s="2"/>
      <c r="H995" s="2"/>
      <c r="I995" s="2"/>
      <c r="J995" s="2"/>
      <c r="K995" s="181"/>
      <c r="L995" s="2"/>
      <c r="M995" s="2"/>
      <c r="N995" s="2"/>
      <c r="O995" s="2"/>
      <c r="P995" s="2"/>
      <c r="Q995" s="157"/>
      <c r="R995" s="157"/>
      <c r="S995" s="157"/>
      <c r="T995" s="158"/>
      <c r="U995" s="2"/>
      <c r="V995" s="2"/>
      <c r="W995" s="2"/>
      <c r="X995" s="2"/>
      <c r="Y995" s="2"/>
      <c r="Z995" s="2"/>
    </row>
    <row r="996" ht="13.5" customHeight="1">
      <c r="A996" s="2"/>
      <c r="B996" s="2"/>
      <c r="C996" s="2"/>
      <c r="D996" s="2"/>
      <c r="E996" s="2"/>
      <c r="F996" s="2"/>
      <c r="G996" s="2"/>
      <c r="H996" s="2"/>
      <c r="I996" s="2"/>
      <c r="J996" s="2"/>
      <c r="K996" s="181"/>
      <c r="L996" s="2"/>
      <c r="M996" s="2"/>
      <c r="N996" s="2"/>
      <c r="O996" s="2"/>
      <c r="P996" s="2"/>
      <c r="Q996" s="157"/>
      <c r="R996" s="157"/>
      <c r="S996" s="157"/>
      <c r="T996" s="158"/>
      <c r="U996" s="2"/>
      <c r="V996" s="2"/>
      <c r="W996" s="2"/>
      <c r="X996" s="2"/>
      <c r="Y996" s="2"/>
      <c r="Z996" s="2"/>
    </row>
    <row r="997" ht="13.5" customHeight="1">
      <c r="A997" s="2"/>
      <c r="B997" s="2"/>
      <c r="C997" s="2"/>
      <c r="D997" s="2"/>
      <c r="E997" s="2"/>
      <c r="F997" s="2"/>
      <c r="G997" s="2"/>
      <c r="H997" s="2"/>
      <c r="I997" s="2"/>
      <c r="J997" s="2"/>
      <c r="K997" s="181"/>
      <c r="L997" s="2"/>
      <c r="M997" s="2"/>
      <c r="N997" s="2"/>
      <c r="O997" s="2"/>
      <c r="P997" s="2"/>
      <c r="Q997" s="157"/>
      <c r="R997" s="157"/>
      <c r="S997" s="157"/>
      <c r="T997" s="158"/>
      <c r="U997" s="2"/>
      <c r="V997" s="2"/>
      <c r="W997" s="2"/>
      <c r="X997" s="2"/>
      <c r="Y997" s="2"/>
      <c r="Z997" s="2"/>
    </row>
    <row r="998" ht="13.5" customHeight="1">
      <c r="A998" s="2"/>
      <c r="B998" s="2"/>
      <c r="C998" s="2"/>
      <c r="D998" s="2"/>
      <c r="E998" s="2"/>
      <c r="F998" s="2"/>
      <c r="G998" s="2"/>
      <c r="H998" s="2"/>
      <c r="I998" s="2"/>
      <c r="J998" s="2"/>
      <c r="K998" s="181"/>
      <c r="L998" s="2"/>
      <c r="M998" s="2"/>
      <c r="N998" s="2"/>
      <c r="O998" s="2"/>
      <c r="P998" s="2"/>
      <c r="Q998" s="157"/>
      <c r="R998" s="157"/>
      <c r="S998" s="157"/>
      <c r="T998" s="158"/>
      <c r="U998" s="2"/>
      <c r="V998" s="2"/>
      <c r="W998" s="2"/>
      <c r="X998" s="2"/>
      <c r="Y998" s="2"/>
      <c r="Z998" s="2"/>
    </row>
    <row r="999" ht="13.5" customHeight="1">
      <c r="A999" s="2"/>
      <c r="B999" s="2"/>
      <c r="C999" s="2"/>
      <c r="D999" s="2"/>
      <c r="E999" s="2"/>
      <c r="F999" s="2"/>
      <c r="G999" s="2"/>
      <c r="H999" s="2"/>
      <c r="I999" s="2"/>
      <c r="J999" s="2"/>
      <c r="K999" s="181"/>
      <c r="L999" s="2"/>
      <c r="M999" s="2"/>
      <c r="N999" s="2"/>
      <c r="O999" s="2"/>
      <c r="P999" s="2"/>
      <c r="Q999" s="157"/>
      <c r="R999" s="157"/>
      <c r="S999" s="157"/>
      <c r="T999" s="158"/>
      <c r="U999" s="2"/>
      <c r="V999" s="2"/>
      <c r="W999" s="2"/>
      <c r="X999" s="2"/>
      <c r="Y999" s="2"/>
      <c r="Z999" s="2"/>
    </row>
    <row r="1000" ht="13.5" customHeight="1">
      <c r="A1000" s="2"/>
      <c r="B1000" s="2"/>
      <c r="C1000" s="2"/>
      <c r="D1000" s="2"/>
      <c r="E1000" s="2"/>
      <c r="F1000" s="2"/>
      <c r="G1000" s="2"/>
      <c r="H1000" s="2"/>
      <c r="I1000" s="2"/>
      <c r="J1000" s="2"/>
      <c r="K1000" s="181"/>
      <c r="L1000" s="2"/>
      <c r="M1000" s="2"/>
      <c r="N1000" s="2"/>
      <c r="O1000" s="2"/>
      <c r="P1000" s="2"/>
      <c r="Q1000" s="157"/>
      <c r="R1000" s="157"/>
      <c r="S1000" s="157"/>
      <c r="T1000" s="158"/>
      <c r="U1000" s="2"/>
      <c r="V1000" s="2"/>
      <c r="W1000" s="2"/>
      <c r="X1000" s="2"/>
      <c r="Y1000" s="2"/>
      <c r="Z1000" s="2"/>
    </row>
  </sheetData>
  <mergeCells count="37">
    <mergeCell ref="A1:T1"/>
    <mergeCell ref="A2:C2"/>
    <mergeCell ref="D2:G2"/>
    <mergeCell ref="H2:J2"/>
    <mergeCell ref="K2:O2"/>
    <mergeCell ref="P2:R2"/>
    <mergeCell ref="S2:T2"/>
    <mergeCell ref="A3:C3"/>
    <mergeCell ref="D3:G3"/>
    <mergeCell ref="H3:J3"/>
    <mergeCell ref="K3:O3"/>
    <mergeCell ref="P3:R3"/>
    <mergeCell ref="S3:T3"/>
    <mergeCell ref="A6:A7"/>
    <mergeCell ref="D6:D7"/>
    <mergeCell ref="B6:B7"/>
    <mergeCell ref="C6:C7"/>
    <mergeCell ref="A8:A11"/>
    <mergeCell ref="B8:B11"/>
    <mergeCell ref="C8:C11"/>
    <mergeCell ref="D8:D11"/>
    <mergeCell ref="L8:L11"/>
    <mergeCell ref="C17:C22"/>
    <mergeCell ref="D17:D22"/>
    <mergeCell ref="A23:A25"/>
    <mergeCell ref="B23:B25"/>
    <mergeCell ref="C23:C25"/>
    <mergeCell ref="D23:D25"/>
    <mergeCell ref="L17:L22"/>
    <mergeCell ref="L23:L25"/>
    <mergeCell ref="A12:A16"/>
    <mergeCell ref="B12:B16"/>
    <mergeCell ref="C12:C16"/>
    <mergeCell ref="D12:D16"/>
    <mergeCell ref="L12:L16"/>
    <mergeCell ref="A17:A22"/>
    <mergeCell ref="B17:B22"/>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50.75"/>
    <col customWidth="1" min="11" max="11" width="33.75"/>
    <col customWidth="1" hidden="1" min="12" max="12" width="18.88"/>
    <col customWidth="1" hidden="1" min="13" max="13" width="30.75"/>
    <col hidden="1" min="14" max="16" width="12.63"/>
    <col customWidth="1" min="17" max="17" width="12.63"/>
    <col customWidth="1" min="18" max="19" width="15.75"/>
    <col customWidth="1" min="20" max="20" width="20.75"/>
  </cols>
  <sheetData>
    <row r="1" ht="30.0" customHeight="1">
      <c r="A1" s="182" t="s">
        <v>1909</v>
      </c>
      <c r="B1" s="183"/>
      <c r="C1" s="183"/>
      <c r="D1" s="183"/>
      <c r="E1" s="183"/>
      <c r="F1" s="183"/>
      <c r="G1" s="183"/>
      <c r="H1" s="183"/>
      <c r="I1" s="183"/>
      <c r="J1" s="183"/>
      <c r="K1" s="183"/>
      <c r="L1" s="183"/>
      <c r="M1" s="183"/>
      <c r="N1" s="183"/>
      <c r="O1" s="183"/>
      <c r="P1" s="183"/>
      <c r="Q1" s="183"/>
      <c r="R1" s="183"/>
      <c r="S1" s="183"/>
      <c r="T1" s="184"/>
      <c r="U1" s="2"/>
      <c r="V1" s="2"/>
      <c r="W1" s="2"/>
      <c r="X1" s="2"/>
      <c r="Y1" s="2"/>
      <c r="Z1" s="2"/>
    </row>
    <row r="2" ht="19.5" customHeight="1">
      <c r="A2" s="35" t="s">
        <v>38</v>
      </c>
      <c r="B2" s="37"/>
      <c r="C2" s="39"/>
      <c r="D2" s="40" t="s">
        <v>47</v>
      </c>
      <c r="E2" s="37"/>
      <c r="F2" s="37"/>
      <c r="G2" s="39"/>
      <c r="H2" s="35" t="s">
        <v>50</v>
      </c>
      <c r="I2" s="37"/>
      <c r="J2" s="39"/>
      <c r="K2" s="40" t="s">
        <v>2752</v>
      </c>
      <c r="L2" s="37"/>
      <c r="M2" s="37"/>
      <c r="N2" s="37"/>
      <c r="O2" s="39"/>
      <c r="P2" s="35" t="s">
        <v>6</v>
      </c>
      <c r="Q2" s="37"/>
      <c r="R2" s="39"/>
      <c r="S2" s="40" t="s">
        <v>33</v>
      </c>
      <c r="T2" s="39"/>
      <c r="U2" s="2"/>
      <c r="V2" s="2"/>
      <c r="W2" s="2"/>
      <c r="X2" s="2"/>
      <c r="Y2" s="2"/>
      <c r="Z2" s="2"/>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2"/>
      <c r="V3" s="2"/>
      <c r="W3" s="2"/>
      <c r="X3" s="2"/>
      <c r="Y3" s="2"/>
      <c r="Z3" s="2"/>
    </row>
    <row r="4" ht="13.5" customHeight="1">
      <c r="A4" s="49"/>
      <c r="B4" s="49"/>
      <c r="C4" s="49"/>
      <c r="D4" s="49"/>
      <c r="E4" s="49"/>
      <c r="F4" s="49"/>
      <c r="G4" s="49"/>
      <c r="H4" s="49"/>
      <c r="I4" s="49"/>
      <c r="J4" s="49"/>
      <c r="K4" s="49"/>
      <c r="L4" s="49"/>
      <c r="M4" s="49"/>
      <c r="N4" s="49"/>
      <c r="O4" s="49"/>
      <c r="P4" s="49"/>
      <c r="Q4" s="51"/>
      <c r="R4" s="51"/>
      <c r="S4" s="51"/>
      <c r="T4" s="49"/>
      <c r="U4" s="2"/>
      <c r="V4" s="2"/>
      <c r="W4" s="2"/>
      <c r="X4" s="2"/>
      <c r="Y4" s="2"/>
      <c r="Z4" s="2"/>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3" t="s">
        <v>82</v>
      </c>
      <c r="U5" s="2"/>
      <c r="V5" s="2"/>
      <c r="W5" s="2"/>
      <c r="X5" s="2"/>
      <c r="Y5" s="2"/>
      <c r="Z5" s="2"/>
    </row>
    <row r="6" ht="33.75" customHeight="1">
      <c r="A6" s="59" t="s">
        <v>2752</v>
      </c>
      <c r="B6" s="59" t="s">
        <v>606</v>
      </c>
      <c r="C6" s="60" t="s">
        <v>607</v>
      </c>
      <c r="D6" s="60" t="s">
        <v>2753</v>
      </c>
      <c r="E6" s="61" t="s">
        <v>2754</v>
      </c>
      <c r="F6" s="62" t="s">
        <v>2755</v>
      </c>
      <c r="G6" s="63" t="s">
        <v>2756</v>
      </c>
      <c r="H6" s="61" t="s">
        <v>88</v>
      </c>
      <c r="I6" s="61" t="s">
        <v>60</v>
      </c>
      <c r="J6" s="188" t="s">
        <v>2757</v>
      </c>
      <c r="K6" s="90"/>
      <c r="L6" s="60" t="s">
        <v>2758</v>
      </c>
      <c r="M6" s="61"/>
      <c r="N6" s="61"/>
      <c r="O6" s="61"/>
      <c r="P6" s="61"/>
      <c r="Q6" s="61" t="s">
        <v>93</v>
      </c>
      <c r="R6" s="61" t="s">
        <v>94</v>
      </c>
      <c r="S6" s="61" t="s">
        <v>94</v>
      </c>
      <c r="T6" s="66">
        <v>46246.0</v>
      </c>
      <c r="U6" s="2"/>
      <c r="V6" s="2"/>
      <c r="W6" s="2"/>
      <c r="X6" s="2"/>
      <c r="Y6" s="2"/>
      <c r="Z6" s="2"/>
    </row>
    <row r="7" ht="13.5" customHeight="1">
      <c r="A7" s="67"/>
      <c r="B7" s="67"/>
      <c r="C7" s="67"/>
      <c r="D7" s="67"/>
      <c r="E7" s="61" t="s">
        <v>2759</v>
      </c>
      <c r="F7" s="62"/>
      <c r="G7" s="63" t="s">
        <v>2760</v>
      </c>
      <c r="H7" s="61" t="s">
        <v>88</v>
      </c>
      <c r="I7" s="61" t="s">
        <v>60</v>
      </c>
      <c r="J7" s="188" t="s">
        <v>2761</v>
      </c>
      <c r="K7" s="90"/>
      <c r="L7" s="67"/>
      <c r="M7" s="61"/>
      <c r="N7" s="61"/>
      <c r="O7" s="61"/>
      <c r="P7" s="61"/>
      <c r="Q7" s="61" t="s">
        <v>93</v>
      </c>
      <c r="R7" s="61" t="s">
        <v>94</v>
      </c>
      <c r="S7" s="61" t="s">
        <v>94</v>
      </c>
      <c r="T7" s="66">
        <v>46246.0</v>
      </c>
      <c r="U7" s="2"/>
      <c r="V7" s="2"/>
      <c r="W7" s="2"/>
      <c r="X7" s="2"/>
      <c r="Y7" s="2"/>
      <c r="Z7" s="2"/>
    </row>
    <row r="8" ht="13.5" customHeight="1">
      <c r="A8" s="67"/>
      <c r="B8" s="67"/>
      <c r="C8" s="67"/>
      <c r="D8" s="67"/>
      <c r="E8" s="61" t="s">
        <v>2762</v>
      </c>
      <c r="F8" s="62"/>
      <c r="G8" s="63" t="s">
        <v>2763</v>
      </c>
      <c r="H8" s="61" t="s">
        <v>88</v>
      </c>
      <c r="I8" s="61" t="s">
        <v>60</v>
      </c>
      <c r="J8" s="188" t="s">
        <v>2764</v>
      </c>
      <c r="K8" s="90"/>
      <c r="L8" s="67"/>
      <c r="M8" s="61"/>
      <c r="N8" s="61"/>
      <c r="O8" s="61"/>
      <c r="P8" s="61"/>
      <c r="Q8" s="61" t="s">
        <v>93</v>
      </c>
      <c r="R8" s="61" t="s">
        <v>94</v>
      </c>
      <c r="S8" s="61" t="s">
        <v>94</v>
      </c>
      <c r="T8" s="66">
        <v>46246.0</v>
      </c>
      <c r="U8" s="2"/>
      <c r="V8" s="2"/>
      <c r="W8" s="2"/>
      <c r="X8" s="2"/>
      <c r="Y8" s="2"/>
      <c r="Z8" s="2"/>
    </row>
    <row r="9" ht="13.5" customHeight="1">
      <c r="A9" s="67"/>
      <c r="B9" s="67"/>
      <c r="C9" s="67"/>
      <c r="D9" s="67"/>
      <c r="E9" s="61" t="s">
        <v>2765</v>
      </c>
      <c r="F9" s="62"/>
      <c r="G9" s="63" t="s">
        <v>2766</v>
      </c>
      <c r="H9" s="61" t="s">
        <v>88</v>
      </c>
      <c r="I9" s="61" t="s">
        <v>60</v>
      </c>
      <c r="J9" s="188" t="s">
        <v>2767</v>
      </c>
      <c r="K9" s="90"/>
      <c r="L9" s="67"/>
      <c r="M9" s="61"/>
      <c r="N9" s="61"/>
      <c r="O9" s="61"/>
      <c r="P9" s="61"/>
      <c r="Q9" s="61" t="s">
        <v>93</v>
      </c>
      <c r="R9" s="61" t="s">
        <v>94</v>
      </c>
      <c r="S9" s="61" t="s">
        <v>94</v>
      </c>
      <c r="T9" s="66">
        <v>46246.0</v>
      </c>
      <c r="U9" s="2"/>
      <c r="V9" s="2"/>
      <c r="W9" s="2"/>
      <c r="X9" s="2"/>
      <c r="Y9" s="2"/>
      <c r="Z9" s="2"/>
    </row>
    <row r="10" ht="13.5" customHeight="1">
      <c r="A10" s="67"/>
      <c r="B10" s="67"/>
      <c r="C10" s="67"/>
      <c r="D10" s="67"/>
      <c r="E10" s="61" t="s">
        <v>2768</v>
      </c>
      <c r="F10" s="62"/>
      <c r="G10" s="63" t="s">
        <v>2769</v>
      </c>
      <c r="H10" s="61" t="s">
        <v>88</v>
      </c>
      <c r="I10" s="61" t="s">
        <v>60</v>
      </c>
      <c r="J10" s="188" t="s">
        <v>2770</v>
      </c>
      <c r="K10" s="90"/>
      <c r="L10" s="67"/>
      <c r="M10" s="61"/>
      <c r="N10" s="61"/>
      <c r="O10" s="61"/>
      <c r="P10" s="61"/>
      <c r="Q10" s="61" t="s">
        <v>93</v>
      </c>
      <c r="R10" s="61" t="s">
        <v>94</v>
      </c>
      <c r="S10" s="61" t="s">
        <v>94</v>
      </c>
      <c r="T10" s="66">
        <v>46246.0</v>
      </c>
      <c r="U10" s="2"/>
      <c r="V10" s="2"/>
      <c r="W10" s="2"/>
      <c r="X10" s="2"/>
      <c r="Y10" s="2"/>
      <c r="Z10" s="2"/>
    </row>
    <row r="11" ht="13.5" customHeight="1">
      <c r="A11" s="67"/>
      <c r="B11" s="67"/>
      <c r="C11" s="67"/>
      <c r="D11" s="67"/>
      <c r="E11" s="61" t="s">
        <v>2771</v>
      </c>
      <c r="F11" s="62" t="s">
        <v>2772</v>
      </c>
      <c r="G11" s="63" t="s">
        <v>2773</v>
      </c>
      <c r="H11" s="61" t="s">
        <v>88</v>
      </c>
      <c r="I11" s="61" t="s">
        <v>60</v>
      </c>
      <c r="J11" s="188" t="s">
        <v>2774</v>
      </c>
      <c r="K11" s="90"/>
      <c r="L11" s="67"/>
      <c r="M11" s="61"/>
      <c r="N11" s="61"/>
      <c r="O11" s="61"/>
      <c r="P11" s="61"/>
      <c r="Q11" s="61" t="s">
        <v>93</v>
      </c>
      <c r="R11" s="61" t="s">
        <v>94</v>
      </c>
      <c r="S11" s="61" t="s">
        <v>94</v>
      </c>
      <c r="T11" s="66">
        <v>46246.0</v>
      </c>
      <c r="U11" s="2"/>
      <c r="V11" s="2"/>
      <c r="W11" s="2"/>
      <c r="X11" s="2"/>
      <c r="Y11" s="2"/>
      <c r="Z11" s="2"/>
    </row>
    <row r="12" ht="13.5" customHeight="1">
      <c r="A12" s="67"/>
      <c r="B12" s="67"/>
      <c r="C12" s="67"/>
      <c r="D12" s="67"/>
      <c r="E12" s="61" t="s">
        <v>2775</v>
      </c>
      <c r="F12" s="62"/>
      <c r="G12" s="63" t="s">
        <v>2776</v>
      </c>
      <c r="H12" s="61" t="s">
        <v>88</v>
      </c>
      <c r="I12" s="61" t="s">
        <v>60</v>
      </c>
      <c r="J12" s="188" t="s">
        <v>2777</v>
      </c>
      <c r="K12" s="90"/>
      <c r="L12" s="67"/>
      <c r="M12" s="61"/>
      <c r="N12" s="61"/>
      <c r="O12" s="61"/>
      <c r="P12" s="61"/>
      <c r="Q12" s="61" t="s">
        <v>93</v>
      </c>
      <c r="R12" s="61" t="s">
        <v>94</v>
      </c>
      <c r="S12" s="61" t="s">
        <v>94</v>
      </c>
      <c r="T12" s="66">
        <v>46246.0</v>
      </c>
      <c r="U12" s="2"/>
      <c r="V12" s="2"/>
      <c r="W12" s="2"/>
      <c r="X12" s="2"/>
      <c r="Y12" s="2"/>
      <c r="Z12" s="2"/>
    </row>
    <row r="13" ht="13.5" customHeight="1">
      <c r="A13" s="67"/>
      <c r="B13" s="67"/>
      <c r="C13" s="67"/>
      <c r="D13" s="67"/>
      <c r="E13" s="61" t="s">
        <v>2778</v>
      </c>
      <c r="F13" s="62" t="s">
        <v>2779</v>
      </c>
      <c r="G13" s="63" t="s">
        <v>2780</v>
      </c>
      <c r="H13" s="61" t="s">
        <v>88</v>
      </c>
      <c r="I13" s="61" t="s">
        <v>60</v>
      </c>
      <c r="J13" s="188" t="s">
        <v>2781</v>
      </c>
      <c r="K13" s="90"/>
      <c r="L13" s="67"/>
      <c r="M13" s="61"/>
      <c r="N13" s="61"/>
      <c r="O13" s="61"/>
      <c r="P13" s="61"/>
      <c r="Q13" s="61" t="s">
        <v>93</v>
      </c>
      <c r="R13" s="61" t="s">
        <v>94</v>
      </c>
      <c r="S13" s="61" t="s">
        <v>94</v>
      </c>
      <c r="T13" s="66">
        <v>46246.0</v>
      </c>
      <c r="U13" s="2"/>
      <c r="V13" s="2"/>
      <c r="W13" s="2"/>
      <c r="X13" s="2"/>
      <c r="Y13" s="2"/>
      <c r="Z13" s="2"/>
    </row>
    <row r="14" ht="13.5" customHeight="1">
      <c r="A14" s="67"/>
      <c r="B14" s="67"/>
      <c r="C14" s="67"/>
      <c r="D14" s="67"/>
      <c r="E14" s="61" t="s">
        <v>2782</v>
      </c>
      <c r="F14" s="62"/>
      <c r="G14" s="63" t="s">
        <v>2783</v>
      </c>
      <c r="H14" s="61" t="s">
        <v>88</v>
      </c>
      <c r="I14" s="61" t="s">
        <v>60</v>
      </c>
      <c r="J14" s="188" t="s">
        <v>2784</v>
      </c>
      <c r="K14" s="90"/>
      <c r="L14" s="67"/>
      <c r="M14" s="61"/>
      <c r="N14" s="61"/>
      <c r="O14" s="61"/>
      <c r="P14" s="61"/>
      <c r="Q14" s="61" t="s">
        <v>93</v>
      </c>
      <c r="R14" s="61" t="s">
        <v>94</v>
      </c>
      <c r="S14" s="61" t="s">
        <v>94</v>
      </c>
      <c r="T14" s="66">
        <v>46246.0</v>
      </c>
      <c r="U14" s="2"/>
      <c r="V14" s="2"/>
      <c r="W14" s="2"/>
      <c r="X14" s="2"/>
      <c r="Y14" s="2"/>
      <c r="Z14" s="2"/>
    </row>
    <row r="15" ht="13.5" customHeight="1">
      <c r="A15" s="77"/>
      <c r="B15" s="77"/>
      <c r="C15" s="77"/>
      <c r="D15" s="77"/>
      <c r="E15" s="61" t="s">
        <v>2785</v>
      </c>
      <c r="F15" s="62"/>
      <c r="G15" s="63" t="s">
        <v>2786</v>
      </c>
      <c r="H15" s="61" t="s">
        <v>88</v>
      </c>
      <c r="I15" s="61" t="s">
        <v>60</v>
      </c>
      <c r="J15" s="188" t="s">
        <v>2787</v>
      </c>
      <c r="K15" s="90"/>
      <c r="L15" s="77"/>
      <c r="M15" s="61"/>
      <c r="N15" s="61"/>
      <c r="O15" s="61"/>
      <c r="P15" s="61"/>
      <c r="Q15" s="61" t="s">
        <v>93</v>
      </c>
      <c r="R15" s="61" t="s">
        <v>94</v>
      </c>
      <c r="S15" s="61" t="s">
        <v>94</v>
      </c>
      <c r="T15" s="66">
        <v>46246.0</v>
      </c>
      <c r="U15" s="2"/>
      <c r="V15" s="2"/>
      <c r="W15" s="2"/>
      <c r="X15" s="2"/>
      <c r="Y15" s="2"/>
      <c r="Z15" s="2"/>
    </row>
    <row r="16" ht="36.0" customHeight="1">
      <c r="A16" s="78" t="s">
        <v>2752</v>
      </c>
      <c r="B16" s="78" t="s">
        <v>614</v>
      </c>
      <c r="C16" s="79" t="s">
        <v>615</v>
      </c>
      <c r="D16" s="79" t="s">
        <v>2788</v>
      </c>
      <c r="E16" s="89" t="s">
        <v>2789</v>
      </c>
      <c r="F16" s="70" t="s">
        <v>2790</v>
      </c>
      <c r="G16" s="83" t="s">
        <v>2791</v>
      </c>
      <c r="H16" s="81" t="s">
        <v>88</v>
      </c>
      <c r="I16" s="81" t="s">
        <v>60</v>
      </c>
      <c r="J16" s="189" t="s">
        <v>2792</v>
      </c>
      <c r="K16" s="90"/>
      <c r="L16" s="79" t="s">
        <v>2758</v>
      </c>
      <c r="M16" s="147"/>
      <c r="N16" s="147"/>
      <c r="O16" s="147"/>
      <c r="P16" s="147"/>
      <c r="Q16" s="147" t="s">
        <v>93</v>
      </c>
      <c r="R16" s="81" t="s">
        <v>94</v>
      </c>
      <c r="S16" s="81" t="s">
        <v>94</v>
      </c>
      <c r="T16" s="84">
        <v>46246.0</v>
      </c>
      <c r="U16" s="2"/>
      <c r="V16" s="2"/>
      <c r="W16" s="2"/>
      <c r="X16" s="2"/>
      <c r="Y16" s="2"/>
      <c r="Z16" s="2"/>
    </row>
    <row r="17" ht="13.5" customHeight="1">
      <c r="A17" s="67"/>
      <c r="B17" s="67"/>
      <c r="C17" s="67"/>
      <c r="D17" s="67"/>
      <c r="E17" s="89" t="s">
        <v>2793</v>
      </c>
      <c r="F17" s="70"/>
      <c r="G17" s="83" t="s">
        <v>2794</v>
      </c>
      <c r="H17" s="81" t="s">
        <v>88</v>
      </c>
      <c r="I17" s="81" t="s">
        <v>60</v>
      </c>
      <c r="J17" s="189" t="s">
        <v>2795</v>
      </c>
      <c r="K17" s="90"/>
      <c r="L17" s="67"/>
      <c r="M17" s="147"/>
      <c r="N17" s="147"/>
      <c r="O17" s="147"/>
      <c r="P17" s="147"/>
      <c r="Q17" s="147" t="s">
        <v>93</v>
      </c>
      <c r="R17" s="147" t="s">
        <v>94</v>
      </c>
      <c r="S17" s="147" t="s">
        <v>94</v>
      </c>
      <c r="T17" s="148">
        <v>46246.0</v>
      </c>
      <c r="U17" s="2"/>
      <c r="V17" s="2"/>
      <c r="W17" s="2"/>
      <c r="X17" s="2"/>
      <c r="Y17" s="2"/>
      <c r="Z17" s="2"/>
    </row>
    <row r="18" ht="13.5" customHeight="1">
      <c r="A18" s="67"/>
      <c r="B18" s="67"/>
      <c r="C18" s="67"/>
      <c r="D18" s="67"/>
      <c r="E18" s="89" t="s">
        <v>2796</v>
      </c>
      <c r="F18" s="70"/>
      <c r="G18" s="83" t="s">
        <v>2797</v>
      </c>
      <c r="H18" s="81" t="s">
        <v>88</v>
      </c>
      <c r="I18" s="81" t="s">
        <v>60</v>
      </c>
      <c r="J18" s="189" t="s">
        <v>2798</v>
      </c>
      <c r="K18" s="90"/>
      <c r="L18" s="67"/>
      <c r="M18" s="147"/>
      <c r="N18" s="147"/>
      <c r="O18" s="147"/>
      <c r="P18" s="147"/>
      <c r="Q18" s="147" t="s">
        <v>93</v>
      </c>
      <c r="R18" s="147" t="s">
        <v>94</v>
      </c>
      <c r="S18" s="147" t="s">
        <v>94</v>
      </c>
      <c r="T18" s="148">
        <v>46246.0</v>
      </c>
      <c r="U18" s="2"/>
      <c r="V18" s="2"/>
      <c r="W18" s="2"/>
      <c r="X18" s="2"/>
      <c r="Y18" s="2"/>
      <c r="Z18" s="2"/>
    </row>
    <row r="19" ht="13.5" customHeight="1">
      <c r="A19" s="67"/>
      <c r="B19" s="67"/>
      <c r="C19" s="67"/>
      <c r="D19" s="67"/>
      <c r="E19" s="89" t="s">
        <v>2799</v>
      </c>
      <c r="F19" s="70"/>
      <c r="G19" s="83" t="s">
        <v>2800</v>
      </c>
      <c r="H19" s="81" t="s">
        <v>88</v>
      </c>
      <c r="I19" s="81" t="s">
        <v>60</v>
      </c>
      <c r="J19" s="189" t="s">
        <v>2801</v>
      </c>
      <c r="K19" s="90"/>
      <c r="L19" s="67"/>
      <c r="M19" s="147"/>
      <c r="N19" s="147"/>
      <c r="O19" s="147"/>
      <c r="P19" s="147"/>
      <c r="Q19" s="147" t="s">
        <v>93</v>
      </c>
      <c r="R19" s="147" t="s">
        <v>94</v>
      </c>
      <c r="S19" s="147" t="s">
        <v>94</v>
      </c>
      <c r="T19" s="148">
        <v>46246.0</v>
      </c>
      <c r="U19" s="2"/>
      <c r="V19" s="2"/>
      <c r="W19" s="2"/>
      <c r="X19" s="2"/>
      <c r="Y19" s="2"/>
      <c r="Z19" s="2"/>
    </row>
    <row r="20" ht="13.5" customHeight="1">
      <c r="A20" s="67"/>
      <c r="B20" s="67"/>
      <c r="C20" s="67"/>
      <c r="D20" s="67"/>
      <c r="E20" s="89" t="s">
        <v>2802</v>
      </c>
      <c r="F20" s="70" t="s">
        <v>2803</v>
      </c>
      <c r="G20" s="83" t="s">
        <v>2804</v>
      </c>
      <c r="H20" s="81" t="s">
        <v>88</v>
      </c>
      <c r="I20" s="81" t="s">
        <v>60</v>
      </c>
      <c r="J20" s="83" t="s">
        <v>2805</v>
      </c>
      <c r="K20" s="90"/>
      <c r="L20" s="67"/>
      <c r="M20" s="147"/>
      <c r="N20" s="147"/>
      <c r="O20" s="147"/>
      <c r="P20" s="147"/>
      <c r="Q20" s="147" t="s">
        <v>93</v>
      </c>
      <c r="R20" s="147" t="s">
        <v>94</v>
      </c>
      <c r="S20" s="147" t="s">
        <v>94</v>
      </c>
      <c r="T20" s="148">
        <v>46246.0</v>
      </c>
      <c r="U20" s="2"/>
      <c r="V20" s="2"/>
      <c r="W20" s="2"/>
      <c r="X20" s="2"/>
      <c r="Y20" s="2"/>
      <c r="Z20" s="2"/>
    </row>
    <row r="21" ht="13.5" customHeight="1">
      <c r="A21" s="67"/>
      <c r="B21" s="67"/>
      <c r="C21" s="67"/>
      <c r="D21" s="67"/>
      <c r="E21" s="89" t="s">
        <v>2806</v>
      </c>
      <c r="F21" s="70" t="s">
        <v>2807</v>
      </c>
      <c r="G21" s="83" t="s">
        <v>2808</v>
      </c>
      <c r="H21" s="81" t="s">
        <v>88</v>
      </c>
      <c r="I21" s="81" t="s">
        <v>60</v>
      </c>
      <c r="J21" s="189" t="s">
        <v>2809</v>
      </c>
      <c r="K21" s="90"/>
      <c r="L21" s="67"/>
      <c r="M21" s="147"/>
      <c r="N21" s="147"/>
      <c r="O21" s="147"/>
      <c r="P21" s="147"/>
      <c r="Q21" s="147" t="s">
        <v>93</v>
      </c>
      <c r="R21" s="147" t="s">
        <v>94</v>
      </c>
      <c r="S21" s="147" t="s">
        <v>94</v>
      </c>
      <c r="T21" s="148">
        <v>46246.0</v>
      </c>
      <c r="U21" s="2"/>
      <c r="V21" s="2"/>
      <c r="W21" s="2"/>
      <c r="X21" s="2"/>
      <c r="Y21" s="2"/>
      <c r="Z21" s="2"/>
    </row>
    <row r="22" ht="13.5" customHeight="1">
      <c r="A22" s="67"/>
      <c r="B22" s="67"/>
      <c r="C22" s="67"/>
      <c r="D22" s="67"/>
      <c r="E22" s="89" t="s">
        <v>2810</v>
      </c>
      <c r="F22" s="70"/>
      <c r="G22" s="83" t="s">
        <v>2811</v>
      </c>
      <c r="H22" s="81" t="s">
        <v>88</v>
      </c>
      <c r="I22" s="81" t="s">
        <v>60</v>
      </c>
      <c r="J22" s="189" t="s">
        <v>2812</v>
      </c>
      <c r="K22" s="90"/>
      <c r="L22" s="67"/>
      <c r="M22" s="147"/>
      <c r="N22" s="147"/>
      <c r="O22" s="147"/>
      <c r="P22" s="147"/>
      <c r="Q22" s="147" t="s">
        <v>93</v>
      </c>
      <c r="R22" s="147" t="s">
        <v>94</v>
      </c>
      <c r="S22" s="147" t="s">
        <v>94</v>
      </c>
      <c r="T22" s="148">
        <v>46246.0</v>
      </c>
      <c r="U22" s="2"/>
      <c r="V22" s="2"/>
      <c r="W22" s="2"/>
      <c r="X22" s="2"/>
      <c r="Y22" s="2"/>
      <c r="Z22" s="2"/>
    </row>
    <row r="23" ht="13.5" customHeight="1">
      <c r="A23" s="77"/>
      <c r="B23" s="77"/>
      <c r="C23" s="77"/>
      <c r="D23" s="77"/>
      <c r="E23" s="89" t="s">
        <v>2813</v>
      </c>
      <c r="F23" s="70"/>
      <c r="G23" s="83" t="s">
        <v>2814</v>
      </c>
      <c r="H23" s="81" t="s">
        <v>88</v>
      </c>
      <c r="I23" s="81" t="s">
        <v>60</v>
      </c>
      <c r="J23" s="189" t="s">
        <v>2815</v>
      </c>
      <c r="K23" s="90"/>
      <c r="L23" s="77"/>
      <c r="M23" s="147"/>
      <c r="N23" s="147"/>
      <c r="O23" s="147"/>
      <c r="P23" s="147"/>
      <c r="Q23" s="147" t="s">
        <v>93</v>
      </c>
      <c r="R23" s="147" t="s">
        <v>94</v>
      </c>
      <c r="S23" s="147" t="s">
        <v>94</v>
      </c>
      <c r="T23" s="148">
        <v>46246.0</v>
      </c>
      <c r="U23" s="2"/>
      <c r="V23" s="2"/>
      <c r="W23" s="2"/>
      <c r="X23" s="2"/>
      <c r="Y23" s="2"/>
      <c r="Z23" s="2"/>
    </row>
    <row r="24" ht="22.5" customHeight="1">
      <c r="A24" s="59" t="s">
        <v>2752</v>
      </c>
      <c r="B24" s="59" t="s">
        <v>619</v>
      </c>
      <c r="C24" s="60" t="s">
        <v>621</v>
      </c>
      <c r="D24" s="60" t="s">
        <v>2816</v>
      </c>
      <c r="E24" s="61" t="s">
        <v>2817</v>
      </c>
      <c r="F24" s="62" t="s">
        <v>2818</v>
      </c>
      <c r="G24" s="63" t="s">
        <v>2819</v>
      </c>
      <c r="H24" s="61" t="s">
        <v>88</v>
      </c>
      <c r="I24" s="61" t="s">
        <v>60</v>
      </c>
      <c r="J24" s="188" t="s">
        <v>2820</v>
      </c>
      <c r="K24" s="90"/>
      <c r="L24" s="60" t="s">
        <v>2758</v>
      </c>
      <c r="M24" s="61"/>
      <c r="N24" s="61"/>
      <c r="O24" s="61"/>
      <c r="P24" s="61"/>
      <c r="Q24" s="61" t="s">
        <v>93</v>
      </c>
      <c r="R24" s="61" t="s">
        <v>94</v>
      </c>
      <c r="S24" s="61" t="s">
        <v>94</v>
      </c>
      <c r="T24" s="66">
        <v>46246.0</v>
      </c>
      <c r="U24" s="2"/>
      <c r="V24" s="2"/>
      <c r="W24" s="2"/>
      <c r="X24" s="2"/>
      <c r="Y24" s="2"/>
      <c r="Z24" s="2"/>
    </row>
    <row r="25" ht="13.5" customHeight="1">
      <c r="A25" s="67"/>
      <c r="B25" s="67"/>
      <c r="C25" s="67"/>
      <c r="D25" s="67"/>
      <c r="E25" s="61" t="s">
        <v>2821</v>
      </c>
      <c r="F25" s="62"/>
      <c r="G25" s="63" t="s">
        <v>2822</v>
      </c>
      <c r="H25" s="61" t="s">
        <v>88</v>
      </c>
      <c r="I25" s="61" t="s">
        <v>60</v>
      </c>
      <c r="J25" s="188" t="s">
        <v>2823</v>
      </c>
      <c r="K25" s="90"/>
      <c r="L25" s="67"/>
      <c r="M25" s="61"/>
      <c r="N25" s="61"/>
      <c r="O25" s="61"/>
      <c r="P25" s="61"/>
      <c r="Q25" s="61" t="s">
        <v>93</v>
      </c>
      <c r="R25" s="61" t="s">
        <v>94</v>
      </c>
      <c r="S25" s="61" t="s">
        <v>94</v>
      </c>
      <c r="T25" s="66">
        <v>46246.0</v>
      </c>
      <c r="U25" s="2"/>
      <c r="V25" s="2"/>
      <c r="W25" s="2"/>
      <c r="X25" s="2"/>
      <c r="Y25" s="2"/>
      <c r="Z25" s="2"/>
    </row>
    <row r="26" ht="13.5" customHeight="1">
      <c r="A26" s="67"/>
      <c r="B26" s="67"/>
      <c r="C26" s="67"/>
      <c r="D26" s="67"/>
      <c r="E26" s="61" t="s">
        <v>2824</v>
      </c>
      <c r="F26" s="62"/>
      <c r="G26" s="63" t="s">
        <v>2825</v>
      </c>
      <c r="H26" s="61" t="s">
        <v>88</v>
      </c>
      <c r="I26" s="61" t="s">
        <v>60</v>
      </c>
      <c r="J26" s="188" t="s">
        <v>2826</v>
      </c>
      <c r="K26" s="90"/>
      <c r="L26" s="67"/>
      <c r="M26" s="61"/>
      <c r="N26" s="61"/>
      <c r="O26" s="61"/>
      <c r="P26" s="61"/>
      <c r="Q26" s="61" t="s">
        <v>93</v>
      </c>
      <c r="R26" s="61" t="s">
        <v>94</v>
      </c>
      <c r="S26" s="61" t="s">
        <v>94</v>
      </c>
      <c r="T26" s="66">
        <v>46246.0</v>
      </c>
      <c r="U26" s="2"/>
      <c r="V26" s="2"/>
      <c r="W26" s="2"/>
      <c r="X26" s="2"/>
      <c r="Y26" s="2"/>
      <c r="Z26" s="2"/>
    </row>
    <row r="27" ht="13.5" customHeight="1">
      <c r="A27" s="67"/>
      <c r="B27" s="67"/>
      <c r="C27" s="67"/>
      <c r="D27" s="67"/>
      <c r="E27" s="61" t="s">
        <v>2827</v>
      </c>
      <c r="F27" s="62"/>
      <c r="G27" s="63" t="s">
        <v>2828</v>
      </c>
      <c r="H27" s="61" t="s">
        <v>88</v>
      </c>
      <c r="I27" s="61" t="s">
        <v>60</v>
      </c>
      <c r="J27" s="188" t="s">
        <v>2829</v>
      </c>
      <c r="K27" s="90"/>
      <c r="L27" s="67"/>
      <c r="M27" s="61"/>
      <c r="N27" s="61"/>
      <c r="O27" s="61"/>
      <c r="P27" s="61"/>
      <c r="Q27" s="61" t="s">
        <v>93</v>
      </c>
      <c r="R27" s="61" t="s">
        <v>94</v>
      </c>
      <c r="S27" s="61" t="s">
        <v>94</v>
      </c>
      <c r="T27" s="66">
        <v>46246.0</v>
      </c>
      <c r="U27" s="2"/>
      <c r="V27" s="2"/>
      <c r="W27" s="2"/>
      <c r="X27" s="2"/>
      <c r="Y27" s="2"/>
      <c r="Z27" s="2"/>
    </row>
    <row r="28" ht="13.5" customHeight="1">
      <c r="A28" s="67"/>
      <c r="B28" s="67"/>
      <c r="C28" s="67"/>
      <c r="D28" s="67"/>
      <c r="E28" s="61" t="s">
        <v>2830</v>
      </c>
      <c r="F28" s="62"/>
      <c r="G28" s="63" t="s">
        <v>2831</v>
      </c>
      <c r="H28" s="61" t="s">
        <v>88</v>
      </c>
      <c r="I28" s="61" t="s">
        <v>60</v>
      </c>
      <c r="J28" s="188" t="s">
        <v>2832</v>
      </c>
      <c r="K28" s="90"/>
      <c r="L28" s="67"/>
      <c r="M28" s="61"/>
      <c r="N28" s="61"/>
      <c r="O28" s="61"/>
      <c r="P28" s="61"/>
      <c r="Q28" s="61" t="s">
        <v>93</v>
      </c>
      <c r="R28" s="61" t="s">
        <v>94</v>
      </c>
      <c r="S28" s="61" t="s">
        <v>94</v>
      </c>
      <c r="T28" s="66">
        <v>46246.0</v>
      </c>
      <c r="U28" s="2"/>
      <c r="V28" s="2"/>
      <c r="W28" s="2"/>
      <c r="X28" s="2"/>
      <c r="Y28" s="2"/>
      <c r="Z28" s="2"/>
    </row>
    <row r="29" ht="13.5" customHeight="1">
      <c r="A29" s="67"/>
      <c r="B29" s="67"/>
      <c r="C29" s="67"/>
      <c r="D29" s="67"/>
      <c r="E29" s="61" t="s">
        <v>2833</v>
      </c>
      <c r="F29" s="62"/>
      <c r="G29" s="63" t="s">
        <v>2834</v>
      </c>
      <c r="H29" s="61" t="s">
        <v>88</v>
      </c>
      <c r="I29" s="61" t="s">
        <v>60</v>
      </c>
      <c r="J29" s="188" t="s">
        <v>2835</v>
      </c>
      <c r="K29" s="90"/>
      <c r="L29" s="67"/>
      <c r="M29" s="61"/>
      <c r="N29" s="61"/>
      <c r="O29" s="61"/>
      <c r="P29" s="61"/>
      <c r="Q29" s="61" t="s">
        <v>93</v>
      </c>
      <c r="R29" s="61" t="s">
        <v>94</v>
      </c>
      <c r="S29" s="61" t="s">
        <v>94</v>
      </c>
      <c r="T29" s="66">
        <v>46246.0</v>
      </c>
      <c r="U29" s="2"/>
      <c r="V29" s="2"/>
      <c r="W29" s="2"/>
      <c r="X29" s="2"/>
      <c r="Y29" s="2"/>
      <c r="Z29" s="2"/>
    </row>
    <row r="30" ht="33.75" customHeight="1">
      <c r="A30" s="67"/>
      <c r="B30" s="67"/>
      <c r="C30" s="67"/>
      <c r="D30" s="67"/>
      <c r="E30" s="61" t="s">
        <v>2836</v>
      </c>
      <c r="F30" s="62" t="s">
        <v>2837</v>
      </c>
      <c r="G30" s="63" t="s">
        <v>2838</v>
      </c>
      <c r="H30" s="61" t="s">
        <v>88</v>
      </c>
      <c r="I30" s="61" t="s">
        <v>60</v>
      </c>
      <c r="J30" s="188" t="s">
        <v>2839</v>
      </c>
      <c r="K30" s="90"/>
      <c r="L30" s="67"/>
      <c r="M30" s="61"/>
      <c r="N30" s="61"/>
      <c r="O30" s="61"/>
      <c r="P30" s="61"/>
      <c r="Q30" s="61" t="s">
        <v>93</v>
      </c>
      <c r="R30" s="61" t="s">
        <v>94</v>
      </c>
      <c r="S30" s="61" t="s">
        <v>94</v>
      </c>
      <c r="T30" s="66">
        <v>46246.0</v>
      </c>
      <c r="U30" s="2"/>
      <c r="V30" s="2"/>
      <c r="W30" s="2"/>
      <c r="X30" s="2"/>
      <c r="Y30" s="2"/>
      <c r="Z30" s="2"/>
    </row>
    <row r="31" ht="13.5" customHeight="1">
      <c r="A31" s="67"/>
      <c r="B31" s="67"/>
      <c r="C31" s="67"/>
      <c r="D31" s="67"/>
      <c r="E31" s="61" t="s">
        <v>2840</v>
      </c>
      <c r="F31" s="62"/>
      <c r="G31" s="63" t="s">
        <v>2841</v>
      </c>
      <c r="H31" s="61" t="s">
        <v>88</v>
      </c>
      <c r="I31" s="61" t="s">
        <v>60</v>
      </c>
      <c r="J31" s="188" t="s">
        <v>2842</v>
      </c>
      <c r="K31" s="90"/>
      <c r="L31" s="67"/>
      <c r="M31" s="61"/>
      <c r="N31" s="61"/>
      <c r="O31" s="61"/>
      <c r="P31" s="61"/>
      <c r="Q31" s="61" t="s">
        <v>93</v>
      </c>
      <c r="R31" s="61" t="s">
        <v>94</v>
      </c>
      <c r="S31" s="61" t="s">
        <v>94</v>
      </c>
      <c r="T31" s="66">
        <v>46246.0</v>
      </c>
      <c r="U31" s="2"/>
      <c r="V31" s="2"/>
      <c r="W31" s="2"/>
      <c r="X31" s="2"/>
      <c r="Y31" s="2"/>
      <c r="Z31" s="2"/>
    </row>
    <row r="32" ht="13.5" customHeight="1">
      <c r="A32" s="67"/>
      <c r="B32" s="67"/>
      <c r="C32" s="67"/>
      <c r="D32" s="67"/>
      <c r="E32" s="61" t="s">
        <v>2843</v>
      </c>
      <c r="F32" s="62"/>
      <c r="G32" s="63" t="s">
        <v>2844</v>
      </c>
      <c r="H32" s="61" t="s">
        <v>88</v>
      </c>
      <c r="I32" s="61" t="s">
        <v>60</v>
      </c>
      <c r="J32" s="188" t="s">
        <v>2845</v>
      </c>
      <c r="K32" s="90"/>
      <c r="L32" s="67"/>
      <c r="M32" s="61"/>
      <c r="N32" s="61"/>
      <c r="O32" s="61"/>
      <c r="P32" s="61"/>
      <c r="Q32" s="61" t="s">
        <v>93</v>
      </c>
      <c r="R32" s="61" t="s">
        <v>94</v>
      </c>
      <c r="S32" s="61" t="s">
        <v>94</v>
      </c>
      <c r="T32" s="66">
        <v>46246.0</v>
      </c>
      <c r="U32" s="2"/>
      <c r="V32" s="2"/>
      <c r="W32" s="2"/>
      <c r="X32" s="2"/>
      <c r="Y32" s="2"/>
      <c r="Z32" s="2"/>
    </row>
    <row r="33" ht="13.5" customHeight="1">
      <c r="A33" s="67"/>
      <c r="B33" s="67"/>
      <c r="C33" s="67"/>
      <c r="D33" s="67"/>
      <c r="E33" s="61" t="s">
        <v>2846</v>
      </c>
      <c r="F33" s="62"/>
      <c r="G33" s="63" t="s">
        <v>2847</v>
      </c>
      <c r="H33" s="61" t="s">
        <v>88</v>
      </c>
      <c r="I33" s="61" t="s">
        <v>60</v>
      </c>
      <c r="J33" s="188" t="s">
        <v>2848</v>
      </c>
      <c r="K33" s="90"/>
      <c r="L33" s="67"/>
      <c r="M33" s="61"/>
      <c r="N33" s="61"/>
      <c r="O33" s="61"/>
      <c r="P33" s="61"/>
      <c r="Q33" s="61" t="s">
        <v>93</v>
      </c>
      <c r="R33" s="61" t="s">
        <v>94</v>
      </c>
      <c r="S33" s="61" t="s">
        <v>94</v>
      </c>
      <c r="T33" s="66">
        <v>46246.0</v>
      </c>
      <c r="U33" s="2"/>
      <c r="V33" s="2"/>
      <c r="W33" s="2"/>
      <c r="X33" s="2"/>
      <c r="Y33" s="2"/>
      <c r="Z33" s="2"/>
    </row>
    <row r="34" ht="22.5" customHeight="1">
      <c r="A34" s="67"/>
      <c r="B34" s="67"/>
      <c r="C34" s="67"/>
      <c r="D34" s="67"/>
      <c r="E34" s="61" t="s">
        <v>2849</v>
      </c>
      <c r="F34" s="62" t="s">
        <v>2850</v>
      </c>
      <c r="G34" s="63" t="s">
        <v>2851</v>
      </c>
      <c r="H34" s="61" t="s">
        <v>88</v>
      </c>
      <c r="I34" s="61" t="s">
        <v>60</v>
      </c>
      <c r="J34" s="188" t="s">
        <v>2852</v>
      </c>
      <c r="K34" s="90"/>
      <c r="L34" s="67"/>
      <c r="M34" s="61"/>
      <c r="N34" s="61"/>
      <c r="O34" s="61"/>
      <c r="P34" s="61"/>
      <c r="Q34" s="61" t="s">
        <v>93</v>
      </c>
      <c r="R34" s="61" t="s">
        <v>94</v>
      </c>
      <c r="S34" s="61" t="s">
        <v>94</v>
      </c>
      <c r="T34" s="66">
        <v>46246.0</v>
      </c>
      <c r="U34" s="2"/>
      <c r="V34" s="2"/>
      <c r="W34" s="2"/>
      <c r="X34" s="2"/>
      <c r="Y34" s="2"/>
      <c r="Z34" s="2"/>
    </row>
    <row r="35" ht="13.5" customHeight="1">
      <c r="A35" s="67"/>
      <c r="B35" s="67"/>
      <c r="C35" s="67"/>
      <c r="D35" s="67"/>
      <c r="E35" s="61" t="s">
        <v>2853</v>
      </c>
      <c r="F35" s="62"/>
      <c r="G35" s="63" t="s">
        <v>2854</v>
      </c>
      <c r="H35" s="61" t="s">
        <v>88</v>
      </c>
      <c r="I35" s="61" t="s">
        <v>60</v>
      </c>
      <c r="J35" s="188" t="s">
        <v>2855</v>
      </c>
      <c r="K35" s="90"/>
      <c r="L35" s="67"/>
      <c r="M35" s="61"/>
      <c r="N35" s="61"/>
      <c r="O35" s="61"/>
      <c r="P35" s="61"/>
      <c r="Q35" s="61" t="s">
        <v>93</v>
      </c>
      <c r="R35" s="61" t="s">
        <v>94</v>
      </c>
      <c r="S35" s="61" t="s">
        <v>94</v>
      </c>
      <c r="T35" s="66">
        <v>46246.0</v>
      </c>
      <c r="U35" s="2"/>
      <c r="V35" s="2"/>
      <c r="W35" s="2"/>
      <c r="X35" s="2"/>
      <c r="Y35" s="2"/>
      <c r="Z35" s="2"/>
    </row>
    <row r="36" ht="13.5" customHeight="1">
      <c r="A36" s="67"/>
      <c r="B36" s="67"/>
      <c r="C36" s="67"/>
      <c r="D36" s="67"/>
      <c r="E36" s="61" t="s">
        <v>2856</v>
      </c>
      <c r="F36" s="62"/>
      <c r="G36" s="63" t="s">
        <v>2857</v>
      </c>
      <c r="H36" s="61" t="s">
        <v>88</v>
      </c>
      <c r="I36" s="61" t="s">
        <v>60</v>
      </c>
      <c r="J36" s="188" t="s">
        <v>2858</v>
      </c>
      <c r="K36" s="90"/>
      <c r="L36" s="67"/>
      <c r="M36" s="61"/>
      <c r="N36" s="61"/>
      <c r="O36" s="61"/>
      <c r="P36" s="61"/>
      <c r="Q36" s="61" t="s">
        <v>93</v>
      </c>
      <c r="R36" s="61" t="s">
        <v>94</v>
      </c>
      <c r="S36" s="61" t="s">
        <v>94</v>
      </c>
      <c r="T36" s="66">
        <v>46246.0</v>
      </c>
      <c r="U36" s="2"/>
      <c r="V36" s="2"/>
      <c r="W36" s="2"/>
      <c r="X36" s="2"/>
      <c r="Y36" s="2"/>
      <c r="Z36" s="2"/>
    </row>
    <row r="37" ht="13.5" customHeight="1">
      <c r="A37" s="67"/>
      <c r="B37" s="67"/>
      <c r="C37" s="67"/>
      <c r="D37" s="67"/>
      <c r="E37" s="61" t="s">
        <v>2859</v>
      </c>
      <c r="F37" s="62" t="s">
        <v>2860</v>
      </c>
      <c r="G37" s="63" t="s">
        <v>2861</v>
      </c>
      <c r="H37" s="61" t="s">
        <v>88</v>
      </c>
      <c r="I37" s="61" t="s">
        <v>60</v>
      </c>
      <c r="J37" s="188" t="s">
        <v>2862</v>
      </c>
      <c r="K37" s="90"/>
      <c r="L37" s="67"/>
      <c r="M37" s="61"/>
      <c r="N37" s="61"/>
      <c r="O37" s="61"/>
      <c r="P37" s="61"/>
      <c r="Q37" s="61" t="s">
        <v>93</v>
      </c>
      <c r="R37" s="61" t="s">
        <v>94</v>
      </c>
      <c r="S37" s="61" t="s">
        <v>94</v>
      </c>
      <c r="T37" s="66">
        <v>46246.0</v>
      </c>
      <c r="U37" s="2"/>
      <c r="V37" s="2"/>
      <c r="W37" s="2"/>
      <c r="X37" s="2"/>
      <c r="Y37" s="2"/>
      <c r="Z37" s="2"/>
    </row>
    <row r="38" ht="13.5" customHeight="1">
      <c r="A38" s="67"/>
      <c r="B38" s="67"/>
      <c r="C38" s="67"/>
      <c r="D38" s="67"/>
      <c r="E38" s="61" t="s">
        <v>2863</v>
      </c>
      <c r="F38" s="62"/>
      <c r="G38" s="63" t="s">
        <v>2864</v>
      </c>
      <c r="H38" s="61" t="s">
        <v>88</v>
      </c>
      <c r="I38" s="61" t="s">
        <v>60</v>
      </c>
      <c r="J38" s="188" t="s">
        <v>2865</v>
      </c>
      <c r="K38" s="90"/>
      <c r="L38" s="67"/>
      <c r="M38" s="61"/>
      <c r="N38" s="61"/>
      <c r="O38" s="61"/>
      <c r="P38" s="61"/>
      <c r="Q38" s="61" t="s">
        <v>93</v>
      </c>
      <c r="R38" s="61" t="s">
        <v>94</v>
      </c>
      <c r="S38" s="61" t="s">
        <v>94</v>
      </c>
      <c r="T38" s="66">
        <v>46246.0</v>
      </c>
      <c r="U38" s="2"/>
      <c r="V38" s="2"/>
      <c r="W38" s="2"/>
      <c r="X38" s="2"/>
      <c r="Y38" s="2"/>
      <c r="Z38" s="2"/>
    </row>
    <row r="39" ht="13.5" customHeight="1">
      <c r="A39" s="67"/>
      <c r="B39" s="67"/>
      <c r="C39" s="67"/>
      <c r="D39" s="67"/>
      <c r="E39" s="61" t="s">
        <v>2866</v>
      </c>
      <c r="F39" s="62"/>
      <c r="G39" s="63" t="s">
        <v>2867</v>
      </c>
      <c r="H39" s="61" t="s">
        <v>88</v>
      </c>
      <c r="I39" s="61" t="s">
        <v>60</v>
      </c>
      <c r="J39" s="188" t="s">
        <v>2868</v>
      </c>
      <c r="K39" s="90"/>
      <c r="L39" s="67"/>
      <c r="M39" s="61"/>
      <c r="N39" s="61"/>
      <c r="O39" s="61"/>
      <c r="P39" s="61"/>
      <c r="Q39" s="61" t="s">
        <v>93</v>
      </c>
      <c r="R39" s="61" t="s">
        <v>94</v>
      </c>
      <c r="S39" s="61" t="s">
        <v>94</v>
      </c>
      <c r="T39" s="66">
        <v>46246.0</v>
      </c>
      <c r="U39" s="2"/>
      <c r="V39" s="2"/>
      <c r="W39" s="2"/>
      <c r="X39" s="2"/>
      <c r="Y39" s="2"/>
      <c r="Z39" s="2"/>
    </row>
    <row r="40" ht="13.5" customHeight="1">
      <c r="A40" s="67"/>
      <c r="B40" s="67"/>
      <c r="C40" s="67"/>
      <c r="D40" s="67"/>
      <c r="E40" s="61" t="s">
        <v>2869</v>
      </c>
      <c r="F40" s="62"/>
      <c r="G40" s="63" t="s">
        <v>2870</v>
      </c>
      <c r="H40" s="61" t="s">
        <v>88</v>
      </c>
      <c r="I40" s="61" t="s">
        <v>60</v>
      </c>
      <c r="J40" s="188" t="s">
        <v>2871</v>
      </c>
      <c r="K40" s="90"/>
      <c r="L40" s="67"/>
      <c r="M40" s="61"/>
      <c r="N40" s="61"/>
      <c r="O40" s="61"/>
      <c r="P40" s="61"/>
      <c r="Q40" s="61" t="s">
        <v>93</v>
      </c>
      <c r="R40" s="61" t="s">
        <v>94</v>
      </c>
      <c r="S40" s="61" t="s">
        <v>94</v>
      </c>
      <c r="T40" s="66">
        <v>46246.0</v>
      </c>
      <c r="U40" s="2"/>
      <c r="V40" s="2"/>
      <c r="W40" s="2"/>
      <c r="X40" s="2"/>
      <c r="Y40" s="2"/>
      <c r="Z40" s="2"/>
    </row>
    <row r="41" ht="13.5" customHeight="1">
      <c r="A41" s="67"/>
      <c r="B41" s="67"/>
      <c r="C41" s="67"/>
      <c r="D41" s="67"/>
      <c r="E41" s="61" t="s">
        <v>2872</v>
      </c>
      <c r="F41" s="62"/>
      <c r="G41" s="63" t="s">
        <v>2873</v>
      </c>
      <c r="H41" s="61" t="s">
        <v>88</v>
      </c>
      <c r="I41" s="61" t="s">
        <v>60</v>
      </c>
      <c r="J41" s="188" t="s">
        <v>2874</v>
      </c>
      <c r="K41" s="90"/>
      <c r="L41" s="67"/>
      <c r="M41" s="61"/>
      <c r="N41" s="61"/>
      <c r="O41" s="61"/>
      <c r="P41" s="61"/>
      <c r="Q41" s="61" t="s">
        <v>93</v>
      </c>
      <c r="R41" s="61" t="s">
        <v>94</v>
      </c>
      <c r="S41" s="61" t="s">
        <v>94</v>
      </c>
      <c r="T41" s="66">
        <v>46246.0</v>
      </c>
      <c r="U41" s="2"/>
      <c r="V41" s="2"/>
      <c r="W41" s="2"/>
      <c r="X41" s="2"/>
      <c r="Y41" s="2"/>
      <c r="Z41" s="2"/>
    </row>
    <row r="42" ht="13.5" customHeight="1">
      <c r="A42" s="77"/>
      <c r="B42" s="77"/>
      <c r="C42" s="77"/>
      <c r="D42" s="77"/>
      <c r="E42" s="61" t="s">
        <v>2875</v>
      </c>
      <c r="F42" s="62"/>
      <c r="G42" s="63" t="s">
        <v>2876</v>
      </c>
      <c r="H42" s="61" t="s">
        <v>88</v>
      </c>
      <c r="I42" s="61" t="s">
        <v>60</v>
      </c>
      <c r="J42" s="188" t="s">
        <v>2877</v>
      </c>
      <c r="K42" s="90"/>
      <c r="L42" s="77"/>
      <c r="M42" s="61"/>
      <c r="N42" s="61"/>
      <c r="O42" s="61"/>
      <c r="P42" s="61"/>
      <c r="Q42" s="61" t="s">
        <v>93</v>
      </c>
      <c r="R42" s="61" t="s">
        <v>94</v>
      </c>
      <c r="S42" s="61" t="s">
        <v>94</v>
      </c>
      <c r="T42" s="66">
        <v>46246.0</v>
      </c>
      <c r="U42" s="2"/>
      <c r="V42" s="2"/>
      <c r="W42" s="2"/>
      <c r="X42" s="2"/>
      <c r="Y42" s="2"/>
      <c r="Z42" s="2"/>
    </row>
    <row r="43" ht="22.5" customHeight="1">
      <c r="A43" s="78" t="s">
        <v>2752</v>
      </c>
      <c r="B43" s="78" t="s">
        <v>627</v>
      </c>
      <c r="C43" s="79" t="s">
        <v>2878</v>
      </c>
      <c r="D43" s="79" t="s">
        <v>2879</v>
      </c>
      <c r="E43" s="89" t="s">
        <v>2880</v>
      </c>
      <c r="F43" s="70" t="s">
        <v>2881</v>
      </c>
      <c r="G43" s="83" t="s">
        <v>2882</v>
      </c>
      <c r="H43" s="81" t="s">
        <v>88</v>
      </c>
      <c r="I43" s="81" t="s">
        <v>60</v>
      </c>
      <c r="J43" s="189" t="s">
        <v>2883</v>
      </c>
      <c r="K43" s="90"/>
      <c r="L43" s="79" t="s">
        <v>2758</v>
      </c>
      <c r="M43" s="147"/>
      <c r="N43" s="147"/>
      <c r="O43" s="147"/>
      <c r="P43" s="147"/>
      <c r="Q43" s="147" t="s">
        <v>93</v>
      </c>
      <c r="R43" s="81" t="s">
        <v>94</v>
      </c>
      <c r="S43" s="81" t="s">
        <v>94</v>
      </c>
      <c r="T43" s="84">
        <v>46246.0</v>
      </c>
      <c r="U43" s="2"/>
      <c r="V43" s="2"/>
      <c r="W43" s="2"/>
      <c r="X43" s="2"/>
      <c r="Y43" s="2"/>
      <c r="Z43" s="2"/>
    </row>
    <row r="44" ht="13.5" customHeight="1">
      <c r="A44" s="67"/>
      <c r="B44" s="67"/>
      <c r="C44" s="67"/>
      <c r="D44" s="67"/>
      <c r="E44" s="89" t="s">
        <v>2884</v>
      </c>
      <c r="F44" s="70"/>
      <c r="G44" s="83" t="s">
        <v>2885</v>
      </c>
      <c r="H44" s="81" t="s">
        <v>88</v>
      </c>
      <c r="I44" s="81" t="s">
        <v>60</v>
      </c>
      <c r="J44" s="189" t="s">
        <v>2886</v>
      </c>
      <c r="K44" s="90"/>
      <c r="L44" s="67"/>
      <c r="M44" s="147"/>
      <c r="N44" s="147"/>
      <c r="O44" s="147"/>
      <c r="P44" s="147"/>
      <c r="Q44" s="147" t="s">
        <v>93</v>
      </c>
      <c r="R44" s="147" t="s">
        <v>94</v>
      </c>
      <c r="S44" s="147" t="s">
        <v>94</v>
      </c>
      <c r="T44" s="148">
        <v>46246.0</v>
      </c>
      <c r="U44" s="2"/>
      <c r="V44" s="2"/>
      <c r="W44" s="2"/>
      <c r="X44" s="2"/>
      <c r="Y44" s="2"/>
      <c r="Z44" s="2"/>
    </row>
    <row r="45" ht="13.5" customHeight="1">
      <c r="A45" s="67"/>
      <c r="B45" s="67"/>
      <c r="C45" s="67"/>
      <c r="D45" s="67"/>
      <c r="E45" s="89" t="s">
        <v>2887</v>
      </c>
      <c r="F45" s="70"/>
      <c r="G45" s="83" t="s">
        <v>2888</v>
      </c>
      <c r="H45" s="81" t="s">
        <v>88</v>
      </c>
      <c r="I45" s="81" t="s">
        <v>60</v>
      </c>
      <c r="J45" s="189" t="s">
        <v>2889</v>
      </c>
      <c r="K45" s="90"/>
      <c r="L45" s="67"/>
      <c r="M45" s="85"/>
      <c r="N45" s="85"/>
      <c r="O45" s="85"/>
      <c r="P45" s="85"/>
      <c r="Q45" s="147" t="s">
        <v>93</v>
      </c>
      <c r="R45" s="147" t="s">
        <v>94</v>
      </c>
      <c r="S45" s="147" t="s">
        <v>94</v>
      </c>
      <c r="T45" s="148">
        <v>46246.0</v>
      </c>
      <c r="U45" s="2"/>
      <c r="V45" s="2"/>
      <c r="W45" s="2"/>
      <c r="X45" s="2"/>
      <c r="Y45" s="2"/>
      <c r="Z45" s="2"/>
    </row>
    <row r="46" ht="13.5" customHeight="1">
      <c r="A46" s="67"/>
      <c r="B46" s="67"/>
      <c r="C46" s="67"/>
      <c r="D46" s="67"/>
      <c r="E46" s="89" t="s">
        <v>2890</v>
      </c>
      <c r="F46" s="70"/>
      <c r="G46" s="83" t="s">
        <v>2891</v>
      </c>
      <c r="H46" s="81" t="s">
        <v>88</v>
      </c>
      <c r="I46" s="81" t="s">
        <v>60</v>
      </c>
      <c r="J46" s="189" t="s">
        <v>2892</v>
      </c>
      <c r="K46" s="90"/>
      <c r="L46" s="67"/>
      <c r="M46" s="85"/>
      <c r="N46" s="85"/>
      <c r="O46" s="85"/>
      <c r="P46" s="85"/>
      <c r="Q46" s="147" t="s">
        <v>93</v>
      </c>
      <c r="R46" s="147" t="s">
        <v>94</v>
      </c>
      <c r="S46" s="147" t="s">
        <v>94</v>
      </c>
      <c r="T46" s="148">
        <v>46246.0</v>
      </c>
      <c r="U46" s="2"/>
      <c r="V46" s="2"/>
      <c r="W46" s="2"/>
      <c r="X46" s="2"/>
      <c r="Y46" s="2"/>
      <c r="Z46" s="2"/>
    </row>
    <row r="47" ht="13.5" customHeight="1">
      <c r="A47" s="67"/>
      <c r="B47" s="67"/>
      <c r="C47" s="67"/>
      <c r="D47" s="67"/>
      <c r="E47" s="89" t="s">
        <v>2893</v>
      </c>
      <c r="F47" s="70"/>
      <c r="G47" s="83" t="s">
        <v>2894</v>
      </c>
      <c r="H47" s="81" t="s">
        <v>88</v>
      </c>
      <c r="I47" s="81" t="s">
        <v>60</v>
      </c>
      <c r="J47" s="189" t="s">
        <v>2895</v>
      </c>
      <c r="K47" s="90"/>
      <c r="L47" s="67"/>
      <c r="M47" s="85"/>
      <c r="N47" s="85"/>
      <c r="O47" s="85"/>
      <c r="P47" s="85"/>
      <c r="Q47" s="147" t="s">
        <v>93</v>
      </c>
      <c r="R47" s="147" t="s">
        <v>94</v>
      </c>
      <c r="S47" s="147" t="s">
        <v>94</v>
      </c>
      <c r="T47" s="148">
        <v>46246.0</v>
      </c>
      <c r="U47" s="2"/>
      <c r="V47" s="2"/>
      <c r="W47" s="2"/>
      <c r="X47" s="2"/>
      <c r="Y47" s="2"/>
      <c r="Z47" s="2"/>
    </row>
    <row r="48" ht="33.75" customHeight="1">
      <c r="A48" s="67"/>
      <c r="B48" s="67"/>
      <c r="C48" s="67"/>
      <c r="D48" s="67"/>
      <c r="E48" s="89" t="s">
        <v>2896</v>
      </c>
      <c r="F48" s="70" t="s">
        <v>2897</v>
      </c>
      <c r="G48" s="83" t="s">
        <v>2898</v>
      </c>
      <c r="H48" s="81" t="s">
        <v>88</v>
      </c>
      <c r="I48" s="81" t="s">
        <v>2899</v>
      </c>
      <c r="J48" s="189" t="s">
        <v>2900</v>
      </c>
      <c r="K48" s="90"/>
      <c r="L48" s="67"/>
      <c r="M48" s="85"/>
      <c r="N48" s="85"/>
      <c r="O48" s="85"/>
      <c r="P48" s="85"/>
      <c r="Q48" s="147" t="s">
        <v>93</v>
      </c>
      <c r="R48" s="147" t="s">
        <v>94</v>
      </c>
      <c r="S48" s="147" t="s">
        <v>94</v>
      </c>
      <c r="T48" s="148">
        <v>46246.0</v>
      </c>
      <c r="U48" s="2"/>
      <c r="V48" s="2"/>
      <c r="W48" s="2"/>
      <c r="X48" s="2"/>
      <c r="Y48" s="2"/>
      <c r="Z48" s="2"/>
    </row>
    <row r="49" ht="13.5" customHeight="1">
      <c r="A49" s="67"/>
      <c r="B49" s="67"/>
      <c r="C49" s="67"/>
      <c r="D49" s="67"/>
      <c r="E49" s="89" t="s">
        <v>2901</v>
      </c>
      <c r="F49" s="70"/>
      <c r="G49" s="83" t="s">
        <v>2902</v>
      </c>
      <c r="H49" s="81" t="s">
        <v>88</v>
      </c>
      <c r="I49" s="81" t="s">
        <v>60</v>
      </c>
      <c r="J49" s="189" t="s">
        <v>2903</v>
      </c>
      <c r="K49" s="90"/>
      <c r="L49" s="67"/>
      <c r="M49" s="85"/>
      <c r="N49" s="85"/>
      <c r="O49" s="85"/>
      <c r="P49" s="85"/>
      <c r="Q49" s="147" t="s">
        <v>93</v>
      </c>
      <c r="R49" s="147" t="s">
        <v>94</v>
      </c>
      <c r="S49" s="147" t="s">
        <v>94</v>
      </c>
      <c r="T49" s="148">
        <v>46246.0</v>
      </c>
      <c r="U49" s="2"/>
      <c r="V49" s="2"/>
      <c r="W49" s="2"/>
      <c r="X49" s="2"/>
      <c r="Y49" s="2"/>
      <c r="Z49" s="2"/>
    </row>
    <row r="50" ht="13.5" customHeight="1">
      <c r="A50" s="77"/>
      <c r="B50" s="77"/>
      <c r="C50" s="77"/>
      <c r="D50" s="77"/>
      <c r="E50" s="89" t="s">
        <v>2904</v>
      </c>
      <c r="F50" s="70"/>
      <c r="G50" s="83" t="s">
        <v>2905</v>
      </c>
      <c r="H50" s="81" t="s">
        <v>88</v>
      </c>
      <c r="I50" s="81" t="s">
        <v>60</v>
      </c>
      <c r="J50" s="189" t="s">
        <v>2906</v>
      </c>
      <c r="K50" s="90"/>
      <c r="L50" s="77"/>
      <c r="M50" s="85"/>
      <c r="N50" s="85"/>
      <c r="O50" s="85"/>
      <c r="P50" s="85"/>
      <c r="Q50" s="147" t="s">
        <v>93</v>
      </c>
      <c r="R50" s="147" t="s">
        <v>94</v>
      </c>
      <c r="S50" s="147" t="s">
        <v>94</v>
      </c>
      <c r="T50" s="148">
        <v>46246.0</v>
      </c>
      <c r="U50" s="2"/>
      <c r="V50" s="2"/>
      <c r="W50" s="2"/>
      <c r="X50" s="2"/>
      <c r="Y50" s="2"/>
      <c r="Z50" s="2"/>
    </row>
    <row r="51" ht="33.75" customHeight="1">
      <c r="A51" s="59" t="s">
        <v>2752</v>
      </c>
      <c r="B51" s="59" t="s">
        <v>632</v>
      </c>
      <c r="C51" s="60" t="s">
        <v>633</v>
      </c>
      <c r="D51" s="60" t="s">
        <v>2907</v>
      </c>
      <c r="E51" s="61" t="s">
        <v>2908</v>
      </c>
      <c r="F51" s="62" t="s">
        <v>2909</v>
      </c>
      <c r="G51" s="63" t="s">
        <v>2910</v>
      </c>
      <c r="H51" s="61" t="s">
        <v>88</v>
      </c>
      <c r="I51" s="61" t="s">
        <v>60</v>
      </c>
      <c r="J51" s="188" t="s">
        <v>2911</v>
      </c>
      <c r="K51" s="90"/>
      <c r="L51" s="60" t="s">
        <v>2758</v>
      </c>
      <c r="M51" s="61"/>
      <c r="N51" s="61"/>
      <c r="O51" s="61"/>
      <c r="P51" s="61"/>
      <c r="Q51" s="61" t="s">
        <v>93</v>
      </c>
      <c r="R51" s="61" t="s">
        <v>94</v>
      </c>
      <c r="S51" s="61" t="s">
        <v>94</v>
      </c>
      <c r="T51" s="66">
        <v>46246.0</v>
      </c>
      <c r="U51" s="2"/>
      <c r="V51" s="2"/>
      <c r="W51" s="2"/>
      <c r="X51" s="2"/>
      <c r="Y51" s="2"/>
      <c r="Z51" s="2"/>
    </row>
    <row r="52" ht="13.5" customHeight="1">
      <c r="A52" s="67"/>
      <c r="B52" s="67"/>
      <c r="C52" s="67"/>
      <c r="D52" s="67"/>
      <c r="E52" s="61" t="s">
        <v>2912</v>
      </c>
      <c r="F52" s="62"/>
      <c r="G52" s="63" t="s">
        <v>2913</v>
      </c>
      <c r="H52" s="61" t="s">
        <v>88</v>
      </c>
      <c r="I52" s="61" t="s">
        <v>60</v>
      </c>
      <c r="J52" s="190" t="s">
        <v>2914</v>
      </c>
      <c r="K52" s="162" t="s">
        <v>2915</v>
      </c>
      <c r="L52" s="67"/>
      <c r="M52" s="61"/>
      <c r="N52" s="61"/>
      <c r="O52" s="61"/>
      <c r="P52" s="61"/>
      <c r="Q52" s="61" t="s">
        <v>93</v>
      </c>
      <c r="R52" s="61" t="s">
        <v>94</v>
      </c>
      <c r="S52" s="61" t="s">
        <v>94</v>
      </c>
      <c r="T52" s="66">
        <v>46255.0</v>
      </c>
      <c r="U52" s="2"/>
      <c r="V52" s="2"/>
      <c r="W52" s="2"/>
      <c r="X52" s="2"/>
      <c r="Y52" s="2"/>
      <c r="Z52" s="2"/>
    </row>
    <row r="53" ht="13.5" customHeight="1">
      <c r="A53" s="67"/>
      <c r="B53" s="67"/>
      <c r="C53" s="67"/>
      <c r="D53" s="67"/>
      <c r="E53" s="61" t="s">
        <v>2916</v>
      </c>
      <c r="F53" s="62"/>
      <c r="G53" s="63" t="s">
        <v>2917</v>
      </c>
      <c r="H53" s="61" t="s">
        <v>88</v>
      </c>
      <c r="I53" s="61" t="s">
        <v>60</v>
      </c>
      <c r="J53" s="188" t="s">
        <v>2918</v>
      </c>
      <c r="K53" s="90"/>
      <c r="L53" s="67"/>
      <c r="M53" s="61"/>
      <c r="N53" s="61"/>
      <c r="O53" s="61"/>
      <c r="P53" s="61"/>
      <c r="Q53" s="61" t="s">
        <v>93</v>
      </c>
      <c r="R53" s="61" t="s">
        <v>94</v>
      </c>
      <c r="S53" s="61" t="s">
        <v>94</v>
      </c>
      <c r="T53" s="66">
        <v>46246.0</v>
      </c>
      <c r="U53" s="2"/>
      <c r="V53" s="2"/>
      <c r="W53" s="2"/>
      <c r="X53" s="2"/>
      <c r="Y53" s="2"/>
      <c r="Z53" s="2"/>
    </row>
    <row r="54" ht="13.5" customHeight="1">
      <c r="A54" s="67"/>
      <c r="B54" s="67"/>
      <c r="C54" s="67"/>
      <c r="D54" s="67"/>
      <c r="E54" s="61" t="s">
        <v>2919</v>
      </c>
      <c r="F54" s="62" t="s">
        <v>2920</v>
      </c>
      <c r="G54" s="63" t="s">
        <v>2921</v>
      </c>
      <c r="H54" s="61" t="s">
        <v>88</v>
      </c>
      <c r="I54" s="61" t="s">
        <v>60</v>
      </c>
      <c r="J54" s="188" t="s">
        <v>2922</v>
      </c>
      <c r="K54" s="90"/>
      <c r="L54" s="67"/>
      <c r="M54" s="61"/>
      <c r="N54" s="61"/>
      <c r="O54" s="61"/>
      <c r="P54" s="61"/>
      <c r="Q54" s="61" t="s">
        <v>93</v>
      </c>
      <c r="R54" s="61" t="s">
        <v>94</v>
      </c>
      <c r="S54" s="61" t="s">
        <v>94</v>
      </c>
      <c r="T54" s="66">
        <v>46246.0</v>
      </c>
      <c r="U54" s="2"/>
      <c r="V54" s="2"/>
      <c r="W54" s="2"/>
      <c r="X54" s="2"/>
      <c r="Y54" s="2"/>
      <c r="Z54" s="2"/>
    </row>
    <row r="55" ht="13.5" customHeight="1">
      <c r="A55" s="77"/>
      <c r="B55" s="77"/>
      <c r="C55" s="77"/>
      <c r="D55" s="77"/>
      <c r="E55" s="61" t="s">
        <v>2923</v>
      </c>
      <c r="F55" s="62"/>
      <c r="G55" s="63" t="s">
        <v>2924</v>
      </c>
      <c r="H55" s="61" t="s">
        <v>88</v>
      </c>
      <c r="I55" s="61" t="s">
        <v>60</v>
      </c>
      <c r="J55" s="191" t="s">
        <v>2925</v>
      </c>
      <c r="K55" s="90"/>
      <c r="L55" s="77"/>
      <c r="M55" s="61"/>
      <c r="N55" s="61"/>
      <c r="O55" s="61"/>
      <c r="P55" s="61"/>
      <c r="Q55" s="61" t="s">
        <v>93</v>
      </c>
      <c r="R55" s="61" t="s">
        <v>94</v>
      </c>
      <c r="S55" s="61" t="s">
        <v>94</v>
      </c>
      <c r="T55" s="66">
        <v>46246.0</v>
      </c>
      <c r="U55" s="2"/>
      <c r="V55" s="2"/>
      <c r="W55" s="2"/>
      <c r="X55" s="2"/>
      <c r="Y55" s="2"/>
      <c r="Z55" s="2"/>
    </row>
    <row r="56" ht="22.5" customHeight="1">
      <c r="A56" s="78" t="s">
        <v>2752</v>
      </c>
      <c r="B56" s="78" t="s">
        <v>641</v>
      </c>
      <c r="C56" s="79" t="s">
        <v>2926</v>
      </c>
      <c r="D56" s="79" t="s">
        <v>2927</v>
      </c>
      <c r="E56" s="89" t="s">
        <v>2928</v>
      </c>
      <c r="F56" s="70" t="s">
        <v>2929</v>
      </c>
      <c r="G56" s="83" t="s">
        <v>2930</v>
      </c>
      <c r="H56" s="81" t="s">
        <v>88</v>
      </c>
      <c r="I56" s="81" t="s">
        <v>60</v>
      </c>
      <c r="J56" s="189" t="s">
        <v>2931</v>
      </c>
      <c r="K56" s="90"/>
      <c r="L56" s="79" t="s">
        <v>2758</v>
      </c>
      <c r="M56" s="85"/>
      <c r="N56" s="85"/>
      <c r="O56" s="85"/>
      <c r="P56" s="85"/>
      <c r="Q56" s="147" t="s">
        <v>93</v>
      </c>
      <c r="R56" s="81" t="s">
        <v>94</v>
      </c>
      <c r="S56" s="81" t="s">
        <v>94</v>
      </c>
      <c r="T56" s="84">
        <v>46246.0</v>
      </c>
      <c r="U56" s="2"/>
      <c r="V56" s="2"/>
      <c r="W56" s="2"/>
      <c r="X56" s="2"/>
      <c r="Y56" s="2"/>
      <c r="Z56" s="2"/>
    </row>
    <row r="57" ht="13.5" customHeight="1">
      <c r="A57" s="67"/>
      <c r="B57" s="67"/>
      <c r="C57" s="67"/>
      <c r="D57" s="67"/>
      <c r="E57" s="89" t="s">
        <v>2932</v>
      </c>
      <c r="F57" s="70"/>
      <c r="G57" s="83" t="s">
        <v>2933</v>
      </c>
      <c r="H57" s="81" t="s">
        <v>88</v>
      </c>
      <c r="I57" s="81" t="s">
        <v>60</v>
      </c>
      <c r="J57" s="189" t="s">
        <v>2934</v>
      </c>
      <c r="K57" s="90"/>
      <c r="L57" s="67"/>
      <c r="M57" s="85"/>
      <c r="N57" s="85"/>
      <c r="O57" s="85"/>
      <c r="P57" s="85"/>
      <c r="Q57" s="147" t="s">
        <v>93</v>
      </c>
      <c r="R57" s="147" t="s">
        <v>94</v>
      </c>
      <c r="S57" s="147" t="s">
        <v>94</v>
      </c>
      <c r="T57" s="148">
        <v>46246.0</v>
      </c>
      <c r="U57" s="2"/>
      <c r="V57" s="2"/>
      <c r="W57" s="2"/>
      <c r="X57" s="2"/>
      <c r="Y57" s="2"/>
      <c r="Z57" s="2"/>
    </row>
    <row r="58" ht="13.5" customHeight="1">
      <c r="A58" s="67"/>
      <c r="B58" s="67"/>
      <c r="C58" s="67"/>
      <c r="D58" s="67"/>
      <c r="E58" s="89" t="s">
        <v>2935</v>
      </c>
      <c r="F58" s="70"/>
      <c r="G58" s="83" t="s">
        <v>2936</v>
      </c>
      <c r="H58" s="81" t="s">
        <v>88</v>
      </c>
      <c r="I58" s="81" t="s">
        <v>60</v>
      </c>
      <c r="J58" s="189" t="s">
        <v>2937</v>
      </c>
      <c r="K58" s="90"/>
      <c r="L58" s="67"/>
      <c r="M58" s="85"/>
      <c r="N58" s="85"/>
      <c r="O58" s="85"/>
      <c r="P58" s="85"/>
      <c r="Q58" s="147" t="s">
        <v>93</v>
      </c>
      <c r="R58" s="147" t="s">
        <v>94</v>
      </c>
      <c r="S58" s="147" t="s">
        <v>94</v>
      </c>
      <c r="T58" s="148">
        <v>46246.0</v>
      </c>
      <c r="U58" s="2"/>
      <c r="V58" s="2"/>
      <c r="W58" s="2"/>
      <c r="X58" s="2"/>
      <c r="Y58" s="2"/>
      <c r="Z58" s="2"/>
    </row>
    <row r="59" ht="13.5" customHeight="1">
      <c r="A59" s="67"/>
      <c r="B59" s="67"/>
      <c r="C59" s="67"/>
      <c r="D59" s="67"/>
      <c r="E59" s="89" t="s">
        <v>2938</v>
      </c>
      <c r="F59" s="70"/>
      <c r="G59" s="83" t="s">
        <v>2939</v>
      </c>
      <c r="H59" s="81" t="s">
        <v>88</v>
      </c>
      <c r="I59" s="81" t="s">
        <v>60</v>
      </c>
      <c r="J59" s="189" t="s">
        <v>2940</v>
      </c>
      <c r="K59" s="90"/>
      <c r="L59" s="67"/>
      <c r="M59" s="85"/>
      <c r="N59" s="85"/>
      <c r="O59" s="85"/>
      <c r="P59" s="85"/>
      <c r="Q59" s="147" t="s">
        <v>93</v>
      </c>
      <c r="R59" s="147" t="s">
        <v>94</v>
      </c>
      <c r="S59" s="147" t="s">
        <v>94</v>
      </c>
      <c r="T59" s="148">
        <v>46246.0</v>
      </c>
      <c r="U59" s="2"/>
      <c r="V59" s="2"/>
      <c r="W59" s="2"/>
      <c r="X59" s="2"/>
      <c r="Y59" s="2"/>
      <c r="Z59" s="2"/>
    </row>
    <row r="60" ht="13.5" customHeight="1">
      <c r="A60" s="67"/>
      <c r="B60" s="67"/>
      <c r="C60" s="67"/>
      <c r="D60" s="67"/>
      <c r="E60" s="89" t="s">
        <v>2941</v>
      </c>
      <c r="F60" s="70" t="s">
        <v>2942</v>
      </c>
      <c r="G60" s="83" t="s">
        <v>2943</v>
      </c>
      <c r="H60" s="81" t="s">
        <v>88</v>
      </c>
      <c r="I60" s="81" t="s">
        <v>60</v>
      </c>
      <c r="J60" s="189" t="s">
        <v>2944</v>
      </c>
      <c r="K60" s="90"/>
      <c r="L60" s="67"/>
      <c r="M60" s="85"/>
      <c r="N60" s="85"/>
      <c r="O60" s="85"/>
      <c r="P60" s="85"/>
      <c r="Q60" s="147" t="s">
        <v>93</v>
      </c>
      <c r="R60" s="147" t="s">
        <v>94</v>
      </c>
      <c r="S60" s="147" t="s">
        <v>94</v>
      </c>
      <c r="T60" s="148">
        <v>46246.0</v>
      </c>
      <c r="U60" s="2"/>
      <c r="V60" s="2"/>
      <c r="W60" s="2"/>
      <c r="X60" s="2"/>
      <c r="Y60" s="2"/>
      <c r="Z60" s="2"/>
    </row>
    <row r="61" ht="13.5" customHeight="1">
      <c r="A61" s="67"/>
      <c r="B61" s="67"/>
      <c r="C61" s="67"/>
      <c r="D61" s="67"/>
      <c r="E61" s="89" t="s">
        <v>2945</v>
      </c>
      <c r="F61" s="70"/>
      <c r="G61" s="83" t="s">
        <v>2946</v>
      </c>
      <c r="H61" s="81" t="s">
        <v>88</v>
      </c>
      <c r="I61" s="81" t="s">
        <v>60</v>
      </c>
      <c r="J61" s="189" t="s">
        <v>2947</v>
      </c>
      <c r="K61" s="90"/>
      <c r="L61" s="67"/>
      <c r="M61" s="85"/>
      <c r="N61" s="85"/>
      <c r="O61" s="85"/>
      <c r="P61" s="85"/>
      <c r="Q61" s="147" t="s">
        <v>93</v>
      </c>
      <c r="R61" s="147" t="s">
        <v>94</v>
      </c>
      <c r="S61" s="147" t="s">
        <v>94</v>
      </c>
      <c r="T61" s="148">
        <v>46246.0</v>
      </c>
      <c r="U61" s="2"/>
      <c r="V61" s="2"/>
      <c r="W61" s="2"/>
      <c r="X61" s="2"/>
      <c r="Y61" s="2"/>
      <c r="Z61" s="2"/>
    </row>
    <row r="62" ht="13.5" customHeight="1">
      <c r="A62" s="67"/>
      <c r="B62" s="67"/>
      <c r="C62" s="67"/>
      <c r="D62" s="67"/>
      <c r="E62" s="89" t="s">
        <v>2948</v>
      </c>
      <c r="F62" s="70"/>
      <c r="G62" s="83" t="s">
        <v>2949</v>
      </c>
      <c r="H62" s="81" t="s">
        <v>88</v>
      </c>
      <c r="I62" s="81" t="s">
        <v>60</v>
      </c>
      <c r="J62" s="189" t="s">
        <v>2950</v>
      </c>
      <c r="K62" s="90"/>
      <c r="L62" s="67"/>
      <c r="M62" s="85"/>
      <c r="N62" s="85"/>
      <c r="O62" s="85"/>
      <c r="P62" s="85"/>
      <c r="Q62" s="147" t="s">
        <v>93</v>
      </c>
      <c r="R62" s="147" t="s">
        <v>94</v>
      </c>
      <c r="S62" s="147" t="s">
        <v>94</v>
      </c>
      <c r="T62" s="148">
        <v>46246.0</v>
      </c>
      <c r="U62" s="2"/>
      <c r="V62" s="2"/>
      <c r="W62" s="2"/>
      <c r="X62" s="2"/>
      <c r="Y62" s="2"/>
      <c r="Z62" s="2"/>
    </row>
    <row r="63" ht="13.5" customHeight="1">
      <c r="A63" s="67"/>
      <c r="B63" s="67"/>
      <c r="C63" s="67"/>
      <c r="D63" s="67"/>
      <c r="E63" s="89" t="s">
        <v>2951</v>
      </c>
      <c r="F63" s="70"/>
      <c r="G63" s="83" t="s">
        <v>2952</v>
      </c>
      <c r="H63" s="81" t="s">
        <v>88</v>
      </c>
      <c r="I63" s="81" t="s">
        <v>60</v>
      </c>
      <c r="J63" s="189" t="s">
        <v>2953</v>
      </c>
      <c r="K63" s="90"/>
      <c r="L63" s="67"/>
      <c r="M63" s="85"/>
      <c r="N63" s="85"/>
      <c r="O63" s="85"/>
      <c r="P63" s="85"/>
      <c r="Q63" s="147" t="s">
        <v>93</v>
      </c>
      <c r="R63" s="147" t="s">
        <v>94</v>
      </c>
      <c r="S63" s="147" t="s">
        <v>94</v>
      </c>
      <c r="T63" s="148">
        <v>46246.0</v>
      </c>
      <c r="U63" s="2"/>
      <c r="V63" s="2"/>
      <c r="W63" s="2"/>
      <c r="X63" s="2"/>
      <c r="Y63" s="2"/>
      <c r="Z63" s="2"/>
    </row>
    <row r="64" ht="13.5" customHeight="1">
      <c r="A64" s="67"/>
      <c r="B64" s="67"/>
      <c r="C64" s="67"/>
      <c r="D64" s="67"/>
      <c r="E64" s="89" t="s">
        <v>2954</v>
      </c>
      <c r="F64" s="70"/>
      <c r="G64" s="83" t="s">
        <v>2955</v>
      </c>
      <c r="H64" s="81" t="s">
        <v>88</v>
      </c>
      <c r="I64" s="81" t="s">
        <v>60</v>
      </c>
      <c r="J64" s="189" t="s">
        <v>2956</v>
      </c>
      <c r="K64" s="90"/>
      <c r="L64" s="67"/>
      <c r="M64" s="85"/>
      <c r="N64" s="85"/>
      <c r="O64" s="85"/>
      <c r="P64" s="85"/>
      <c r="Q64" s="147" t="s">
        <v>93</v>
      </c>
      <c r="R64" s="147" t="s">
        <v>94</v>
      </c>
      <c r="S64" s="147" t="s">
        <v>94</v>
      </c>
      <c r="T64" s="148">
        <v>46246.0</v>
      </c>
      <c r="U64" s="2"/>
      <c r="V64" s="2"/>
      <c r="W64" s="2"/>
      <c r="X64" s="2"/>
      <c r="Y64" s="2"/>
      <c r="Z64" s="2"/>
    </row>
    <row r="65" ht="33.75" customHeight="1">
      <c r="A65" s="67"/>
      <c r="B65" s="67"/>
      <c r="C65" s="67"/>
      <c r="D65" s="67"/>
      <c r="E65" s="89" t="s">
        <v>2957</v>
      </c>
      <c r="F65" s="70" t="s">
        <v>2958</v>
      </c>
      <c r="G65" s="83" t="s">
        <v>2959</v>
      </c>
      <c r="H65" s="81" t="s">
        <v>88</v>
      </c>
      <c r="I65" s="81" t="s">
        <v>60</v>
      </c>
      <c r="J65" s="189" t="s">
        <v>2960</v>
      </c>
      <c r="K65" s="90"/>
      <c r="L65" s="67"/>
      <c r="M65" s="85"/>
      <c r="N65" s="85"/>
      <c r="O65" s="85"/>
      <c r="P65" s="85"/>
      <c r="Q65" s="147" t="s">
        <v>93</v>
      </c>
      <c r="R65" s="147" t="s">
        <v>94</v>
      </c>
      <c r="S65" s="147" t="s">
        <v>94</v>
      </c>
      <c r="T65" s="148">
        <v>46246.0</v>
      </c>
      <c r="U65" s="2"/>
      <c r="V65" s="2"/>
      <c r="W65" s="2"/>
      <c r="X65" s="2"/>
      <c r="Y65" s="2"/>
      <c r="Z65" s="2"/>
    </row>
    <row r="66" ht="13.5" customHeight="1">
      <c r="A66" s="67"/>
      <c r="B66" s="67"/>
      <c r="C66" s="67"/>
      <c r="D66" s="67"/>
      <c r="E66" s="89" t="s">
        <v>2961</v>
      </c>
      <c r="F66" s="70"/>
      <c r="G66" s="83" t="s">
        <v>2962</v>
      </c>
      <c r="H66" s="81" t="s">
        <v>88</v>
      </c>
      <c r="I66" s="81" t="s">
        <v>60</v>
      </c>
      <c r="J66" s="189" t="s">
        <v>2963</v>
      </c>
      <c r="K66" s="90"/>
      <c r="L66" s="67"/>
      <c r="M66" s="85"/>
      <c r="N66" s="85"/>
      <c r="O66" s="85"/>
      <c r="P66" s="85"/>
      <c r="Q66" s="147" t="s">
        <v>93</v>
      </c>
      <c r="R66" s="147" t="s">
        <v>94</v>
      </c>
      <c r="S66" s="147" t="s">
        <v>94</v>
      </c>
      <c r="T66" s="148">
        <v>46246.0</v>
      </c>
      <c r="U66" s="2"/>
      <c r="V66" s="2"/>
      <c r="W66" s="2"/>
      <c r="X66" s="2"/>
      <c r="Y66" s="2"/>
      <c r="Z66" s="2"/>
    </row>
    <row r="67" ht="13.5" customHeight="1">
      <c r="A67" s="67"/>
      <c r="B67" s="67"/>
      <c r="C67" s="67"/>
      <c r="D67" s="67"/>
      <c r="E67" s="89" t="s">
        <v>2964</v>
      </c>
      <c r="F67" s="70"/>
      <c r="G67" s="83" t="s">
        <v>2965</v>
      </c>
      <c r="H67" s="81" t="s">
        <v>88</v>
      </c>
      <c r="I67" s="81" t="s">
        <v>60</v>
      </c>
      <c r="J67" s="192" t="s">
        <v>2966</v>
      </c>
      <c r="K67" s="90"/>
      <c r="L67" s="67"/>
      <c r="M67" s="85"/>
      <c r="N67" s="85"/>
      <c r="O67" s="85"/>
      <c r="P67" s="85"/>
      <c r="Q67" s="147" t="s">
        <v>93</v>
      </c>
      <c r="R67" s="147" t="s">
        <v>94</v>
      </c>
      <c r="S67" s="147" t="s">
        <v>94</v>
      </c>
      <c r="T67" s="148">
        <v>46246.0</v>
      </c>
      <c r="U67" s="2"/>
      <c r="V67" s="2"/>
      <c r="W67" s="2"/>
      <c r="X67" s="2"/>
      <c r="Y67" s="2"/>
      <c r="Z67" s="2"/>
    </row>
    <row r="68" ht="13.5" customHeight="1">
      <c r="A68" s="77"/>
      <c r="B68" s="77"/>
      <c r="C68" s="77"/>
      <c r="D68" s="77"/>
      <c r="E68" s="89" t="s">
        <v>2967</v>
      </c>
      <c r="F68" s="70"/>
      <c r="G68" s="83" t="s">
        <v>2968</v>
      </c>
      <c r="H68" s="81" t="s">
        <v>88</v>
      </c>
      <c r="I68" s="81" t="s">
        <v>60</v>
      </c>
      <c r="J68" s="192" t="s">
        <v>2969</v>
      </c>
      <c r="K68" s="90"/>
      <c r="L68" s="77"/>
      <c r="M68" s="85"/>
      <c r="N68" s="85"/>
      <c r="O68" s="85"/>
      <c r="P68" s="85"/>
      <c r="Q68" s="147" t="s">
        <v>93</v>
      </c>
      <c r="R68" s="147" t="s">
        <v>94</v>
      </c>
      <c r="S68" s="147" t="s">
        <v>94</v>
      </c>
      <c r="T68" s="148">
        <v>46246.0</v>
      </c>
      <c r="U68" s="2"/>
      <c r="V68" s="2"/>
      <c r="W68" s="2"/>
      <c r="X68" s="2"/>
      <c r="Y68" s="2"/>
      <c r="Z68" s="2"/>
    </row>
    <row r="69" ht="48.0" customHeight="1">
      <c r="A69" s="59" t="s">
        <v>2752</v>
      </c>
      <c r="B69" s="59" t="s">
        <v>649</v>
      </c>
      <c r="C69" s="60" t="s">
        <v>2970</v>
      </c>
      <c r="D69" s="60" t="s">
        <v>2971</v>
      </c>
      <c r="E69" s="61" t="s">
        <v>2972</v>
      </c>
      <c r="F69" s="62" t="s">
        <v>2973</v>
      </c>
      <c r="G69" s="63" t="s">
        <v>2974</v>
      </c>
      <c r="H69" s="61" t="s">
        <v>88</v>
      </c>
      <c r="I69" s="61" t="s">
        <v>60</v>
      </c>
      <c r="J69" s="151" t="s">
        <v>2975</v>
      </c>
      <c r="K69" s="90"/>
      <c r="L69" s="60" t="s">
        <v>2758</v>
      </c>
      <c r="M69" s="61"/>
      <c r="N69" s="61"/>
      <c r="O69" s="61"/>
      <c r="P69" s="61"/>
      <c r="Q69" s="61" t="s">
        <v>93</v>
      </c>
      <c r="R69" s="61" t="s">
        <v>94</v>
      </c>
      <c r="S69" s="61" t="s">
        <v>94</v>
      </c>
      <c r="T69" s="66">
        <v>46246.0</v>
      </c>
      <c r="U69" s="2"/>
      <c r="V69" s="2"/>
      <c r="W69" s="2"/>
      <c r="X69" s="2"/>
      <c r="Y69" s="2"/>
      <c r="Z69" s="2"/>
    </row>
    <row r="70" ht="13.5" customHeight="1">
      <c r="A70" s="67"/>
      <c r="B70" s="67"/>
      <c r="C70" s="67"/>
      <c r="D70" s="67"/>
      <c r="E70" s="61" t="s">
        <v>2976</v>
      </c>
      <c r="F70" s="62"/>
      <c r="G70" s="63" t="s">
        <v>2977</v>
      </c>
      <c r="H70" s="61" t="s">
        <v>88</v>
      </c>
      <c r="I70" s="61" t="s">
        <v>60</v>
      </c>
      <c r="J70" s="151" t="s">
        <v>2978</v>
      </c>
      <c r="K70" s="90"/>
      <c r="L70" s="67"/>
      <c r="M70" s="61"/>
      <c r="N70" s="61"/>
      <c r="O70" s="61"/>
      <c r="P70" s="61"/>
      <c r="Q70" s="61" t="s">
        <v>93</v>
      </c>
      <c r="R70" s="61" t="s">
        <v>94</v>
      </c>
      <c r="S70" s="61" t="s">
        <v>94</v>
      </c>
      <c r="T70" s="66">
        <v>46246.0</v>
      </c>
      <c r="U70" s="2"/>
      <c r="V70" s="2"/>
      <c r="W70" s="2"/>
      <c r="X70" s="2"/>
      <c r="Y70" s="2"/>
      <c r="Z70" s="2"/>
    </row>
    <row r="71" ht="13.5" customHeight="1">
      <c r="A71" s="67"/>
      <c r="B71" s="67"/>
      <c r="C71" s="67"/>
      <c r="D71" s="67"/>
      <c r="E71" s="61" t="s">
        <v>2979</v>
      </c>
      <c r="F71" s="62"/>
      <c r="G71" s="63" t="s">
        <v>2980</v>
      </c>
      <c r="H71" s="61" t="s">
        <v>88</v>
      </c>
      <c r="I71" s="61" t="s">
        <v>60</v>
      </c>
      <c r="J71" s="151" t="s">
        <v>2981</v>
      </c>
      <c r="K71" s="90"/>
      <c r="L71" s="67"/>
      <c r="M71" s="61"/>
      <c r="N71" s="61"/>
      <c r="O71" s="61"/>
      <c r="P71" s="61"/>
      <c r="Q71" s="61" t="s">
        <v>93</v>
      </c>
      <c r="R71" s="61" t="s">
        <v>94</v>
      </c>
      <c r="S71" s="61" t="s">
        <v>94</v>
      </c>
      <c r="T71" s="66">
        <v>46246.0</v>
      </c>
      <c r="U71" s="2"/>
      <c r="V71" s="2"/>
      <c r="W71" s="2"/>
      <c r="X71" s="2"/>
      <c r="Y71" s="2"/>
      <c r="Z71" s="2"/>
    </row>
    <row r="72" ht="13.5" customHeight="1">
      <c r="A72" s="67"/>
      <c r="B72" s="67"/>
      <c r="C72" s="67"/>
      <c r="D72" s="67"/>
      <c r="E72" s="61" t="s">
        <v>2982</v>
      </c>
      <c r="F72" s="62"/>
      <c r="G72" s="63" t="s">
        <v>2983</v>
      </c>
      <c r="H72" s="61" t="s">
        <v>88</v>
      </c>
      <c r="I72" s="61" t="s">
        <v>60</v>
      </c>
      <c r="J72" s="151" t="s">
        <v>2984</v>
      </c>
      <c r="K72" s="90"/>
      <c r="L72" s="67"/>
      <c r="M72" s="61"/>
      <c r="N72" s="61"/>
      <c r="O72" s="61"/>
      <c r="P72" s="61"/>
      <c r="Q72" s="61" t="s">
        <v>93</v>
      </c>
      <c r="R72" s="61" t="s">
        <v>94</v>
      </c>
      <c r="S72" s="61" t="s">
        <v>94</v>
      </c>
      <c r="T72" s="66">
        <v>46246.0</v>
      </c>
      <c r="U72" s="2"/>
      <c r="V72" s="2"/>
      <c r="W72" s="2"/>
      <c r="X72" s="2"/>
      <c r="Y72" s="2"/>
      <c r="Z72" s="2"/>
    </row>
    <row r="73" ht="13.5" customHeight="1">
      <c r="A73" s="67"/>
      <c r="B73" s="67"/>
      <c r="C73" s="67"/>
      <c r="D73" s="67"/>
      <c r="E73" s="61" t="s">
        <v>2985</v>
      </c>
      <c r="F73" s="62"/>
      <c r="G73" s="63" t="s">
        <v>2986</v>
      </c>
      <c r="H73" s="61" t="s">
        <v>88</v>
      </c>
      <c r="I73" s="61" t="s">
        <v>60</v>
      </c>
      <c r="J73" s="151" t="s">
        <v>2987</v>
      </c>
      <c r="K73" s="90"/>
      <c r="L73" s="67"/>
      <c r="M73" s="61"/>
      <c r="N73" s="61"/>
      <c r="O73" s="61"/>
      <c r="P73" s="61"/>
      <c r="Q73" s="61" t="s">
        <v>93</v>
      </c>
      <c r="R73" s="61" t="s">
        <v>94</v>
      </c>
      <c r="S73" s="61" t="s">
        <v>94</v>
      </c>
      <c r="T73" s="66">
        <v>46246.0</v>
      </c>
      <c r="U73" s="2"/>
      <c r="V73" s="2"/>
      <c r="W73" s="2"/>
      <c r="X73" s="2"/>
      <c r="Y73" s="2"/>
      <c r="Z73" s="2"/>
    </row>
    <row r="74" ht="13.5" customHeight="1">
      <c r="A74" s="67"/>
      <c r="B74" s="67"/>
      <c r="C74" s="67"/>
      <c r="D74" s="67"/>
      <c r="E74" s="61" t="s">
        <v>2988</v>
      </c>
      <c r="F74" s="62"/>
      <c r="G74" s="63" t="s">
        <v>2989</v>
      </c>
      <c r="H74" s="61" t="s">
        <v>88</v>
      </c>
      <c r="I74" s="61" t="s">
        <v>60</v>
      </c>
      <c r="J74" s="151" t="s">
        <v>2990</v>
      </c>
      <c r="K74" s="90"/>
      <c r="L74" s="67"/>
      <c r="M74" s="61"/>
      <c r="N74" s="61"/>
      <c r="O74" s="61"/>
      <c r="P74" s="61"/>
      <c r="Q74" s="61" t="s">
        <v>93</v>
      </c>
      <c r="R74" s="61" t="s">
        <v>94</v>
      </c>
      <c r="S74" s="61" t="s">
        <v>94</v>
      </c>
      <c r="T74" s="66">
        <v>46246.0</v>
      </c>
      <c r="U74" s="2"/>
      <c r="V74" s="2"/>
      <c r="W74" s="2"/>
      <c r="X74" s="2"/>
      <c r="Y74" s="2"/>
      <c r="Z74" s="2"/>
    </row>
    <row r="75" ht="13.5" customHeight="1">
      <c r="A75" s="67"/>
      <c r="B75" s="67"/>
      <c r="C75" s="67"/>
      <c r="D75" s="67"/>
      <c r="E75" s="61" t="s">
        <v>2991</v>
      </c>
      <c r="F75" s="62" t="s">
        <v>2992</v>
      </c>
      <c r="G75" s="63" t="s">
        <v>2993</v>
      </c>
      <c r="H75" s="61" t="s">
        <v>88</v>
      </c>
      <c r="I75" s="61" t="s">
        <v>60</v>
      </c>
      <c r="J75" s="151" t="s">
        <v>2994</v>
      </c>
      <c r="K75" s="90"/>
      <c r="L75" s="67"/>
      <c r="M75" s="61"/>
      <c r="N75" s="61"/>
      <c r="O75" s="61"/>
      <c r="P75" s="61"/>
      <c r="Q75" s="61" t="s">
        <v>93</v>
      </c>
      <c r="R75" s="61" t="s">
        <v>94</v>
      </c>
      <c r="S75" s="61" t="s">
        <v>94</v>
      </c>
      <c r="T75" s="66">
        <v>46246.0</v>
      </c>
      <c r="U75" s="2"/>
      <c r="V75" s="2"/>
      <c r="W75" s="2"/>
      <c r="X75" s="2"/>
      <c r="Y75" s="2"/>
      <c r="Z75" s="2"/>
    </row>
    <row r="76" ht="13.5" customHeight="1">
      <c r="A76" s="67"/>
      <c r="B76" s="67"/>
      <c r="C76" s="67"/>
      <c r="D76" s="67"/>
      <c r="E76" s="61" t="s">
        <v>2995</v>
      </c>
      <c r="F76" s="62"/>
      <c r="G76" s="63" t="s">
        <v>2996</v>
      </c>
      <c r="H76" s="61" t="s">
        <v>88</v>
      </c>
      <c r="I76" s="61" t="s">
        <v>60</v>
      </c>
      <c r="J76" s="151" t="s">
        <v>2997</v>
      </c>
      <c r="K76" s="90"/>
      <c r="L76" s="67"/>
      <c r="M76" s="61"/>
      <c r="N76" s="61"/>
      <c r="O76" s="61"/>
      <c r="P76" s="61"/>
      <c r="Q76" s="61" t="s">
        <v>93</v>
      </c>
      <c r="R76" s="61" t="s">
        <v>94</v>
      </c>
      <c r="S76" s="61" t="s">
        <v>94</v>
      </c>
      <c r="T76" s="66">
        <v>46246.0</v>
      </c>
      <c r="U76" s="2"/>
      <c r="V76" s="2"/>
      <c r="W76" s="2"/>
      <c r="X76" s="2"/>
      <c r="Y76" s="2"/>
      <c r="Z76" s="2"/>
    </row>
    <row r="77" ht="13.5" customHeight="1">
      <c r="A77" s="77"/>
      <c r="B77" s="77"/>
      <c r="C77" s="77"/>
      <c r="D77" s="77"/>
      <c r="E77" s="61" t="s">
        <v>2998</v>
      </c>
      <c r="F77" s="62"/>
      <c r="G77" s="63" t="s">
        <v>2999</v>
      </c>
      <c r="H77" s="61" t="s">
        <v>88</v>
      </c>
      <c r="I77" s="61" t="s">
        <v>60</v>
      </c>
      <c r="J77" s="151" t="s">
        <v>3000</v>
      </c>
      <c r="K77" s="90"/>
      <c r="L77" s="77"/>
      <c r="M77" s="61"/>
      <c r="N77" s="61"/>
      <c r="O77" s="61"/>
      <c r="P77" s="61"/>
      <c r="Q77" s="61" t="s">
        <v>93</v>
      </c>
      <c r="R77" s="61" t="s">
        <v>94</v>
      </c>
      <c r="S77" s="61" t="s">
        <v>94</v>
      </c>
      <c r="T77" s="66">
        <v>46246.0</v>
      </c>
      <c r="U77" s="2"/>
      <c r="V77" s="2"/>
      <c r="W77" s="2"/>
      <c r="X77" s="2"/>
      <c r="Y77" s="2"/>
      <c r="Z77" s="2"/>
    </row>
    <row r="78" ht="33.75" customHeight="1">
      <c r="A78" s="78" t="s">
        <v>2752</v>
      </c>
      <c r="B78" s="78" t="s">
        <v>654</v>
      </c>
      <c r="C78" s="79" t="s">
        <v>656</v>
      </c>
      <c r="D78" s="79" t="s">
        <v>3001</v>
      </c>
      <c r="E78" s="89" t="s">
        <v>3002</v>
      </c>
      <c r="F78" s="70" t="s">
        <v>3003</v>
      </c>
      <c r="G78" s="83" t="s">
        <v>3004</v>
      </c>
      <c r="H78" s="81" t="s">
        <v>88</v>
      </c>
      <c r="I78" s="81" t="s">
        <v>60</v>
      </c>
      <c r="J78" s="189" t="s">
        <v>3005</v>
      </c>
      <c r="K78" s="90"/>
      <c r="L78" s="79" t="s">
        <v>2758</v>
      </c>
      <c r="M78" s="85"/>
      <c r="N78" s="85"/>
      <c r="O78" s="85"/>
      <c r="P78" s="85"/>
      <c r="Q78" s="147" t="s">
        <v>93</v>
      </c>
      <c r="R78" s="81" t="s">
        <v>94</v>
      </c>
      <c r="S78" s="81" t="s">
        <v>94</v>
      </c>
      <c r="T78" s="84">
        <v>46246.0</v>
      </c>
      <c r="U78" s="2"/>
      <c r="V78" s="2"/>
      <c r="W78" s="2"/>
      <c r="X78" s="2"/>
      <c r="Y78" s="2"/>
      <c r="Z78" s="2"/>
    </row>
    <row r="79" ht="13.5" customHeight="1">
      <c r="A79" s="67"/>
      <c r="B79" s="67"/>
      <c r="C79" s="67"/>
      <c r="D79" s="67"/>
      <c r="E79" s="89" t="s">
        <v>3006</v>
      </c>
      <c r="F79" s="70"/>
      <c r="G79" s="83" t="s">
        <v>3007</v>
      </c>
      <c r="H79" s="81" t="s">
        <v>88</v>
      </c>
      <c r="I79" s="81" t="s">
        <v>60</v>
      </c>
      <c r="J79" s="189" t="s">
        <v>3008</v>
      </c>
      <c r="K79" s="90"/>
      <c r="L79" s="67"/>
      <c r="M79" s="85"/>
      <c r="N79" s="85"/>
      <c r="O79" s="85"/>
      <c r="P79" s="85"/>
      <c r="Q79" s="147" t="s">
        <v>93</v>
      </c>
      <c r="R79" s="147" t="s">
        <v>94</v>
      </c>
      <c r="S79" s="147" t="s">
        <v>94</v>
      </c>
      <c r="T79" s="148">
        <v>46246.0</v>
      </c>
      <c r="U79" s="2"/>
      <c r="V79" s="2"/>
      <c r="W79" s="2"/>
      <c r="X79" s="2"/>
      <c r="Y79" s="2"/>
      <c r="Z79" s="2"/>
    </row>
    <row r="80" ht="13.5" customHeight="1">
      <c r="A80" s="67"/>
      <c r="B80" s="67"/>
      <c r="C80" s="67"/>
      <c r="D80" s="67"/>
      <c r="E80" s="89" t="s">
        <v>3009</v>
      </c>
      <c r="F80" s="70"/>
      <c r="G80" s="83" t="s">
        <v>3010</v>
      </c>
      <c r="H80" s="81" t="s">
        <v>88</v>
      </c>
      <c r="I80" s="81" t="s">
        <v>60</v>
      </c>
      <c r="J80" s="189" t="s">
        <v>3011</v>
      </c>
      <c r="K80" s="90"/>
      <c r="L80" s="67"/>
      <c r="M80" s="85"/>
      <c r="N80" s="85"/>
      <c r="O80" s="85"/>
      <c r="P80" s="85"/>
      <c r="Q80" s="147" t="s">
        <v>93</v>
      </c>
      <c r="R80" s="147" t="s">
        <v>94</v>
      </c>
      <c r="S80" s="147" t="s">
        <v>94</v>
      </c>
      <c r="T80" s="148">
        <v>46246.0</v>
      </c>
      <c r="U80" s="2"/>
      <c r="V80" s="2"/>
      <c r="W80" s="2"/>
      <c r="X80" s="2"/>
      <c r="Y80" s="2"/>
      <c r="Z80" s="2"/>
    </row>
    <row r="81" ht="13.5" customHeight="1">
      <c r="A81" s="67"/>
      <c r="B81" s="67"/>
      <c r="C81" s="67"/>
      <c r="D81" s="67"/>
      <c r="E81" s="89" t="s">
        <v>3012</v>
      </c>
      <c r="F81" s="70"/>
      <c r="G81" s="83" t="s">
        <v>3013</v>
      </c>
      <c r="H81" s="81" t="s">
        <v>88</v>
      </c>
      <c r="I81" s="81" t="s">
        <v>60</v>
      </c>
      <c r="J81" s="189" t="s">
        <v>3014</v>
      </c>
      <c r="K81" s="90"/>
      <c r="L81" s="67"/>
      <c r="M81" s="85"/>
      <c r="N81" s="85"/>
      <c r="O81" s="85"/>
      <c r="P81" s="85"/>
      <c r="Q81" s="147" t="s">
        <v>93</v>
      </c>
      <c r="R81" s="147" t="s">
        <v>94</v>
      </c>
      <c r="S81" s="147" t="s">
        <v>94</v>
      </c>
      <c r="T81" s="148">
        <v>46246.0</v>
      </c>
      <c r="U81" s="2"/>
      <c r="V81" s="2"/>
      <c r="W81" s="2"/>
      <c r="X81" s="2"/>
      <c r="Y81" s="2"/>
      <c r="Z81" s="2"/>
    </row>
    <row r="82" ht="13.5" customHeight="1">
      <c r="A82" s="67"/>
      <c r="B82" s="67"/>
      <c r="C82" s="67"/>
      <c r="D82" s="67"/>
      <c r="E82" s="89" t="s">
        <v>3015</v>
      </c>
      <c r="F82" s="70" t="s">
        <v>3016</v>
      </c>
      <c r="G82" s="83" t="s">
        <v>3017</v>
      </c>
      <c r="H82" s="81" t="s">
        <v>88</v>
      </c>
      <c r="I82" s="81" t="s">
        <v>60</v>
      </c>
      <c r="J82" s="189" t="s">
        <v>3018</v>
      </c>
      <c r="K82" s="90"/>
      <c r="L82" s="67"/>
      <c r="M82" s="85"/>
      <c r="N82" s="85"/>
      <c r="O82" s="85"/>
      <c r="P82" s="85"/>
      <c r="Q82" s="147" t="s">
        <v>93</v>
      </c>
      <c r="R82" s="147" t="s">
        <v>94</v>
      </c>
      <c r="S82" s="147" t="s">
        <v>94</v>
      </c>
      <c r="T82" s="148">
        <v>46246.0</v>
      </c>
      <c r="U82" s="2"/>
      <c r="V82" s="2"/>
      <c r="W82" s="2"/>
      <c r="X82" s="2"/>
      <c r="Y82" s="2"/>
      <c r="Z82" s="2"/>
    </row>
    <row r="83" ht="13.5" customHeight="1">
      <c r="A83" s="77"/>
      <c r="B83" s="77"/>
      <c r="C83" s="77"/>
      <c r="D83" s="77"/>
      <c r="E83" s="89" t="s">
        <v>3019</v>
      </c>
      <c r="F83" s="70"/>
      <c r="G83" s="83" t="s">
        <v>3020</v>
      </c>
      <c r="H83" s="81" t="s">
        <v>88</v>
      </c>
      <c r="I83" s="81" t="s">
        <v>60</v>
      </c>
      <c r="J83" s="189" t="s">
        <v>3021</v>
      </c>
      <c r="K83" s="90"/>
      <c r="L83" s="77"/>
      <c r="M83" s="85"/>
      <c r="N83" s="85"/>
      <c r="O83" s="85"/>
      <c r="P83" s="85"/>
      <c r="Q83" s="147" t="s">
        <v>93</v>
      </c>
      <c r="R83" s="147" t="s">
        <v>94</v>
      </c>
      <c r="S83" s="147" t="s">
        <v>94</v>
      </c>
      <c r="T83" s="148">
        <v>46246.0</v>
      </c>
      <c r="U83" s="2"/>
      <c r="V83" s="2"/>
      <c r="W83" s="2"/>
      <c r="X83" s="2"/>
      <c r="Y83" s="2"/>
      <c r="Z83" s="2"/>
    </row>
    <row r="84" ht="36.0" customHeight="1">
      <c r="A84" s="59" t="s">
        <v>2752</v>
      </c>
      <c r="B84" s="59" t="s">
        <v>661</v>
      </c>
      <c r="C84" s="60" t="s">
        <v>663</v>
      </c>
      <c r="D84" s="60" t="s">
        <v>3022</v>
      </c>
      <c r="E84" s="61" t="s">
        <v>3023</v>
      </c>
      <c r="F84" s="62" t="s">
        <v>3024</v>
      </c>
      <c r="G84" s="63" t="s">
        <v>3025</v>
      </c>
      <c r="H84" s="61" t="s">
        <v>88</v>
      </c>
      <c r="I84" s="61" t="s">
        <v>60</v>
      </c>
      <c r="J84" s="188" t="s">
        <v>3026</v>
      </c>
      <c r="K84" s="90"/>
      <c r="L84" s="60" t="s">
        <v>2758</v>
      </c>
      <c r="M84" s="61"/>
      <c r="N84" s="61"/>
      <c r="O84" s="61"/>
      <c r="P84" s="61"/>
      <c r="Q84" s="61" t="s">
        <v>93</v>
      </c>
      <c r="R84" s="61" t="s">
        <v>94</v>
      </c>
      <c r="S84" s="61" t="s">
        <v>94</v>
      </c>
      <c r="T84" s="66">
        <v>46246.0</v>
      </c>
      <c r="U84" s="2"/>
      <c r="V84" s="2"/>
      <c r="W84" s="2"/>
      <c r="X84" s="2"/>
      <c r="Y84" s="2"/>
      <c r="Z84" s="2"/>
    </row>
    <row r="85" ht="13.5" customHeight="1">
      <c r="A85" s="67"/>
      <c r="B85" s="67"/>
      <c r="C85" s="67"/>
      <c r="D85" s="67"/>
      <c r="E85" s="61" t="s">
        <v>3027</v>
      </c>
      <c r="F85" s="62"/>
      <c r="G85" s="63" t="s">
        <v>3028</v>
      </c>
      <c r="H85" s="61" t="s">
        <v>88</v>
      </c>
      <c r="I85" s="61" t="s">
        <v>60</v>
      </c>
      <c r="J85" s="188" t="s">
        <v>3029</v>
      </c>
      <c r="K85" s="90"/>
      <c r="L85" s="67"/>
      <c r="M85" s="61"/>
      <c r="N85" s="61"/>
      <c r="O85" s="61"/>
      <c r="P85" s="61"/>
      <c r="Q85" s="61" t="s">
        <v>93</v>
      </c>
      <c r="R85" s="61" t="s">
        <v>94</v>
      </c>
      <c r="S85" s="61" t="s">
        <v>94</v>
      </c>
      <c r="T85" s="66">
        <v>46246.0</v>
      </c>
      <c r="U85" s="2"/>
      <c r="V85" s="2"/>
      <c r="W85" s="2"/>
      <c r="X85" s="2"/>
      <c r="Y85" s="2"/>
      <c r="Z85" s="2"/>
    </row>
    <row r="86" ht="13.5" customHeight="1">
      <c r="A86" s="67"/>
      <c r="B86" s="67"/>
      <c r="C86" s="67"/>
      <c r="D86" s="67"/>
      <c r="E86" s="61" t="s">
        <v>3030</v>
      </c>
      <c r="F86" s="62"/>
      <c r="G86" s="63" t="s">
        <v>3031</v>
      </c>
      <c r="H86" s="61" t="s">
        <v>88</v>
      </c>
      <c r="I86" s="61" t="s">
        <v>60</v>
      </c>
      <c r="J86" s="188" t="s">
        <v>3032</v>
      </c>
      <c r="K86" s="90"/>
      <c r="L86" s="67"/>
      <c r="M86" s="61"/>
      <c r="N86" s="61"/>
      <c r="O86" s="61"/>
      <c r="P86" s="61"/>
      <c r="Q86" s="61" t="s">
        <v>93</v>
      </c>
      <c r="R86" s="61" t="s">
        <v>94</v>
      </c>
      <c r="S86" s="61" t="s">
        <v>94</v>
      </c>
      <c r="T86" s="66">
        <v>46246.0</v>
      </c>
      <c r="U86" s="2"/>
      <c r="V86" s="2"/>
      <c r="W86" s="2"/>
      <c r="X86" s="2"/>
      <c r="Y86" s="2"/>
      <c r="Z86" s="2"/>
    </row>
    <row r="87" ht="13.5" customHeight="1">
      <c r="A87" s="67"/>
      <c r="B87" s="67"/>
      <c r="C87" s="67"/>
      <c r="D87" s="67"/>
      <c r="E87" s="61" t="s">
        <v>3033</v>
      </c>
      <c r="F87" s="62"/>
      <c r="G87" s="63" t="s">
        <v>3034</v>
      </c>
      <c r="H87" s="61" t="s">
        <v>88</v>
      </c>
      <c r="I87" s="61" t="s">
        <v>60</v>
      </c>
      <c r="J87" s="188" t="s">
        <v>3035</v>
      </c>
      <c r="K87" s="90"/>
      <c r="L87" s="67"/>
      <c r="M87" s="61"/>
      <c r="N87" s="61"/>
      <c r="O87" s="61"/>
      <c r="P87" s="61"/>
      <c r="Q87" s="61" t="s">
        <v>93</v>
      </c>
      <c r="R87" s="61" t="s">
        <v>94</v>
      </c>
      <c r="S87" s="61" t="s">
        <v>94</v>
      </c>
      <c r="T87" s="66">
        <v>46246.0</v>
      </c>
      <c r="U87" s="2"/>
      <c r="V87" s="2"/>
      <c r="W87" s="2"/>
      <c r="X87" s="2"/>
      <c r="Y87" s="2"/>
      <c r="Z87" s="2"/>
    </row>
    <row r="88" ht="13.5" customHeight="1">
      <c r="A88" s="67"/>
      <c r="B88" s="67"/>
      <c r="C88" s="67"/>
      <c r="D88" s="67"/>
      <c r="E88" s="61" t="s">
        <v>3036</v>
      </c>
      <c r="F88" s="62"/>
      <c r="G88" s="63" t="s">
        <v>3037</v>
      </c>
      <c r="H88" s="61" t="s">
        <v>88</v>
      </c>
      <c r="I88" s="61" t="s">
        <v>60</v>
      </c>
      <c r="J88" s="188" t="s">
        <v>3038</v>
      </c>
      <c r="K88" s="90"/>
      <c r="L88" s="67"/>
      <c r="M88" s="61"/>
      <c r="N88" s="61"/>
      <c r="O88" s="61"/>
      <c r="P88" s="61"/>
      <c r="Q88" s="61" t="s">
        <v>93</v>
      </c>
      <c r="R88" s="61" t="s">
        <v>94</v>
      </c>
      <c r="S88" s="61" t="s">
        <v>94</v>
      </c>
      <c r="T88" s="66">
        <v>46246.0</v>
      </c>
      <c r="U88" s="2"/>
      <c r="V88" s="2"/>
      <c r="W88" s="2"/>
      <c r="X88" s="2"/>
      <c r="Y88" s="2"/>
      <c r="Z88" s="2"/>
    </row>
    <row r="89" ht="45.0" customHeight="1">
      <c r="A89" s="67"/>
      <c r="B89" s="67"/>
      <c r="C89" s="67"/>
      <c r="D89" s="67"/>
      <c r="E89" s="61" t="s">
        <v>3039</v>
      </c>
      <c r="F89" s="62" t="s">
        <v>3040</v>
      </c>
      <c r="G89" s="63" t="s">
        <v>3041</v>
      </c>
      <c r="H89" s="61" t="s">
        <v>88</v>
      </c>
      <c r="I89" s="61" t="s">
        <v>3042</v>
      </c>
      <c r="J89" s="188" t="s">
        <v>3043</v>
      </c>
      <c r="K89" s="90"/>
      <c r="L89" s="67"/>
      <c r="M89" s="61"/>
      <c r="N89" s="61"/>
      <c r="O89" s="61"/>
      <c r="P89" s="61"/>
      <c r="Q89" s="61" t="s">
        <v>93</v>
      </c>
      <c r="R89" s="61" t="s">
        <v>94</v>
      </c>
      <c r="S89" s="61" t="s">
        <v>94</v>
      </c>
      <c r="T89" s="66">
        <v>46246.0</v>
      </c>
      <c r="U89" s="2"/>
      <c r="V89" s="2"/>
      <c r="W89" s="2"/>
      <c r="X89" s="2"/>
      <c r="Y89" s="2"/>
      <c r="Z89" s="2"/>
    </row>
    <row r="90" ht="13.5" customHeight="1">
      <c r="A90" s="67"/>
      <c r="B90" s="67"/>
      <c r="C90" s="67"/>
      <c r="D90" s="67"/>
      <c r="E90" s="61" t="s">
        <v>3044</v>
      </c>
      <c r="F90" s="62"/>
      <c r="G90" s="63" t="s">
        <v>3045</v>
      </c>
      <c r="H90" s="61" t="s">
        <v>88</v>
      </c>
      <c r="I90" s="61" t="s">
        <v>60</v>
      </c>
      <c r="J90" s="188" t="s">
        <v>3046</v>
      </c>
      <c r="K90" s="90"/>
      <c r="L90" s="67"/>
      <c r="M90" s="61"/>
      <c r="N90" s="61"/>
      <c r="O90" s="61"/>
      <c r="P90" s="61"/>
      <c r="Q90" s="61" t="s">
        <v>93</v>
      </c>
      <c r="R90" s="61" t="s">
        <v>94</v>
      </c>
      <c r="S90" s="61" t="s">
        <v>94</v>
      </c>
      <c r="T90" s="66">
        <v>46246.0</v>
      </c>
      <c r="U90" s="2"/>
      <c r="V90" s="2"/>
      <c r="W90" s="2"/>
      <c r="X90" s="2"/>
      <c r="Y90" s="2"/>
      <c r="Z90" s="2"/>
    </row>
    <row r="91" ht="13.5" customHeight="1">
      <c r="A91" s="67"/>
      <c r="B91" s="67"/>
      <c r="C91" s="67"/>
      <c r="D91" s="67"/>
      <c r="E91" s="61" t="s">
        <v>3047</v>
      </c>
      <c r="F91" s="62"/>
      <c r="G91" s="63" t="s">
        <v>3048</v>
      </c>
      <c r="H91" s="61" t="s">
        <v>88</v>
      </c>
      <c r="I91" s="61" t="s">
        <v>60</v>
      </c>
      <c r="J91" s="188" t="s">
        <v>3049</v>
      </c>
      <c r="K91" s="90"/>
      <c r="L91" s="67"/>
      <c r="M91" s="61"/>
      <c r="N91" s="61"/>
      <c r="O91" s="61"/>
      <c r="P91" s="61"/>
      <c r="Q91" s="61" t="s">
        <v>93</v>
      </c>
      <c r="R91" s="61" t="s">
        <v>94</v>
      </c>
      <c r="S91" s="61" t="s">
        <v>94</v>
      </c>
      <c r="T91" s="66">
        <v>46246.0</v>
      </c>
      <c r="U91" s="2"/>
      <c r="V91" s="2"/>
      <c r="W91" s="2"/>
      <c r="X91" s="2"/>
      <c r="Y91" s="2"/>
      <c r="Z91" s="2"/>
    </row>
    <row r="92" ht="13.5" customHeight="1">
      <c r="A92" s="77"/>
      <c r="B92" s="77"/>
      <c r="C92" s="77"/>
      <c r="D92" s="77"/>
      <c r="E92" s="61" t="s">
        <v>3050</v>
      </c>
      <c r="F92" s="62"/>
      <c r="G92" s="63" t="s">
        <v>3051</v>
      </c>
      <c r="H92" s="61" t="s">
        <v>88</v>
      </c>
      <c r="I92" s="61" t="s">
        <v>3042</v>
      </c>
      <c r="J92" s="188" t="s">
        <v>3052</v>
      </c>
      <c r="K92" s="90"/>
      <c r="L92" s="77"/>
      <c r="M92" s="61"/>
      <c r="N92" s="61"/>
      <c r="O92" s="61"/>
      <c r="P92" s="61"/>
      <c r="Q92" s="61" t="s">
        <v>93</v>
      </c>
      <c r="R92" s="61" t="s">
        <v>94</v>
      </c>
      <c r="S92" s="61" t="s">
        <v>94</v>
      </c>
      <c r="T92" s="66">
        <v>46246.0</v>
      </c>
      <c r="U92" s="2"/>
      <c r="V92" s="2"/>
      <c r="W92" s="2"/>
      <c r="X92" s="2"/>
      <c r="Y92" s="2"/>
      <c r="Z92" s="2"/>
    </row>
    <row r="93" ht="33.75" customHeight="1">
      <c r="A93" s="78" t="s">
        <v>2752</v>
      </c>
      <c r="B93" s="78" t="s">
        <v>668</v>
      </c>
      <c r="C93" s="79" t="s">
        <v>3053</v>
      </c>
      <c r="D93" s="79" t="s">
        <v>3054</v>
      </c>
      <c r="E93" s="89" t="s">
        <v>3055</v>
      </c>
      <c r="F93" s="70" t="s">
        <v>3056</v>
      </c>
      <c r="G93" s="83" t="s">
        <v>3057</v>
      </c>
      <c r="H93" s="81" t="s">
        <v>88</v>
      </c>
      <c r="I93" s="81" t="s">
        <v>60</v>
      </c>
      <c r="J93" s="189" t="s">
        <v>3058</v>
      </c>
      <c r="K93" s="90"/>
      <c r="L93" s="79" t="s">
        <v>3059</v>
      </c>
      <c r="M93" s="85"/>
      <c r="N93" s="85"/>
      <c r="O93" s="85"/>
      <c r="P93" s="85"/>
      <c r="Q93" s="147" t="s">
        <v>93</v>
      </c>
      <c r="R93" s="81" t="s">
        <v>94</v>
      </c>
      <c r="S93" s="81" t="s">
        <v>94</v>
      </c>
      <c r="T93" s="84">
        <v>46246.0</v>
      </c>
      <c r="U93" s="2"/>
      <c r="V93" s="2"/>
      <c r="W93" s="2"/>
      <c r="X93" s="2"/>
      <c r="Y93" s="2"/>
      <c r="Z93" s="2"/>
    </row>
    <row r="94" ht="13.5" customHeight="1">
      <c r="A94" s="67"/>
      <c r="B94" s="67"/>
      <c r="C94" s="67"/>
      <c r="D94" s="67"/>
      <c r="E94" s="89" t="s">
        <v>3060</v>
      </c>
      <c r="F94" s="70"/>
      <c r="G94" s="83" t="s">
        <v>3061</v>
      </c>
      <c r="H94" s="81" t="s">
        <v>88</v>
      </c>
      <c r="I94" s="81" t="s">
        <v>60</v>
      </c>
      <c r="J94" s="189" t="s">
        <v>3062</v>
      </c>
      <c r="K94" s="90"/>
      <c r="L94" s="67"/>
      <c r="M94" s="85"/>
      <c r="N94" s="85"/>
      <c r="O94" s="85"/>
      <c r="P94" s="85"/>
      <c r="Q94" s="147" t="s">
        <v>93</v>
      </c>
      <c r="R94" s="147" t="s">
        <v>94</v>
      </c>
      <c r="S94" s="147" t="s">
        <v>94</v>
      </c>
      <c r="T94" s="148">
        <v>46246.0</v>
      </c>
      <c r="U94" s="2"/>
      <c r="V94" s="2"/>
      <c r="W94" s="2"/>
      <c r="X94" s="2"/>
      <c r="Y94" s="2"/>
      <c r="Z94" s="2"/>
    </row>
    <row r="95" ht="13.5" customHeight="1">
      <c r="A95" s="67"/>
      <c r="B95" s="67"/>
      <c r="C95" s="67"/>
      <c r="D95" s="67"/>
      <c r="E95" s="89" t="s">
        <v>3063</v>
      </c>
      <c r="F95" s="70"/>
      <c r="G95" s="83" t="s">
        <v>3064</v>
      </c>
      <c r="H95" s="81" t="s">
        <v>88</v>
      </c>
      <c r="I95" s="81" t="s">
        <v>60</v>
      </c>
      <c r="J95" s="189" t="s">
        <v>3065</v>
      </c>
      <c r="K95" s="90"/>
      <c r="L95" s="67"/>
      <c r="M95" s="85"/>
      <c r="N95" s="85"/>
      <c r="O95" s="85"/>
      <c r="P95" s="85"/>
      <c r="Q95" s="147" t="s">
        <v>93</v>
      </c>
      <c r="R95" s="147" t="s">
        <v>94</v>
      </c>
      <c r="S95" s="147" t="s">
        <v>94</v>
      </c>
      <c r="T95" s="148">
        <v>46246.0</v>
      </c>
      <c r="U95" s="2"/>
      <c r="V95" s="2"/>
      <c r="W95" s="2"/>
      <c r="X95" s="2"/>
      <c r="Y95" s="2"/>
      <c r="Z95" s="2"/>
    </row>
    <row r="96" ht="13.5" customHeight="1">
      <c r="A96" s="67"/>
      <c r="B96" s="67"/>
      <c r="C96" s="67"/>
      <c r="D96" s="67"/>
      <c r="E96" s="89" t="s">
        <v>3066</v>
      </c>
      <c r="F96" s="70" t="s">
        <v>3067</v>
      </c>
      <c r="G96" s="83" t="s">
        <v>3068</v>
      </c>
      <c r="H96" s="81" t="s">
        <v>88</v>
      </c>
      <c r="I96" s="81" t="s">
        <v>60</v>
      </c>
      <c r="J96" s="189" t="s">
        <v>3069</v>
      </c>
      <c r="K96" s="90"/>
      <c r="L96" s="67"/>
      <c r="M96" s="85"/>
      <c r="N96" s="85"/>
      <c r="O96" s="85"/>
      <c r="P96" s="85"/>
      <c r="Q96" s="147" t="s">
        <v>93</v>
      </c>
      <c r="R96" s="147" t="s">
        <v>94</v>
      </c>
      <c r="S96" s="147" t="s">
        <v>94</v>
      </c>
      <c r="T96" s="148">
        <v>46246.0</v>
      </c>
      <c r="U96" s="2"/>
      <c r="V96" s="2"/>
      <c r="W96" s="2"/>
      <c r="X96" s="2"/>
      <c r="Y96" s="2"/>
      <c r="Z96" s="2"/>
    </row>
    <row r="97" ht="13.5" customHeight="1">
      <c r="A97" s="67"/>
      <c r="B97" s="67"/>
      <c r="C97" s="67"/>
      <c r="D97" s="67"/>
      <c r="E97" s="89" t="s">
        <v>3070</v>
      </c>
      <c r="F97" s="70"/>
      <c r="G97" s="83" t="s">
        <v>3071</v>
      </c>
      <c r="H97" s="81" t="s">
        <v>88</v>
      </c>
      <c r="I97" s="81" t="s">
        <v>60</v>
      </c>
      <c r="J97" s="189" t="s">
        <v>3072</v>
      </c>
      <c r="K97" s="90"/>
      <c r="L97" s="67"/>
      <c r="M97" s="85"/>
      <c r="N97" s="85"/>
      <c r="O97" s="85"/>
      <c r="P97" s="85"/>
      <c r="Q97" s="147" t="s">
        <v>93</v>
      </c>
      <c r="R97" s="147" t="s">
        <v>94</v>
      </c>
      <c r="S97" s="147" t="s">
        <v>94</v>
      </c>
      <c r="T97" s="148">
        <v>46246.0</v>
      </c>
      <c r="U97" s="2"/>
      <c r="V97" s="2"/>
      <c r="W97" s="2"/>
      <c r="X97" s="2"/>
      <c r="Y97" s="2"/>
      <c r="Z97" s="2"/>
    </row>
    <row r="98" ht="13.5" customHeight="1">
      <c r="A98" s="77"/>
      <c r="B98" s="77"/>
      <c r="C98" s="77"/>
      <c r="D98" s="77"/>
      <c r="E98" s="89" t="s">
        <v>3073</v>
      </c>
      <c r="F98" s="70"/>
      <c r="G98" s="83" t="s">
        <v>3074</v>
      </c>
      <c r="H98" s="81" t="s">
        <v>88</v>
      </c>
      <c r="I98" s="81" t="s">
        <v>60</v>
      </c>
      <c r="J98" s="189" t="s">
        <v>3075</v>
      </c>
      <c r="K98" s="90"/>
      <c r="L98" s="77"/>
      <c r="M98" s="85"/>
      <c r="N98" s="85"/>
      <c r="O98" s="85"/>
      <c r="P98" s="85"/>
      <c r="Q98" s="147" t="s">
        <v>93</v>
      </c>
      <c r="R98" s="147" t="s">
        <v>94</v>
      </c>
      <c r="S98" s="147" t="s">
        <v>94</v>
      </c>
      <c r="T98" s="148">
        <v>46246.0</v>
      </c>
      <c r="U98" s="2"/>
      <c r="V98" s="2"/>
      <c r="W98" s="2"/>
      <c r="X98" s="2"/>
      <c r="Y98" s="2"/>
      <c r="Z98" s="2"/>
    </row>
    <row r="99" ht="24.0" customHeight="1">
      <c r="A99" s="59" t="s">
        <v>2752</v>
      </c>
      <c r="B99" s="59" t="s">
        <v>674</v>
      </c>
      <c r="C99" s="60" t="s">
        <v>675</v>
      </c>
      <c r="D99" s="60" t="s">
        <v>3076</v>
      </c>
      <c r="E99" s="61" t="s">
        <v>3077</v>
      </c>
      <c r="F99" s="62" t="s">
        <v>3078</v>
      </c>
      <c r="G99" s="63" t="s">
        <v>3079</v>
      </c>
      <c r="H99" s="61" t="s">
        <v>88</v>
      </c>
      <c r="I99" s="61" t="s">
        <v>60</v>
      </c>
      <c r="J99" s="188" t="s">
        <v>3080</v>
      </c>
      <c r="K99" s="90"/>
      <c r="L99" s="60" t="s">
        <v>3081</v>
      </c>
      <c r="M99" s="61"/>
      <c r="N99" s="61"/>
      <c r="O99" s="61"/>
      <c r="P99" s="61"/>
      <c r="Q99" s="61" t="s">
        <v>93</v>
      </c>
      <c r="R99" s="61" t="s">
        <v>94</v>
      </c>
      <c r="S99" s="61" t="s">
        <v>94</v>
      </c>
      <c r="T99" s="66">
        <v>46246.0</v>
      </c>
      <c r="U99" s="2"/>
      <c r="V99" s="2"/>
      <c r="W99" s="2"/>
      <c r="X99" s="2"/>
      <c r="Y99" s="2"/>
      <c r="Z99" s="2"/>
    </row>
    <row r="100" ht="13.5" customHeight="1">
      <c r="A100" s="67"/>
      <c r="B100" s="67"/>
      <c r="C100" s="67"/>
      <c r="D100" s="67"/>
      <c r="E100" s="61" t="s">
        <v>3082</v>
      </c>
      <c r="F100" s="62"/>
      <c r="G100" s="63" t="s">
        <v>3083</v>
      </c>
      <c r="H100" s="61" t="s">
        <v>88</v>
      </c>
      <c r="I100" s="61" t="s">
        <v>60</v>
      </c>
      <c r="J100" s="188" t="s">
        <v>3084</v>
      </c>
      <c r="K100" s="90"/>
      <c r="L100" s="67"/>
      <c r="M100" s="61"/>
      <c r="N100" s="61"/>
      <c r="O100" s="61"/>
      <c r="P100" s="61"/>
      <c r="Q100" s="61" t="s">
        <v>93</v>
      </c>
      <c r="R100" s="61" t="s">
        <v>94</v>
      </c>
      <c r="S100" s="61" t="s">
        <v>94</v>
      </c>
      <c r="T100" s="66">
        <v>46246.0</v>
      </c>
      <c r="U100" s="2"/>
      <c r="V100" s="2"/>
      <c r="W100" s="2"/>
      <c r="X100" s="2"/>
      <c r="Y100" s="2"/>
      <c r="Z100" s="2"/>
    </row>
    <row r="101" ht="13.5" customHeight="1">
      <c r="A101" s="67"/>
      <c r="B101" s="67"/>
      <c r="C101" s="67"/>
      <c r="D101" s="67"/>
      <c r="E101" s="61" t="s">
        <v>3085</v>
      </c>
      <c r="F101" s="62"/>
      <c r="G101" s="63" t="s">
        <v>3086</v>
      </c>
      <c r="H101" s="61" t="s">
        <v>88</v>
      </c>
      <c r="I101" s="61" t="s">
        <v>60</v>
      </c>
      <c r="J101" s="188" t="s">
        <v>3087</v>
      </c>
      <c r="K101" s="90"/>
      <c r="L101" s="67"/>
      <c r="M101" s="61"/>
      <c r="N101" s="61"/>
      <c r="O101" s="61"/>
      <c r="P101" s="61"/>
      <c r="Q101" s="61" t="s">
        <v>93</v>
      </c>
      <c r="R101" s="61" t="s">
        <v>94</v>
      </c>
      <c r="S101" s="61" t="s">
        <v>94</v>
      </c>
      <c r="T101" s="66">
        <v>46246.0</v>
      </c>
      <c r="U101" s="2"/>
      <c r="V101" s="2"/>
      <c r="W101" s="2"/>
      <c r="X101" s="2"/>
      <c r="Y101" s="2"/>
      <c r="Z101" s="2"/>
    </row>
    <row r="102" ht="13.5" customHeight="1">
      <c r="A102" s="67"/>
      <c r="B102" s="67"/>
      <c r="C102" s="67"/>
      <c r="D102" s="67"/>
      <c r="E102" s="61" t="s">
        <v>3088</v>
      </c>
      <c r="F102" s="62" t="s">
        <v>3089</v>
      </c>
      <c r="G102" s="63" t="s">
        <v>3090</v>
      </c>
      <c r="H102" s="61" t="s">
        <v>88</v>
      </c>
      <c r="I102" s="61" t="s">
        <v>60</v>
      </c>
      <c r="J102" s="188" t="s">
        <v>3091</v>
      </c>
      <c r="K102" s="90"/>
      <c r="L102" s="67"/>
      <c r="M102" s="61"/>
      <c r="N102" s="61"/>
      <c r="O102" s="61"/>
      <c r="P102" s="61"/>
      <c r="Q102" s="61" t="s">
        <v>93</v>
      </c>
      <c r="R102" s="61" t="s">
        <v>94</v>
      </c>
      <c r="S102" s="61" t="s">
        <v>94</v>
      </c>
      <c r="T102" s="66">
        <v>46246.0</v>
      </c>
      <c r="U102" s="2"/>
      <c r="V102" s="2"/>
      <c r="W102" s="2"/>
      <c r="X102" s="2"/>
      <c r="Y102" s="2"/>
      <c r="Z102" s="2"/>
    </row>
    <row r="103" ht="13.5" customHeight="1">
      <c r="A103" s="67"/>
      <c r="B103" s="67"/>
      <c r="C103" s="67"/>
      <c r="D103" s="67"/>
      <c r="E103" s="61" t="s">
        <v>3092</v>
      </c>
      <c r="F103" s="62"/>
      <c r="G103" s="63" t="s">
        <v>3093</v>
      </c>
      <c r="H103" s="61" t="s">
        <v>88</v>
      </c>
      <c r="I103" s="61" t="s">
        <v>60</v>
      </c>
      <c r="J103" s="188" t="s">
        <v>3094</v>
      </c>
      <c r="K103" s="90"/>
      <c r="L103" s="67"/>
      <c r="M103" s="61"/>
      <c r="N103" s="61"/>
      <c r="O103" s="61"/>
      <c r="P103" s="61"/>
      <c r="Q103" s="61" t="s">
        <v>93</v>
      </c>
      <c r="R103" s="61" t="s">
        <v>94</v>
      </c>
      <c r="S103" s="61" t="s">
        <v>94</v>
      </c>
      <c r="T103" s="66">
        <v>46246.0</v>
      </c>
      <c r="U103" s="2"/>
      <c r="V103" s="2"/>
      <c r="W103" s="2"/>
      <c r="X103" s="2"/>
      <c r="Y103" s="2"/>
      <c r="Z103" s="2"/>
    </row>
    <row r="104" ht="13.5" customHeight="1">
      <c r="A104" s="67"/>
      <c r="B104" s="67"/>
      <c r="C104" s="67"/>
      <c r="D104" s="67"/>
      <c r="E104" s="61" t="s">
        <v>3095</v>
      </c>
      <c r="F104" s="62"/>
      <c r="G104" s="63" t="s">
        <v>3096</v>
      </c>
      <c r="H104" s="61" t="s">
        <v>88</v>
      </c>
      <c r="I104" s="61" t="s">
        <v>60</v>
      </c>
      <c r="J104" s="188" t="s">
        <v>3097</v>
      </c>
      <c r="K104" s="90"/>
      <c r="L104" s="67"/>
      <c r="M104" s="61"/>
      <c r="N104" s="61"/>
      <c r="O104" s="61"/>
      <c r="P104" s="61"/>
      <c r="Q104" s="61" t="s">
        <v>93</v>
      </c>
      <c r="R104" s="61" t="s">
        <v>94</v>
      </c>
      <c r="S104" s="61" t="s">
        <v>94</v>
      </c>
      <c r="T104" s="66">
        <v>46246.0</v>
      </c>
      <c r="U104" s="2"/>
      <c r="V104" s="2"/>
      <c r="W104" s="2"/>
      <c r="X104" s="2"/>
      <c r="Y104" s="2"/>
      <c r="Z104" s="2"/>
    </row>
    <row r="105" ht="13.5" customHeight="1">
      <c r="A105" s="67"/>
      <c r="B105" s="67"/>
      <c r="C105" s="67"/>
      <c r="D105" s="67"/>
      <c r="E105" s="61" t="s">
        <v>3098</v>
      </c>
      <c r="F105" s="62" t="s">
        <v>3099</v>
      </c>
      <c r="G105" s="63" t="s">
        <v>3100</v>
      </c>
      <c r="H105" s="61" t="s">
        <v>88</v>
      </c>
      <c r="I105" s="61" t="s">
        <v>60</v>
      </c>
      <c r="J105" s="188" t="s">
        <v>3101</v>
      </c>
      <c r="K105" s="90"/>
      <c r="L105" s="67"/>
      <c r="M105" s="61"/>
      <c r="N105" s="61"/>
      <c r="O105" s="61"/>
      <c r="P105" s="61"/>
      <c r="Q105" s="61" t="s">
        <v>93</v>
      </c>
      <c r="R105" s="61" t="s">
        <v>94</v>
      </c>
      <c r="S105" s="61" t="s">
        <v>94</v>
      </c>
      <c r="T105" s="66">
        <v>46246.0</v>
      </c>
      <c r="U105" s="2"/>
      <c r="V105" s="2"/>
      <c r="W105" s="2"/>
      <c r="X105" s="2"/>
      <c r="Y105" s="2"/>
      <c r="Z105" s="2"/>
    </row>
    <row r="106" ht="13.5" customHeight="1">
      <c r="A106" s="67"/>
      <c r="B106" s="67"/>
      <c r="C106" s="67"/>
      <c r="D106" s="67"/>
      <c r="E106" s="61" t="s">
        <v>3102</v>
      </c>
      <c r="F106" s="62"/>
      <c r="G106" s="63" t="s">
        <v>3103</v>
      </c>
      <c r="H106" s="61" t="s">
        <v>88</v>
      </c>
      <c r="I106" s="61" t="s">
        <v>60</v>
      </c>
      <c r="J106" s="188" t="s">
        <v>3104</v>
      </c>
      <c r="K106" s="90"/>
      <c r="L106" s="67"/>
      <c r="M106" s="61"/>
      <c r="N106" s="61"/>
      <c r="O106" s="61"/>
      <c r="P106" s="61"/>
      <c r="Q106" s="61" t="s">
        <v>93</v>
      </c>
      <c r="R106" s="61" t="s">
        <v>94</v>
      </c>
      <c r="S106" s="61" t="s">
        <v>94</v>
      </c>
      <c r="T106" s="66">
        <v>46246.0</v>
      </c>
      <c r="U106" s="2"/>
      <c r="V106" s="2"/>
      <c r="W106" s="2"/>
      <c r="X106" s="2"/>
      <c r="Y106" s="2"/>
      <c r="Z106" s="2"/>
    </row>
    <row r="107" ht="13.5" customHeight="1">
      <c r="A107" s="67"/>
      <c r="B107" s="67"/>
      <c r="C107" s="67"/>
      <c r="D107" s="67"/>
      <c r="E107" s="61" t="s">
        <v>3105</v>
      </c>
      <c r="F107" s="62"/>
      <c r="G107" s="63" t="s">
        <v>3106</v>
      </c>
      <c r="H107" s="61" t="s">
        <v>88</v>
      </c>
      <c r="I107" s="61" t="s">
        <v>60</v>
      </c>
      <c r="J107" s="188" t="s">
        <v>3107</v>
      </c>
      <c r="K107" s="90"/>
      <c r="L107" s="67"/>
      <c r="M107" s="61"/>
      <c r="N107" s="61"/>
      <c r="O107" s="61"/>
      <c r="P107" s="61"/>
      <c r="Q107" s="61" t="s">
        <v>93</v>
      </c>
      <c r="R107" s="61" t="s">
        <v>94</v>
      </c>
      <c r="S107" s="61" t="s">
        <v>94</v>
      </c>
      <c r="T107" s="66">
        <v>46246.0</v>
      </c>
      <c r="U107" s="2"/>
      <c r="V107" s="2"/>
      <c r="W107" s="2"/>
      <c r="X107" s="2"/>
      <c r="Y107" s="2"/>
      <c r="Z107" s="2"/>
    </row>
    <row r="108" ht="13.5" customHeight="1">
      <c r="A108" s="67"/>
      <c r="B108" s="67"/>
      <c r="C108" s="67"/>
      <c r="D108" s="67"/>
      <c r="E108" s="61" t="s">
        <v>3108</v>
      </c>
      <c r="F108" s="62"/>
      <c r="G108" s="63" t="s">
        <v>3109</v>
      </c>
      <c r="H108" s="61" t="s">
        <v>88</v>
      </c>
      <c r="I108" s="61" t="s">
        <v>60</v>
      </c>
      <c r="J108" s="188" t="s">
        <v>3110</v>
      </c>
      <c r="K108" s="90"/>
      <c r="L108" s="67"/>
      <c r="M108" s="61"/>
      <c r="N108" s="61"/>
      <c r="O108" s="61"/>
      <c r="P108" s="61"/>
      <c r="Q108" s="61" t="s">
        <v>93</v>
      </c>
      <c r="R108" s="61" t="s">
        <v>94</v>
      </c>
      <c r="S108" s="61" t="s">
        <v>94</v>
      </c>
      <c r="T108" s="66">
        <v>46246.0</v>
      </c>
      <c r="U108" s="2"/>
      <c r="V108" s="2"/>
      <c r="W108" s="2"/>
      <c r="X108" s="2"/>
      <c r="Y108" s="2"/>
      <c r="Z108" s="2"/>
    </row>
    <row r="109" ht="13.5" customHeight="1">
      <c r="A109" s="77"/>
      <c r="B109" s="77"/>
      <c r="C109" s="77"/>
      <c r="D109" s="77"/>
      <c r="E109" s="61" t="s">
        <v>3111</v>
      </c>
      <c r="F109" s="62" t="s">
        <v>3112</v>
      </c>
      <c r="G109" s="63" t="s">
        <v>3113</v>
      </c>
      <c r="H109" s="61" t="s">
        <v>88</v>
      </c>
      <c r="I109" s="61" t="s">
        <v>60</v>
      </c>
      <c r="J109" s="188" t="s">
        <v>3114</v>
      </c>
      <c r="K109" s="90"/>
      <c r="L109" s="77"/>
      <c r="M109" s="61"/>
      <c r="N109" s="61"/>
      <c r="O109" s="61"/>
      <c r="P109" s="61"/>
      <c r="Q109" s="61" t="s">
        <v>93</v>
      </c>
      <c r="R109" s="61" t="s">
        <v>94</v>
      </c>
      <c r="S109" s="61" t="s">
        <v>94</v>
      </c>
      <c r="T109" s="66">
        <v>46246.0</v>
      </c>
      <c r="U109" s="2"/>
      <c r="V109" s="2"/>
      <c r="W109" s="2"/>
      <c r="X109" s="2"/>
      <c r="Y109" s="2"/>
      <c r="Z109" s="2"/>
    </row>
    <row r="110" ht="13.5" customHeight="1">
      <c r="A110" s="78" t="s">
        <v>3115</v>
      </c>
      <c r="B110" s="78" t="s">
        <v>682</v>
      </c>
      <c r="C110" s="79" t="s">
        <v>3116</v>
      </c>
      <c r="D110" s="79" t="s">
        <v>3116</v>
      </c>
      <c r="E110" s="115" t="s">
        <v>3117</v>
      </c>
      <c r="F110" s="79" t="s">
        <v>3116</v>
      </c>
      <c r="G110" s="83" t="s">
        <v>3118</v>
      </c>
      <c r="H110" s="81" t="s">
        <v>1890</v>
      </c>
      <c r="I110" s="81" t="s">
        <v>60</v>
      </c>
      <c r="J110" s="189" t="s">
        <v>3119</v>
      </c>
      <c r="K110" s="90"/>
      <c r="L110" s="193"/>
      <c r="M110" s="194"/>
      <c r="N110" s="194"/>
      <c r="O110" s="194"/>
      <c r="P110" s="194"/>
      <c r="Q110" s="89" t="s">
        <v>93</v>
      </c>
      <c r="R110" s="81" t="s">
        <v>94</v>
      </c>
      <c r="S110" s="81" t="s">
        <v>94</v>
      </c>
      <c r="T110" s="84">
        <v>46246.0</v>
      </c>
      <c r="U110" s="2"/>
      <c r="V110" s="2"/>
      <c r="W110" s="2"/>
      <c r="X110" s="2"/>
      <c r="Y110" s="2"/>
      <c r="Z110" s="2"/>
    </row>
    <row r="111" ht="13.5" customHeight="1">
      <c r="A111" s="77"/>
      <c r="B111" s="77"/>
      <c r="C111" s="77"/>
      <c r="D111" s="77"/>
      <c r="E111" s="115" t="s">
        <v>3120</v>
      </c>
      <c r="F111" s="77"/>
      <c r="G111" s="83" t="s">
        <v>3121</v>
      </c>
      <c r="H111" s="81" t="s">
        <v>1890</v>
      </c>
      <c r="I111" s="81" t="s">
        <v>60</v>
      </c>
      <c r="J111" s="189" t="s">
        <v>3122</v>
      </c>
      <c r="K111" s="90"/>
      <c r="L111" s="195"/>
      <c r="M111" s="194"/>
      <c r="N111" s="194"/>
      <c r="O111" s="194"/>
      <c r="P111" s="194"/>
      <c r="Q111" s="89" t="s">
        <v>93</v>
      </c>
      <c r="R111" s="89" t="s">
        <v>94</v>
      </c>
      <c r="S111" s="89" t="s">
        <v>94</v>
      </c>
      <c r="T111" s="86">
        <v>46246.0</v>
      </c>
      <c r="U111" s="2"/>
      <c r="V111" s="2"/>
      <c r="W111" s="2"/>
      <c r="X111" s="2"/>
      <c r="Y111" s="2"/>
      <c r="Z111" s="2"/>
    </row>
    <row r="112" ht="13.5" customHeight="1">
      <c r="A112" s="93" t="s">
        <v>3115</v>
      </c>
      <c r="B112" s="93" t="s">
        <v>690</v>
      </c>
      <c r="C112" s="196" t="s">
        <v>3123</v>
      </c>
      <c r="D112" s="196" t="s">
        <v>3123</v>
      </c>
      <c r="E112" s="89" t="s">
        <v>3124</v>
      </c>
      <c r="F112" s="196" t="s">
        <v>3123</v>
      </c>
      <c r="G112" s="83" t="s">
        <v>3125</v>
      </c>
      <c r="H112" s="81" t="s">
        <v>1890</v>
      </c>
      <c r="I112" s="81" t="s">
        <v>2742</v>
      </c>
      <c r="J112" s="189" t="s">
        <v>3126</v>
      </c>
      <c r="K112" s="90"/>
      <c r="L112" s="197"/>
      <c r="M112" s="194"/>
      <c r="N112" s="194"/>
      <c r="O112" s="194"/>
      <c r="P112" s="194"/>
      <c r="Q112" s="89" t="s">
        <v>93</v>
      </c>
      <c r="R112" s="89" t="s">
        <v>94</v>
      </c>
      <c r="S112" s="89" t="s">
        <v>94</v>
      </c>
      <c r="T112" s="86">
        <v>46246.0</v>
      </c>
      <c r="U112" s="2"/>
      <c r="V112" s="2"/>
      <c r="W112" s="2"/>
      <c r="X112" s="2"/>
      <c r="Y112" s="2"/>
      <c r="Z112" s="2"/>
    </row>
    <row r="113" ht="13.5" customHeight="1">
      <c r="A113" s="198"/>
      <c r="B113" s="198"/>
      <c r="C113" s="198"/>
      <c r="D113" s="198"/>
      <c r="E113" s="89"/>
      <c r="F113" s="70"/>
      <c r="G113" s="83"/>
      <c r="H113" s="81"/>
      <c r="I113" s="81"/>
      <c r="J113" s="189"/>
      <c r="K113" s="83"/>
      <c r="L113" s="198"/>
      <c r="M113" s="199"/>
      <c r="N113" s="199"/>
      <c r="O113" s="199"/>
      <c r="P113" s="199"/>
      <c r="Q113" s="200"/>
      <c r="R113" s="200"/>
      <c r="S113" s="200"/>
      <c r="T113" s="201"/>
      <c r="U113" s="2"/>
      <c r="V113" s="2"/>
      <c r="W113" s="2"/>
      <c r="X113" s="2"/>
      <c r="Y113" s="2"/>
      <c r="Z113" s="2"/>
    </row>
    <row r="114" ht="13.5" customHeight="1">
      <c r="A114" s="198"/>
      <c r="B114" s="198"/>
      <c r="C114" s="198"/>
      <c r="D114" s="198"/>
      <c r="E114" s="89"/>
      <c r="F114" s="70"/>
      <c r="G114" s="83"/>
      <c r="H114" s="81"/>
      <c r="I114" s="81"/>
      <c r="J114" s="189"/>
      <c r="K114" s="83"/>
      <c r="L114" s="198"/>
      <c r="M114" s="199"/>
      <c r="N114" s="199"/>
      <c r="O114" s="199"/>
      <c r="P114" s="199"/>
      <c r="Q114" s="200"/>
      <c r="R114" s="200"/>
      <c r="S114" s="200"/>
      <c r="T114" s="199"/>
      <c r="U114" s="2"/>
      <c r="V114" s="2"/>
      <c r="W114" s="2"/>
      <c r="X114" s="2"/>
      <c r="Y114" s="2"/>
      <c r="Z114" s="2"/>
    </row>
    <row r="115" ht="13.5" customHeight="1">
      <c r="A115" s="202"/>
      <c r="B115" s="202"/>
      <c r="C115" s="202"/>
      <c r="D115" s="202"/>
      <c r="E115" s="89"/>
      <c r="F115" s="70"/>
      <c r="G115" s="83"/>
      <c r="H115" s="81"/>
      <c r="I115" s="81"/>
      <c r="J115" s="189"/>
      <c r="K115" s="83"/>
      <c r="L115" s="202"/>
      <c r="M115" s="199"/>
      <c r="N115" s="199"/>
      <c r="O115" s="199"/>
      <c r="P115" s="199"/>
      <c r="Q115" s="200"/>
      <c r="R115" s="200"/>
      <c r="S115" s="200"/>
      <c r="T115" s="199"/>
      <c r="U115" s="2"/>
      <c r="V115" s="2"/>
      <c r="W115" s="2"/>
      <c r="X115" s="2"/>
      <c r="Y115" s="2"/>
      <c r="Z115" s="2"/>
    </row>
    <row r="116" ht="13.5" customHeight="1">
      <c r="A116" s="49"/>
      <c r="B116" s="49"/>
      <c r="C116" s="49"/>
      <c r="D116" s="49"/>
      <c r="E116" s="49"/>
      <c r="F116" s="49"/>
      <c r="G116" s="49"/>
      <c r="H116" s="49"/>
      <c r="I116" s="49"/>
      <c r="J116" s="49"/>
      <c r="K116" s="49"/>
      <c r="L116" s="49"/>
      <c r="M116" s="49"/>
      <c r="N116" s="49"/>
      <c r="O116" s="49"/>
      <c r="P116" s="49"/>
      <c r="Q116" s="51"/>
      <c r="R116" s="51"/>
      <c r="S116" s="51"/>
      <c r="T116" s="49"/>
      <c r="U116" s="2"/>
      <c r="V116" s="2"/>
      <c r="W116" s="2"/>
      <c r="X116" s="2"/>
      <c r="Y116" s="2"/>
      <c r="Z116" s="2"/>
    </row>
    <row r="117" ht="13.5" customHeight="1">
      <c r="A117" s="49"/>
      <c r="B117" s="49"/>
      <c r="C117" s="49"/>
      <c r="D117" s="49"/>
      <c r="E117" s="49"/>
      <c r="F117" s="49"/>
      <c r="G117" s="49"/>
      <c r="H117" s="49"/>
      <c r="I117" s="49"/>
      <c r="J117" s="49"/>
      <c r="K117" s="49"/>
      <c r="L117" s="49"/>
      <c r="M117" s="49"/>
      <c r="N117" s="49"/>
      <c r="O117" s="49"/>
      <c r="P117" s="49"/>
      <c r="Q117" s="51"/>
      <c r="R117" s="51"/>
      <c r="S117" s="51"/>
      <c r="T117" s="49"/>
      <c r="U117" s="2"/>
      <c r="V117" s="2"/>
      <c r="W117" s="2"/>
      <c r="X117" s="2"/>
      <c r="Y117" s="2"/>
      <c r="Z117" s="2"/>
    </row>
    <row r="118" ht="13.5" customHeight="1">
      <c r="A118" s="49"/>
      <c r="B118" s="49"/>
      <c r="C118" s="49"/>
      <c r="D118" s="49"/>
      <c r="E118" s="49"/>
      <c r="F118" s="49"/>
      <c r="G118" s="49"/>
      <c r="H118" s="49"/>
      <c r="I118" s="49"/>
      <c r="J118" s="49"/>
      <c r="K118" s="49"/>
      <c r="L118" s="49"/>
      <c r="M118" s="49"/>
      <c r="N118" s="49"/>
      <c r="O118" s="49"/>
      <c r="P118" s="49"/>
      <c r="Q118" s="51"/>
      <c r="R118" s="51"/>
      <c r="S118" s="51"/>
      <c r="T118" s="49"/>
      <c r="U118" s="2"/>
      <c r="V118" s="2"/>
      <c r="W118" s="2"/>
      <c r="X118" s="2"/>
      <c r="Y118" s="2"/>
      <c r="Z118" s="2"/>
    </row>
    <row r="119" ht="13.5" customHeight="1">
      <c r="A119" s="49"/>
      <c r="B119" s="49"/>
      <c r="C119" s="49"/>
      <c r="D119" s="49"/>
      <c r="E119" s="49"/>
      <c r="F119" s="49"/>
      <c r="G119" s="49"/>
      <c r="H119" s="49"/>
      <c r="I119" s="49"/>
      <c r="J119" s="49"/>
      <c r="K119" s="49"/>
      <c r="L119" s="49"/>
      <c r="M119" s="49"/>
      <c r="N119" s="49"/>
      <c r="O119" s="49"/>
      <c r="P119" s="49"/>
      <c r="Q119" s="51"/>
      <c r="R119" s="51"/>
      <c r="S119" s="51"/>
      <c r="T119" s="49"/>
      <c r="U119" s="2"/>
      <c r="V119" s="2"/>
      <c r="W119" s="2"/>
      <c r="X119" s="2"/>
      <c r="Y119" s="2"/>
      <c r="Z119" s="2"/>
    </row>
    <row r="120" ht="13.5" customHeight="1">
      <c r="A120" s="49"/>
      <c r="B120" s="49"/>
      <c r="C120" s="49"/>
      <c r="D120" s="49"/>
      <c r="E120" s="49"/>
      <c r="F120" s="49"/>
      <c r="G120" s="49"/>
      <c r="H120" s="49"/>
      <c r="I120" s="49"/>
      <c r="J120" s="49"/>
      <c r="K120" s="49"/>
      <c r="L120" s="49"/>
      <c r="M120" s="49"/>
      <c r="N120" s="49"/>
      <c r="O120" s="49"/>
      <c r="P120" s="49"/>
      <c r="Q120" s="51"/>
      <c r="R120" s="51"/>
      <c r="S120" s="51"/>
      <c r="T120" s="49"/>
      <c r="U120" s="2"/>
      <c r="V120" s="2"/>
      <c r="W120" s="2"/>
      <c r="X120" s="2"/>
      <c r="Y120" s="2"/>
      <c r="Z120" s="2"/>
    </row>
    <row r="121" ht="13.5" customHeight="1">
      <c r="A121" s="49"/>
      <c r="B121" s="49"/>
      <c r="C121" s="49"/>
      <c r="D121" s="49"/>
      <c r="E121" s="49"/>
      <c r="F121" s="49"/>
      <c r="G121" s="49"/>
      <c r="H121" s="49"/>
      <c r="I121" s="49"/>
      <c r="J121" s="49"/>
      <c r="K121" s="49"/>
      <c r="L121" s="49"/>
      <c r="M121" s="49"/>
      <c r="N121" s="49"/>
      <c r="O121" s="49"/>
      <c r="P121" s="49"/>
      <c r="Q121" s="51"/>
      <c r="R121" s="51"/>
      <c r="S121" s="51"/>
      <c r="T121" s="49"/>
      <c r="U121" s="2"/>
      <c r="V121" s="2"/>
      <c r="W121" s="2"/>
      <c r="X121" s="2"/>
      <c r="Y121" s="2"/>
      <c r="Z121" s="2"/>
    </row>
    <row r="122" ht="13.5" customHeight="1">
      <c r="A122" s="49"/>
      <c r="B122" s="49"/>
      <c r="C122" s="49"/>
      <c r="D122" s="49"/>
      <c r="E122" s="49"/>
      <c r="F122" s="49"/>
      <c r="G122" s="49"/>
      <c r="H122" s="49"/>
      <c r="I122" s="49"/>
      <c r="J122" s="49"/>
      <c r="K122" s="49"/>
      <c r="L122" s="49"/>
      <c r="M122" s="49"/>
      <c r="N122" s="49"/>
      <c r="O122" s="49"/>
      <c r="P122" s="49"/>
      <c r="Q122" s="51"/>
      <c r="R122" s="51"/>
      <c r="S122" s="51"/>
      <c r="T122" s="49"/>
      <c r="U122" s="2"/>
      <c r="V122" s="2"/>
      <c r="W122" s="2"/>
      <c r="X122" s="2"/>
      <c r="Y122" s="2"/>
      <c r="Z122" s="2"/>
    </row>
    <row r="123" ht="13.5" customHeight="1">
      <c r="A123" s="49"/>
      <c r="B123" s="49"/>
      <c r="C123" s="49"/>
      <c r="D123" s="49"/>
      <c r="E123" s="49"/>
      <c r="F123" s="49"/>
      <c r="G123" s="49"/>
      <c r="H123" s="49"/>
      <c r="I123" s="49"/>
      <c r="J123" s="49"/>
      <c r="K123" s="49"/>
      <c r="L123" s="49"/>
      <c r="M123" s="49"/>
      <c r="N123" s="49"/>
      <c r="O123" s="49"/>
      <c r="P123" s="49"/>
      <c r="Q123" s="51"/>
      <c r="R123" s="51"/>
      <c r="S123" s="51"/>
      <c r="T123" s="49"/>
      <c r="U123" s="2"/>
      <c r="V123" s="2"/>
      <c r="W123" s="2"/>
      <c r="X123" s="2"/>
      <c r="Y123" s="2"/>
      <c r="Z123" s="2"/>
    </row>
    <row r="124" ht="13.5" customHeight="1">
      <c r="A124" s="49"/>
      <c r="B124" s="49"/>
      <c r="C124" s="49"/>
      <c r="D124" s="49"/>
      <c r="E124" s="49"/>
      <c r="F124" s="49"/>
      <c r="G124" s="49"/>
      <c r="H124" s="49"/>
      <c r="I124" s="49"/>
      <c r="J124" s="49"/>
      <c r="K124" s="49"/>
      <c r="L124" s="49"/>
      <c r="M124" s="49"/>
      <c r="N124" s="49"/>
      <c r="O124" s="49"/>
      <c r="P124" s="49"/>
      <c r="Q124" s="51"/>
      <c r="R124" s="51"/>
      <c r="S124" s="51"/>
      <c r="T124" s="49"/>
      <c r="U124" s="2"/>
      <c r="V124" s="2"/>
      <c r="W124" s="2"/>
      <c r="X124" s="2"/>
      <c r="Y124" s="2"/>
      <c r="Z124" s="2"/>
    </row>
    <row r="125" ht="13.5" customHeight="1">
      <c r="A125" s="49"/>
      <c r="B125" s="49"/>
      <c r="C125" s="49"/>
      <c r="D125" s="49"/>
      <c r="E125" s="49"/>
      <c r="F125" s="49"/>
      <c r="G125" s="49"/>
      <c r="H125" s="49"/>
      <c r="I125" s="49"/>
      <c r="J125" s="49"/>
      <c r="K125" s="49"/>
      <c r="L125" s="49"/>
      <c r="M125" s="49"/>
      <c r="N125" s="49"/>
      <c r="O125" s="49"/>
      <c r="P125" s="49"/>
      <c r="Q125" s="51"/>
      <c r="R125" s="51"/>
      <c r="S125" s="51"/>
      <c r="T125" s="49"/>
      <c r="U125" s="2"/>
      <c r="V125" s="2"/>
      <c r="W125" s="2"/>
      <c r="X125" s="2"/>
      <c r="Y125" s="2"/>
      <c r="Z125" s="2"/>
    </row>
    <row r="126" ht="13.5" customHeight="1">
      <c r="A126" s="49"/>
      <c r="B126" s="49"/>
      <c r="C126" s="49"/>
      <c r="D126" s="49"/>
      <c r="E126" s="49"/>
      <c r="F126" s="49"/>
      <c r="G126" s="49"/>
      <c r="H126" s="49"/>
      <c r="I126" s="49"/>
      <c r="J126" s="49"/>
      <c r="K126" s="49"/>
      <c r="L126" s="49"/>
      <c r="M126" s="49"/>
      <c r="N126" s="49"/>
      <c r="O126" s="49"/>
      <c r="P126" s="49"/>
      <c r="Q126" s="51"/>
      <c r="R126" s="51"/>
      <c r="S126" s="51"/>
      <c r="T126" s="49"/>
      <c r="U126" s="2"/>
      <c r="V126" s="2"/>
      <c r="W126" s="2"/>
      <c r="X126" s="2"/>
      <c r="Y126" s="2"/>
      <c r="Z126" s="2"/>
    </row>
    <row r="127" ht="13.5" customHeight="1">
      <c r="A127" s="49"/>
      <c r="B127" s="49"/>
      <c r="C127" s="49"/>
      <c r="D127" s="49"/>
      <c r="E127" s="49"/>
      <c r="F127" s="49"/>
      <c r="G127" s="49"/>
      <c r="H127" s="49"/>
      <c r="I127" s="49"/>
      <c r="J127" s="49"/>
      <c r="K127" s="49"/>
      <c r="L127" s="49"/>
      <c r="M127" s="49"/>
      <c r="N127" s="49"/>
      <c r="O127" s="49"/>
      <c r="P127" s="49"/>
      <c r="Q127" s="51"/>
      <c r="R127" s="51"/>
      <c r="S127" s="51"/>
      <c r="T127" s="49"/>
      <c r="U127" s="2"/>
      <c r="V127" s="2"/>
      <c r="W127" s="2"/>
      <c r="X127" s="2"/>
      <c r="Y127" s="2"/>
      <c r="Z127" s="2"/>
    </row>
    <row r="128" ht="13.5" customHeight="1">
      <c r="A128" s="49"/>
      <c r="B128" s="49"/>
      <c r="C128" s="49"/>
      <c r="D128" s="49"/>
      <c r="E128" s="49"/>
      <c r="F128" s="49"/>
      <c r="G128" s="49"/>
      <c r="H128" s="49"/>
      <c r="I128" s="49"/>
      <c r="J128" s="49"/>
      <c r="K128" s="49"/>
      <c r="L128" s="49"/>
      <c r="M128" s="49"/>
      <c r="N128" s="49"/>
      <c r="O128" s="49"/>
      <c r="P128" s="49"/>
      <c r="Q128" s="51"/>
      <c r="R128" s="51"/>
      <c r="S128" s="51"/>
      <c r="T128" s="49"/>
      <c r="U128" s="2"/>
      <c r="V128" s="2"/>
      <c r="W128" s="2"/>
      <c r="X128" s="2"/>
      <c r="Y128" s="2"/>
      <c r="Z128" s="2"/>
    </row>
    <row r="129" ht="13.5" customHeight="1">
      <c r="A129" s="49"/>
      <c r="B129" s="49"/>
      <c r="C129" s="49"/>
      <c r="D129" s="49"/>
      <c r="E129" s="49"/>
      <c r="F129" s="49"/>
      <c r="G129" s="49"/>
      <c r="H129" s="49"/>
      <c r="I129" s="49"/>
      <c r="J129" s="49"/>
      <c r="K129" s="49"/>
      <c r="L129" s="49"/>
      <c r="M129" s="49"/>
      <c r="N129" s="49"/>
      <c r="O129" s="49"/>
      <c r="P129" s="49"/>
      <c r="Q129" s="51"/>
      <c r="R129" s="51"/>
      <c r="S129" s="51"/>
      <c r="T129" s="49"/>
      <c r="U129" s="2"/>
      <c r="V129" s="2"/>
      <c r="W129" s="2"/>
      <c r="X129" s="2"/>
      <c r="Y129" s="2"/>
      <c r="Z129" s="2"/>
    </row>
    <row r="130" ht="13.5" customHeight="1">
      <c r="A130" s="49"/>
      <c r="B130" s="49"/>
      <c r="C130" s="49"/>
      <c r="D130" s="49"/>
      <c r="E130" s="49"/>
      <c r="F130" s="49"/>
      <c r="G130" s="49"/>
      <c r="H130" s="49"/>
      <c r="I130" s="49"/>
      <c r="J130" s="49"/>
      <c r="K130" s="49"/>
      <c r="L130" s="49"/>
      <c r="M130" s="49"/>
      <c r="N130" s="49"/>
      <c r="O130" s="49"/>
      <c r="P130" s="49"/>
      <c r="Q130" s="51"/>
      <c r="R130" s="51"/>
      <c r="S130" s="51"/>
      <c r="T130" s="49"/>
      <c r="U130" s="2"/>
      <c r="V130" s="2"/>
      <c r="W130" s="2"/>
      <c r="X130" s="2"/>
      <c r="Y130" s="2"/>
      <c r="Z130" s="2"/>
    </row>
    <row r="131" ht="13.5" customHeight="1">
      <c r="A131" s="49"/>
      <c r="B131" s="49"/>
      <c r="C131" s="49"/>
      <c r="D131" s="49"/>
      <c r="E131" s="49"/>
      <c r="F131" s="49"/>
      <c r="G131" s="49"/>
      <c r="H131" s="49"/>
      <c r="I131" s="49"/>
      <c r="J131" s="49"/>
      <c r="K131" s="49"/>
      <c r="L131" s="49"/>
      <c r="M131" s="49"/>
      <c r="N131" s="49"/>
      <c r="O131" s="49"/>
      <c r="P131" s="49"/>
      <c r="Q131" s="51"/>
      <c r="R131" s="51"/>
      <c r="S131" s="51"/>
      <c r="T131" s="49"/>
      <c r="U131" s="2"/>
      <c r="V131" s="2"/>
      <c r="W131" s="2"/>
      <c r="X131" s="2"/>
      <c r="Y131" s="2"/>
      <c r="Z131" s="2"/>
    </row>
    <row r="132" ht="13.5" customHeight="1">
      <c r="A132" s="49"/>
      <c r="B132" s="49"/>
      <c r="C132" s="49"/>
      <c r="D132" s="49"/>
      <c r="E132" s="49"/>
      <c r="F132" s="49"/>
      <c r="G132" s="49"/>
      <c r="H132" s="49"/>
      <c r="I132" s="49"/>
      <c r="J132" s="49"/>
      <c r="K132" s="49"/>
      <c r="L132" s="49"/>
      <c r="M132" s="49"/>
      <c r="N132" s="49"/>
      <c r="O132" s="49"/>
      <c r="P132" s="49"/>
      <c r="Q132" s="51"/>
      <c r="R132" s="51"/>
      <c r="S132" s="51"/>
      <c r="T132" s="49"/>
      <c r="U132" s="2"/>
      <c r="V132" s="2"/>
      <c r="W132" s="2"/>
      <c r="X132" s="2"/>
      <c r="Y132" s="2"/>
      <c r="Z132" s="2"/>
    </row>
    <row r="133" ht="13.5" customHeight="1">
      <c r="A133" s="49"/>
      <c r="B133" s="49"/>
      <c r="C133" s="49"/>
      <c r="D133" s="49"/>
      <c r="E133" s="49"/>
      <c r="F133" s="49"/>
      <c r="G133" s="49"/>
      <c r="H133" s="49"/>
      <c r="I133" s="49"/>
      <c r="J133" s="49"/>
      <c r="K133" s="49"/>
      <c r="L133" s="49"/>
      <c r="M133" s="49"/>
      <c r="N133" s="49"/>
      <c r="O133" s="49"/>
      <c r="P133" s="49"/>
      <c r="Q133" s="51"/>
      <c r="R133" s="51"/>
      <c r="S133" s="51"/>
      <c r="T133" s="49"/>
      <c r="U133" s="2"/>
      <c r="V133" s="2"/>
      <c r="W133" s="2"/>
      <c r="X133" s="2"/>
      <c r="Y133" s="2"/>
      <c r="Z133" s="2"/>
    </row>
    <row r="134" ht="13.5" customHeight="1">
      <c r="A134" s="49"/>
      <c r="B134" s="49"/>
      <c r="C134" s="49"/>
      <c r="D134" s="49"/>
      <c r="E134" s="49"/>
      <c r="F134" s="49"/>
      <c r="G134" s="49"/>
      <c r="H134" s="49"/>
      <c r="I134" s="49"/>
      <c r="J134" s="49"/>
      <c r="K134" s="49"/>
      <c r="L134" s="49"/>
      <c r="M134" s="49"/>
      <c r="N134" s="49"/>
      <c r="O134" s="49"/>
      <c r="P134" s="49"/>
      <c r="Q134" s="51"/>
      <c r="R134" s="51"/>
      <c r="S134" s="51"/>
      <c r="T134" s="49"/>
      <c r="U134" s="2"/>
      <c r="V134" s="2"/>
      <c r="W134" s="2"/>
      <c r="X134" s="2"/>
      <c r="Y134" s="2"/>
      <c r="Z134" s="2"/>
    </row>
    <row r="135" ht="13.5" customHeight="1">
      <c r="A135" s="49"/>
      <c r="B135" s="49"/>
      <c r="C135" s="49"/>
      <c r="D135" s="49"/>
      <c r="E135" s="49"/>
      <c r="F135" s="49"/>
      <c r="G135" s="49"/>
      <c r="H135" s="49"/>
      <c r="I135" s="49"/>
      <c r="J135" s="49"/>
      <c r="K135" s="49"/>
      <c r="L135" s="49"/>
      <c r="M135" s="49"/>
      <c r="N135" s="49"/>
      <c r="O135" s="49"/>
      <c r="P135" s="49"/>
      <c r="Q135" s="51"/>
      <c r="R135" s="51"/>
      <c r="S135" s="51"/>
      <c r="T135" s="49"/>
      <c r="U135" s="2"/>
      <c r="V135" s="2"/>
      <c r="W135" s="2"/>
      <c r="X135" s="2"/>
      <c r="Y135" s="2"/>
      <c r="Z135" s="2"/>
    </row>
    <row r="136" ht="13.5" customHeight="1">
      <c r="A136" s="49"/>
      <c r="B136" s="49"/>
      <c r="C136" s="49"/>
      <c r="D136" s="49"/>
      <c r="E136" s="49"/>
      <c r="F136" s="49"/>
      <c r="G136" s="49"/>
      <c r="H136" s="49"/>
      <c r="I136" s="49"/>
      <c r="J136" s="49"/>
      <c r="K136" s="49"/>
      <c r="L136" s="49"/>
      <c r="M136" s="49"/>
      <c r="N136" s="49"/>
      <c r="O136" s="49"/>
      <c r="P136" s="49"/>
      <c r="Q136" s="51"/>
      <c r="R136" s="51"/>
      <c r="S136" s="51"/>
      <c r="T136" s="49"/>
      <c r="U136" s="2"/>
      <c r="V136" s="2"/>
      <c r="W136" s="2"/>
      <c r="X136" s="2"/>
      <c r="Y136" s="2"/>
      <c r="Z136" s="2"/>
    </row>
    <row r="137" ht="13.5" customHeight="1">
      <c r="A137" s="49"/>
      <c r="B137" s="49"/>
      <c r="C137" s="49"/>
      <c r="D137" s="49"/>
      <c r="E137" s="49"/>
      <c r="F137" s="49"/>
      <c r="G137" s="49"/>
      <c r="H137" s="49"/>
      <c r="I137" s="49"/>
      <c r="J137" s="49"/>
      <c r="K137" s="49"/>
      <c r="L137" s="49"/>
      <c r="M137" s="49"/>
      <c r="N137" s="49"/>
      <c r="O137" s="49"/>
      <c r="P137" s="49"/>
      <c r="Q137" s="51"/>
      <c r="R137" s="51"/>
      <c r="S137" s="51"/>
      <c r="T137" s="49"/>
      <c r="U137" s="2"/>
      <c r="V137" s="2"/>
      <c r="W137" s="2"/>
      <c r="X137" s="2"/>
      <c r="Y137" s="2"/>
      <c r="Z137" s="2"/>
    </row>
    <row r="138" ht="13.5" customHeight="1">
      <c r="A138" s="49"/>
      <c r="B138" s="49"/>
      <c r="C138" s="49"/>
      <c r="D138" s="49"/>
      <c r="E138" s="49"/>
      <c r="F138" s="49"/>
      <c r="G138" s="49"/>
      <c r="H138" s="49"/>
      <c r="I138" s="49"/>
      <c r="J138" s="49"/>
      <c r="K138" s="49"/>
      <c r="L138" s="49"/>
      <c r="M138" s="49"/>
      <c r="N138" s="49"/>
      <c r="O138" s="49"/>
      <c r="P138" s="49"/>
      <c r="Q138" s="51"/>
      <c r="R138" s="51"/>
      <c r="S138" s="51"/>
      <c r="T138" s="49"/>
      <c r="U138" s="2"/>
      <c r="V138" s="2"/>
      <c r="W138" s="2"/>
      <c r="X138" s="2"/>
      <c r="Y138" s="2"/>
      <c r="Z138" s="2"/>
    </row>
    <row r="139" ht="13.5" customHeight="1">
      <c r="A139" s="49"/>
      <c r="B139" s="49"/>
      <c r="C139" s="49"/>
      <c r="D139" s="49"/>
      <c r="E139" s="49"/>
      <c r="F139" s="49"/>
      <c r="G139" s="49"/>
      <c r="H139" s="49"/>
      <c r="I139" s="49"/>
      <c r="J139" s="49"/>
      <c r="K139" s="49"/>
      <c r="L139" s="49"/>
      <c r="M139" s="49"/>
      <c r="N139" s="49"/>
      <c r="O139" s="49"/>
      <c r="P139" s="49"/>
      <c r="Q139" s="51"/>
      <c r="R139" s="51"/>
      <c r="S139" s="51"/>
      <c r="T139" s="49"/>
      <c r="U139" s="2"/>
      <c r="V139" s="2"/>
      <c r="W139" s="2"/>
      <c r="X139" s="2"/>
      <c r="Y139" s="2"/>
      <c r="Z139" s="2"/>
    </row>
    <row r="140" ht="13.5" customHeight="1">
      <c r="A140" s="49"/>
      <c r="B140" s="49"/>
      <c r="C140" s="49"/>
      <c r="D140" s="49"/>
      <c r="E140" s="49"/>
      <c r="F140" s="49"/>
      <c r="G140" s="49"/>
      <c r="H140" s="49"/>
      <c r="I140" s="49"/>
      <c r="J140" s="49"/>
      <c r="K140" s="49"/>
      <c r="L140" s="49"/>
      <c r="M140" s="49"/>
      <c r="N140" s="49"/>
      <c r="O140" s="49"/>
      <c r="P140" s="49"/>
      <c r="Q140" s="51"/>
      <c r="R140" s="51"/>
      <c r="S140" s="51"/>
      <c r="T140" s="49"/>
      <c r="U140" s="2"/>
      <c r="V140" s="2"/>
      <c r="W140" s="2"/>
      <c r="X140" s="2"/>
      <c r="Y140" s="2"/>
      <c r="Z140" s="2"/>
    </row>
    <row r="141" ht="13.5" customHeight="1">
      <c r="A141" s="49"/>
      <c r="B141" s="49"/>
      <c r="C141" s="49"/>
      <c r="D141" s="49"/>
      <c r="E141" s="49"/>
      <c r="F141" s="49"/>
      <c r="G141" s="49"/>
      <c r="H141" s="49"/>
      <c r="I141" s="49"/>
      <c r="J141" s="49"/>
      <c r="K141" s="49"/>
      <c r="L141" s="49"/>
      <c r="M141" s="49"/>
      <c r="N141" s="49"/>
      <c r="O141" s="49"/>
      <c r="P141" s="49"/>
      <c r="Q141" s="51"/>
      <c r="R141" s="51"/>
      <c r="S141" s="51"/>
      <c r="T141" s="49"/>
      <c r="U141" s="2"/>
      <c r="V141" s="2"/>
      <c r="W141" s="2"/>
      <c r="X141" s="2"/>
      <c r="Y141" s="2"/>
      <c r="Z141" s="2"/>
    </row>
    <row r="142" ht="13.5" customHeight="1">
      <c r="A142" s="49"/>
      <c r="B142" s="49"/>
      <c r="C142" s="49"/>
      <c r="D142" s="49"/>
      <c r="E142" s="49"/>
      <c r="F142" s="49"/>
      <c r="G142" s="49"/>
      <c r="H142" s="49"/>
      <c r="I142" s="49"/>
      <c r="J142" s="49"/>
      <c r="K142" s="49"/>
      <c r="L142" s="49"/>
      <c r="M142" s="49"/>
      <c r="N142" s="49"/>
      <c r="O142" s="49"/>
      <c r="P142" s="49"/>
      <c r="Q142" s="51"/>
      <c r="R142" s="51"/>
      <c r="S142" s="51"/>
      <c r="T142" s="49"/>
      <c r="U142" s="2"/>
      <c r="V142" s="2"/>
      <c r="W142" s="2"/>
      <c r="X142" s="2"/>
      <c r="Y142" s="2"/>
      <c r="Z142" s="2"/>
    </row>
    <row r="143" ht="13.5" customHeight="1">
      <c r="A143" s="49"/>
      <c r="B143" s="49"/>
      <c r="C143" s="49"/>
      <c r="D143" s="49"/>
      <c r="E143" s="49"/>
      <c r="F143" s="49"/>
      <c r="G143" s="49"/>
      <c r="H143" s="49"/>
      <c r="I143" s="49"/>
      <c r="J143" s="49"/>
      <c r="K143" s="49"/>
      <c r="L143" s="49"/>
      <c r="M143" s="49"/>
      <c r="N143" s="49"/>
      <c r="O143" s="49"/>
      <c r="P143" s="49"/>
      <c r="Q143" s="51"/>
      <c r="R143" s="51"/>
      <c r="S143" s="51"/>
      <c r="T143" s="49"/>
      <c r="U143" s="2"/>
      <c r="V143" s="2"/>
      <c r="W143" s="2"/>
      <c r="X143" s="2"/>
      <c r="Y143" s="2"/>
      <c r="Z143" s="2"/>
    </row>
    <row r="144" ht="13.5" customHeight="1">
      <c r="A144" s="49"/>
      <c r="B144" s="49"/>
      <c r="C144" s="49"/>
      <c r="D144" s="49"/>
      <c r="E144" s="49"/>
      <c r="F144" s="49"/>
      <c r="G144" s="49"/>
      <c r="H144" s="49"/>
      <c r="I144" s="49"/>
      <c r="J144" s="49"/>
      <c r="K144" s="49"/>
      <c r="L144" s="49"/>
      <c r="M144" s="49"/>
      <c r="N144" s="49"/>
      <c r="O144" s="49"/>
      <c r="P144" s="49"/>
      <c r="Q144" s="51"/>
      <c r="R144" s="51"/>
      <c r="S144" s="51"/>
      <c r="T144" s="49"/>
      <c r="U144" s="2"/>
      <c r="V144" s="2"/>
      <c r="W144" s="2"/>
      <c r="X144" s="2"/>
      <c r="Y144" s="2"/>
      <c r="Z144" s="2"/>
    </row>
    <row r="145" ht="13.5" customHeight="1">
      <c r="A145" s="49"/>
      <c r="B145" s="49"/>
      <c r="C145" s="49"/>
      <c r="D145" s="49"/>
      <c r="E145" s="49"/>
      <c r="F145" s="49"/>
      <c r="G145" s="49"/>
      <c r="H145" s="49"/>
      <c r="I145" s="49"/>
      <c r="J145" s="49"/>
      <c r="K145" s="49"/>
      <c r="L145" s="49"/>
      <c r="M145" s="49"/>
      <c r="N145" s="49"/>
      <c r="O145" s="49"/>
      <c r="P145" s="49"/>
      <c r="Q145" s="51"/>
      <c r="R145" s="51"/>
      <c r="S145" s="51"/>
      <c r="T145" s="49"/>
      <c r="U145" s="2"/>
      <c r="V145" s="2"/>
      <c r="W145" s="2"/>
      <c r="X145" s="2"/>
      <c r="Y145" s="2"/>
      <c r="Z145" s="2"/>
    </row>
    <row r="146" ht="13.5" customHeight="1">
      <c r="A146" s="49"/>
      <c r="B146" s="49"/>
      <c r="C146" s="49"/>
      <c r="D146" s="49"/>
      <c r="E146" s="49"/>
      <c r="F146" s="49"/>
      <c r="G146" s="49"/>
      <c r="H146" s="49"/>
      <c r="I146" s="49"/>
      <c r="J146" s="49"/>
      <c r="K146" s="49"/>
      <c r="L146" s="49"/>
      <c r="M146" s="49"/>
      <c r="N146" s="49"/>
      <c r="O146" s="49"/>
      <c r="P146" s="49"/>
      <c r="Q146" s="51"/>
      <c r="R146" s="51"/>
      <c r="S146" s="51"/>
      <c r="T146" s="49"/>
      <c r="U146" s="2"/>
      <c r="V146" s="2"/>
      <c r="W146" s="2"/>
      <c r="X146" s="2"/>
      <c r="Y146" s="2"/>
      <c r="Z146" s="2"/>
    </row>
    <row r="147" ht="13.5" customHeight="1">
      <c r="A147" s="49"/>
      <c r="B147" s="49"/>
      <c r="C147" s="49"/>
      <c r="D147" s="49"/>
      <c r="E147" s="49"/>
      <c r="F147" s="49"/>
      <c r="G147" s="49"/>
      <c r="H147" s="49"/>
      <c r="I147" s="49"/>
      <c r="J147" s="49"/>
      <c r="K147" s="49"/>
      <c r="L147" s="49"/>
      <c r="M147" s="49"/>
      <c r="N147" s="49"/>
      <c r="O147" s="49"/>
      <c r="P147" s="49"/>
      <c r="Q147" s="51"/>
      <c r="R147" s="51"/>
      <c r="S147" s="51"/>
      <c r="T147" s="49"/>
      <c r="U147" s="2"/>
      <c r="V147" s="2"/>
      <c r="W147" s="2"/>
      <c r="X147" s="2"/>
      <c r="Y147" s="2"/>
      <c r="Z147" s="2"/>
    </row>
    <row r="148" ht="13.5" customHeight="1">
      <c r="A148" s="49"/>
      <c r="B148" s="49"/>
      <c r="C148" s="49"/>
      <c r="D148" s="49"/>
      <c r="E148" s="49"/>
      <c r="F148" s="49"/>
      <c r="G148" s="49"/>
      <c r="H148" s="49"/>
      <c r="I148" s="49"/>
      <c r="J148" s="49"/>
      <c r="K148" s="49"/>
      <c r="L148" s="49"/>
      <c r="M148" s="49"/>
      <c r="N148" s="49"/>
      <c r="O148" s="49"/>
      <c r="P148" s="49"/>
      <c r="Q148" s="51"/>
      <c r="R148" s="51"/>
      <c r="S148" s="51"/>
      <c r="T148" s="49"/>
      <c r="U148" s="2"/>
      <c r="V148" s="2"/>
      <c r="W148" s="2"/>
      <c r="X148" s="2"/>
      <c r="Y148" s="2"/>
      <c r="Z148" s="2"/>
    </row>
    <row r="149" ht="13.5" customHeight="1">
      <c r="A149" s="49"/>
      <c r="B149" s="49"/>
      <c r="C149" s="49"/>
      <c r="D149" s="49"/>
      <c r="E149" s="49"/>
      <c r="F149" s="49"/>
      <c r="G149" s="49"/>
      <c r="H149" s="49"/>
      <c r="I149" s="49"/>
      <c r="J149" s="49"/>
      <c r="K149" s="49"/>
      <c r="L149" s="49"/>
      <c r="M149" s="49"/>
      <c r="N149" s="49"/>
      <c r="O149" s="49"/>
      <c r="P149" s="49"/>
      <c r="Q149" s="51"/>
      <c r="R149" s="51"/>
      <c r="S149" s="51"/>
      <c r="T149" s="49"/>
      <c r="U149" s="2"/>
      <c r="V149" s="2"/>
      <c r="W149" s="2"/>
      <c r="X149" s="2"/>
      <c r="Y149" s="2"/>
      <c r="Z149" s="2"/>
    </row>
    <row r="150" ht="13.5" customHeight="1">
      <c r="A150" s="49"/>
      <c r="B150" s="49"/>
      <c r="C150" s="49"/>
      <c r="D150" s="49"/>
      <c r="E150" s="49"/>
      <c r="F150" s="49"/>
      <c r="G150" s="49"/>
      <c r="H150" s="49"/>
      <c r="I150" s="49"/>
      <c r="J150" s="49"/>
      <c r="K150" s="49"/>
      <c r="L150" s="49"/>
      <c r="M150" s="49"/>
      <c r="N150" s="49"/>
      <c r="O150" s="49"/>
      <c r="P150" s="49"/>
      <c r="Q150" s="51"/>
      <c r="R150" s="51"/>
      <c r="S150" s="51"/>
      <c r="T150" s="49"/>
      <c r="U150" s="2"/>
      <c r="V150" s="2"/>
      <c r="W150" s="2"/>
      <c r="X150" s="2"/>
      <c r="Y150" s="2"/>
      <c r="Z150" s="2"/>
    </row>
    <row r="151" ht="13.5" customHeight="1">
      <c r="A151" s="49"/>
      <c r="B151" s="49"/>
      <c r="C151" s="49"/>
      <c r="D151" s="49"/>
      <c r="E151" s="49"/>
      <c r="F151" s="49"/>
      <c r="G151" s="49"/>
      <c r="H151" s="49"/>
      <c r="I151" s="49"/>
      <c r="J151" s="49"/>
      <c r="K151" s="49"/>
      <c r="L151" s="49"/>
      <c r="M151" s="49"/>
      <c r="N151" s="49"/>
      <c r="O151" s="49"/>
      <c r="P151" s="49"/>
      <c r="Q151" s="51"/>
      <c r="R151" s="51"/>
      <c r="S151" s="51"/>
      <c r="T151" s="49"/>
      <c r="U151" s="2"/>
      <c r="V151" s="2"/>
      <c r="W151" s="2"/>
      <c r="X151" s="2"/>
      <c r="Y151" s="2"/>
      <c r="Z151" s="2"/>
    </row>
    <row r="152" ht="13.5" customHeight="1">
      <c r="A152" s="49"/>
      <c r="B152" s="49"/>
      <c r="C152" s="49"/>
      <c r="D152" s="49"/>
      <c r="E152" s="49"/>
      <c r="F152" s="49"/>
      <c r="G152" s="49"/>
      <c r="H152" s="49"/>
      <c r="I152" s="49"/>
      <c r="J152" s="49"/>
      <c r="K152" s="49"/>
      <c r="L152" s="49"/>
      <c r="M152" s="49"/>
      <c r="N152" s="49"/>
      <c r="O152" s="49"/>
      <c r="P152" s="49"/>
      <c r="Q152" s="51"/>
      <c r="R152" s="51"/>
      <c r="S152" s="51"/>
      <c r="T152" s="49"/>
      <c r="U152" s="2"/>
      <c r="V152" s="2"/>
      <c r="W152" s="2"/>
      <c r="X152" s="2"/>
      <c r="Y152" s="2"/>
      <c r="Z152" s="2"/>
    </row>
    <row r="153" ht="13.5" customHeight="1">
      <c r="A153" s="49"/>
      <c r="B153" s="49"/>
      <c r="C153" s="49"/>
      <c r="D153" s="49"/>
      <c r="E153" s="49"/>
      <c r="F153" s="49"/>
      <c r="G153" s="49"/>
      <c r="H153" s="49"/>
      <c r="I153" s="49"/>
      <c r="J153" s="49"/>
      <c r="K153" s="49"/>
      <c r="L153" s="49"/>
      <c r="M153" s="49"/>
      <c r="N153" s="49"/>
      <c r="O153" s="49"/>
      <c r="P153" s="49"/>
      <c r="Q153" s="51"/>
      <c r="R153" s="51"/>
      <c r="S153" s="51"/>
      <c r="T153" s="49"/>
      <c r="U153" s="2"/>
      <c r="V153" s="2"/>
      <c r="W153" s="2"/>
      <c r="X153" s="2"/>
      <c r="Y153" s="2"/>
      <c r="Z153" s="2"/>
    </row>
    <row r="154" ht="13.5" customHeight="1">
      <c r="A154" s="49"/>
      <c r="B154" s="49"/>
      <c r="C154" s="49"/>
      <c r="D154" s="49"/>
      <c r="E154" s="49"/>
      <c r="F154" s="49"/>
      <c r="G154" s="49"/>
      <c r="H154" s="49"/>
      <c r="I154" s="49"/>
      <c r="J154" s="49"/>
      <c r="K154" s="49"/>
      <c r="L154" s="49"/>
      <c r="M154" s="49"/>
      <c r="N154" s="49"/>
      <c r="O154" s="49"/>
      <c r="P154" s="49"/>
      <c r="Q154" s="51"/>
      <c r="R154" s="51"/>
      <c r="S154" s="51"/>
      <c r="T154" s="49"/>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157"/>
      <c r="R155" s="157"/>
      <c r="S155" s="157"/>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157"/>
      <c r="R156" s="157"/>
      <c r="S156" s="157"/>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157"/>
      <c r="R157" s="157"/>
      <c r="S157" s="157"/>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157"/>
      <c r="R158" s="157"/>
      <c r="S158" s="157"/>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157"/>
      <c r="R159" s="157"/>
      <c r="S159" s="157"/>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157"/>
      <c r="R160" s="157"/>
      <c r="S160" s="157"/>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157"/>
      <c r="R161" s="157"/>
      <c r="S161" s="157"/>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157"/>
      <c r="R162" s="157"/>
      <c r="S162" s="157"/>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157"/>
      <c r="R163" s="157"/>
      <c r="S163" s="157"/>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157"/>
      <c r="R164" s="157"/>
      <c r="S164" s="157"/>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157"/>
      <c r="R165" s="157"/>
      <c r="S165" s="157"/>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157"/>
      <c r="R166" s="157"/>
      <c r="S166" s="157"/>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157"/>
      <c r="R167" s="157"/>
      <c r="S167" s="157"/>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157"/>
      <c r="R168" s="157"/>
      <c r="S168" s="157"/>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157"/>
      <c r="R169" s="157"/>
      <c r="S169" s="157"/>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157"/>
      <c r="R170" s="157"/>
      <c r="S170" s="157"/>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157"/>
      <c r="R171" s="157"/>
      <c r="S171" s="157"/>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157"/>
      <c r="R172" s="157"/>
      <c r="S172" s="157"/>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157"/>
      <c r="R173" s="157"/>
      <c r="S173" s="157"/>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157"/>
      <c r="R174" s="157"/>
      <c r="S174" s="157"/>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157"/>
      <c r="R175" s="157"/>
      <c r="S175" s="157"/>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157"/>
      <c r="R176" s="157"/>
      <c r="S176" s="157"/>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157"/>
      <c r="R177" s="157"/>
      <c r="S177" s="157"/>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157"/>
      <c r="R178" s="157"/>
      <c r="S178" s="157"/>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157"/>
      <c r="R179" s="157"/>
      <c r="S179" s="157"/>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157"/>
      <c r="R180" s="157"/>
      <c r="S180" s="157"/>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157"/>
      <c r="R181" s="157"/>
      <c r="S181" s="157"/>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157"/>
      <c r="R182" s="157"/>
      <c r="S182" s="157"/>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157"/>
      <c r="R183" s="157"/>
      <c r="S183" s="157"/>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157"/>
      <c r="R184" s="157"/>
      <c r="S184" s="157"/>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157"/>
      <c r="R185" s="157"/>
      <c r="S185" s="157"/>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157"/>
      <c r="R186" s="157"/>
      <c r="S186" s="157"/>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157"/>
      <c r="R187" s="157"/>
      <c r="S187" s="157"/>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157"/>
      <c r="R188" s="157"/>
      <c r="S188" s="157"/>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157"/>
      <c r="R189" s="157"/>
      <c r="S189" s="157"/>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157"/>
      <c r="R190" s="157"/>
      <c r="S190" s="157"/>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157"/>
      <c r="R191" s="157"/>
      <c r="S191" s="157"/>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157"/>
      <c r="R192" s="157"/>
      <c r="S192" s="157"/>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157"/>
      <c r="R193" s="157"/>
      <c r="S193" s="157"/>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157"/>
      <c r="R194" s="157"/>
      <c r="S194" s="157"/>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157"/>
      <c r="R195" s="157"/>
      <c r="S195" s="157"/>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157"/>
      <c r="R196" s="157"/>
      <c r="S196" s="157"/>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157"/>
      <c r="R197" s="157"/>
      <c r="S197" s="157"/>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157"/>
      <c r="R198" s="157"/>
      <c r="S198" s="157"/>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157"/>
      <c r="R199" s="157"/>
      <c r="S199" s="157"/>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157"/>
      <c r="R200" s="157"/>
      <c r="S200" s="157"/>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157"/>
      <c r="R201" s="157"/>
      <c r="S201" s="157"/>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157"/>
      <c r="R202" s="157"/>
      <c r="S202" s="157"/>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157"/>
      <c r="R203" s="157"/>
      <c r="S203" s="157"/>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157"/>
      <c r="R204" s="157"/>
      <c r="S204" s="157"/>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157"/>
      <c r="R205" s="157"/>
      <c r="S205" s="157"/>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157"/>
      <c r="R206" s="157"/>
      <c r="S206" s="157"/>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157"/>
      <c r="R207" s="157"/>
      <c r="S207" s="157"/>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157"/>
      <c r="R208" s="157"/>
      <c r="S208" s="157"/>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157"/>
      <c r="R209" s="157"/>
      <c r="S209" s="157"/>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157"/>
      <c r="R210" s="157"/>
      <c r="S210" s="157"/>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157"/>
      <c r="R211" s="157"/>
      <c r="S211" s="157"/>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157"/>
      <c r="R212" s="157"/>
      <c r="S212" s="157"/>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157"/>
      <c r="R213" s="157"/>
      <c r="S213" s="157"/>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157"/>
      <c r="R214" s="157"/>
      <c r="S214" s="157"/>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157"/>
      <c r="R215" s="157"/>
      <c r="S215" s="157"/>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157"/>
      <c r="R216" s="157"/>
      <c r="S216" s="157"/>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157"/>
      <c r="R217" s="157"/>
      <c r="S217" s="157"/>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157"/>
      <c r="R218" s="157"/>
      <c r="S218" s="157"/>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157"/>
      <c r="R219" s="157"/>
      <c r="S219" s="157"/>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157"/>
      <c r="R220" s="157"/>
      <c r="S220" s="157"/>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157"/>
      <c r="R221" s="157"/>
      <c r="S221" s="157"/>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157"/>
      <c r="R222" s="157"/>
      <c r="S222" s="157"/>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157"/>
      <c r="R223" s="157"/>
      <c r="S223" s="157"/>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157"/>
      <c r="R224" s="157"/>
      <c r="S224" s="157"/>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157"/>
      <c r="R225" s="157"/>
      <c r="S225" s="157"/>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157"/>
      <c r="R226" s="157"/>
      <c r="S226" s="157"/>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157"/>
      <c r="R227" s="157"/>
      <c r="S227" s="157"/>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157"/>
      <c r="R228" s="157"/>
      <c r="S228" s="157"/>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157"/>
      <c r="R229" s="157"/>
      <c r="S229" s="157"/>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157"/>
      <c r="R230" s="157"/>
      <c r="S230" s="157"/>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157"/>
      <c r="R231" s="157"/>
      <c r="S231" s="157"/>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157"/>
      <c r="R232" s="157"/>
      <c r="S232" s="157"/>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157"/>
      <c r="R233" s="157"/>
      <c r="S233" s="157"/>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157"/>
      <c r="R234" s="157"/>
      <c r="S234" s="157"/>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157"/>
      <c r="R235" s="157"/>
      <c r="S235" s="157"/>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157"/>
      <c r="R236" s="157"/>
      <c r="S236" s="157"/>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157"/>
      <c r="R237" s="157"/>
      <c r="S237" s="157"/>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157"/>
      <c r="R238" s="157"/>
      <c r="S238" s="157"/>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157"/>
      <c r="R239" s="157"/>
      <c r="S239" s="157"/>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157"/>
      <c r="R240" s="157"/>
      <c r="S240" s="157"/>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157"/>
      <c r="R241" s="157"/>
      <c r="S241" s="157"/>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157"/>
      <c r="R242" s="157"/>
      <c r="S242" s="157"/>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157"/>
      <c r="R243" s="157"/>
      <c r="S243" s="157"/>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157"/>
      <c r="R244" s="157"/>
      <c r="S244" s="157"/>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157"/>
      <c r="R245" s="157"/>
      <c r="S245" s="157"/>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157"/>
      <c r="R246" s="157"/>
      <c r="S246" s="157"/>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157"/>
      <c r="R247" s="157"/>
      <c r="S247" s="157"/>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157"/>
      <c r="R248" s="157"/>
      <c r="S248" s="157"/>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157"/>
      <c r="R249" s="157"/>
      <c r="S249" s="157"/>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157"/>
      <c r="R250" s="157"/>
      <c r="S250" s="157"/>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157"/>
      <c r="R251" s="157"/>
      <c r="S251" s="157"/>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157"/>
      <c r="R252" s="157"/>
      <c r="S252" s="157"/>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157"/>
      <c r="R253" s="157"/>
      <c r="S253" s="157"/>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157"/>
      <c r="R254" s="157"/>
      <c r="S254" s="157"/>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157"/>
      <c r="R255" s="157"/>
      <c r="S255" s="157"/>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157"/>
      <c r="R256" s="157"/>
      <c r="S256" s="157"/>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157"/>
      <c r="R257" s="157"/>
      <c r="S257" s="157"/>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157"/>
      <c r="R258" s="157"/>
      <c r="S258" s="157"/>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157"/>
      <c r="R259" s="157"/>
      <c r="S259" s="157"/>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157"/>
      <c r="R260" s="157"/>
      <c r="S260" s="157"/>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157"/>
      <c r="R261" s="157"/>
      <c r="S261" s="157"/>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157"/>
      <c r="R262" s="157"/>
      <c r="S262" s="157"/>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157"/>
      <c r="R263" s="157"/>
      <c r="S263" s="157"/>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157"/>
      <c r="R264" s="157"/>
      <c r="S264" s="157"/>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157"/>
      <c r="R265" s="157"/>
      <c r="S265" s="157"/>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157"/>
      <c r="R266" s="157"/>
      <c r="S266" s="157"/>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157"/>
      <c r="R267" s="157"/>
      <c r="S267" s="157"/>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157"/>
      <c r="R268" s="157"/>
      <c r="S268" s="157"/>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157"/>
      <c r="R269" s="157"/>
      <c r="S269" s="157"/>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157"/>
      <c r="R270" s="157"/>
      <c r="S270" s="157"/>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157"/>
      <c r="R271" s="157"/>
      <c r="S271" s="157"/>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157"/>
      <c r="R272" s="157"/>
      <c r="S272" s="157"/>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157"/>
      <c r="R273" s="157"/>
      <c r="S273" s="157"/>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157"/>
      <c r="R274" s="157"/>
      <c r="S274" s="157"/>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157"/>
      <c r="R275" s="157"/>
      <c r="S275" s="157"/>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157"/>
      <c r="R276" s="157"/>
      <c r="S276" s="157"/>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157"/>
      <c r="R277" s="157"/>
      <c r="S277" s="157"/>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157"/>
      <c r="R278" s="157"/>
      <c r="S278" s="157"/>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157"/>
      <c r="R279" s="157"/>
      <c r="S279" s="157"/>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157"/>
      <c r="R280" s="157"/>
      <c r="S280" s="157"/>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157"/>
      <c r="R281" s="157"/>
      <c r="S281" s="157"/>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157"/>
      <c r="R282" s="157"/>
      <c r="S282" s="157"/>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157"/>
      <c r="R283" s="157"/>
      <c r="S283" s="157"/>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157"/>
      <c r="R284" s="157"/>
      <c r="S284" s="157"/>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157"/>
      <c r="R285" s="157"/>
      <c r="S285" s="157"/>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157"/>
      <c r="R286" s="157"/>
      <c r="S286" s="157"/>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157"/>
      <c r="R287" s="157"/>
      <c r="S287" s="157"/>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157"/>
      <c r="R288" s="157"/>
      <c r="S288" s="157"/>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157"/>
      <c r="R289" s="157"/>
      <c r="S289" s="157"/>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157"/>
      <c r="R290" s="157"/>
      <c r="S290" s="157"/>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157"/>
      <c r="R291" s="157"/>
      <c r="S291" s="157"/>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157"/>
      <c r="R292" s="157"/>
      <c r="S292" s="157"/>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157"/>
      <c r="R293" s="157"/>
      <c r="S293" s="157"/>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157"/>
      <c r="R294" s="157"/>
      <c r="S294" s="157"/>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157"/>
      <c r="R295" s="157"/>
      <c r="S295" s="157"/>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157"/>
      <c r="R296" s="157"/>
      <c r="S296" s="157"/>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157"/>
      <c r="R297" s="157"/>
      <c r="S297" s="157"/>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157"/>
      <c r="R298" s="157"/>
      <c r="S298" s="157"/>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157"/>
      <c r="R299" s="157"/>
      <c r="S299" s="157"/>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157"/>
      <c r="R300" s="157"/>
      <c r="S300" s="157"/>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157"/>
      <c r="R301" s="157"/>
      <c r="S301" s="157"/>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157"/>
      <c r="R302" s="157"/>
      <c r="S302" s="157"/>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157"/>
      <c r="R303" s="157"/>
      <c r="S303" s="157"/>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157"/>
      <c r="R304" s="157"/>
      <c r="S304" s="157"/>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157"/>
      <c r="R305" s="157"/>
      <c r="S305" s="157"/>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157"/>
      <c r="R306" s="157"/>
      <c r="S306" s="157"/>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157"/>
      <c r="R307" s="157"/>
      <c r="S307" s="157"/>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157"/>
      <c r="R308" s="157"/>
      <c r="S308" s="157"/>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157"/>
      <c r="R309" s="157"/>
      <c r="S309" s="157"/>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157"/>
      <c r="R310" s="157"/>
      <c r="S310" s="157"/>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157"/>
      <c r="R311" s="157"/>
      <c r="S311" s="157"/>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157"/>
      <c r="R312" s="157"/>
      <c r="S312" s="157"/>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157"/>
      <c r="R313" s="157"/>
      <c r="S313" s="157"/>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157"/>
      <c r="R314" s="157"/>
      <c r="S314" s="157"/>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157"/>
      <c r="R315" s="157"/>
      <c r="S315" s="157"/>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157"/>
      <c r="R316" s="157"/>
      <c r="S316" s="157"/>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157"/>
      <c r="R317" s="157"/>
      <c r="S317" s="157"/>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157"/>
      <c r="R318" s="157"/>
      <c r="S318" s="157"/>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157"/>
      <c r="R319" s="157"/>
      <c r="S319" s="157"/>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157"/>
      <c r="R320" s="157"/>
      <c r="S320" s="157"/>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157"/>
      <c r="R321" s="157"/>
      <c r="S321" s="157"/>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157"/>
      <c r="R322" s="157"/>
      <c r="S322" s="157"/>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157"/>
      <c r="R323" s="157"/>
      <c r="S323" s="157"/>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157"/>
      <c r="R324" s="157"/>
      <c r="S324" s="157"/>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157"/>
      <c r="R325" s="157"/>
      <c r="S325" s="157"/>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157"/>
      <c r="R326" s="157"/>
      <c r="S326" s="157"/>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157"/>
      <c r="R327" s="157"/>
      <c r="S327" s="157"/>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157"/>
      <c r="R328" s="157"/>
      <c r="S328" s="157"/>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157"/>
      <c r="R329" s="157"/>
      <c r="S329" s="157"/>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157"/>
      <c r="R330" s="157"/>
      <c r="S330" s="157"/>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157"/>
      <c r="R331" s="157"/>
      <c r="S331" s="157"/>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157"/>
      <c r="R332" s="157"/>
      <c r="S332" s="157"/>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157"/>
      <c r="R333" s="157"/>
      <c r="S333" s="157"/>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157"/>
      <c r="R334" s="157"/>
      <c r="S334" s="157"/>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157"/>
      <c r="R335" s="157"/>
      <c r="S335" s="157"/>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157"/>
      <c r="R336" s="157"/>
      <c r="S336" s="157"/>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157"/>
      <c r="R337" s="157"/>
      <c r="S337" s="157"/>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157"/>
      <c r="R338" s="157"/>
      <c r="S338" s="157"/>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157"/>
      <c r="R339" s="157"/>
      <c r="S339" s="157"/>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157"/>
      <c r="R340" s="157"/>
      <c r="S340" s="157"/>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157"/>
      <c r="R341" s="157"/>
      <c r="S341" s="157"/>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157"/>
      <c r="R342" s="157"/>
      <c r="S342" s="157"/>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157"/>
      <c r="R343" s="157"/>
      <c r="S343" s="157"/>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157"/>
      <c r="R344" s="157"/>
      <c r="S344" s="157"/>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157"/>
      <c r="R345" s="157"/>
      <c r="S345" s="157"/>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157"/>
      <c r="R346" s="157"/>
      <c r="S346" s="157"/>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157"/>
      <c r="R347" s="157"/>
      <c r="S347" s="157"/>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157"/>
      <c r="R348" s="157"/>
      <c r="S348" s="157"/>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157"/>
      <c r="R349" s="157"/>
      <c r="S349" s="157"/>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157"/>
      <c r="R350" s="157"/>
      <c r="S350" s="157"/>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157"/>
      <c r="R351" s="157"/>
      <c r="S351" s="157"/>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157"/>
      <c r="R352" s="157"/>
      <c r="S352" s="157"/>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157"/>
      <c r="R353" s="157"/>
      <c r="S353" s="157"/>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157"/>
      <c r="R354" s="157"/>
      <c r="S354" s="157"/>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157"/>
      <c r="R355" s="157"/>
      <c r="S355" s="157"/>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157"/>
      <c r="R356" s="157"/>
      <c r="S356" s="157"/>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157"/>
      <c r="R357" s="157"/>
      <c r="S357" s="157"/>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157"/>
      <c r="R358" s="157"/>
      <c r="S358" s="157"/>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157"/>
      <c r="R359" s="157"/>
      <c r="S359" s="157"/>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157"/>
      <c r="R360" s="157"/>
      <c r="S360" s="157"/>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157"/>
      <c r="R361" s="157"/>
      <c r="S361" s="157"/>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157"/>
      <c r="R362" s="157"/>
      <c r="S362" s="157"/>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157"/>
      <c r="R363" s="157"/>
      <c r="S363" s="157"/>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157"/>
      <c r="R364" s="157"/>
      <c r="S364" s="157"/>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157"/>
      <c r="R365" s="157"/>
      <c r="S365" s="157"/>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157"/>
      <c r="R366" s="157"/>
      <c r="S366" s="157"/>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157"/>
      <c r="R367" s="157"/>
      <c r="S367" s="157"/>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157"/>
      <c r="R368" s="157"/>
      <c r="S368" s="157"/>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157"/>
      <c r="R369" s="157"/>
      <c r="S369" s="157"/>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157"/>
      <c r="R370" s="157"/>
      <c r="S370" s="157"/>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157"/>
      <c r="R371" s="157"/>
      <c r="S371" s="157"/>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157"/>
      <c r="R372" s="157"/>
      <c r="S372" s="157"/>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157"/>
      <c r="R373" s="157"/>
      <c r="S373" s="157"/>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157"/>
      <c r="R374" s="157"/>
      <c r="S374" s="157"/>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157"/>
      <c r="R375" s="157"/>
      <c r="S375" s="157"/>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157"/>
      <c r="R376" s="157"/>
      <c r="S376" s="157"/>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157"/>
      <c r="R377" s="157"/>
      <c r="S377" s="157"/>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157"/>
      <c r="R378" s="157"/>
      <c r="S378" s="157"/>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157"/>
      <c r="R379" s="157"/>
      <c r="S379" s="157"/>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157"/>
      <c r="R380" s="157"/>
      <c r="S380" s="157"/>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157"/>
      <c r="R381" s="157"/>
      <c r="S381" s="157"/>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157"/>
      <c r="R382" s="157"/>
      <c r="S382" s="157"/>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157"/>
      <c r="R383" s="157"/>
      <c r="S383" s="157"/>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157"/>
      <c r="R384" s="157"/>
      <c r="S384" s="157"/>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157"/>
      <c r="R385" s="157"/>
      <c r="S385" s="157"/>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157"/>
      <c r="R386" s="157"/>
      <c r="S386" s="157"/>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157"/>
      <c r="R387" s="157"/>
      <c r="S387" s="157"/>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157"/>
      <c r="R388" s="157"/>
      <c r="S388" s="157"/>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157"/>
      <c r="R389" s="157"/>
      <c r="S389" s="157"/>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157"/>
      <c r="R390" s="157"/>
      <c r="S390" s="157"/>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157"/>
      <c r="R391" s="157"/>
      <c r="S391" s="157"/>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157"/>
      <c r="R392" s="157"/>
      <c r="S392" s="157"/>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157"/>
      <c r="R393" s="157"/>
      <c r="S393" s="157"/>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157"/>
      <c r="R394" s="157"/>
      <c r="S394" s="157"/>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157"/>
      <c r="R395" s="157"/>
      <c r="S395" s="157"/>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157"/>
      <c r="R396" s="157"/>
      <c r="S396" s="157"/>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157"/>
      <c r="R397" s="157"/>
      <c r="S397" s="157"/>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157"/>
      <c r="R398" s="157"/>
      <c r="S398" s="157"/>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157"/>
      <c r="R399" s="157"/>
      <c r="S399" s="157"/>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157"/>
      <c r="R400" s="157"/>
      <c r="S400" s="157"/>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157"/>
      <c r="R401" s="157"/>
      <c r="S401" s="157"/>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157"/>
      <c r="R402" s="157"/>
      <c r="S402" s="157"/>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157"/>
      <c r="R403" s="157"/>
      <c r="S403" s="157"/>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157"/>
      <c r="R404" s="157"/>
      <c r="S404" s="157"/>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157"/>
      <c r="R405" s="157"/>
      <c r="S405" s="157"/>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157"/>
      <c r="R406" s="157"/>
      <c r="S406" s="157"/>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157"/>
      <c r="R407" s="157"/>
      <c r="S407" s="157"/>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157"/>
      <c r="R408" s="157"/>
      <c r="S408" s="157"/>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157"/>
      <c r="R409" s="157"/>
      <c r="S409" s="157"/>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157"/>
      <c r="R410" s="157"/>
      <c r="S410" s="157"/>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157"/>
      <c r="R411" s="157"/>
      <c r="S411" s="157"/>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157"/>
      <c r="R412" s="157"/>
      <c r="S412" s="157"/>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157"/>
      <c r="R413" s="157"/>
      <c r="S413" s="157"/>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157"/>
      <c r="R414" s="157"/>
      <c r="S414" s="157"/>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157"/>
      <c r="R415" s="157"/>
      <c r="S415" s="157"/>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157"/>
      <c r="R416" s="157"/>
      <c r="S416" s="157"/>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157"/>
      <c r="R417" s="157"/>
      <c r="S417" s="157"/>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157"/>
      <c r="R418" s="157"/>
      <c r="S418" s="157"/>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157"/>
      <c r="R419" s="157"/>
      <c r="S419" s="157"/>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157"/>
      <c r="R420" s="157"/>
      <c r="S420" s="157"/>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157"/>
      <c r="R421" s="157"/>
      <c r="S421" s="157"/>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157"/>
      <c r="R422" s="157"/>
      <c r="S422" s="157"/>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157"/>
      <c r="R423" s="157"/>
      <c r="S423" s="157"/>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157"/>
      <c r="R424" s="157"/>
      <c r="S424" s="157"/>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157"/>
      <c r="R425" s="157"/>
      <c r="S425" s="157"/>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157"/>
      <c r="R426" s="157"/>
      <c r="S426" s="157"/>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157"/>
      <c r="R427" s="157"/>
      <c r="S427" s="157"/>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157"/>
      <c r="R428" s="157"/>
      <c r="S428" s="157"/>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157"/>
      <c r="R429" s="157"/>
      <c r="S429" s="157"/>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157"/>
      <c r="R430" s="157"/>
      <c r="S430" s="157"/>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157"/>
      <c r="R431" s="157"/>
      <c r="S431" s="157"/>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157"/>
      <c r="R432" s="157"/>
      <c r="S432" s="157"/>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157"/>
      <c r="R433" s="157"/>
      <c r="S433" s="157"/>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157"/>
      <c r="R434" s="157"/>
      <c r="S434" s="157"/>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157"/>
      <c r="R435" s="157"/>
      <c r="S435" s="157"/>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157"/>
      <c r="R436" s="157"/>
      <c r="S436" s="157"/>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157"/>
      <c r="R437" s="157"/>
      <c r="S437" s="157"/>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157"/>
      <c r="R438" s="157"/>
      <c r="S438" s="157"/>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157"/>
      <c r="R439" s="157"/>
      <c r="S439" s="157"/>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157"/>
      <c r="R440" s="157"/>
      <c r="S440" s="157"/>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157"/>
      <c r="R441" s="157"/>
      <c r="S441" s="157"/>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157"/>
      <c r="R442" s="157"/>
      <c r="S442" s="157"/>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157"/>
      <c r="R443" s="157"/>
      <c r="S443" s="157"/>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157"/>
      <c r="R444" s="157"/>
      <c r="S444" s="157"/>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157"/>
      <c r="R445" s="157"/>
      <c r="S445" s="157"/>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157"/>
      <c r="R446" s="157"/>
      <c r="S446" s="157"/>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157"/>
      <c r="R447" s="157"/>
      <c r="S447" s="157"/>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157"/>
      <c r="R448" s="157"/>
      <c r="S448" s="157"/>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157"/>
      <c r="R449" s="157"/>
      <c r="S449" s="157"/>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157"/>
      <c r="R450" s="157"/>
      <c r="S450" s="157"/>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157"/>
      <c r="R451" s="157"/>
      <c r="S451" s="157"/>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157"/>
      <c r="R452" s="157"/>
      <c r="S452" s="157"/>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157"/>
      <c r="R453" s="157"/>
      <c r="S453" s="157"/>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157"/>
      <c r="R454" s="157"/>
      <c r="S454" s="157"/>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157"/>
      <c r="R455" s="157"/>
      <c r="S455" s="157"/>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157"/>
      <c r="R456" s="157"/>
      <c r="S456" s="157"/>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157"/>
      <c r="R457" s="157"/>
      <c r="S457" s="157"/>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157"/>
      <c r="R458" s="157"/>
      <c r="S458" s="157"/>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157"/>
      <c r="R459" s="157"/>
      <c r="S459" s="157"/>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157"/>
      <c r="R460" s="157"/>
      <c r="S460" s="157"/>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157"/>
      <c r="R461" s="157"/>
      <c r="S461" s="157"/>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157"/>
      <c r="R462" s="157"/>
      <c r="S462" s="157"/>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157"/>
      <c r="R463" s="157"/>
      <c r="S463" s="157"/>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157"/>
      <c r="R464" s="157"/>
      <c r="S464" s="157"/>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157"/>
      <c r="R465" s="157"/>
      <c r="S465" s="157"/>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157"/>
      <c r="R466" s="157"/>
      <c r="S466" s="157"/>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157"/>
      <c r="R467" s="157"/>
      <c r="S467" s="157"/>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157"/>
      <c r="R468" s="157"/>
      <c r="S468" s="157"/>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157"/>
      <c r="R469" s="157"/>
      <c r="S469" s="157"/>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157"/>
      <c r="R470" s="157"/>
      <c r="S470" s="157"/>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157"/>
      <c r="R471" s="157"/>
      <c r="S471" s="157"/>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157"/>
      <c r="R472" s="157"/>
      <c r="S472" s="157"/>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157"/>
      <c r="R473" s="157"/>
      <c r="S473" s="157"/>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157"/>
      <c r="R474" s="157"/>
      <c r="S474" s="157"/>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157"/>
      <c r="R475" s="157"/>
      <c r="S475" s="157"/>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157"/>
      <c r="R476" s="157"/>
      <c r="S476" s="157"/>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157"/>
      <c r="R477" s="157"/>
      <c r="S477" s="157"/>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157"/>
      <c r="R478" s="157"/>
      <c r="S478" s="157"/>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157"/>
      <c r="R479" s="157"/>
      <c r="S479" s="157"/>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157"/>
      <c r="R480" s="157"/>
      <c r="S480" s="157"/>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157"/>
      <c r="R481" s="157"/>
      <c r="S481" s="157"/>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157"/>
      <c r="R482" s="157"/>
      <c r="S482" s="157"/>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157"/>
      <c r="R483" s="157"/>
      <c r="S483" s="157"/>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157"/>
      <c r="R484" s="157"/>
      <c r="S484" s="157"/>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157"/>
      <c r="R485" s="157"/>
      <c r="S485" s="157"/>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157"/>
      <c r="R486" s="157"/>
      <c r="S486" s="157"/>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157"/>
      <c r="R487" s="157"/>
      <c r="S487" s="157"/>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157"/>
      <c r="R488" s="157"/>
      <c r="S488" s="157"/>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157"/>
      <c r="R489" s="157"/>
      <c r="S489" s="157"/>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157"/>
      <c r="R490" s="157"/>
      <c r="S490" s="157"/>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157"/>
      <c r="R491" s="157"/>
      <c r="S491" s="157"/>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157"/>
      <c r="R492" s="157"/>
      <c r="S492" s="157"/>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157"/>
      <c r="R493" s="157"/>
      <c r="S493" s="157"/>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157"/>
      <c r="R494" s="157"/>
      <c r="S494" s="157"/>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157"/>
      <c r="R495" s="157"/>
      <c r="S495" s="157"/>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157"/>
      <c r="R496" s="157"/>
      <c r="S496" s="157"/>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157"/>
      <c r="R497" s="157"/>
      <c r="S497" s="157"/>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157"/>
      <c r="R498" s="157"/>
      <c r="S498" s="157"/>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157"/>
      <c r="R499" s="157"/>
      <c r="S499" s="157"/>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157"/>
      <c r="R500" s="157"/>
      <c r="S500" s="157"/>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157"/>
      <c r="R501" s="157"/>
      <c r="S501" s="157"/>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157"/>
      <c r="R502" s="157"/>
      <c r="S502" s="157"/>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157"/>
      <c r="R503" s="157"/>
      <c r="S503" s="157"/>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157"/>
      <c r="R504" s="157"/>
      <c r="S504" s="157"/>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157"/>
      <c r="R505" s="157"/>
      <c r="S505" s="157"/>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157"/>
      <c r="R506" s="157"/>
      <c r="S506" s="157"/>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157"/>
      <c r="R507" s="157"/>
      <c r="S507" s="157"/>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157"/>
      <c r="R508" s="157"/>
      <c r="S508" s="157"/>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157"/>
      <c r="R509" s="157"/>
      <c r="S509" s="157"/>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157"/>
      <c r="R510" s="157"/>
      <c r="S510" s="157"/>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157"/>
      <c r="R511" s="157"/>
      <c r="S511" s="157"/>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157"/>
      <c r="R512" s="157"/>
      <c r="S512" s="157"/>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157"/>
      <c r="R513" s="157"/>
      <c r="S513" s="157"/>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157"/>
      <c r="R514" s="157"/>
      <c r="S514" s="157"/>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157"/>
      <c r="R515" s="157"/>
      <c r="S515" s="157"/>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157"/>
      <c r="R516" s="157"/>
      <c r="S516" s="157"/>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157"/>
      <c r="R517" s="157"/>
      <c r="S517" s="157"/>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157"/>
      <c r="R518" s="157"/>
      <c r="S518" s="157"/>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157"/>
      <c r="R519" s="157"/>
      <c r="S519" s="157"/>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157"/>
      <c r="R520" s="157"/>
      <c r="S520" s="157"/>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157"/>
      <c r="R521" s="157"/>
      <c r="S521" s="157"/>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157"/>
      <c r="R522" s="157"/>
      <c r="S522" s="157"/>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157"/>
      <c r="R523" s="157"/>
      <c r="S523" s="157"/>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157"/>
      <c r="R524" s="157"/>
      <c r="S524" s="157"/>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157"/>
      <c r="R525" s="157"/>
      <c r="S525" s="157"/>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157"/>
      <c r="R526" s="157"/>
      <c r="S526" s="157"/>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157"/>
      <c r="R527" s="157"/>
      <c r="S527" s="157"/>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157"/>
      <c r="R528" s="157"/>
      <c r="S528" s="157"/>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157"/>
      <c r="R529" s="157"/>
      <c r="S529" s="157"/>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157"/>
      <c r="R530" s="157"/>
      <c r="S530" s="157"/>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157"/>
      <c r="R531" s="157"/>
      <c r="S531" s="157"/>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157"/>
      <c r="R532" s="157"/>
      <c r="S532" s="157"/>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157"/>
      <c r="R533" s="157"/>
      <c r="S533" s="157"/>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157"/>
      <c r="R534" s="157"/>
      <c r="S534" s="157"/>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157"/>
      <c r="R535" s="157"/>
      <c r="S535" s="157"/>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157"/>
      <c r="R536" s="157"/>
      <c r="S536" s="157"/>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157"/>
      <c r="R537" s="157"/>
      <c r="S537" s="157"/>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157"/>
      <c r="R538" s="157"/>
      <c r="S538" s="157"/>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157"/>
      <c r="R539" s="157"/>
      <c r="S539" s="157"/>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157"/>
      <c r="R540" s="157"/>
      <c r="S540" s="157"/>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157"/>
      <c r="R541" s="157"/>
      <c r="S541" s="157"/>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157"/>
      <c r="R542" s="157"/>
      <c r="S542" s="157"/>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157"/>
      <c r="R543" s="157"/>
      <c r="S543" s="157"/>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157"/>
      <c r="R544" s="157"/>
      <c r="S544" s="157"/>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157"/>
      <c r="R545" s="157"/>
      <c r="S545" s="157"/>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157"/>
      <c r="R546" s="157"/>
      <c r="S546" s="157"/>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157"/>
      <c r="R547" s="157"/>
      <c r="S547" s="157"/>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157"/>
      <c r="R548" s="157"/>
      <c r="S548" s="157"/>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157"/>
      <c r="R549" s="157"/>
      <c r="S549" s="157"/>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157"/>
      <c r="R550" s="157"/>
      <c r="S550" s="157"/>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157"/>
      <c r="R551" s="157"/>
      <c r="S551" s="157"/>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157"/>
      <c r="R552" s="157"/>
      <c r="S552" s="157"/>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157"/>
      <c r="R553" s="157"/>
      <c r="S553" s="157"/>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157"/>
      <c r="R554" s="157"/>
      <c r="S554" s="157"/>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157"/>
      <c r="R555" s="157"/>
      <c r="S555" s="157"/>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157"/>
      <c r="R556" s="157"/>
      <c r="S556" s="157"/>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157"/>
      <c r="R557" s="157"/>
      <c r="S557" s="157"/>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157"/>
      <c r="R558" s="157"/>
      <c r="S558" s="157"/>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157"/>
      <c r="R559" s="157"/>
      <c r="S559" s="157"/>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157"/>
      <c r="R560" s="157"/>
      <c r="S560" s="157"/>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157"/>
      <c r="R561" s="157"/>
      <c r="S561" s="157"/>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157"/>
      <c r="R562" s="157"/>
      <c r="S562" s="157"/>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157"/>
      <c r="R563" s="157"/>
      <c r="S563" s="157"/>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157"/>
      <c r="R564" s="157"/>
      <c r="S564" s="157"/>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157"/>
      <c r="R565" s="157"/>
      <c r="S565" s="157"/>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157"/>
      <c r="R566" s="157"/>
      <c r="S566" s="157"/>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157"/>
      <c r="R567" s="157"/>
      <c r="S567" s="157"/>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157"/>
      <c r="R568" s="157"/>
      <c r="S568" s="157"/>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157"/>
      <c r="R569" s="157"/>
      <c r="S569" s="157"/>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157"/>
      <c r="R570" s="157"/>
      <c r="S570" s="157"/>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157"/>
      <c r="R571" s="157"/>
      <c r="S571" s="157"/>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157"/>
      <c r="R572" s="157"/>
      <c r="S572" s="157"/>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157"/>
      <c r="R573" s="157"/>
      <c r="S573" s="157"/>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157"/>
      <c r="R574" s="157"/>
      <c r="S574" s="157"/>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157"/>
      <c r="R575" s="157"/>
      <c r="S575" s="157"/>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157"/>
      <c r="R576" s="157"/>
      <c r="S576" s="157"/>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157"/>
      <c r="R577" s="157"/>
      <c r="S577" s="157"/>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157"/>
      <c r="R578" s="157"/>
      <c r="S578" s="157"/>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157"/>
      <c r="R579" s="157"/>
      <c r="S579" s="157"/>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157"/>
      <c r="R580" s="157"/>
      <c r="S580" s="157"/>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157"/>
      <c r="R581" s="157"/>
      <c r="S581" s="157"/>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157"/>
      <c r="R582" s="157"/>
      <c r="S582" s="157"/>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157"/>
      <c r="R583" s="157"/>
      <c r="S583" s="157"/>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157"/>
      <c r="R584" s="157"/>
      <c r="S584" s="157"/>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157"/>
      <c r="R585" s="157"/>
      <c r="S585" s="157"/>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157"/>
      <c r="R586" s="157"/>
      <c r="S586" s="157"/>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157"/>
      <c r="R587" s="157"/>
      <c r="S587" s="157"/>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157"/>
      <c r="R588" s="157"/>
      <c r="S588" s="157"/>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157"/>
      <c r="R589" s="157"/>
      <c r="S589" s="157"/>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157"/>
      <c r="R590" s="157"/>
      <c r="S590" s="157"/>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157"/>
      <c r="R591" s="157"/>
      <c r="S591" s="157"/>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157"/>
      <c r="R592" s="157"/>
      <c r="S592" s="157"/>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157"/>
      <c r="R593" s="157"/>
      <c r="S593" s="157"/>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157"/>
      <c r="R594" s="157"/>
      <c r="S594" s="157"/>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157"/>
      <c r="R595" s="157"/>
      <c r="S595" s="157"/>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157"/>
      <c r="R596" s="157"/>
      <c r="S596" s="157"/>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157"/>
      <c r="R597" s="157"/>
      <c r="S597" s="157"/>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157"/>
      <c r="R598" s="157"/>
      <c r="S598" s="157"/>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157"/>
      <c r="R599" s="157"/>
      <c r="S599" s="157"/>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157"/>
      <c r="R600" s="157"/>
      <c r="S600" s="157"/>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157"/>
      <c r="R601" s="157"/>
      <c r="S601" s="157"/>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157"/>
      <c r="R602" s="157"/>
      <c r="S602" s="157"/>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157"/>
      <c r="R603" s="157"/>
      <c r="S603" s="157"/>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157"/>
      <c r="R604" s="157"/>
      <c r="S604" s="157"/>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157"/>
      <c r="R605" s="157"/>
      <c r="S605" s="157"/>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157"/>
      <c r="R606" s="157"/>
      <c r="S606" s="157"/>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157"/>
      <c r="R607" s="157"/>
      <c r="S607" s="157"/>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157"/>
      <c r="R608" s="157"/>
      <c r="S608" s="157"/>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157"/>
      <c r="R609" s="157"/>
      <c r="S609" s="157"/>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157"/>
      <c r="R610" s="157"/>
      <c r="S610" s="157"/>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157"/>
      <c r="R611" s="157"/>
      <c r="S611" s="157"/>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157"/>
      <c r="R612" s="157"/>
      <c r="S612" s="157"/>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157"/>
      <c r="R613" s="157"/>
      <c r="S613" s="157"/>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157"/>
      <c r="R614" s="157"/>
      <c r="S614" s="157"/>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157"/>
      <c r="R615" s="157"/>
      <c r="S615" s="157"/>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157"/>
      <c r="R616" s="157"/>
      <c r="S616" s="157"/>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157"/>
      <c r="R617" s="157"/>
      <c r="S617" s="157"/>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157"/>
      <c r="R618" s="157"/>
      <c r="S618" s="157"/>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157"/>
      <c r="R619" s="157"/>
      <c r="S619" s="157"/>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157"/>
      <c r="R620" s="157"/>
      <c r="S620" s="157"/>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157"/>
      <c r="R621" s="157"/>
      <c r="S621" s="157"/>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157"/>
      <c r="R622" s="157"/>
      <c r="S622" s="157"/>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157"/>
      <c r="R623" s="157"/>
      <c r="S623" s="157"/>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157"/>
      <c r="R624" s="157"/>
      <c r="S624" s="157"/>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157"/>
      <c r="R625" s="157"/>
      <c r="S625" s="157"/>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157"/>
      <c r="R626" s="157"/>
      <c r="S626" s="157"/>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157"/>
      <c r="R627" s="157"/>
      <c r="S627" s="157"/>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157"/>
      <c r="R628" s="157"/>
      <c r="S628" s="157"/>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157"/>
      <c r="R629" s="157"/>
      <c r="S629" s="157"/>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157"/>
      <c r="R630" s="157"/>
      <c r="S630" s="157"/>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157"/>
      <c r="R631" s="157"/>
      <c r="S631" s="157"/>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157"/>
      <c r="R632" s="157"/>
      <c r="S632" s="157"/>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157"/>
      <c r="R633" s="157"/>
      <c r="S633" s="157"/>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157"/>
      <c r="R634" s="157"/>
      <c r="S634" s="157"/>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157"/>
      <c r="R635" s="157"/>
      <c r="S635" s="157"/>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157"/>
      <c r="R636" s="157"/>
      <c r="S636" s="157"/>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157"/>
      <c r="R637" s="157"/>
      <c r="S637" s="157"/>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157"/>
      <c r="R638" s="157"/>
      <c r="S638" s="157"/>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157"/>
      <c r="R639" s="157"/>
      <c r="S639" s="157"/>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157"/>
      <c r="R640" s="157"/>
      <c r="S640" s="157"/>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157"/>
      <c r="R641" s="157"/>
      <c r="S641" s="157"/>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157"/>
      <c r="R642" s="157"/>
      <c r="S642" s="157"/>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157"/>
      <c r="R643" s="157"/>
      <c r="S643" s="157"/>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157"/>
      <c r="R644" s="157"/>
      <c r="S644" s="157"/>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157"/>
      <c r="R645" s="157"/>
      <c r="S645" s="157"/>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157"/>
      <c r="R646" s="157"/>
      <c r="S646" s="157"/>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157"/>
      <c r="R647" s="157"/>
      <c r="S647" s="157"/>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157"/>
      <c r="R648" s="157"/>
      <c r="S648" s="157"/>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157"/>
      <c r="R649" s="157"/>
      <c r="S649" s="157"/>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157"/>
      <c r="R650" s="157"/>
      <c r="S650" s="157"/>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157"/>
      <c r="R651" s="157"/>
      <c r="S651" s="157"/>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157"/>
      <c r="R652" s="157"/>
      <c r="S652" s="157"/>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157"/>
      <c r="R653" s="157"/>
      <c r="S653" s="157"/>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157"/>
      <c r="R654" s="157"/>
      <c r="S654" s="157"/>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157"/>
      <c r="R655" s="157"/>
      <c r="S655" s="157"/>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157"/>
      <c r="R656" s="157"/>
      <c r="S656" s="157"/>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157"/>
      <c r="R657" s="157"/>
      <c r="S657" s="157"/>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157"/>
      <c r="R658" s="157"/>
      <c r="S658" s="157"/>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157"/>
      <c r="R659" s="157"/>
      <c r="S659" s="157"/>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157"/>
      <c r="R660" s="157"/>
      <c r="S660" s="157"/>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157"/>
      <c r="R661" s="157"/>
      <c r="S661" s="157"/>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157"/>
      <c r="R662" s="157"/>
      <c r="S662" s="157"/>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157"/>
      <c r="R663" s="157"/>
      <c r="S663" s="157"/>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157"/>
      <c r="R664" s="157"/>
      <c r="S664" s="157"/>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157"/>
      <c r="R665" s="157"/>
      <c r="S665" s="157"/>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157"/>
      <c r="R666" s="157"/>
      <c r="S666" s="157"/>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157"/>
      <c r="R667" s="157"/>
      <c r="S667" s="157"/>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157"/>
      <c r="R668" s="157"/>
      <c r="S668" s="157"/>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157"/>
      <c r="R669" s="157"/>
      <c r="S669" s="157"/>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157"/>
      <c r="R670" s="157"/>
      <c r="S670" s="157"/>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157"/>
      <c r="R671" s="157"/>
      <c r="S671" s="157"/>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157"/>
      <c r="R672" s="157"/>
      <c r="S672" s="157"/>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157"/>
      <c r="R673" s="157"/>
      <c r="S673" s="157"/>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157"/>
      <c r="R674" s="157"/>
      <c r="S674" s="157"/>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157"/>
      <c r="R675" s="157"/>
      <c r="S675" s="157"/>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157"/>
      <c r="R676" s="157"/>
      <c r="S676" s="157"/>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157"/>
      <c r="R677" s="157"/>
      <c r="S677" s="157"/>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157"/>
      <c r="R678" s="157"/>
      <c r="S678" s="157"/>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157"/>
      <c r="R679" s="157"/>
      <c r="S679" s="157"/>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157"/>
      <c r="R680" s="157"/>
      <c r="S680" s="157"/>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157"/>
      <c r="R681" s="157"/>
      <c r="S681" s="157"/>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157"/>
      <c r="R682" s="157"/>
      <c r="S682" s="157"/>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157"/>
      <c r="R683" s="157"/>
      <c r="S683" s="157"/>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157"/>
      <c r="R684" s="157"/>
      <c r="S684" s="157"/>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157"/>
      <c r="R685" s="157"/>
      <c r="S685" s="157"/>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157"/>
      <c r="R686" s="157"/>
      <c r="S686" s="157"/>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157"/>
      <c r="R687" s="157"/>
      <c r="S687" s="157"/>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157"/>
      <c r="R688" s="157"/>
      <c r="S688" s="157"/>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157"/>
      <c r="R689" s="157"/>
      <c r="S689" s="157"/>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157"/>
      <c r="R690" s="157"/>
      <c r="S690" s="157"/>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157"/>
      <c r="R691" s="157"/>
      <c r="S691" s="157"/>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157"/>
      <c r="R692" s="157"/>
      <c r="S692" s="157"/>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157"/>
      <c r="R693" s="157"/>
      <c r="S693" s="157"/>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157"/>
      <c r="R694" s="157"/>
      <c r="S694" s="157"/>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157"/>
      <c r="R695" s="157"/>
      <c r="S695" s="157"/>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157"/>
      <c r="R696" s="157"/>
      <c r="S696" s="157"/>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157"/>
      <c r="R697" s="157"/>
      <c r="S697" s="157"/>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157"/>
      <c r="R698" s="157"/>
      <c r="S698" s="157"/>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157"/>
      <c r="R699" s="157"/>
      <c r="S699" s="157"/>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157"/>
      <c r="R700" s="157"/>
      <c r="S700" s="157"/>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157"/>
      <c r="R701" s="157"/>
      <c r="S701" s="157"/>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157"/>
      <c r="R702" s="157"/>
      <c r="S702" s="157"/>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157"/>
      <c r="R703" s="157"/>
      <c r="S703" s="157"/>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157"/>
      <c r="R704" s="157"/>
      <c r="S704" s="157"/>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157"/>
      <c r="R705" s="157"/>
      <c r="S705" s="157"/>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157"/>
      <c r="R706" s="157"/>
      <c r="S706" s="157"/>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157"/>
      <c r="R707" s="157"/>
      <c r="S707" s="157"/>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157"/>
      <c r="R708" s="157"/>
      <c r="S708" s="157"/>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157"/>
      <c r="R709" s="157"/>
      <c r="S709" s="157"/>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157"/>
      <c r="R710" s="157"/>
      <c r="S710" s="157"/>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157"/>
      <c r="R711" s="157"/>
      <c r="S711" s="157"/>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157"/>
      <c r="R712" s="157"/>
      <c r="S712" s="157"/>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157"/>
      <c r="R713" s="157"/>
      <c r="S713" s="157"/>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157"/>
      <c r="R714" s="157"/>
      <c r="S714" s="157"/>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157"/>
      <c r="R715" s="157"/>
      <c r="S715" s="157"/>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157"/>
      <c r="R716" s="157"/>
      <c r="S716" s="157"/>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157"/>
      <c r="R717" s="157"/>
      <c r="S717" s="157"/>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157"/>
      <c r="R718" s="157"/>
      <c r="S718" s="157"/>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157"/>
      <c r="R719" s="157"/>
      <c r="S719" s="157"/>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157"/>
      <c r="R720" s="157"/>
      <c r="S720" s="157"/>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157"/>
      <c r="R721" s="157"/>
      <c r="S721" s="157"/>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157"/>
      <c r="R722" s="157"/>
      <c r="S722" s="157"/>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157"/>
      <c r="R723" s="157"/>
      <c r="S723" s="157"/>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157"/>
      <c r="R724" s="157"/>
      <c r="S724" s="157"/>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157"/>
      <c r="R725" s="157"/>
      <c r="S725" s="157"/>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157"/>
      <c r="R726" s="157"/>
      <c r="S726" s="157"/>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157"/>
      <c r="R727" s="157"/>
      <c r="S727" s="157"/>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157"/>
      <c r="R728" s="157"/>
      <c r="S728" s="157"/>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157"/>
      <c r="R729" s="157"/>
      <c r="S729" s="157"/>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157"/>
      <c r="R730" s="157"/>
      <c r="S730" s="157"/>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157"/>
      <c r="R731" s="157"/>
      <c r="S731" s="157"/>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157"/>
      <c r="R732" s="157"/>
      <c r="S732" s="157"/>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157"/>
      <c r="R733" s="157"/>
      <c r="S733" s="157"/>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157"/>
      <c r="R734" s="157"/>
      <c r="S734" s="157"/>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157"/>
      <c r="R735" s="157"/>
      <c r="S735" s="157"/>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157"/>
      <c r="R736" s="157"/>
      <c r="S736" s="157"/>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157"/>
      <c r="R737" s="157"/>
      <c r="S737" s="157"/>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157"/>
      <c r="R738" s="157"/>
      <c r="S738" s="157"/>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157"/>
      <c r="R739" s="157"/>
      <c r="S739" s="157"/>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157"/>
      <c r="R740" s="157"/>
      <c r="S740" s="157"/>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157"/>
      <c r="R741" s="157"/>
      <c r="S741" s="157"/>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157"/>
      <c r="R742" s="157"/>
      <c r="S742" s="157"/>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157"/>
      <c r="R743" s="157"/>
      <c r="S743" s="157"/>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157"/>
      <c r="R744" s="157"/>
      <c r="S744" s="157"/>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157"/>
      <c r="R745" s="157"/>
      <c r="S745" s="157"/>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157"/>
      <c r="R746" s="157"/>
      <c r="S746" s="157"/>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157"/>
      <c r="R747" s="157"/>
      <c r="S747" s="157"/>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157"/>
      <c r="R748" s="157"/>
      <c r="S748" s="157"/>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157"/>
      <c r="R749" s="157"/>
      <c r="S749" s="157"/>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157"/>
      <c r="R750" s="157"/>
      <c r="S750" s="157"/>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157"/>
      <c r="R751" s="157"/>
      <c r="S751" s="157"/>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157"/>
      <c r="R752" s="157"/>
      <c r="S752" s="157"/>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157"/>
      <c r="R753" s="157"/>
      <c r="S753" s="157"/>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157"/>
      <c r="R754" s="157"/>
      <c r="S754" s="157"/>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157"/>
      <c r="R755" s="157"/>
      <c r="S755" s="157"/>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157"/>
      <c r="R756" s="157"/>
      <c r="S756" s="157"/>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157"/>
      <c r="R757" s="157"/>
      <c r="S757" s="157"/>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157"/>
      <c r="R758" s="157"/>
      <c r="S758" s="157"/>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157"/>
      <c r="R759" s="157"/>
      <c r="S759" s="157"/>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157"/>
      <c r="R760" s="157"/>
      <c r="S760" s="157"/>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157"/>
      <c r="R761" s="157"/>
      <c r="S761" s="157"/>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157"/>
      <c r="R762" s="157"/>
      <c r="S762" s="157"/>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157"/>
      <c r="R763" s="157"/>
      <c r="S763" s="157"/>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157"/>
      <c r="R764" s="157"/>
      <c r="S764" s="157"/>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157"/>
      <c r="R765" s="157"/>
      <c r="S765" s="157"/>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157"/>
      <c r="R766" s="157"/>
      <c r="S766" s="157"/>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157"/>
      <c r="R767" s="157"/>
      <c r="S767" s="157"/>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157"/>
      <c r="R768" s="157"/>
      <c r="S768" s="157"/>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157"/>
      <c r="R769" s="157"/>
      <c r="S769" s="157"/>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157"/>
      <c r="R770" s="157"/>
      <c r="S770" s="157"/>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157"/>
      <c r="R771" s="157"/>
      <c r="S771" s="157"/>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157"/>
      <c r="R772" s="157"/>
      <c r="S772" s="157"/>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157"/>
      <c r="R773" s="157"/>
      <c r="S773" s="157"/>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157"/>
      <c r="R774" s="157"/>
      <c r="S774" s="157"/>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157"/>
      <c r="R775" s="157"/>
      <c r="S775" s="157"/>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157"/>
      <c r="R776" s="157"/>
      <c r="S776" s="157"/>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157"/>
      <c r="R777" s="157"/>
      <c r="S777" s="157"/>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157"/>
      <c r="R778" s="157"/>
      <c r="S778" s="157"/>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157"/>
      <c r="R779" s="157"/>
      <c r="S779" s="157"/>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157"/>
      <c r="R780" s="157"/>
      <c r="S780" s="157"/>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157"/>
      <c r="R781" s="157"/>
      <c r="S781" s="157"/>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157"/>
      <c r="R782" s="157"/>
      <c r="S782" s="157"/>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157"/>
      <c r="R783" s="157"/>
      <c r="S783" s="157"/>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157"/>
      <c r="R784" s="157"/>
      <c r="S784" s="157"/>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157"/>
      <c r="R785" s="157"/>
      <c r="S785" s="157"/>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157"/>
      <c r="R786" s="157"/>
      <c r="S786" s="157"/>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157"/>
      <c r="R787" s="157"/>
      <c r="S787" s="157"/>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157"/>
      <c r="R788" s="157"/>
      <c r="S788" s="157"/>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157"/>
      <c r="R789" s="157"/>
      <c r="S789" s="157"/>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157"/>
      <c r="R790" s="157"/>
      <c r="S790" s="157"/>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157"/>
      <c r="R791" s="157"/>
      <c r="S791" s="157"/>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157"/>
      <c r="R792" s="157"/>
      <c r="S792" s="157"/>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157"/>
      <c r="R793" s="157"/>
      <c r="S793" s="157"/>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157"/>
      <c r="R794" s="157"/>
      <c r="S794" s="157"/>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157"/>
      <c r="R795" s="157"/>
      <c r="S795" s="157"/>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157"/>
      <c r="R796" s="157"/>
      <c r="S796" s="157"/>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157"/>
      <c r="R797" s="157"/>
      <c r="S797" s="157"/>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157"/>
      <c r="R798" s="157"/>
      <c r="S798" s="157"/>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157"/>
      <c r="R799" s="157"/>
      <c r="S799" s="157"/>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157"/>
      <c r="R800" s="157"/>
      <c r="S800" s="157"/>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157"/>
      <c r="R801" s="157"/>
      <c r="S801" s="157"/>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157"/>
      <c r="R802" s="157"/>
      <c r="S802" s="157"/>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157"/>
      <c r="R803" s="157"/>
      <c r="S803" s="157"/>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157"/>
      <c r="R804" s="157"/>
      <c r="S804" s="157"/>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157"/>
      <c r="R805" s="157"/>
      <c r="S805" s="157"/>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157"/>
      <c r="R806" s="157"/>
      <c r="S806" s="157"/>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157"/>
      <c r="R807" s="157"/>
      <c r="S807" s="157"/>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157"/>
      <c r="R808" s="157"/>
      <c r="S808" s="157"/>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157"/>
      <c r="R809" s="157"/>
      <c r="S809" s="157"/>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157"/>
      <c r="R810" s="157"/>
      <c r="S810" s="157"/>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157"/>
      <c r="R811" s="157"/>
      <c r="S811" s="157"/>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157"/>
      <c r="R812" s="157"/>
      <c r="S812" s="157"/>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157"/>
      <c r="R813" s="157"/>
      <c r="S813" s="157"/>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157"/>
      <c r="R814" s="157"/>
      <c r="S814" s="157"/>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157"/>
      <c r="R815" s="157"/>
      <c r="S815" s="157"/>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157"/>
      <c r="R816" s="157"/>
      <c r="S816" s="157"/>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157"/>
      <c r="R817" s="157"/>
      <c r="S817" s="157"/>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157"/>
      <c r="R818" s="157"/>
      <c r="S818" s="157"/>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157"/>
      <c r="R819" s="157"/>
      <c r="S819" s="157"/>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157"/>
      <c r="R820" s="157"/>
      <c r="S820" s="157"/>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157"/>
      <c r="R821" s="157"/>
      <c r="S821" s="157"/>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157"/>
      <c r="R822" s="157"/>
      <c r="S822" s="157"/>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157"/>
      <c r="R823" s="157"/>
      <c r="S823" s="157"/>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157"/>
      <c r="R824" s="157"/>
      <c r="S824" s="157"/>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157"/>
      <c r="R825" s="157"/>
      <c r="S825" s="157"/>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157"/>
      <c r="R826" s="157"/>
      <c r="S826" s="157"/>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157"/>
      <c r="R827" s="157"/>
      <c r="S827" s="157"/>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157"/>
      <c r="R828" s="157"/>
      <c r="S828" s="157"/>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157"/>
      <c r="R829" s="157"/>
      <c r="S829" s="157"/>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157"/>
      <c r="R830" s="157"/>
      <c r="S830" s="157"/>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157"/>
      <c r="R831" s="157"/>
      <c r="S831" s="157"/>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157"/>
      <c r="R832" s="157"/>
      <c r="S832" s="157"/>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157"/>
      <c r="R833" s="157"/>
      <c r="S833" s="157"/>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157"/>
      <c r="R834" s="157"/>
      <c r="S834" s="157"/>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157"/>
      <c r="R835" s="157"/>
      <c r="S835" s="157"/>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157"/>
      <c r="R836" s="157"/>
      <c r="S836" s="157"/>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157"/>
      <c r="R837" s="157"/>
      <c r="S837" s="157"/>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157"/>
      <c r="R838" s="157"/>
      <c r="S838" s="157"/>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157"/>
      <c r="R839" s="157"/>
      <c r="S839" s="157"/>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157"/>
      <c r="R840" s="157"/>
      <c r="S840" s="157"/>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157"/>
      <c r="R841" s="157"/>
      <c r="S841" s="157"/>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157"/>
      <c r="R842" s="157"/>
      <c r="S842" s="157"/>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157"/>
      <c r="R843" s="157"/>
      <c r="S843" s="157"/>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157"/>
      <c r="R844" s="157"/>
      <c r="S844" s="157"/>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157"/>
      <c r="R845" s="157"/>
      <c r="S845" s="157"/>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157"/>
      <c r="R846" s="157"/>
      <c r="S846" s="157"/>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157"/>
      <c r="R847" s="157"/>
      <c r="S847" s="157"/>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157"/>
      <c r="R848" s="157"/>
      <c r="S848" s="157"/>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157"/>
      <c r="R849" s="157"/>
      <c r="S849" s="157"/>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157"/>
      <c r="R850" s="157"/>
      <c r="S850" s="157"/>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157"/>
      <c r="R851" s="157"/>
      <c r="S851" s="157"/>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157"/>
      <c r="R852" s="157"/>
      <c r="S852" s="157"/>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157"/>
      <c r="R853" s="157"/>
      <c r="S853" s="157"/>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157"/>
      <c r="R854" s="157"/>
      <c r="S854" s="157"/>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157"/>
      <c r="R855" s="157"/>
      <c r="S855" s="157"/>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157"/>
      <c r="R856" s="157"/>
      <c r="S856" s="157"/>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157"/>
      <c r="R857" s="157"/>
      <c r="S857" s="157"/>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157"/>
      <c r="R858" s="157"/>
      <c r="S858" s="157"/>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157"/>
      <c r="R859" s="157"/>
      <c r="S859" s="157"/>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157"/>
      <c r="R860" s="157"/>
      <c r="S860" s="157"/>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157"/>
      <c r="R861" s="157"/>
      <c r="S861" s="157"/>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157"/>
      <c r="R862" s="157"/>
      <c r="S862" s="157"/>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157"/>
      <c r="R863" s="157"/>
      <c r="S863" s="157"/>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157"/>
      <c r="R864" s="157"/>
      <c r="S864" s="157"/>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157"/>
      <c r="R865" s="157"/>
      <c r="S865" s="157"/>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157"/>
      <c r="R866" s="157"/>
      <c r="S866" s="157"/>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157"/>
      <c r="R867" s="157"/>
      <c r="S867" s="157"/>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157"/>
      <c r="R868" s="157"/>
      <c r="S868" s="157"/>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157"/>
      <c r="R869" s="157"/>
      <c r="S869" s="157"/>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157"/>
      <c r="R870" s="157"/>
      <c r="S870" s="157"/>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157"/>
      <c r="R871" s="157"/>
      <c r="S871" s="157"/>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157"/>
      <c r="R872" s="157"/>
      <c r="S872" s="157"/>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157"/>
      <c r="R873" s="157"/>
      <c r="S873" s="157"/>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157"/>
      <c r="R874" s="157"/>
      <c r="S874" s="157"/>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157"/>
      <c r="R875" s="157"/>
      <c r="S875" s="157"/>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157"/>
      <c r="R876" s="157"/>
      <c r="S876" s="157"/>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157"/>
      <c r="R877" s="157"/>
      <c r="S877" s="157"/>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157"/>
      <c r="R878" s="157"/>
      <c r="S878" s="157"/>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157"/>
      <c r="R879" s="157"/>
      <c r="S879" s="157"/>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157"/>
      <c r="R880" s="157"/>
      <c r="S880" s="157"/>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157"/>
      <c r="R881" s="157"/>
      <c r="S881" s="157"/>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157"/>
      <c r="R882" s="157"/>
      <c r="S882" s="157"/>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157"/>
      <c r="R883" s="157"/>
      <c r="S883" s="157"/>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157"/>
      <c r="R884" s="157"/>
      <c r="S884" s="157"/>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157"/>
      <c r="R885" s="157"/>
      <c r="S885" s="157"/>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157"/>
      <c r="R886" s="157"/>
      <c r="S886" s="157"/>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157"/>
      <c r="R887" s="157"/>
      <c r="S887" s="157"/>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157"/>
      <c r="R888" s="157"/>
      <c r="S888" s="157"/>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157"/>
      <c r="R889" s="157"/>
      <c r="S889" s="157"/>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157"/>
      <c r="R890" s="157"/>
      <c r="S890" s="157"/>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157"/>
      <c r="R891" s="157"/>
      <c r="S891" s="157"/>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157"/>
      <c r="R892" s="157"/>
      <c r="S892" s="157"/>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157"/>
      <c r="R893" s="157"/>
      <c r="S893" s="157"/>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157"/>
      <c r="R894" s="157"/>
      <c r="S894" s="157"/>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157"/>
      <c r="R895" s="157"/>
      <c r="S895" s="157"/>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157"/>
      <c r="R896" s="157"/>
      <c r="S896" s="157"/>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157"/>
      <c r="R897" s="157"/>
      <c r="S897" s="157"/>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157"/>
      <c r="R898" s="157"/>
      <c r="S898" s="157"/>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157"/>
      <c r="R899" s="157"/>
      <c r="S899" s="157"/>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157"/>
      <c r="R900" s="157"/>
      <c r="S900" s="157"/>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157"/>
      <c r="R901" s="157"/>
      <c r="S901" s="157"/>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157"/>
      <c r="R902" s="157"/>
      <c r="S902" s="157"/>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157"/>
      <c r="R903" s="157"/>
      <c r="S903" s="157"/>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157"/>
      <c r="R904" s="157"/>
      <c r="S904" s="157"/>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157"/>
      <c r="R905" s="157"/>
      <c r="S905" s="157"/>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157"/>
      <c r="R906" s="157"/>
      <c r="S906" s="157"/>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157"/>
      <c r="R907" s="157"/>
      <c r="S907" s="157"/>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157"/>
      <c r="R908" s="157"/>
      <c r="S908" s="157"/>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157"/>
      <c r="R909" s="157"/>
      <c r="S909" s="157"/>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157"/>
      <c r="R910" s="157"/>
      <c r="S910" s="157"/>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157"/>
      <c r="R911" s="157"/>
      <c r="S911" s="157"/>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157"/>
      <c r="R912" s="157"/>
      <c r="S912" s="157"/>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157"/>
      <c r="R913" s="157"/>
      <c r="S913" s="157"/>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157"/>
      <c r="R914" s="157"/>
      <c r="S914" s="157"/>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157"/>
      <c r="R915" s="157"/>
      <c r="S915" s="157"/>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157"/>
      <c r="R916" s="157"/>
      <c r="S916" s="157"/>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157"/>
      <c r="R917" s="157"/>
      <c r="S917" s="157"/>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157"/>
      <c r="R918" s="157"/>
      <c r="S918" s="157"/>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157"/>
      <c r="R919" s="157"/>
      <c r="S919" s="157"/>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157"/>
      <c r="R920" s="157"/>
      <c r="S920" s="157"/>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157"/>
      <c r="R921" s="157"/>
      <c r="S921" s="157"/>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157"/>
      <c r="R922" s="157"/>
      <c r="S922" s="157"/>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157"/>
      <c r="R923" s="157"/>
      <c r="S923" s="157"/>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157"/>
      <c r="R924" s="157"/>
      <c r="S924" s="157"/>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157"/>
      <c r="R925" s="157"/>
      <c r="S925" s="157"/>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157"/>
      <c r="R926" s="157"/>
      <c r="S926" s="157"/>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157"/>
      <c r="R927" s="157"/>
      <c r="S927" s="157"/>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157"/>
      <c r="R928" s="157"/>
      <c r="S928" s="157"/>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157"/>
      <c r="R929" s="157"/>
      <c r="S929" s="157"/>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157"/>
      <c r="R930" s="157"/>
      <c r="S930" s="157"/>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157"/>
      <c r="R931" s="157"/>
      <c r="S931" s="157"/>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157"/>
      <c r="R932" s="157"/>
      <c r="S932" s="157"/>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157"/>
      <c r="R933" s="157"/>
      <c r="S933" s="157"/>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157"/>
      <c r="R934" s="157"/>
      <c r="S934" s="157"/>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157"/>
      <c r="R935" s="157"/>
      <c r="S935" s="157"/>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157"/>
      <c r="R936" s="157"/>
      <c r="S936" s="157"/>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157"/>
      <c r="R937" s="157"/>
      <c r="S937" s="157"/>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157"/>
      <c r="R938" s="157"/>
      <c r="S938" s="157"/>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157"/>
      <c r="R939" s="157"/>
      <c r="S939" s="157"/>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157"/>
      <c r="R940" s="157"/>
      <c r="S940" s="157"/>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157"/>
      <c r="R941" s="157"/>
      <c r="S941" s="157"/>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157"/>
      <c r="R942" s="157"/>
      <c r="S942" s="157"/>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157"/>
      <c r="R943" s="157"/>
      <c r="S943" s="157"/>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157"/>
      <c r="R944" s="157"/>
      <c r="S944" s="157"/>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157"/>
      <c r="R945" s="157"/>
      <c r="S945" s="157"/>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157"/>
      <c r="R946" s="157"/>
      <c r="S946" s="157"/>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157"/>
      <c r="R947" s="157"/>
      <c r="S947" s="157"/>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157"/>
      <c r="R948" s="157"/>
      <c r="S948" s="157"/>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157"/>
      <c r="R949" s="157"/>
      <c r="S949" s="157"/>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157"/>
      <c r="R950" s="157"/>
      <c r="S950" s="157"/>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157"/>
      <c r="R951" s="157"/>
      <c r="S951" s="157"/>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157"/>
      <c r="R952" s="157"/>
      <c r="S952" s="157"/>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157"/>
      <c r="R953" s="157"/>
      <c r="S953" s="157"/>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157"/>
      <c r="R954" s="157"/>
      <c r="S954" s="157"/>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157"/>
      <c r="R955" s="157"/>
      <c r="S955" s="157"/>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157"/>
      <c r="R956" s="157"/>
      <c r="S956" s="157"/>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157"/>
      <c r="R957" s="157"/>
      <c r="S957" s="157"/>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157"/>
      <c r="R958" s="157"/>
      <c r="S958" s="157"/>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157"/>
      <c r="R959" s="157"/>
      <c r="S959" s="157"/>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157"/>
      <c r="R960" s="157"/>
      <c r="S960" s="157"/>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157"/>
      <c r="R961" s="157"/>
      <c r="S961" s="157"/>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157"/>
      <c r="R962" s="157"/>
      <c r="S962" s="157"/>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157"/>
      <c r="R963" s="157"/>
      <c r="S963" s="157"/>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157"/>
      <c r="R964" s="157"/>
      <c r="S964" s="157"/>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157"/>
      <c r="R965" s="157"/>
      <c r="S965" s="157"/>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157"/>
      <c r="R966" s="157"/>
      <c r="S966" s="157"/>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157"/>
      <c r="R967" s="157"/>
      <c r="S967" s="157"/>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157"/>
      <c r="R968" s="157"/>
      <c r="S968" s="157"/>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157"/>
      <c r="R969" s="157"/>
      <c r="S969" s="157"/>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157"/>
      <c r="R970" s="157"/>
      <c r="S970" s="157"/>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157"/>
      <c r="R971" s="157"/>
      <c r="S971" s="157"/>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157"/>
      <c r="R972" s="157"/>
      <c r="S972" s="157"/>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157"/>
      <c r="R973" s="157"/>
      <c r="S973" s="157"/>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157"/>
      <c r="R974" s="157"/>
      <c r="S974" s="157"/>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157"/>
      <c r="R975" s="157"/>
      <c r="S975" s="157"/>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157"/>
      <c r="R976" s="157"/>
      <c r="S976" s="157"/>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157"/>
      <c r="R977" s="157"/>
      <c r="S977" s="157"/>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157"/>
      <c r="R978" s="157"/>
      <c r="S978" s="157"/>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157"/>
      <c r="R979" s="157"/>
      <c r="S979" s="157"/>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157"/>
      <c r="R980" s="157"/>
      <c r="S980" s="157"/>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157"/>
      <c r="R981" s="157"/>
      <c r="S981" s="157"/>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157"/>
      <c r="R982" s="157"/>
      <c r="S982" s="157"/>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157"/>
      <c r="R983" s="157"/>
      <c r="S983" s="157"/>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157"/>
      <c r="R984" s="157"/>
      <c r="S984" s="157"/>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157"/>
      <c r="R985" s="157"/>
      <c r="S985" s="157"/>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157"/>
      <c r="R986" s="157"/>
      <c r="S986" s="157"/>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157"/>
      <c r="R987" s="157"/>
      <c r="S987" s="157"/>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157"/>
      <c r="R988" s="157"/>
      <c r="S988" s="157"/>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157"/>
      <c r="R989" s="157"/>
      <c r="S989" s="157"/>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157"/>
      <c r="R990" s="157"/>
      <c r="S990" s="157"/>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157"/>
      <c r="R991" s="157"/>
      <c r="S991" s="157"/>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157"/>
      <c r="R992" s="157"/>
      <c r="S992" s="157"/>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157"/>
      <c r="R993" s="157"/>
      <c r="S993" s="157"/>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157"/>
      <c r="R994" s="157"/>
      <c r="S994" s="157"/>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157"/>
      <c r="R995" s="157"/>
      <c r="S995" s="157"/>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157"/>
      <c r="R996" s="157"/>
      <c r="S996" s="157"/>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157"/>
      <c r="R997" s="157"/>
      <c r="S997" s="157"/>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157"/>
      <c r="R998" s="157"/>
      <c r="S998" s="157"/>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157"/>
      <c r="R999" s="157"/>
      <c r="S999" s="157"/>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157"/>
      <c r="R1000" s="157"/>
      <c r="S1000" s="157"/>
      <c r="T1000" s="2"/>
      <c r="U1000" s="2"/>
      <c r="V1000" s="2"/>
      <c r="W1000" s="2"/>
      <c r="X1000" s="2"/>
      <c r="Y1000" s="2"/>
      <c r="Z1000" s="2"/>
    </row>
  </sheetData>
  <mergeCells count="73">
    <mergeCell ref="L69:L77"/>
    <mergeCell ref="L78:L83"/>
    <mergeCell ref="L99:L109"/>
    <mergeCell ref="K3:O3"/>
    <mergeCell ref="L6:L15"/>
    <mergeCell ref="L16:L23"/>
    <mergeCell ref="L24:L42"/>
    <mergeCell ref="L43:L50"/>
    <mergeCell ref="L51:L55"/>
    <mergeCell ref="L56:L68"/>
    <mergeCell ref="A24:A42"/>
    <mergeCell ref="A43:A50"/>
    <mergeCell ref="A51:A55"/>
    <mergeCell ref="A56:A68"/>
    <mergeCell ref="A69:A77"/>
    <mergeCell ref="A78:A83"/>
    <mergeCell ref="A84:A92"/>
    <mergeCell ref="C110:C111"/>
    <mergeCell ref="D110:D111"/>
    <mergeCell ref="F110:F111"/>
    <mergeCell ref="A93:A98"/>
    <mergeCell ref="A99:A109"/>
    <mergeCell ref="B99:B109"/>
    <mergeCell ref="C99:C109"/>
    <mergeCell ref="D99:D109"/>
    <mergeCell ref="A110:A111"/>
    <mergeCell ref="B110:B111"/>
    <mergeCell ref="A1:T1"/>
    <mergeCell ref="A2:C2"/>
    <mergeCell ref="D2:G2"/>
    <mergeCell ref="H2:J2"/>
    <mergeCell ref="K2:O2"/>
    <mergeCell ref="P2:R2"/>
    <mergeCell ref="S2:T2"/>
    <mergeCell ref="A3:C3"/>
    <mergeCell ref="D3:G3"/>
    <mergeCell ref="H3:J3"/>
    <mergeCell ref="P3:R3"/>
    <mergeCell ref="S3:T3"/>
    <mergeCell ref="A6:A15"/>
    <mergeCell ref="D6:D15"/>
    <mergeCell ref="B6:B15"/>
    <mergeCell ref="C6:C15"/>
    <mergeCell ref="A16:A23"/>
    <mergeCell ref="B16:B23"/>
    <mergeCell ref="C16:C23"/>
    <mergeCell ref="D16:D23"/>
    <mergeCell ref="D24:D42"/>
    <mergeCell ref="B24:B42"/>
    <mergeCell ref="C24:C42"/>
    <mergeCell ref="B43:B50"/>
    <mergeCell ref="C43:C50"/>
    <mergeCell ref="D43:D50"/>
    <mergeCell ref="C51:C55"/>
    <mergeCell ref="D51:D55"/>
    <mergeCell ref="B78:B83"/>
    <mergeCell ref="C78:C83"/>
    <mergeCell ref="D78:D83"/>
    <mergeCell ref="B84:B92"/>
    <mergeCell ref="C84:C92"/>
    <mergeCell ref="D84:D92"/>
    <mergeCell ref="L84:L92"/>
    <mergeCell ref="B93:B98"/>
    <mergeCell ref="C93:C98"/>
    <mergeCell ref="D93:D98"/>
    <mergeCell ref="L93:L98"/>
    <mergeCell ref="B51:B55"/>
    <mergeCell ref="B56:B68"/>
    <mergeCell ref="C56:C68"/>
    <mergeCell ref="D56:D68"/>
    <mergeCell ref="B69:B77"/>
    <mergeCell ref="C69:C77"/>
    <mergeCell ref="D69:D77"/>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38.63"/>
    <col customWidth="1" min="11" max="11" width="41.13"/>
    <col customWidth="1" hidden="1" min="12" max="12" width="18.88"/>
    <col customWidth="1" hidden="1" min="13" max="13" width="30.75"/>
    <col hidden="1" min="14" max="16" width="12.63"/>
    <col customWidth="1" min="17" max="17" width="12.63"/>
    <col customWidth="1" min="18" max="19" width="15.75"/>
    <col customWidth="1" min="20" max="20" width="20.75"/>
    <col customWidth="1" min="21" max="26" width="12.63"/>
  </cols>
  <sheetData>
    <row r="1" ht="30.0" customHeight="1">
      <c r="A1" s="21" t="s">
        <v>1909</v>
      </c>
      <c r="B1" s="24"/>
      <c r="C1" s="24"/>
      <c r="D1" s="24"/>
      <c r="E1" s="24"/>
      <c r="F1" s="24"/>
      <c r="G1" s="24"/>
      <c r="H1" s="24"/>
      <c r="I1" s="24"/>
      <c r="J1" s="24"/>
      <c r="K1" s="24"/>
      <c r="L1" s="24"/>
      <c r="M1" s="24"/>
      <c r="N1" s="24"/>
      <c r="O1" s="24"/>
      <c r="P1" s="24"/>
      <c r="Q1" s="24"/>
      <c r="R1" s="24"/>
      <c r="S1" s="24"/>
      <c r="T1" s="27"/>
      <c r="U1" s="143"/>
      <c r="V1" s="143"/>
      <c r="W1" s="143"/>
      <c r="X1" s="143"/>
      <c r="Y1" s="143"/>
      <c r="Z1" s="143"/>
    </row>
    <row r="2" ht="19.5" customHeight="1">
      <c r="A2" s="35" t="s">
        <v>38</v>
      </c>
      <c r="B2" s="37"/>
      <c r="C2" s="39"/>
      <c r="D2" s="40" t="s">
        <v>47</v>
      </c>
      <c r="E2" s="37"/>
      <c r="F2" s="37"/>
      <c r="G2" s="39"/>
      <c r="H2" s="35" t="s">
        <v>50</v>
      </c>
      <c r="I2" s="37"/>
      <c r="J2" s="39"/>
      <c r="K2" s="40" t="s">
        <v>3127</v>
      </c>
      <c r="L2" s="37"/>
      <c r="M2" s="37"/>
      <c r="N2" s="37"/>
      <c r="O2" s="39"/>
      <c r="P2" s="35" t="s">
        <v>6</v>
      </c>
      <c r="Q2" s="37"/>
      <c r="R2" s="39"/>
      <c r="S2" s="40" t="s">
        <v>33</v>
      </c>
      <c r="T2" s="39"/>
      <c r="U2" s="143"/>
      <c r="V2" s="143"/>
      <c r="W2" s="143"/>
      <c r="X2" s="143"/>
      <c r="Y2" s="143"/>
      <c r="Z2" s="143"/>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143"/>
      <c r="W3" s="143"/>
      <c r="X3" s="143"/>
      <c r="Y3" s="143"/>
      <c r="Z3" s="143"/>
    </row>
    <row r="4" ht="13.5" customHeight="1">
      <c r="A4" s="49"/>
      <c r="B4" s="49"/>
      <c r="C4" s="49"/>
      <c r="D4" s="49"/>
      <c r="E4" s="49"/>
      <c r="F4" s="49"/>
      <c r="G4" s="49"/>
      <c r="H4" s="49"/>
      <c r="I4" s="49"/>
      <c r="J4" s="49"/>
      <c r="K4" s="49"/>
      <c r="L4" s="49"/>
      <c r="M4" s="49"/>
      <c r="N4" s="49"/>
      <c r="O4" s="49"/>
      <c r="P4" s="49"/>
      <c r="Q4" s="49"/>
      <c r="R4" s="49"/>
      <c r="S4" s="49"/>
      <c r="T4" s="52"/>
      <c r="U4" s="143"/>
      <c r="V4" s="143"/>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8" t="s">
        <v>82</v>
      </c>
      <c r="U5" s="143"/>
      <c r="V5" s="143"/>
      <c r="W5" s="143"/>
      <c r="X5" s="143"/>
      <c r="Y5" s="143"/>
      <c r="Z5" s="143"/>
    </row>
    <row r="6" ht="13.5" customHeight="1">
      <c r="A6" s="59" t="s">
        <v>3127</v>
      </c>
      <c r="B6" s="59" t="s">
        <v>707</v>
      </c>
      <c r="C6" s="60" t="s">
        <v>708</v>
      </c>
      <c r="D6" s="60" t="s">
        <v>3128</v>
      </c>
      <c r="E6" s="61" t="s">
        <v>3129</v>
      </c>
      <c r="F6" s="62" t="s">
        <v>3130</v>
      </c>
      <c r="G6" s="63" t="s">
        <v>3131</v>
      </c>
      <c r="H6" s="61" t="s">
        <v>88</v>
      </c>
      <c r="I6" s="61" t="s">
        <v>60</v>
      </c>
      <c r="J6" s="63" t="s">
        <v>3132</v>
      </c>
      <c r="K6" s="90"/>
      <c r="L6" s="60" t="s">
        <v>3133</v>
      </c>
      <c r="M6" s="61"/>
      <c r="N6" s="61"/>
      <c r="O6" s="61"/>
      <c r="P6" s="61"/>
      <c r="Q6" s="61" t="s">
        <v>93</v>
      </c>
      <c r="R6" s="61" t="s">
        <v>94</v>
      </c>
      <c r="S6" s="61" t="s">
        <v>94</v>
      </c>
      <c r="T6" s="66">
        <v>46246.0</v>
      </c>
      <c r="U6" s="143"/>
      <c r="V6" s="143"/>
      <c r="W6" s="143"/>
      <c r="X6" s="143"/>
      <c r="Y6" s="143"/>
      <c r="Z6" s="143"/>
    </row>
    <row r="7" ht="13.5" customHeight="1">
      <c r="A7" s="67"/>
      <c r="B7" s="67"/>
      <c r="C7" s="67"/>
      <c r="D7" s="67"/>
      <c r="E7" s="61" t="s">
        <v>3134</v>
      </c>
      <c r="F7" s="68"/>
      <c r="G7" s="63" t="s">
        <v>3135</v>
      </c>
      <c r="H7" s="61" t="s">
        <v>88</v>
      </c>
      <c r="I7" s="61" t="s">
        <v>60</v>
      </c>
      <c r="J7" s="63" t="s">
        <v>3136</v>
      </c>
      <c r="K7" s="90"/>
      <c r="L7" s="67"/>
      <c r="M7" s="61"/>
      <c r="N7" s="61"/>
      <c r="O7" s="61"/>
      <c r="P7" s="61"/>
      <c r="Q7" s="61" t="s">
        <v>93</v>
      </c>
      <c r="R7" s="61" t="s">
        <v>94</v>
      </c>
      <c r="S7" s="61" t="s">
        <v>94</v>
      </c>
      <c r="T7" s="66">
        <v>46246.0</v>
      </c>
      <c r="U7" s="143"/>
      <c r="V7" s="143"/>
      <c r="W7" s="143"/>
      <c r="X7" s="143"/>
      <c r="Y7" s="143"/>
      <c r="Z7" s="143"/>
    </row>
    <row r="8" ht="13.5" customHeight="1">
      <c r="A8" s="67"/>
      <c r="B8" s="67"/>
      <c r="C8" s="67"/>
      <c r="D8" s="67"/>
      <c r="E8" s="61" t="s">
        <v>3137</v>
      </c>
      <c r="F8" s="68"/>
      <c r="G8" s="63" t="s">
        <v>3138</v>
      </c>
      <c r="H8" s="61" t="s">
        <v>88</v>
      </c>
      <c r="I8" s="61" t="s">
        <v>60</v>
      </c>
      <c r="J8" s="63" t="s">
        <v>3139</v>
      </c>
      <c r="K8" s="90"/>
      <c r="L8" s="67"/>
      <c r="M8" s="61"/>
      <c r="N8" s="61"/>
      <c r="O8" s="61"/>
      <c r="P8" s="61"/>
      <c r="Q8" s="61" t="s">
        <v>93</v>
      </c>
      <c r="R8" s="61" t="s">
        <v>94</v>
      </c>
      <c r="S8" s="61" t="s">
        <v>94</v>
      </c>
      <c r="T8" s="66">
        <v>46246.0</v>
      </c>
      <c r="U8" s="143"/>
      <c r="V8" s="143"/>
      <c r="W8" s="143"/>
      <c r="X8" s="143"/>
      <c r="Y8" s="143"/>
      <c r="Z8" s="143"/>
    </row>
    <row r="9" ht="13.5" customHeight="1">
      <c r="A9" s="67"/>
      <c r="B9" s="67"/>
      <c r="C9" s="67"/>
      <c r="D9" s="67"/>
      <c r="E9" s="61" t="s">
        <v>3140</v>
      </c>
      <c r="F9" s="62" t="s">
        <v>3141</v>
      </c>
      <c r="G9" s="63" t="s">
        <v>3142</v>
      </c>
      <c r="H9" s="61" t="s">
        <v>88</v>
      </c>
      <c r="I9" s="61" t="s">
        <v>60</v>
      </c>
      <c r="J9" s="63" t="s">
        <v>3143</v>
      </c>
      <c r="K9" s="90"/>
      <c r="L9" s="67"/>
      <c r="M9" s="61"/>
      <c r="N9" s="61"/>
      <c r="O9" s="61"/>
      <c r="P9" s="61"/>
      <c r="Q9" s="61" t="s">
        <v>93</v>
      </c>
      <c r="R9" s="61" t="s">
        <v>94</v>
      </c>
      <c r="S9" s="61" t="s">
        <v>94</v>
      </c>
      <c r="T9" s="66">
        <v>46246.0</v>
      </c>
      <c r="U9" s="143"/>
      <c r="V9" s="143"/>
      <c r="W9" s="143"/>
      <c r="X9" s="143"/>
      <c r="Y9" s="143"/>
      <c r="Z9" s="143"/>
    </row>
    <row r="10" ht="13.5" customHeight="1">
      <c r="A10" s="67"/>
      <c r="B10" s="67"/>
      <c r="C10" s="67"/>
      <c r="D10" s="67"/>
      <c r="E10" s="61" t="s">
        <v>3144</v>
      </c>
      <c r="F10" s="68"/>
      <c r="G10" s="63" t="s">
        <v>3145</v>
      </c>
      <c r="H10" s="61" t="s">
        <v>88</v>
      </c>
      <c r="I10" s="61" t="s">
        <v>60</v>
      </c>
      <c r="J10" s="63" t="s">
        <v>3146</v>
      </c>
      <c r="K10" s="90"/>
      <c r="L10" s="67"/>
      <c r="M10" s="61"/>
      <c r="N10" s="61"/>
      <c r="O10" s="61"/>
      <c r="P10" s="61"/>
      <c r="Q10" s="61" t="s">
        <v>93</v>
      </c>
      <c r="R10" s="61" t="s">
        <v>94</v>
      </c>
      <c r="S10" s="61" t="s">
        <v>94</v>
      </c>
      <c r="T10" s="66">
        <v>46246.0</v>
      </c>
      <c r="U10" s="143"/>
      <c r="V10" s="143"/>
      <c r="W10" s="143"/>
      <c r="X10" s="143"/>
      <c r="Y10" s="143"/>
      <c r="Z10" s="143"/>
    </row>
    <row r="11" ht="13.5" customHeight="1">
      <c r="A11" s="67"/>
      <c r="B11" s="67"/>
      <c r="C11" s="67"/>
      <c r="D11" s="67"/>
      <c r="E11" s="61" t="s">
        <v>3147</v>
      </c>
      <c r="F11" s="62" t="s">
        <v>3148</v>
      </c>
      <c r="G11" s="63" t="s">
        <v>3149</v>
      </c>
      <c r="H11" s="61" t="s">
        <v>88</v>
      </c>
      <c r="I11" s="61" t="s">
        <v>60</v>
      </c>
      <c r="J11" s="63" t="s">
        <v>3150</v>
      </c>
      <c r="K11" s="90"/>
      <c r="L11" s="67"/>
      <c r="M11" s="61"/>
      <c r="N11" s="61"/>
      <c r="O11" s="61"/>
      <c r="P11" s="61"/>
      <c r="Q11" s="61" t="s">
        <v>93</v>
      </c>
      <c r="R11" s="61" t="s">
        <v>94</v>
      </c>
      <c r="S11" s="61" t="s">
        <v>94</v>
      </c>
      <c r="T11" s="66">
        <v>46246.0</v>
      </c>
      <c r="U11" s="143"/>
      <c r="V11" s="143"/>
      <c r="W11" s="143"/>
      <c r="X11" s="143"/>
      <c r="Y11" s="143"/>
      <c r="Z11" s="143"/>
    </row>
    <row r="12" ht="13.5" customHeight="1">
      <c r="A12" s="77"/>
      <c r="B12" s="77"/>
      <c r="C12" s="77"/>
      <c r="D12" s="77"/>
      <c r="E12" s="61" t="s">
        <v>3151</v>
      </c>
      <c r="F12" s="68"/>
      <c r="G12" s="63" t="s">
        <v>3152</v>
      </c>
      <c r="H12" s="61" t="s">
        <v>88</v>
      </c>
      <c r="I12" s="61" t="s">
        <v>60</v>
      </c>
      <c r="J12" s="63" t="s">
        <v>3152</v>
      </c>
      <c r="K12" s="90"/>
      <c r="L12" s="77"/>
      <c r="M12" s="61"/>
      <c r="N12" s="61"/>
      <c r="O12" s="61"/>
      <c r="P12" s="61"/>
      <c r="Q12" s="61" t="s">
        <v>93</v>
      </c>
      <c r="R12" s="61" t="s">
        <v>94</v>
      </c>
      <c r="S12" s="61" t="s">
        <v>94</v>
      </c>
      <c r="T12" s="66">
        <v>46246.0</v>
      </c>
      <c r="U12" s="143"/>
      <c r="V12" s="143"/>
      <c r="W12" s="143"/>
      <c r="X12" s="143"/>
      <c r="Y12" s="143"/>
      <c r="Z12" s="143"/>
    </row>
    <row r="13" ht="13.5" customHeight="1">
      <c r="A13" s="78" t="s">
        <v>3127</v>
      </c>
      <c r="B13" s="78" t="s">
        <v>712</v>
      </c>
      <c r="C13" s="79" t="s">
        <v>3153</v>
      </c>
      <c r="D13" s="79" t="s">
        <v>3154</v>
      </c>
      <c r="E13" s="89" t="s">
        <v>3155</v>
      </c>
      <c r="F13" s="70" t="s">
        <v>3156</v>
      </c>
      <c r="G13" s="83" t="s">
        <v>3157</v>
      </c>
      <c r="H13" s="81" t="s">
        <v>88</v>
      </c>
      <c r="I13" s="81" t="s">
        <v>60</v>
      </c>
      <c r="J13" s="83" t="s">
        <v>3158</v>
      </c>
      <c r="K13" s="90"/>
      <c r="L13" s="79" t="s">
        <v>3159</v>
      </c>
      <c r="M13" s="147"/>
      <c r="N13" s="147"/>
      <c r="O13" s="147"/>
      <c r="P13" s="147"/>
      <c r="Q13" s="89" t="s">
        <v>93</v>
      </c>
      <c r="R13" s="89" t="s">
        <v>94</v>
      </c>
      <c r="S13" s="89" t="s">
        <v>94</v>
      </c>
      <c r="T13" s="86">
        <v>46246.0</v>
      </c>
      <c r="U13" s="143"/>
      <c r="V13" s="143"/>
      <c r="W13" s="143"/>
      <c r="X13" s="143"/>
      <c r="Y13" s="143"/>
      <c r="Z13" s="143"/>
    </row>
    <row r="14" ht="13.5" customHeight="1">
      <c r="A14" s="67"/>
      <c r="B14" s="67"/>
      <c r="C14" s="67"/>
      <c r="D14" s="67"/>
      <c r="E14" s="89" t="s">
        <v>3160</v>
      </c>
      <c r="F14" s="70"/>
      <c r="G14" s="83" t="s">
        <v>3161</v>
      </c>
      <c r="H14" s="81" t="s">
        <v>88</v>
      </c>
      <c r="I14" s="81" t="s">
        <v>60</v>
      </c>
      <c r="J14" s="83" t="s">
        <v>3162</v>
      </c>
      <c r="K14" s="90"/>
      <c r="L14" s="67"/>
      <c r="M14" s="147"/>
      <c r="N14" s="147"/>
      <c r="O14" s="147"/>
      <c r="P14" s="147"/>
      <c r="Q14" s="89" t="s">
        <v>93</v>
      </c>
      <c r="R14" s="89" t="s">
        <v>94</v>
      </c>
      <c r="S14" s="89" t="s">
        <v>94</v>
      </c>
      <c r="T14" s="148">
        <v>46246.0</v>
      </c>
      <c r="U14" s="143"/>
      <c r="V14" s="143"/>
      <c r="W14" s="143"/>
      <c r="X14" s="143"/>
      <c r="Y14" s="143"/>
      <c r="Z14" s="143"/>
    </row>
    <row r="15" ht="13.5" customHeight="1">
      <c r="A15" s="67"/>
      <c r="B15" s="67"/>
      <c r="C15" s="67"/>
      <c r="D15" s="67"/>
      <c r="E15" s="89" t="s">
        <v>3163</v>
      </c>
      <c r="F15" s="70"/>
      <c r="G15" s="83" t="s">
        <v>3164</v>
      </c>
      <c r="H15" s="81" t="s">
        <v>88</v>
      </c>
      <c r="I15" s="81" t="s">
        <v>60</v>
      </c>
      <c r="J15" s="83" t="s">
        <v>3165</v>
      </c>
      <c r="K15" s="90"/>
      <c r="L15" s="67"/>
      <c r="M15" s="147"/>
      <c r="N15" s="147"/>
      <c r="O15" s="147"/>
      <c r="P15" s="147"/>
      <c r="Q15" s="89" t="s">
        <v>93</v>
      </c>
      <c r="R15" s="89" t="s">
        <v>94</v>
      </c>
      <c r="S15" s="89" t="s">
        <v>94</v>
      </c>
      <c r="T15" s="148">
        <v>46246.0</v>
      </c>
      <c r="U15" s="143"/>
      <c r="V15" s="143"/>
      <c r="W15" s="143"/>
      <c r="X15" s="143"/>
      <c r="Y15" s="143"/>
      <c r="Z15" s="143"/>
    </row>
    <row r="16" ht="13.5" customHeight="1">
      <c r="A16" s="67"/>
      <c r="B16" s="67"/>
      <c r="C16" s="67"/>
      <c r="D16" s="67"/>
      <c r="E16" s="89" t="s">
        <v>3166</v>
      </c>
      <c r="F16" s="70"/>
      <c r="G16" s="83" t="s">
        <v>3167</v>
      </c>
      <c r="H16" s="81" t="s">
        <v>88</v>
      </c>
      <c r="I16" s="81" t="s">
        <v>60</v>
      </c>
      <c r="J16" s="83" t="s">
        <v>3168</v>
      </c>
      <c r="K16" s="90"/>
      <c r="L16" s="67"/>
      <c r="M16" s="147"/>
      <c r="N16" s="147"/>
      <c r="O16" s="147"/>
      <c r="P16" s="147"/>
      <c r="Q16" s="89" t="s">
        <v>93</v>
      </c>
      <c r="R16" s="89" t="s">
        <v>94</v>
      </c>
      <c r="S16" s="89" t="s">
        <v>94</v>
      </c>
      <c r="T16" s="148">
        <v>46246.0</v>
      </c>
      <c r="U16" s="143"/>
      <c r="V16" s="143"/>
      <c r="W16" s="143"/>
      <c r="X16" s="143"/>
      <c r="Y16" s="143"/>
      <c r="Z16" s="143"/>
    </row>
    <row r="17" ht="13.5" customHeight="1">
      <c r="A17" s="67"/>
      <c r="B17" s="67"/>
      <c r="C17" s="67"/>
      <c r="D17" s="67"/>
      <c r="E17" s="89" t="s">
        <v>3169</v>
      </c>
      <c r="F17" s="70" t="s">
        <v>3170</v>
      </c>
      <c r="G17" s="83" t="s">
        <v>3171</v>
      </c>
      <c r="H17" s="81" t="s">
        <v>88</v>
      </c>
      <c r="I17" s="81" t="s">
        <v>60</v>
      </c>
      <c r="J17" s="83" t="s">
        <v>3172</v>
      </c>
      <c r="K17" s="90"/>
      <c r="L17" s="67"/>
      <c r="M17" s="147"/>
      <c r="N17" s="147"/>
      <c r="O17" s="147"/>
      <c r="P17" s="147"/>
      <c r="Q17" s="89" t="s">
        <v>93</v>
      </c>
      <c r="R17" s="89" t="s">
        <v>94</v>
      </c>
      <c r="S17" s="89" t="s">
        <v>94</v>
      </c>
      <c r="T17" s="148">
        <v>46246.0</v>
      </c>
      <c r="U17" s="143"/>
      <c r="V17" s="143"/>
      <c r="W17" s="143"/>
      <c r="X17" s="143"/>
      <c r="Y17" s="143"/>
      <c r="Z17" s="143"/>
    </row>
    <row r="18" ht="13.5" customHeight="1">
      <c r="A18" s="67"/>
      <c r="B18" s="67"/>
      <c r="C18" s="67"/>
      <c r="D18" s="67"/>
      <c r="E18" s="89" t="s">
        <v>3173</v>
      </c>
      <c r="F18" s="70"/>
      <c r="G18" s="83" t="s">
        <v>3174</v>
      </c>
      <c r="H18" s="81" t="s">
        <v>88</v>
      </c>
      <c r="I18" s="81" t="s">
        <v>60</v>
      </c>
      <c r="J18" s="83" t="s">
        <v>3175</v>
      </c>
      <c r="K18" s="90"/>
      <c r="L18" s="67"/>
      <c r="M18" s="147"/>
      <c r="N18" s="147"/>
      <c r="O18" s="147"/>
      <c r="P18" s="147"/>
      <c r="Q18" s="89" t="s">
        <v>93</v>
      </c>
      <c r="R18" s="89" t="s">
        <v>94</v>
      </c>
      <c r="S18" s="89" t="s">
        <v>94</v>
      </c>
      <c r="T18" s="148">
        <v>46246.0</v>
      </c>
      <c r="U18" s="143"/>
      <c r="V18" s="143"/>
      <c r="W18" s="143"/>
      <c r="X18" s="143"/>
      <c r="Y18" s="143"/>
      <c r="Z18" s="143"/>
    </row>
    <row r="19" ht="13.5" customHeight="1">
      <c r="A19" s="67"/>
      <c r="B19" s="67"/>
      <c r="C19" s="67"/>
      <c r="D19" s="67"/>
      <c r="E19" s="89" t="s">
        <v>3176</v>
      </c>
      <c r="F19" s="70"/>
      <c r="G19" s="83" t="s">
        <v>3177</v>
      </c>
      <c r="H19" s="81" t="s">
        <v>88</v>
      </c>
      <c r="I19" s="81" t="s">
        <v>60</v>
      </c>
      <c r="J19" s="83" t="s">
        <v>3178</v>
      </c>
      <c r="K19" s="90"/>
      <c r="L19" s="67"/>
      <c r="M19" s="147"/>
      <c r="N19" s="147"/>
      <c r="O19" s="147"/>
      <c r="P19" s="147"/>
      <c r="Q19" s="89" t="s">
        <v>93</v>
      </c>
      <c r="R19" s="89" t="s">
        <v>94</v>
      </c>
      <c r="S19" s="89" t="s">
        <v>94</v>
      </c>
      <c r="T19" s="148">
        <v>46246.0</v>
      </c>
      <c r="U19" s="143"/>
      <c r="V19" s="143"/>
      <c r="W19" s="143"/>
      <c r="X19" s="143"/>
      <c r="Y19" s="143"/>
      <c r="Z19" s="143"/>
    </row>
    <row r="20" ht="13.5" customHeight="1">
      <c r="A20" s="67"/>
      <c r="B20" s="67"/>
      <c r="C20" s="67"/>
      <c r="D20" s="67"/>
      <c r="E20" s="89" t="s">
        <v>3179</v>
      </c>
      <c r="F20" s="70"/>
      <c r="G20" s="83" t="s">
        <v>3180</v>
      </c>
      <c r="H20" s="81" t="s">
        <v>88</v>
      </c>
      <c r="I20" s="81" t="s">
        <v>60</v>
      </c>
      <c r="J20" s="83" t="s">
        <v>3181</v>
      </c>
      <c r="K20" s="90"/>
      <c r="L20" s="67"/>
      <c r="M20" s="147"/>
      <c r="N20" s="147"/>
      <c r="O20" s="147"/>
      <c r="P20" s="147"/>
      <c r="Q20" s="89" t="s">
        <v>93</v>
      </c>
      <c r="R20" s="89" t="s">
        <v>94</v>
      </c>
      <c r="S20" s="89" t="s">
        <v>94</v>
      </c>
      <c r="T20" s="148">
        <v>46246.0</v>
      </c>
      <c r="U20" s="143"/>
      <c r="V20" s="143"/>
      <c r="W20" s="143"/>
      <c r="X20" s="143"/>
      <c r="Y20" s="143"/>
      <c r="Z20" s="143"/>
    </row>
    <row r="21" ht="13.5" customHeight="1">
      <c r="A21" s="67"/>
      <c r="B21" s="67"/>
      <c r="C21" s="67"/>
      <c r="D21" s="67"/>
      <c r="E21" s="89" t="s">
        <v>3182</v>
      </c>
      <c r="F21" s="70" t="s">
        <v>3183</v>
      </c>
      <c r="G21" s="83" t="s">
        <v>3184</v>
      </c>
      <c r="H21" s="81" t="s">
        <v>88</v>
      </c>
      <c r="I21" s="81" t="s">
        <v>60</v>
      </c>
      <c r="J21" s="83" t="s">
        <v>3185</v>
      </c>
      <c r="K21" s="90"/>
      <c r="L21" s="67"/>
      <c r="M21" s="147"/>
      <c r="N21" s="147"/>
      <c r="O21" s="147"/>
      <c r="P21" s="147"/>
      <c r="Q21" s="89" t="s">
        <v>93</v>
      </c>
      <c r="R21" s="89" t="s">
        <v>94</v>
      </c>
      <c r="S21" s="89" t="s">
        <v>94</v>
      </c>
      <c r="T21" s="148">
        <v>46246.0</v>
      </c>
      <c r="U21" s="143"/>
      <c r="V21" s="143"/>
      <c r="W21" s="143"/>
      <c r="X21" s="143"/>
      <c r="Y21" s="143"/>
      <c r="Z21" s="143"/>
    </row>
    <row r="22" ht="13.5" customHeight="1">
      <c r="A22" s="77"/>
      <c r="B22" s="77"/>
      <c r="C22" s="77"/>
      <c r="D22" s="77"/>
      <c r="E22" s="89" t="s">
        <v>3186</v>
      </c>
      <c r="F22" s="70"/>
      <c r="G22" s="83" t="s">
        <v>3187</v>
      </c>
      <c r="H22" s="81" t="s">
        <v>88</v>
      </c>
      <c r="I22" s="81" t="s">
        <v>60</v>
      </c>
      <c r="J22" s="83" t="s">
        <v>3188</v>
      </c>
      <c r="K22" s="90"/>
      <c r="L22" s="77"/>
      <c r="M22" s="147"/>
      <c r="N22" s="147"/>
      <c r="O22" s="147"/>
      <c r="P22" s="147"/>
      <c r="Q22" s="89" t="s">
        <v>93</v>
      </c>
      <c r="R22" s="89" t="s">
        <v>94</v>
      </c>
      <c r="S22" s="89" t="s">
        <v>94</v>
      </c>
      <c r="T22" s="148">
        <v>46246.0</v>
      </c>
      <c r="U22" s="143"/>
      <c r="V22" s="143"/>
      <c r="W22" s="143"/>
      <c r="X22" s="143"/>
      <c r="Y22" s="143"/>
      <c r="Z22" s="143"/>
    </row>
    <row r="23" ht="13.5" customHeight="1">
      <c r="A23" s="59" t="s">
        <v>3127</v>
      </c>
      <c r="B23" s="59" t="s">
        <v>722</v>
      </c>
      <c r="C23" s="60" t="s">
        <v>723</v>
      </c>
      <c r="D23" s="60" t="s">
        <v>3189</v>
      </c>
      <c r="E23" s="61" t="s">
        <v>3190</v>
      </c>
      <c r="F23" s="62" t="s">
        <v>3191</v>
      </c>
      <c r="G23" s="63" t="s">
        <v>3192</v>
      </c>
      <c r="H23" s="61" t="s">
        <v>88</v>
      </c>
      <c r="I23" s="61" t="s">
        <v>60</v>
      </c>
      <c r="J23" s="63" t="s">
        <v>3193</v>
      </c>
      <c r="K23" s="90"/>
      <c r="L23" s="60" t="s">
        <v>3194</v>
      </c>
      <c r="M23" s="61"/>
      <c r="N23" s="61"/>
      <c r="O23" s="61"/>
      <c r="P23" s="61"/>
      <c r="Q23" s="61" t="s">
        <v>93</v>
      </c>
      <c r="R23" s="61" t="s">
        <v>94</v>
      </c>
      <c r="S23" s="61" t="s">
        <v>94</v>
      </c>
      <c r="T23" s="66">
        <v>46246.0</v>
      </c>
      <c r="U23" s="143"/>
      <c r="V23" s="143"/>
      <c r="W23" s="143"/>
      <c r="X23" s="143"/>
      <c r="Y23" s="143"/>
      <c r="Z23" s="143"/>
    </row>
    <row r="24" ht="13.5" customHeight="1">
      <c r="A24" s="67"/>
      <c r="B24" s="67"/>
      <c r="C24" s="67"/>
      <c r="D24" s="67"/>
      <c r="E24" s="61" t="s">
        <v>3195</v>
      </c>
      <c r="F24" s="62"/>
      <c r="G24" s="63" t="s">
        <v>3196</v>
      </c>
      <c r="H24" s="61" t="s">
        <v>88</v>
      </c>
      <c r="I24" s="61" t="s">
        <v>60</v>
      </c>
      <c r="J24" s="63" t="s">
        <v>3197</v>
      </c>
      <c r="K24" s="90"/>
      <c r="L24" s="67"/>
      <c r="M24" s="61"/>
      <c r="N24" s="61"/>
      <c r="O24" s="61"/>
      <c r="P24" s="61"/>
      <c r="Q24" s="61" t="s">
        <v>93</v>
      </c>
      <c r="R24" s="61" t="s">
        <v>94</v>
      </c>
      <c r="S24" s="61" t="s">
        <v>94</v>
      </c>
      <c r="T24" s="66">
        <v>46246.0</v>
      </c>
      <c r="U24" s="143"/>
      <c r="V24" s="143"/>
      <c r="W24" s="143"/>
      <c r="X24" s="143"/>
      <c r="Y24" s="143"/>
      <c r="Z24" s="143"/>
    </row>
    <row r="25" ht="13.5" customHeight="1">
      <c r="A25" s="67"/>
      <c r="B25" s="67"/>
      <c r="C25" s="67"/>
      <c r="D25" s="67"/>
      <c r="E25" s="61" t="s">
        <v>3198</v>
      </c>
      <c r="F25" s="62" t="s">
        <v>3199</v>
      </c>
      <c r="G25" s="63" t="s">
        <v>3200</v>
      </c>
      <c r="H25" s="61" t="s">
        <v>88</v>
      </c>
      <c r="I25" s="61" t="s">
        <v>60</v>
      </c>
      <c r="J25" s="63" t="s">
        <v>3201</v>
      </c>
      <c r="K25" s="90"/>
      <c r="L25" s="67"/>
      <c r="M25" s="61"/>
      <c r="N25" s="61"/>
      <c r="O25" s="61"/>
      <c r="P25" s="61"/>
      <c r="Q25" s="61" t="s">
        <v>93</v>
      </c>
      <c r="R25" s="61" t="s">
        <v>94</v>
      </c>
      <c r="S25" s="61" t="s">
        <v>94</v>
      </c>
      <c r="T25" s="66">
        <v>46246.0</v>
      </c>
      <c r="U25" s="143"/>
      <c r="V25" s="143"/>
      <c r="W25" s="143"/>
      <c r="X25" s="143"/>
      <c r="Y25" s="143"/>
      <c r="Z25" s="143"/>
    </row>
    <row r="26" ht="13.5" customHeight="1">
      <c r="A26" s="67"/>
      <c r="B26" s="67"/>
      <c r="C26" s="67"/>
      <c r="D26" s="67"/>
      <c r="E26" s="61" t="s">
        <v>3202</v>
      </c>
      <c r="F26" s="62"/>
      <c r="G26" s="63" t="s">
        <v>3203</v>
      </c>
      <c r="H26" s="61" t="s">
        <v>88</v>
      </c>
      <c r="I26" s="61" t="s">
        <v>60</v>
      </c>
      <c r="J26" s="63" t="s">
        <v>3204</v>
      </c>
      <c r="K26" s="90"/>
      <c r="L26" s="67"/>
      <c r="M26" s="61"/>
      <c r="N26" s="61"/>
      <c r="O26" s="61"/>
      <c r="P26" s="61"/>
      <c r="Q26" s="61" t="s">
        <v>93</v>
      </c>
      <c r="R26" s="61" t="s">
        <v>94</v>
      </c>
      <c r="S26" s="61" t="s">
        <v>94</v>
      </c>
      <c r="T26" s="66">
        <v>46246.0</v>
      </c>
      <c r="U26" s="143"/>
      <c r="V26" s="143"/>
      <c r="W26" s="143"/>
      <c r="X26" s="143"/>
      <c r="Y26" s="143"/>
      <c r="Z26" s="143"/>
    </row>
    <row r="27" ht="13.5" customHeight="1">
      <c r="A27" s="67"/>
      <c r="B27" s="67"/>
      <c r="C27" s="67"/>
      <c r="D27" s="67"/>
      <c r="E27" s="61" t="s">
        <v>3205</v>
      </c>
      <c r="F27" s="62"/>
      <c r="G27" s="63" t="s">
        <v>3206</v>
      </c>
      <c r="H27" s="61" t="s">
        <v>88</v>
      </c>
      <c r="I27" s="61" t="s">
        <v>60</v>
      </c>
      <c r="J27" s="63" t="s">
        <v>3207</v>
      </c>
      <c r="K27" s="90"/>
      <c r="L27" s="67"/>
      <c r="M27" s="61"/>
      <c r="N27" s="61"/>
      <c r="O27" s="61"/>
      <c r="P27" s="61"/>
      <c r="Q27" s="61" t="s">
        <v>93</v>
      </c>
      <c r="R27" s="61" t="s">
        <v>94</v>
      </c>
      <c r="S27" s="61" t="s">
        <v>94</v>
      </c>
      <c r="T27" s="66">
        <v>46246.0</v>
      </c>
      <c r="U27" s="143"/>
      <c r="V27" s="143"/>
      <c r="W27" s="143"/>
      <c r="X27" s="143"/>
      <c r="Y27" s="143"/>
      <c r="Z27" s="143"/>
    </row>
    <row r="28" ht="13.5" customHeight="1">
      <c r="A28" s="67"/>
      <c r="B28" s="67"/>
      <c r="C28" s="67"/>
      <c r="D28" s="67"/>
      <c r="E28" s="61" t="s">
        <v>3208</v>
      </c>
      <c r="F28" s="62" t="s">
        <v>3209</v>
      </c>
      <c r="G28" s="63" t="s">
        <v>3210</v>
      </c>
      <c r="H28" s="61" t="s">
        <v>88</v>
      </c>
      <c r="I28" s="61" t="s">
        <v>60</v>
      </c>
      <c r="J28" s="63" t="s">
        <v>3211</v>
      </c>
      <c r="K28" s="90"/>
      <c r="L28" s="67"/>
      <c r="M28" s="61"/>
      <c r="N28" s="61"/>
      <c r="O28" s="61"/>
      <c r="P28" s="61"/>
      <c r="Q28" s="61" t="s">
        <v>93</v>
      </c>
      <c r="R28" s="61" t="s">
        <v>94</v>
      </c>
      <c r="S28" s="61" t="s">
        <v>94</v>
      </c>
      <c r="T28" s="66">
        <v>46246.0</v>
      </c>
      <c r="U28" s="143"/>
      <c r="V28" s="143"/>
      <c r="W28" s="143"/>
      <c r="X28" s="143"/>
      <c r="Y28" s="143"/>
      <c r="Z28" s="143"/>
    </row>
    <row r="29" ht="13.5" customHeight="1">
      <c r="A29" s="67"/>
      <c r="B29" s="67"/>
      <c r="C29" s="67"/>
      <c r="D29" s="67"/>
      <c r="E29" s="61" t="s">
        <v>3212</v>
      </c>
      <c r="F29" s="62"/>
      <c r="G29" s="63" t="s">
        <v>3213</v>
      </c>
      <c r="H29" s="61" t="s">
        <v>88</v>
      </c>
      <c r="I29" s="61" t="s">
        <v>60</v>
      </c>
      <c r="J29" s="63" t="s">
        <v>3214</v>
      </c>
      <c r="K29" s="90"/>
      <c r="L29" s="67"/>
      <c r="M29" s="61"/>
      <c r="N29" s="61"/>
      <c r="O29" s="61"/>
      <c r="P29" s="61"/>
      <c r="Q29" s="61" t="s">
        <v>93</v>
      </c>
      <c r="R29" s="61" t="s">
        <v>94</v>
      </c>
      <c r="S29" s="61" t="s">
        <v>94</v>
      </c>
      <c r="T29" s="66">
        <v>46246.0</v>
      </c>
      <c r="U29" s="143"/>
      <c r="V29" s="143"/>
      <c r="W29" s="143"/>
      <c r="X29" s="143"/>
      <c r="Y29" s="143"/>
      <c r="Z29" s="143"/>
    </row>
    <row r="30" ht="13.5" customHeight="1">
      <c r="A30" s="77"/>
      <c r="B30" s="77"/>
      <c r="C30" s="77"/>
      <c r="D30" s="77"/>
      <c r="E30" s="61" t="s">
        <v>3215</v>
      </c>
      <c r="F30" s="62"/>
      <c r="G30" s="63" t="s">
        <v>3216</v>
      </c>
      <c r="H30" s="61" t="s">
        <v>88</v>
      </c>
      <c r="I30" s="61" t="s">
        <v>60</v>
      </c>
      <c r="J30" s="63" t="s">
        <v>3217</v>
      </c>
      <c r="K30" s="90"/>
      <c r="L30" s="77"/>
      <c r="M30" s="61"/>
      <c r="N30" s="61"/>
      <c r="O30" s="61"/>
      <c r="P30" s="61"/>
      <c r="Q30" s="61" t="s">
        <v>93</v>
      </c>
      <c r="R30" s="61" t="s">
        <v>94</v>
      </c>
      <c r="S30" s="61" t="s">
        <v>94</v>
      </c>
      <c r="T30" s="66">
        <v>46246.0</v>
      </c>
      <c r="U30" s="143"/>
      <c r="V30" s="143"/>
      <c r="W30" s="143"/>
      <c r="X30" s="143"/>
      <c r="Y30" s="143"/>
      <c r="Z30" s="143"/>
    </row>
    <row r="31" ht="13.5" customHeight="1">
      <c r="A31" s="78" t="s">
        <v>3127</v>
      </c>
      <c r="B31" s="78" t="s">
        <v>731</v>
      </c>
      <c r="C31" s="79" t="s">
        <v>732</v>
      </c>
      <c r="D31" s="79" t="s">
        <v>3218</v>
      </c>
      <c r="E31" s="89" t="s">
        <v>3219</v>
      </c>
      <c r="F31" s="70" t="s">
        <v>3220</v>
      </c>
      <c r="G31" s="83" t="s">
        <v>3221</v>
      </c>
      <c r="H31" s="81" t="s">
        <v>88</v>
      </c>
      <c r="I31" s="81" t="s">
        <v>60</v>
      </c>
      <c r="J31" s="83" t="s">
        <v>3222</v>
      </c>
      <c r="K31" s="90"/>
      <c r="L31" s="79" t="s">
        <v>3223</v>
      </c>
      <c r="M31" s="147"/>
      <c r="N31" s="147"/>
      <c r="O31" s="147"/>
      <c r="P31" s="147"/>
      <c r="Q31" s="89" t="s">
        <v>93</v>
      </c>
      <c r="R31" s="89" t="s">
        <v>94</v>
      </c>
      <c r="S31" s="89" t="s">
        <v>94</v>
      </c>
      <c r="T31" s="86">
        <v>46246.0</v>
      </c>
      <c r="U31" s="143"/>
      <c r="V31" s="143"/>
      <c r="W31" s="143"/>
      <c r="X31" s="143"/>
      <c r="Y31" s="143"/>
      <c r="Z31" s="143"/>
    </row>
    <row r="32" ht="13.5" customHeight="1">
      <c r="A32" s="67"/>
      <c r="B32" s="67"/>
      <c r="C32" s="67"/>
      <c r="D32" s="67"/>
      <c r="E32" s="89" t="s">
        <v>3224</v>
      </c>
      <c r="F32" s="70"/>
      <c r="G32" s="83" t="s">
        <v>3225</v>
      </c>
      <c r="H32" s="81" t="s">
        <v>88</v>
      </c>
      <c r="I32" s="81" t="s">
        <v>60</v>
      </c>
      <c r="J32" s="83" t="s">
        <v>3226</v>
      </c>
      <c r="K32" s="90"/>
      <c r="L32" s="67"/>
      <c r="M32" s="81"/>
      <c r="N32" s="81"/>
      <c r="O32" s="81"/>
      <c r="P32" s="89"/>
      <c r="Q32" s="89" t="s">
        <v>93</v>
      </c>
      <c r="R32" s="89" t="s">
        <v>94</v>
      </c>
      <c r="S32" s="89" t="s">
        <v>94</v>
      </c>
      <c r="T32" s="148">
        <v>46246.0</v>
      </c>
      <c r="U32" s="143"/>
      <c r="V32" s="143"/>
      <c r="W32" s="143"/>
      <c r="X32" s="143"/>
      <c r="Y32" s="143"/>
      <c r="Z32" s="143"/>
    </row>
    <row r="33" ht="13.5" customHeight="1">
      <c r="A33" s="67"/>
      <c r="B33" s="67"/>
      <c r="C33" s="67"/>
      <c r="D33" s="67"/>
      <c r="E33" s="89" t="s">
        <v>3227</v>
      </c>
      <c r="F33" s="70" t="s">
        <v>3228</v>
      </c>
      <c r="G33" s="83" t="s">
        <v>3229</v>
      </c>
      <c r="H33" s="81" t="s">
        <v>88</v>
      </c>
      <c r="I33" s="81" t="s">
        <v>60</v>
      </c>
      <c r="J33" s="83" t="s">
        <v>3230</v>
      </c>
      <c r="K33" s="90"/>
      <c r="L33" s="67"/>
      <c r="M33" s="147"/>
      <c r="N33" s="147"/>
      <c r="O33" s="147"/>
      <c r="P33" s="147"/>
      <c r="Q33" s="89" t="s">
        <v>93</v>
      </c>
      <c r="R33" s="89" t="s">
        <v>94</v>
      </c>
      <c r="S33" s="89" t="s">
        <v>94</v>
      </c>
      <c r="T33" s="148">
        <v>46246.0</v>
      </c>
      <c r="U33" s="143"/>
      <c r="V33" s="143"/>
      <c r="W33" s="143"/>
      <c r="X33" s="143"/>
      <c r="Y33" s="143"/>
      <c r="Z33" s="143"/>
    </row>
    <row r="34" ht="13.5" customHeight="1">
      <c r="A34" s="67"/>
      <c r="B34" s="67"/>
      <c r="C34" s="67"/>
      <c r="D34" s="67"/>
      <c r="E34" s="89" t="s">
        <v>3231</v>
      </c>
      <c r="F34" s="70"/>
      <c r="G34" s="83" t="s">
        <v>3232</v>
      </c>
      <c r="H34" s="81" t="s">
        <v>88</v>
      </c>
      <c r="I34" s="81" t="s">
        <v>60</v>
      </c>
      <c r="J34" s="83" t="s">
        <v>3233</v>
      </c>
      <c r="K34" s="90"/>
      <c r="L34" s="67"/>
      <c r="M34" s="147"/>
      <c r="N34" s="147"/>
      <c r="O34" s="147"/>
      <c r="P34" s="147"/>
      <c r="Q34" s="89" t="s">
        <v>93</v>
      </c>
      <c r="R34" s="89" t="s">
        <v>94</v>
      </c>
      <c r="S34" s="89" t="s">
        <v>94</v>
      </c>
      <c r="T34" s="148">
        <v>46246.0</v>
      </c>
      <c r="U34" s="143"/>
      <c r="V34" s="143"/>
      <c r="W34" s="143"/>
      <c r="X34" s="143"/>
      <c r="Y34" s="143"/>
      <c r="Z34" s="143"/>
    </row>
    <row r="35" ht="13.5" customHeight="1">
      <c r="A35" s="67"/>
      <c r="B35" s="67"/>
      <c r="C35" s="67"/>
      <c r="D35" s="67"/>
      <c r="E35" s="89" t="s">
        <v>3234</v>
      </c>
      <c r="F35" s="70"/>
      <c r="G35" s="83" t="s">
        <v>3235</v>
      </c>
      <c r="H35" s="81" t="s">
        <v>88</v>
      </c>
      <c r="I35" s="81" t="s">
        <v>60</v>
      </c>
      <c r="J35" s="83" t="s">
        <v>3236</v>
      </c>
      <c r="K35" s="90"/>
      <c r="L35" s="67"/>
      <c r="M35" s="147"/>
      <c r="N35" s="147"/>
      <c r="O35" s="147"/>
      <c r="P35" s="147"/>
      <c r="Q35" s="89" t="s">
        <v>93</v>
      </c>
      <c r="R35" s="89" t="s">
        <v>94</v>
      </c>
      <c r="S35" s="89" t="s">
        <v>94</v>
      </c>
      <c r="T35" s="148">
        <v>46246.0</v>
      </c>
      <c r="U35" s="143"/>
      <c r="V35" s="143"/>
      <c r="W35" s="143"/>
      <c r="X35" s="143"/>
      <c r="Y35" s="143"/>
      <c r="Z35" s="143"/>
    </row>
    <row r="36" ht="13.5" customHeight="1">
      <c r="A36" s="67"/>
      <c r="B36" s="67"/>
      <c r="C36" s="67"/>
      <c r="D36" s="67"/>
      <c r="E36" s="89" t="s">
        <v>3237</v>
      </c>
      <c r="F36" s="70" t="s">
        <v>3238</v>
      </c>
      <c r="G36" s="83" t="s">
        <v>3239</v>
      </c>
      <c r="H36" s="81" t="s">
        <v>88</v>
      </c>
      <c r="I36" s="81" t="s">
        <v>60</v>
      </c>
      <c r="J36" s="83" t="s">
        <v>3240</v>
      </c>
      <c r="K36" s="90"/>
      <c r="L36" s="67"/>
      <c r="M36" s="147"/>
      <c r="N36" s="147"/>
      <c r="O36" s="147"/>
      <c r="P36" s="147"/>
      <c r="Q36" s="89" t="s">
        <v>93</v>
      </c>
      <c r="R36" s="89" t="s">
        <v>94</v>
      </c>
      <c r="S36" s="89" t="s">
        <v>94</v>
      </c>
      <c r="T36" s="148">
        <v>46246.0</v>
      </c>
      <c r="U36" s="143"/>
      <c r="V36" s="143"/>
      <c r="W36" s="143"/>
      <c r="X36" s="143"/>
      <c r="Y36" s="143"/>
      <c r="Z36" s="143"/>
    </row>
    <row r="37" ht="13.5" customHeight="1">
      <c r="A37" s="77"/>
      <c r="B37" s="77"/>
      <c r="C37" s="77"/>
      <c r="D37" s="77"/>
      <c r="E37" s="89" t="s">
        <v>3241</v>
      </c>
      <c r="F37" s="70"/>
      <c r="G37" s="83" t="s">
        <v>3242</v>
      </c>
      <c r="H37" s="81" t="s">
        <v>88</v>
      </c>
      <c r="I37" s="81" t="s">
        <v>60</v>
      </c>
      <c r="J37" s="83" t="s">
        <v>3243</v>
      </c>
      <c r="K37" s="90"/>
      <c r="L37" s="77"/>
      <c r="M37" s="147"/>
      <c r="N37" s="147"/>
      <c r="O37" s="147"/>
      <c r="P37" s="147"/>
      <c r="Q37" s="89" t="s">
        <v>93</v>
      </c>
      <c r="R37" s="89" t="s">
        <v>94</v>
      </c>
      <c r="S37" s="89" t="s">
        <v>94</v>
      </c>
      <c r="T37" s="148">
        <v>46246.0</v>
      </c>
      <c r="U37" s="143"/>
      <c r="V37" s="143"/>
      <c r="W37" s="143"/>
      <c r="X37" s="143"/>
      <c r="Y37" s="143"/>
      <c r="Z37" s="143"/>
    </row>
    <row r="38" ht="13.5" customHeight="1">
      <c r="A38" s="59" t="s">
        <v>3127</v>
      </c>
      <c r="B38" s="59" t="s">
        <v>740</v>
      </c>
      <c r="C38" s="60" t="s">
        <v>742</v>
      </c>
      <c r="D38" s="60" t="s">
        <v>3244</v>
      </c>
      <c r="E38" s="61" t="s">
        <v>3245</v>
      </c>
      <c r="F38" s="62" t="s">
        <v>3246</v>
      </c>
      <c r="G38" s="63" t="s">
        <v>3247</v>
      </c>
      <c r="H38" s="61" t="s">
        <v>88</v>
      </c>
      <c r="I38" s="61" t="s">
        <v>60</v>
      </c>
      <c r="J38" s="63" t="s">
        <v>3248</v>
      </c>
      <c r="K38" s="90"/>
      <c r="L38" s="60" t="s">
        <v>3249</v>
      </c>
      <c r="M38" s="61"/>
      <c r="N38" s="61"/>
      <c r="O38" s="61"/>
      <c r="P38" s="61"/>
      <c r="Q38" s="61" t="s">
        <v>93</v>
      </c>
      <c r="R38" s="61" t="s">
        <v>94</v>
      </c>
      <c r="S38" s="61" t="s">
        <v>94</v>
      </c>
      <c r="T38" s="66">
        <v>46246.0</v>
      </c>
      <c r="U38" s="143"/>
      <c r="V38" s="143"/>
      <c r="W38" s="143"/>
      <c r="X38" s="143"/>
      <c r="Y38" s="143"/>
      <c r="Z38" s="143"/>
    </row>
    <row r="39" ht="13.5" customHeight="1">
      <c r="A39" s="67"/>
      <c r="B39" s="67"/>
      <c r="C39" s="67"/>
      <c r="D39" s="67"/>
      <c r="E39" s="61" t="s">
        <v>3250</v>
      </c>
      <c r="F39" s="62"/>
      <c r="G39" s="63" t="s">
        <v>3251</v>
      </c>
      <c r="H39" s="61" t="s">
        <v>88</v>
      </c>
      <c r="I39" s="61" t="s">
        <v>60</v>
      </c>
      <c r="J39" s="63" t="s">
        <v>3252</v>
      </c>
      <c r="K39" s="90"/>
      <c r="L39" s="67"/>
      <c r="M39" s="61"/>
      <c r="N39" s="61"/>
      <c r="O39" s="61"/>
      <c r="P39" s="61"/>
      <c r="Q39" s="61" t="s">
        <v>93</v>
      </c>
      <c r="R39" s="61" t="s">
        <v>94</v>
      </c>
      <c r="S39" s="61" t="s">
        <v>94</v>
      </c>
      <c r="T39" s="66">
        <v>46246.0</v>
      </c>
      <c r="U39" s="143"/>
      <c r="V39" s="143"/>
      <c r="W39" s="143"/>
      <c r="X39" s="143"/>
      <c r="Y39" s="143"/>
      <c r="Z39" s="143"/>
    </row>
    <row r="40" ht="13.5" customHeight="1">
      <c r="A40" s="67"/>
      <c r="B40" s="67"/>
      <c r="C40" s="67"/>
      <c r="D40" s="67"/>
      <c r="E40" s="61" t="s">
        <v>3253</v>
      </c>
      <c r="F40" s="62"/>
      <c r="G40" s="63" t="s">
        <v>3254</v>
      </c>
      <c r="H40" s="61" t="s">
        <v>88</v>
      </c>
      <c r="I40" s="61" t="s">
        <v>60</v>
      </c>
      <c r="J40" s="63" t="s">
        <v>3255</v>
      </c>
      <c r="K40" s="90"/>
      <c r="L40" s="67"/>
      <c r="M40" s="61"/>
      <c r="N40" s="61"/>
      <c r="O40" s="61"/>
      <c r="P40" s="61"/>
      <c r="Q40" s="61" t="s">
        <v>93</v>
      </c>
      <c r="R40" s="61" t="s">
        <v>94</v>
      </c>
      <c r="S40" s="61" t="s">
        <v>94</v>
      </c>
      <c r="T40" s="66">
        <v>46246.0</v>
      </c>
      <c r="U40" s="143"/>
      <c r="V40" s="143"/>
      <c r="W40" s="143"/>
      <c r="X40" s="143"/>
      <c r="Y40" s="143"/>
      <c r="Z40" s="143"/>
    </row>
    <row r="41" ht="13.5" customHeight="1">
      <c r="A41" s="67"/>
      <c r="B41" s="67"/>
      <c r="C41" s="67"/>
      <c r="D41" s="67"/>
      <c r="E41" s="61" t="s">
        <v>3256</v>
      </c>
      <c r="F41" s="62" t="s">
        <v>3257</v>
      </c>
      <c r="G41" s="63" t="s">
        <v>3258</v>
      </c>
      <c r="H41" s="61" t="s">
        <v>88</v>
      </c>
      <c r="I41" s="61" t="s">
        <v>60</v>
      </c>
      <c r="J41" s="63" t="s">
        <v>3259</v>
      </c>
      <c r="K41" s="90"/>
      <c r="L41" s="67"/>
      <c r="M41" s="61"/>
      <c r="N41" s="61"/>
      <c r="O41" s="61"/>
      <c r="P41" s="61"/>
      <c r="Q41" s="61" t="s">
        <v>93</v>
      </c>
      <c r="R41" s="61" t="s">
        <v>94</v>
      </c>
      <c r="S41" s="61" t="s">
        <v>94</v>
      </c>
      <c r="T41" s="66">
        <v>46246.0</v>
      </c>
      <c r="U41" s="143"/>
      <c r="V41" s="143"/>
      <c r="W41" s="143"/>
      <c r="X41" s="143"/>
      <c r="Y41" s="143"/>
      <c r="Z41" s="143"/>
    </row>
    <row r="42" ht="13.5" customHeight="1">
      <c r="A42" s="67"/>
      <c r="B42" s="67"/>
      <c r="C42" s="67"/>
      <c r="D42" s="67"/>
      <c r="E42" s="61" t="s">
        <v>3260</v>
      </c>
      <c r="F42" s="62"/>
      <c r="G42" s="63" t="s">
        <v>3261</v>
      </c>
      <c r="H42" s="61" t="s">
        <v>88</v>
      </c>
      <c r="I42" s="61" t="s">
        <v>60</v>
      </c>
      <c r="J42" s="63" t="s">
        <v>3262</v>
      </c>
      <c r="K42" s="90"/>
      <c r="L42" s="67"/>
      <c r="M42" s="61"/>
      <c r="N42" s="61"/>
      <c r="O42" s="61"/>
      <c r="P42" s="61"/>
      <c r="Q42" s="61" t="s">
        <v>93</v>
      </c>
      <c r="R42" s="61" t="s">
        <v>94</v>
      </c>
      <c r="S42" s="61" t="s">
        <v>94</v>
      </c>
      <c r="T42" s="66">
        <v>46246.0</v>
      </c>
      <c r="U42" s="143"/>
      <c r="V42" s="143"/>
      <c r="W42" s="143"/>
      <c r="X42" s="143"/>
      <c r="Y42" s="143"/>
      <c r="Z42" s="143"/>
    </row>
    <row r="43" ht="13.5" customHeight="1">
      <c r="A43" s="67"/>
      <c r="B43" s="67"/>
      <c r="C43" s="67"/>
      <c r="D43" s="67"/>
      <c r="E43" s="61" t="s">
        <v>3263</v>
      </c>
      <c r="F43" s="62" t="s">
        <v>3264</v>
      </c>
      <c r="G43" s="63" t="s">
        <v>3265</v>
      </c>
      <c r="H43" s="61" t="s">
        <v>88</v>
      </c>
      <c r="I43" s="61" t="s">
        <v>60</v>
      </c>
      <c r="J43" s="63" t="s">
        <v>3266</v>
      </c>
      <c r="K43" s="90"/>
      <c r="L43" s="67"/>
      <c r="M43" s="61"/>
      <c r="N43" s="61"/>
      <c r="O43" s="61"/>
      <c r="P43" s="61"/>
      <c r="Q43" s="61" t="s">
        <v>93</v>
      </c>
      <c r="R43" s="61" t="s">
        <v>94</v>
      </c>
      <c r="S43" s="61" t="s">
        <v>94</v>
      </c>
      <c r="T43" s="66">
        <v>46246.0</v>
      </c>
      <c r="U43" s="143"/>
      <c r="V43" s="143"/>
      <c r="W43" s="143"/>
      <c r="X43" s="143"/>
      <c r="Y43" s="143"/>
      <c r="Z43" s="143"/>
    </row>
    <row r="44" ht="13.5" customHeight="1">
      <c r="A44" s="77"/>
      <c r="B44" s="77"/>
      <c r="C44" s="77"/>
      <c r="D44" s="77"/>
      <c r="E44" s="61" t="s">
        <v>3267</v>
      </c>
      <c r="F44" s="62"/>
      <c r="G44" s="63" t="s">
        <v>3268</v>
      </c>
      <c r="H44" s="61" t="s">
        <v>88</v>
      </c>
      <c r="I44" s="61" t="s">
        <v>60</v>
      </c>
      <c r="J44" s="63" t="s">
        <v>3269</v>
      </c>
      <c r="K44" s="90"/>
      <c r="L44" s="77"/>
      <c r="M44" s="61"/>
      <c r="N44" s="61"/>
      <c r="O44" s="61"/>
      <c r="P44" s="61"/>
      <c r="Q44" s="61" t="s">
        <v>93</v>
      </c>
      <c r="R44" s="61" t="s">
        <v>94</v>
      </c>
      <c r="S44" s="61" t="s">
        <v>94</v>
      </c>
      <c r="T44" s="66">
        <v>46246.0</v>
      </c>
      <c r="U44" s="143"/>
      <c r="V44" s="143"/>
      <c r="W44" s="143"/>
      <c r="X44" s="143"/>
      <c r="Y44" s="143"/>
      <c r="Z44" s="143"/>
    </row>
    <row r="45" ht="13.5" customHeight="1">
      <c r="A45" s="49"/>
      <c r="B45" s="49"/>
      <c r="C45" s="49"/>
      <c r="D45" s="49"/>
      <c r="E45" s="49"/>
      <c r="F45" s="49"/>
      <c r="G45" s="49"/>
      <c r="H45" s="49"/>
      <c r="I45" s="49"/>
      <c r="J45" s="49"/>
      <c r="K45" s="49"/>
      <c r="L45" s="49"/>
      <c r="M45" s="49"/>
      <c r="N45" s="49"/>
      <c r="O45" s="49"/>
      <c r="P45" s="49"/>
      <c r="Q45" s="49"/>
      <c r="R45" s="49"/>
      <c r="S45" s="49"/>
      <c r="T45" s="52"/>
      <c r="U45" s="143"/>
      <c r="V45" s="143"/>
      <c r="W45" s="143"/>
      <c r="X45" s="143"/>
      <c r="Y45" s="143"/>
      <c r="Z45" s="143"/>
    </row>
    <row r="46" ht="13.5" customHeight="1">
      <c r="A46" s="49"/>
      <c r="B46" s="49"/>
      <c r="C46" s="49"/>
      <c r="D46" s="49"/>
      <c r="E46" s="49"/>
      <c r="F46" s="49"/>
      <c r="G46" s="49"/>
      <c r="H46" s="49"/>
      <c r="I46" s="49"/>
      <c r="J46" s="49"/>
      <c r="K46" s="49"/>
      <c r="L46" s="49"/>
      <c r="M46" s="49"/>
      <c r="N46" s="49"/>
      <c r="O46" s="49"/>
      <c r="P46" s="49"/>
      <c r="Q46" s="49"/>
      <c r="R46" s="49"/>
      <c r="S46" s="49"/>
      <c r="T46" s="52"/>
      <c r="U46" s="143"/>
      <c r="V46" s="143"/>
      <c r="W46" s="143"/>
      <c r="X46" s="143"/>
      <c r="Y46" s="143"/>
      <c r="Z46" s="143"/>
    </row>
    <row r="47" ht="13.5" customHeight="1">
      <c r="A47" s="49"/>
      <c r="B47" s="49"/>
      <c r="C47" s="49"/>
      <c r="D47" s="49"/>
      <c r="E47" s="49"/>
      <c r="F47" s="49"/>
      <c r="G47" s="49"/>
      <c r="H47" s="49"/>
      <c r="I47" s="49"/>
      <c r="J47" s="49"/>
      <c r="K47" s="49"/>
      <c r="L47" s="49"/>
      <c r="M47" s="49"/>
      <c r="N47" s="49"/>
      <c r="O47" s="49"/>
      <c r="P47" s="49"/>
      <c r="Q47" s="49"/>
      <c r="R47" s="49"/>
      <c r="S47" s="49"/>
      <c r="T47" s="52"/>
      <c r="U47" s="143"/>
      <c r="V47" s="143"/>
      <c r="W47" s="143"/>
      <c r="X47" s="143"/>
      <c r="Y47" s="143"/>
      <c r="Z47" s="143"/>
    </row>
    <row r="48" ht="13.5" customHeight="1">
      <c r="A48" s="49"/>
      <c r="B48" s="49"/>
      <c r="C48" s="49"/>
      <c r="D48" s="49"/>
      <c r="E48" s="49"/>
      <c r="F48" s="49"/>
      <c r="G48" s="49"/>
      <c r="H48" s="49"/>
      <c r="I48" s="49"/>
      <c r="J48" s="49"/>
      <c r="K48" s="49"/>
      <c r="L48" s="49"/>
      <c r="M48" s="49"/>
      <c r="N48" s="49"/>
      <c r="O48" s="49"/>
      <c r="P48" s="49"/>
      <c r="Q48" s="49"/>
      <c r="R48" s="49"/>
      <c r="S48" s="49"/>
      <c r="T48" s="52"/>
      <c r="U48" s="143"/>
      <c r="V48" s="143"/>
      <c r="W48" s="143"/>
      <c r="X48" s="143"/>
      <c r="Y48" s="143"/>
      <c r="Z48" s="143"/>
    </row>
    <row r="49" ht="13.5" customHeight="1">
      <c r="A49" s="49"/>
      <c r="B49" s="49"/>
      <c r="C49" s="49"/>
      <c r="D49" s="49"/>
      <c r="E49" s="49"/>
      <c r="F49" s="49"/>
      <c r="G49" s="49"/>
      <c r="H49" s="49"/>
      <c r="I49" s="49"/>
      <c r="J49" s="49"/>
      <c r="K49" s="49"/>
      <c r="L49" s="49"/>
      <c r="M49" s="49"/>
      <c r="N49" s="49"/>
      <c r="O49" s="49"/>
      <c r="P49" s="49"/>
      <c r="Q49" s="49"/>
      <c r="R49" s="49"/>
      <c r="S49" s="49"/>
      <c r="T49" s="52"/>
      <c r="U49" s="143"/>
      <c r="V49" s="143"/>
      <c r="W49" s="143"/>
      <c r="X49" s="143"/>
      <c r="Y49" s="143"/>
      <c r="Z49" s="143"/>
    </row>
    <row r="50" ht="13.5" customHeight="1">
      <c r="A50" s="49"/>
      <c r="B50" s="49"/>
      <c r="C50" s="49"/>
      <c r="D50" s="49"/>
      <c r="E50" s="49"/>
      <c r="F50" s="49"/>
      <c r="G50" s="49"/>
      <c r="H50" s="49"/>
      <c r="I50" s="49"/>
      <c r="J50" s="49"/>
      <c r="K50" s="49"/>
      <c r="L50" s="49"/>
      <c r="M50" s="49"/>
      <c r="N50" s="49"/>
      <c r="O50" s="49"/>
      <c r="P50" s="49"/>
      <c r="Q50" s="49"/>
      <c r="R50" s="49"/>
      <c r="S50" s="49"/>
      <c r="T50" s="52"/>
      <c r="U50" s="143"/>
      <c r="V50" s="143"/>
      <c r="W50" s="143"/>
      <c r="X50" s="143"/>
      <c r="Y50" s="143"/>
      <c r="Z50" s="143"/>
    </row>
    <row r="51" ht="13.5" customHeight="1">
      <c r="A51" s="49"/>
      <c r="B51" s="49"/>
      <c r="C51" s="49"/>
      <c r="D51" s="49"/>
      <c r="E51" s="49"/>
      <c r="F51" s="49"/>
      <c r="G51" s="49"/>
      <c r="H51" s="49"/>
      <c r="I51" s="49"/>
      <c r="J51" s="49"/>
      <c r="K51" s="49"/>
      <c r="L51" s="49"/>
      <c r="M51" s="49"/>
      <c r="N51" s="49"/>
      <c r="O51" s="49"/>
      <c r="P51" s="49"/>
      <c r="Q51" s="49"/>
      <c r="R51" s="49"/>
      <c r="S51" s="49"/>
      <c r="T51" s="52"/>
      <c r="U51" s="143"/>
      <c r="V51" s="143"/>
      <c r="W51" s="143"/>
      <c r="X51" s="143"/>
      <c r="Y51" s="143"/>
      <c r="Z51" s="143"/>
    </row>
    <row r="52" ht="13.5" customHeight="1">
      <c r="A52" s="49"/>
      <c r="B52" s="49"/>
      <c r="C52" s="49"/>
      <c r="D52" s="49"/>
      <c r="E52" s="49"/>
      <c r="F52" s="49"/>
      <c r="G52" s="49"/>
      <c r="H52" s="49"/>
      <c r="I52" s="49"/>
      <c r="J52" s="49"/>
      <c r="K52" s="49"/>
      <c r="L52" s="49"/>
      <c r="M52" s="49"/>
      <c r="N52" s="49"/>
      <c r="O52" s="49"/>
      <c r="P52" s="49"/>
      <c r="Q52" s="49"/>
      <c r="R52" s="49"/>
      <c r="S52" s="49"/>
      <c r="T52" s="52"/>
      <c r="U52" s="143"/>
      <c r="V52" s="143"/>
      <c r="W52" s="143"/>
      <c r="X52" s="143"/>
      <c r="Y52" s="143"/>
      <c r="Z52" s="143"/>
    </row>
    <row r="53" ht="13.5" customHeight="1">
      <c r="A53" s="49"/>
      <c r="B53" s="49"/>
      <c r="C53" s="49"/>
      <c r="D53" s="49"/>
      <c r="E53" s="49"/>
      <c r="F53" s="49"/>
      <c r="G53" s="49"/>
      <c r="H53" s="49"/>
      <c r="I53" s="49"/>
      <c r="J53" s="49"/>
      <c r="K53" s="49"/>
      <c r="L53" s="49"/>
      <c r="M53" s="49"/>
      <c r="N53" s="49"/>
      <c r="O53" s="49"/>
      <c r="P53" s="49"/>
      <c r="Q53" s="49"/>
      <c r="R53" s="49"/>
      <c r="S53" s="49"/>
      <c r="T53" s="52"/>
      <c r="U53" s="143"/>
      <c r="V53" s="143"/>
      <c r="W53" s="143"/>
      <c r="X53" s="143"/>
      <c r="Y53" s="143"/>
      <c r="Z53" s="143"/>
    </row>
    <row r="54" ht="13.5" customHeight="1">
      <c r="A54" s="49"/>
      <c r="B54" s="49"/>
      <c r="C54" s="49"/>
      <c r="D54" s="49"/>
      <c r="E54" s="49"/>
      <c r="F54" s="49"/>
      <c r="G54" s="49"/>
      <c r="H54" s="49"/>
      <c r="I54" s="49"/>
      <c r="J54" s="49"/>
      <c r="K54" s="49"/>
      <c r="L54" s="49"/>
      <c r="M54" s="49"/>
      <c r="N54" s="49"/>
      <c r="O54" s="49"/>
      <c r="P54" s="49"/>
      <c r="Q54" s="49"/>
      <c r="R54" s="49"/>
      <c r="S54" s="49"/>
      <c r="T54" s="52"/>
      <c r="U54" s="143"/>
      <c r="V54" s="143"/>
      <c r="W54" s="143"/>
      <c r="X54" s="143"/>
      <c r="Y54" s="143"/>
      <c r="Z54" s="143"/>
    </row>
    <row r="55" ht="13.5" customHeight="1">
      <c r="A55" s="49"/>
      <c r="B55" s="49"/>
      <c r="C55" s="49"/>
      <c r="D55" s="49"/>
      <c r="E55" s="49"/>
      <c r="F55" s="49"/>
      <c r="G55" s="49"/>
      <c r="H55" s="49"/>
      <c r="I55" s="49"/>
      <c r="J55" s="49"/>
      <c r="K55" s="49"/>
      <c r="L55" s="49"/>
      <c r="M55" s="49"/>
      <c r="N55" s="49"/>
      <c r="O55" s="49"/>
      <c r="P55" s="49"/>
      <c r="Q55" s="49"/>
      <c r="R55" s="49"/>
      <c r="S55" s="49"/>
      <c r="T55" s="52"/>
      <c r="U55" s="143"/>
      <c r="V55" s="143"/>
      <c r="W55" s="143"/>
      <c r="X55" s="143"/>
      <c r="Y55" s="143"/>
      <c r="Z55" s="143"/>
    </row>
    <row r="56" ht="13.5" customHeight="1">
      <c r="A56" s="49"/>
      <c r="B56" s="49"/>
      <c r="C56" s="49"/>
      <c r="D56" s="49"/>
      <c r="E56" s="49"/>
      <c r="F56" s="49"/>
      <c r="G56" s="49"/>
      <c r="H56" s="49"/>
      <c r="I56" s="49"/>
      <c r="J56" s="49"/>
      <c r="K56" s="49"/>
      <c r="L56" s="49"/>
      <c r="M56" s="49"/>
      <c r="N56" s="49"/>
      <c r="O56" s="49"/>
      <c r="P56" s="49"/>
      <c r="Q56" s="49"/>
      <c r="R56" s="49"/>
      <c r="S56" s="49"/>
      <c r="T56" s="52"/>
      <c r="U56" s="143"/>
      <c r="V56" s="143"/>
      <c r="W56" s="143"/>
      <c r="X56" s="143"/>
      <c r="Y56" s="143"/>
      <c r="Z56" s="143"/>
    </row>
    <row r="57" ht="13.5" customHeight="1">
      <c r="A57" s="49"/>
      <c r="B57" s="49"/>
      <c r="C57" s="49"/>
      <c r="D57" s="49"/>
      <c r="E57" s="49"/>
      <c r="F57" s="49"/>
      <c r="G57" s="49"/>
      <c r="H57" s="49"/>
      <c r="I57" s="49"/>
      <c r="J57" s="49"/>
      <c r="K57" s="49"/>
      <c r="L57" s="49"/>
      <c r="M57" s="49"/>
      <c r="N57" s="49"/>
      <c r="O57" s="49"/>
      <c r="P57" s="49"/>
      <c r="Q57" s="49"/>
      <c r="R57" s="49"/>
      <c r="S57" s="49"/>
      <c r="T57" s="52"/>
      <c r="U57" s="143"/>
      <c r="V57" s="143"/>
      <c r="W57" s="143"/>
      <c r="X57" s="143"/>
      <c r="Y57" s="143"/>
      <c r="Z57" s="143"/>
    </row>
    <row r="58" ht="13.5" customHeight="1">
      <c r="A58" s="49"/>
      <c r="B58" s="49"/>
      <c r="C58" s="49"/>
      <c r="D58" s="49"/>
      <c r="E58" s="49"/>
      <c r="F58" s="49"/>
      <c r="G58" s="49"/>
      <c r="H58" s="49"/>
      <c r="I58" s="49"/>
      <c r="J58" s="49"/>
      <c r="K58" s="49"/>
      <c r="L58" s="49"/>
      <c r="M58" s="49"/>
      <c r="N58" s="49"/>
      <c r="O58" s="49"/>
      <c r="P58" s="49"/>
      <c r="Q58" s="49"/>
      <c r="R58" s="49"/>
      <c r="S58" s="49"/>
      <c r="T58" s="52"/>
      <c r="U58" s="143"/>
      <c r="V58" s="143"/>
      <c r="W58" s="143"/>
      <c r="X58" s="143"/>
      <c r="Y58" s="143"/>
      <c r="Z58" s="143"/>
    </row>
    <row r="59" ht="13.5" customHeight="1">
      <c r="A59" s="49"/>
      <c r="B59" s="49"/>
      <c r="C59" s="49"/>
      <c r="D59" s="49"/>
      <c r="E59" s="49"/>
      <c r="F59" s="49"/>
      <c r="G59" s="49"/>
      <c r="H59" s="49"/>
      <c r="I59" s="49"/>
      <c r="J59" s="49"/>
      <c r="K59" s="49"/>
      <c r="L59" s="49"/>
      <c r="M59" s="49"/>
      <c r="N59" s="49"/>
      <c r="O59" s="49"/>
      <c r="P59" s="49"/>
      <c r="Q59" s="49"/>
      <c r="R59" s="49"/>
      <c r="S59" s="49"/>
      <c r="T59" s="52"/>
      <c r="U59" s="143"/>
      <c r="V59" s="143"/>
      <c r="W59" s="143"/>
      <c r="X59" s="143"/>
      <c r="Y59" s="143"/>
      <c r="Z59" s="143"/>
    </row>
    <row r="60" ht="13.5" customHeight="1">
      <c r="A60" s="49"/>
      <c r="B60" s="49"/>
      <c r="C60" s="49"/>
      <c r="D60" s="49"/>
      <c r="E60" s="49"/>
      <c r="F60" s="49"/>
      <c r="G60" s="49"/>
      <c r="H60" s="49"/>
      <c r="I60" s="49"/>
      <c r="J60" s="49"/>
      <c r="K60" s="49"/>
      <c r="L60" s="49"/>
      <c r="M60" s="49"/>
      <c r="N60" s="49"/>
      <c r="O60" s="49"/>
      <c r="P60" s="49"/>
      <c r="Q60" s="49"/>
      <c r="R60" s="49"/>
      <c r="S60" s="49"/>
      <c r="T60" s="52"/>
      <c r="U60" s="143"/>
      <c r="V60" s="143"/>
      <c r="W60" s="143"/>
      <c r="X60" s="143"/>
      <c r="Y60" s="143"/>
      <c r="Z60" s="143"/>
    </row>
    <row r="61" ht="13.5" customHeight="1">
      <c r="A61" s="49"/>
      <c r="B61" s="49"/>
      <c r="C61" s="49"/>
      <c r="D61" s="49"/>
      <c r="E61" s="49"/>
      <c r="F61" s="49"/>
      <c r="G61" s="49"/>
      <c r="H61" s="49"/>
      <c r="I61" s="49"/>
      <c r="J61" s="49"/>
      <c r="K61" s="49"/>
      <c r="L61" s="49"/>
      <c r="M61" s="49"/>
      <c r="N61" s="49"/>
      <c r="O61" s="49"/>
      <c r="P61" s="49"/>
      <c r="Q61" s="49"/>
      <c r="R61" s="49"/>
      <c r="S61" s="49"/>
      <c r="T61" s="52"/>
      <c r="U61" s="143"/>
      <c r="V61" s="143"/>
      <c r="W61" s="143"/>
      <c r="X61" s="143"/>
      <c r="Y61" s="143"/>
      <c r="Z61" s="143"/>
    </row>
    <row r="62" ht="13.5" customHeight="1">
      <c r="A62" s="49"/>
      <c r="B62" s="49"/>
      <c r="C62" s="49"/>
      <c r="D62" s="49"/>
      <c r="E62" s="49"/>
      <c r="F62" s="49"/>
      <c r="G62" s="49"/>
      <c r="H62" s="49"/>
      <c r="I62" s="49"/>
      <c r="J62" s="49"/>
      <c r="K62" s="49"/>
      <c r="L62" s="49"/>
      <c r="M62" s="49"/>
      <c r="N62" s="49"/>
      <c r="O62" s="49"/>
      <c r="P62" s="49"/>
      <c r="Q62" s="49"/>
      <c r="R62" s="49"/>
      <c r="S62" s="49"/>
      <c r="T62" s="52"/>
      <c r="U62" s="143"/>
      <c r="V62" s="143"/>
      <c r="W62" s="143"/>
      <c r="X62" s="143"/>
      <c r="Y62" s="143"/>
      <c r="Z62" s="143"/>
    </row>
    <row r="63" ht="13.5" customHeight="1">
      <c r="A63" s="49"/>
      <c r="B63" s="49"/>
      <c r="C63" s="49"/>
      <c r="D63" s="49"/>
      <c r="E63" s="49"/>
      <c r="F63" s="49"/>
      <c r="G63" s="49"/>
      <c r="H63" s="49"/>
      <c r="I63" s="49"/>
      <c r="J63" s="49"/>
      <c r="K63" s="49"/>
      <c r="L63" s="49"/>
      <c r="M63" s="49"/>
      <c r="N63" s="49"/>
      <c r="O63" s="49"/>
      <c r="P63" s="49"/>
      <c r="Q63" s="49"/>
      <c r="R63" s="49"/>
      <c r="S63" s="49"/>
      <c r="T63" s="52"/>
      <c r="U63" s="143"/>
      <c r="V63" s="143"/>
      <c r="W63" s="143"/>
      <c r="X63" s="143"/>
      <c r="Y63" s="143"/>
      <c r="Z63" s="143"/>
    </row>
    <row r="64" ht="13.5" customHeight="1">
      <c r="A64" s="49"/>
      <c r="B64" s="49"/>
      <c r="C64" s="49"/>
      <c r="D64" s="49"/>
      <c r="E64" s="49"/>
      <c r="F64" s="49"/>
      <c r="G64" s="49"/>
      <c r="H64" s="49"/>
      <c r="I64" s="49"/>
      <c r="J64" s="49"/>
      <c r="K64" s="49"/>
      <c r="L64" s="49"/>
      <c r="M64" s="49"/>
      <c r="N64" s="49"/>
      <c r="O64" s="49"/>
      <c r="P64" s="49"/>
      <c r="Q64" s="49"/>
      <c r="R64" s="49"/>
      <c r="S64" s="49"/>
      <c r="T64" s="52"/>
      <c r="U64" s="143"/>
      <c r="V64" s="143"/>
      <c r="W64" s="143"/>
      <c r="X64" s="143"/>
      <c r="Y64" s="143"/>
      <c r="Z64" s="143"/>
    </row>
    <row r="65" ht="13.5" customHeight="1">
      <c r="A65" s="49"/>
      <c r="B65" s="49"/>
      <c r="C65" s="49"/>
      <c r="D65" s="49"/>
      <c r="E65" s="49"/>
      <c r="F65" s="49"/>
      <c r="G65" s="49"/>
      <c r="H65" s="49"/>
      <c r="I65" s="49"/>
      <c r="J65" s="49"/>
      <c r="K65" s="49"/>
      <c r="L65" s="49"/>
      <c r="M65" s="49"/>
      <c r="N65" s="49"/>
      <c r="O65" s="49"/>
      <c r="P65" s="49"/>
      <c r="Q65" s="49"/>
      <c r="R65" s="49"/>
      <c r="S65" s="49"/>
      <c r="T65" s="52"/>
      <c r="U65" s="143"/>
      <c r="V65" s="143"/>
      <c r="W65" s="143"/>
      <c r="X65" s="143"/>
      <c r="Y65" s="143"/>
      <c r="Z65" s="143"/>
    </row>
    <row r="66" ht="13.5" customHeight="1">
      <c r="A66" s="49"/>
      <c r="B66" s="49"/>
      <c r="C66" s="49"/>
      <c r="D66" s="49"/>
      <c r="E66" s="49"/>
      <c r="F66" s="49"/>
      <c r="G66" s="49"/>
      <c r="H66" s="49"/>
      <c r="I66" s="49"/>
      <c r="J66" s="49"/>
      <c r="K66" s="49"/>
      <c r="L66" s="49"/>
      <c r="M66" s="49"/>
      <c r="N66" s="49"/>
      <c r="O66" s="49"/>
      <c r="P66" s="49"/>
      <c r="Q66" s="49"/>
      <c r="R66" s="49"/>
      <c r="S66" s="49"/>
      <c r="T66" s="52"/>
      <c r="U66" s="143"/>
      <c r="V66" s="143"/>
      <c r="W66" s="143"/>
      <c r="X66" s="143"/>
      <c r="Y66" s="143"/>
      <c r="Z66" s="143"/>
    </row>
    <row r="67" ht="13.5" customHeight="1">
      <c r="A67" s="49"/>
      <c r="B67" s="49"/>
      <c r="C67" s="49"/>
      <c r="D67" s="49"/>
      <c r="E67" s="49"/>
      <c r="F67" s="49"/>
      <c r="G67" s="49"/>
      <c r="H67" s="49"/>
      <c r="I67" s="49"/>
      <c r="J67" s="49"/>
      <c r="K67" s="49"/>
      <c r="L67" s="49"/>
      <c r="M67" s="49"/>
      <c r="N67" s="49"/>
      <c r="O67" s="49"/>
      <c r="P67" s="49"/>
      <c r="Q67" s="49"/>
      <c r="R67" s="49"/>
      <c r="S67" s="49"/>
      <c r="T67" s="52"/>
      <c r="U67" s="143"/>
      <c r="V67" s="143"/>
      <c r="W67" s="143"/>
      <c r="X67" s="143"/>
      <c r="Y67" s="143"/>
      <c r="Z67" s="143"/>
    </row>
    <row r="68" ht="13.5" customHeight="1">
      <c r="A68" s="49"/>
      <c r="B68" s="49"/>
      <c r="C68" s="49"/>
      <c r="D68" s="49"/>
      <c r="E68" s="49"/>
      <c r="F68" s="49"/>
      <c r="G68" s="49"/>
      <c r="H68" s="49"/>
      <c r="I68" s="49"/>
      <c r="J68" s="49"/>
      <c r="K68" s="49"/>
      <c r="L68" s="49"/>
      <c r="M68" s="49"/>
      <c r="N68" s="49"/>
      <c r="O68" s="49"/>
      <c r="P68" s="49"/>
      <c r="Q68" s="49"/>
      <c r="R68" s="49"/>
      <c r="S68" s="49"/>
      <c r="T68" s="52"/>
      <c r="U68" s="143"/>
      <c r="V68" s="143"/>
      <c r="W68" s="143"/>
      <c r="X68" s="143"/>
      <c r="Y68" s="143"/>
      <c r="Z68" s="143"/>
    </row>
    <row r="69" ht="13.5" customHeight="1">
      <c r="A69" s="49"/>
      <c r="B69" s="49"/>
      <c r="C69" s="49"/>
      <c r="D69" s="49"/>
      <c r="E69" s="49"/>
      <c r="F69" s="49"/>
      <c r="G69" s="49"/>
      <c r="H69" s="49"/>
      <c r="I69" s="49"/>
      <c r="J69" s="49"/>
      <c r="K69" s="49"/>
      <c r="L69" s="49"/>
      <c r="M69" s="49"/>
      <c r="N69" s="49"/>
      <c r="O69" s="49"/>
      <c r="P69" s="49"/>
      <c r="Q69" s="49"/>
      <c r="R69" s="49"/>
      <c r="S69" s="49"/>
      <c r="T69" s="52"/>
      <c r="U69" s="143"/>
      <c r="V69" s="143"/>
      <c r="W69" s="143"/>
      <c r="X69" s="143"/>
      <c r="Y69" s="143"/>
      <c r="Z69" s="143"/>
    </row>
    <row r="70" ht="13.5" customHeight="1">
      <c r="A70" s="49"/>
      <c r="B70" s="49"/>
      <c r="C70" s="49"/>
      <c r="D70" s="49"/>
      <c r="E70" s="49"/>
      <c r="F70" s="49"/>
      <c r="G70" s="49"/>
      <c r="H70" s="49"/>
      <c r="I70" s="49"/>
      <c r="J70" s="49"/>
      <c r="K70" s="49"/>
      <c r="L70" s="49"/>
      <c r="M70" s="49"/>
      <c r="N70" s="49"/>
      <c r="O70" s="49"/>
      <c r="P70" s="49"/>
      <c r="Q70" s="49"/>
      <c r="R70" s="49"/>
      <c r="S70" s="49"/>
      <c r="T70" s="52"/>
      <c r="U70" s="143"/>
      <c r="V70" s="143"/>
      <c r="W70" s="143"/>
      <c r="X70" s="143"/>
      <c r="Y70" s="143"/>
      <c r="Z70" s="143"/>
    </row>
    <row r="71" ht="13.5" customHeight="1">
      <c r="A71" s="49"/>
      <c r="B71" s="49"/>
      <c r="C71" s="49"/>
      <c r="D71" s="49"/>
      <c r="E71" s="49"/>
      <c r="F71" s="49"/>
      <c r="G71" s="49"/>
      <c r="H71" s="49"/>
      <c r="I71" s="49"/>
      <c r="J71" s="49"/>
      <c r="K71" s="49"/>
      <c r="L71" s="49"/>
      <c r="M71" s="49"/>
      <c r="N71" s="49"/>
      <c r="O71" s="49"/>
      <c r="P71" s="49"/>
      <c r="Q71" s="49"/>
      <c r="R71" s="49"/>
      <c r="S71" s="49"/>
      <c r="T71" s="52"/>
      <c r="U71" s="143"/>
      <c r="V71" s="143"/>
      <c r="W71" s="143"/>
      <c r="X71" s="143"/>
      <c r="Y71" s="143"/>
      <c r="Z71" s="143"/>
    </row>
    <row r="72" ht="13.5" customHeight="1">
      <c r="A72" s="49"/>
      <c r="B72" s="49"/>
      <c r="C72" s="49"/>
      <c r="D72" s="49"/>
      <c r="E72" s="49"/>
      <c r="F72" s="49"/>
      <c r="G72" s="49"/>
      <c r="H72" s="49"/>
      <c r="I72" s="49"/>
      <c r="J72" s="49"/>
      <c r="K72" s="49"/>
      <c r="L72" s="49"/>
      <c r="M72" s="49"/>
      <c r="N72" s="49"/>
      <c r="O72" s="49"/>
      <c r="P72" s="49"/>
      <c r="Q72" s="49"/>
      <c r="R72" s="49"/>
      <c r="S72" s="49"/>
      <c r="T72" s="52"/>
      <c r="U72" s="143"/>
      <c r="V72" s="143"/>
      <c r="W72" s="143"/>
      <c r="X72" s="143"/>
      <c r="Y72" s="143"/>
      <c r="Z72" s="143"/>
    </row>
    <row r="73" ht="13.5" customHeight="1">
      <c r="A73" s="49"/>
      <c r="B73" s="49"/>
      <c r="C73" s="49"/>
      <c r="D73" s="49"/>
      <c r="E73" s="49"/>
      <c r="F73" s="49"/>
      <c r="G73" s="49"/>
      <c r="H73" s="49"/>
      <c r="I73" s="49"/>
      <c r="J73" s="49"/>
      <c r="K73" s="49"/>
      <c r="L73" s="49"/>
      <c r="M73" s="49"/>
      <c r="N73" s="49"/>
      <c r="O73" s="49"/>
      <c r="P73" s="49"/>
      <c r="Q73" s="49"/>
      <c r="R73" s="49"/>
      <c r="S73" s="49"/>
      <c r="T73" s="52"/>
      <c r="U73" s="143"/>
      <c r="V73" s="143"/>
      <c r="W73" s="143"/>
      <c r="X73" s="143"/>
      <c r="Y73" s="143"/>
      <c r="Z73" s="143"/>
    </row>
    <row r="74" ht="13.5" customHeight="1">
      <c r="A74" s="49"/>
      <c r="B74" s="49"/>
      <c r="C74" s="49"/>
      <c r="D74" s="49"/>
      <c r="E74" s="49"/>
      <c r="F74" s="49"/>
      <c r="G74" s="49"/>
      <c r="H74" s="49"/>
      <c r="I74" s="49"/>
      <c r="J74" s="49"/>
      <c r="K74" s="49"/>
      <c r="L74" s="49"/>
      <c r="M74" s="49"/>
      <c r="N74" s="49"/>
      <c r="O74" s="49"/>
      <c r="P74" s="49"/>
      <c r="Q74" s="49"/>
      <c r="R74" s="49"/>
      <c r="S74" s="49"/>
      <c r="T74" s="52"/>
      <c r="U74" s="143"/>
      <c r="V74" s="143"/>
      <c r="W74" s="143"/>
      <c r="X74" s="143"/>
      <c r="Y74" s="143"/>
      <c r="Z74" s="143"/>
    </row>
    <row r="75" ht="13.5" customHeight="1">
      <c r="A75" s="49"/>
      <c r="B75" s="49"/>
      <c r="C75" s="49"/>
      <c r="D75" s="49"/>
      <c r="E75" s="49"/>
      <c r="F75" s="49"/>
      <c r="G75" s="49"/>
      <c r="H75" s="49"/>
      <c r="I75" s="49"/>
      <c r="J75" s="49"/>
      <c r="K75" s="49"/>
      <c r="L75" s="49"/>
      <c r="M75" s="49"/>
      <c r="N75" s="49"/>
      <c r="O75" s="49"/>
      <c r="P75" s="49"/>
      <c r="Q75" s="49"/>
      <c r="R75" s="49"/>
      <c r="S75" s="49"/>
      <c r="T75" s="52"/>
      <c r="U75" s="143"/>
      <c r="V75" s="143"/>
      <c r="W75" s="143"/>
      <c r="X75" s="143"/>
      <c r="Y75" s="143"/>
      <c r="Z75" s="143"/>
    </row>
    <row r="76" ht="13.5" customHeight="1">
      <c r="A76" s="49"/>
      <c r="B76" s="49"/>
      <c r="C76" s="49"/>
      <c r="D76" s="49"/>
      <c r="E76" s="49"/>
      <c r="F76" s="49"/>
      <c r="G76" s="49"/>
      <c r="H76" s="49"/>
      <c r="I76" s="49"/>
      <c r="J76" s="49"/>
      <c r="K76" s="49"/>
      <c r="L76" s="49"/>
      <c r="M76" s="49"/>
      <c r="N76" s="49"/>
      <c r="O76" s="49"/>
      <c r="P76" s="49"/>
      <c r="Q76" s="49"/>
      <c r="R76" s="49"/>
      <c r="S76" s="49"/>
      <c r="T76" s="52"/>
      <c r="U76" s="143"/>
      <c r="V76" s="143"/>
      <c r="W76" s="143"/>
      <c r="X76" s="143"/>
      <c r="Y76" s="143"/>
      <c r="Z76" s="143"/>
    </row>
    <row r="77" ht="13.5" customHeight="1">
      <c r="A77" s="49"/>
      <c r="B77" s="49"/>
      <c r="C77" s="49"/>
      <c r="D77" s="49"/>
      <c r="E77" s="49"/>
      <c r="F77" s="49"/>
      <c r="G77" s="49"/>
      <c r="H77" s="49"/>
      <c r="I77" s="49"/>
      <c r="J77" s="49"/>
      <c r="K77" s="49"/>
      <c r="L77" s="49"/>
      <c r="M77" s="49"/>
      <c r="N77" s="49"/>
      <c r="O77" s="49"/>
      <c r="P77" s="49"/>
      <c r="Q77" s="49"/>
      <c r="R77" s="49"/>
      <c r="S77" s="49"/>
      <c r="T77" s="52"/>
      <c r="U77" s="143"/>
      <c r="V77" s="143"/>
      <c r="W77" s="143"/>
      <c r="X77" s="143"/>
      <c r="Y77" s="143"/>
      <c r="Z77" s="143"/>
    </row>
    <row r="78" ht="13.5" customHeight="1">
      <c r="A78" s="49"/>
      <c r="B78" s="49"/>
      <c r="C78" s="49"/>
      <c r="D78" s="49"/>
      <c r="E78" s="49"/>
      <c r="F78" s="49"/>
      <c r="G78" s="49"/>
      <c r="H78" s="49"/>
      <c r="I78" s="49"/>
      <c r="J78" s="49"/>
      <c r="K78" s="49"/>
      <c r="L78" s="49"/>
      <c r="M78" s="49"/>
      <c r="N78" s="49"/>
      <c r="O78" s="49"/>
      <c r="P78" s="49"/>
      <c r="Q78" s="49"/>
      <c r="R78" s="49"/>
      <c r="S78" s="49"/>
      <c r="T78" s="52"/>
      <c r="U78" s="143"/>
      <c r="V78" s="143"/>
      <c r="W78" s="143"/>
      <c r="X78" s="143"/>
      <c r="Y78" s="143"/>
      <c r="Z78" s="143"/>
    </row>
    <row r="79" ht="13.5" customHeight="1">
      <c r="A79" s="49"/>
      <c r="B79" s="49"/>
      <c r="C79" s="49"/>
      <c r="D79" s="49"/>
      <c r="E79" s="49"/>
      <c r="F79" s="49"/>
      <c r="G79" s="49"/>
      <c r="H79" s="49"/>
      <c r="I79" s="49"/>
      <c r="J79" s="49"/>
      <c r="K79" s="49"/>
      <c r="L79" s="49"/>
      <c r="M79" s="49"/>
      <c r="N79" s="49"/>
      <c r="O79" s="49"/>
      <c r="P79" s="49"/>
      <c r="Q79" s="49"/>
      <c r="R79" s="49"/>
      <c r="S79" s="49"/>
      <c r="T79" s="52"/>
      <c r="U79" s="143"/>
      <c r="V79" s="143"/>
      <c r="W79" s="143"/>
      <c r="X79" s="143"/>
      <c r="Y79" s="143"/>
      <c r="Z79" s="143"/>
    </row>
    <row r="80" ht="13.5" customHeight="1">
      <c r="A80" s="49"/>
      <c r="B80" s="49"/>
      <c r="C80" s="49"/>
      <c r="D80" s="49"/>
      <c r="E80" s="49"/>
      <c r="F80" s="49"/>
      <c r="G80" s="49"/>
      <c r="H80" s="49"/>
      <c r="I80" s="49"/>
      <c r="J80" s="49"/>
      <c r="K80" s="49"/>
      <c r="L80" s="49"/>
      <c r="M80" s="49"/>
      <c r="N80" s="49"/>
      <c r="O80" s="49"/>
      <c r="P80" s="49"/>
      <c r="Q80" s="49"/>
      <c r="R80" s="49"/>
      <c r="S80" s="49"/>
      <c r="T80" s="52"/>
      <c r="U80" s="143"/>
      <c r="V80" s="143"/>
      <c r="W80" s="143"/>
      <c r="X80" s="143"/>
      <c r="Y80" s="143"/>
      <c r="Z80" s="143"/>
    </row>
    <row r="81" ht="13.5" customHeight="1">
      <c r="A81" s="49"/>
      <c r="B81" s="49"/>
      <c r="C81" s="49"/>
      <c r="D81" s="49"/>
      <c r="E81" s="49"/>
      <c r="F81" s="49"/>
      <c r="G81" s="49"/>
      <c r="H81" s="49"/>
      <c r="I81" s="49"/>
      <c r="J81" s="49"/>
      <c r="K81" s="49"/>
      <c r="L81" s="49"/>
      <c r="M81" s="49"/>
      <c r="N81" s="49"/>
      <c r="O81" s="49"/>
      <c r="P81" s="49"/>
      <c r="Q81" s="49"/>
      <c r="R81" s="49"/>
      <c r="S81" s="49"/>
      <c r="T81" s="52"/>
      <c r="U81" s="143"/>
      <c r="V81" s="143"/>
      <c r="W81" s="143"/>
      <c r="X81" s="143"/>
      <c r="Y81" s="143"/>
      <c r="Z81" s="143"/>
    </row>
    <row r="82" ht="13.5" customHeight="1">
      <c r="A82" s="49"/>
      <c r="B82" s="49"/>
      <c r="C82" s="49"/>
      <c r="D82" s="49"/>
      <c r="E82" s="49"/>
      <c r="F82" s="49"/>
      <c r="G82" s="49"/>
      <c r="H82" s="49"/>
      <c r="I82" s="49"/>
      <c r="J82" s="49"/>
      <c r="K82" s="49"/>
      <c r="L82" s="49"/>
      <c r="M82" s="49"/>
      <c r="N82" s="49"/>
      <c r="O82" s="49"/>
      <c r="P82" s="49"/>
      <c r="Q82" s="49"/>
      <c r="R82" s="49"/>
      <c r="S82" s="49"/>
      <c r="T82" s="52"/>
      <c r="U82" s="143"/>
      <c r="V82" s="143"/>
      <c r="W82" s="143"/>
      <c r="X82" s="143"/>
      <c r="Y82" s="143"/>
      <c r="Z82" s="143"/>
    </row>
    <row r="83" ht="13.5" customHeight="1">
      <c r="A83" s="49"/>
      <c r="B83" s="49"/>
      <c r="C83" s="49"/>
      <c r="D83" s="49"/>
      <c r="E83" s="49"/>
      <c r="F83" s="49"/>
      <c r="G83" s="49"/>
      <c r="H83" s="49"/>
      <c r="I83" s="49"/>
      <c r="J83" s="49"/>
      <c r="K83" s="49"/>
      <c r="L83" s="49"/>
      <c r="M83" s="49"/>
      <c r="N83" s="49"/>
      <c r="O83" s="49"/>
      <c r="P83" s="49"/>
      <c r="Q83" s="49"/>
      <c r="R83" s="49"/>
      <c r="S83" s="49"/>
      <c r="T83" s="52"/>
      <c r="U83" s="143"/>
      <c r="V83" s="143"/>
      <c r="W83" s="143"/>
      <c r="X83" s="143"/>
      <c r="Y83" s="143"/>
      <c r="Z83" s="143"/>
    </row>
    <row r="84" ht="13.5" customHeight="1">
      <c r="A84" s="49"/>
      <c r="B84" s="49"/>
      <c r="C84" s="49"/>
      <c r="D84" s="49"/>
      <c r="E84" s="49"/>
      <c r="F84" s="49"/>
      <c r="G84" s="49"/>
      <c r="H84" s="49"/>
      <c r="I84" s="49"/>
      <c r="J84" s="49"/>
      <c r="K84" s="49"/>
      <c r="L84" s="49"/>
      <c r="M84" s="49"/>
      <c r="N84" s="49"/>
      <c r="O84" s="49"/>
      <c r="P84" s="49"/>
      <c r="Q84" s="49"/>
      <c r="R84" s="49"/>
      <c r="S84" s="49"/>
      <c r="T84" s="52"/>
      <c r="U84" s="143"/>
      <c r="V84" s="143"/>
      <c r="W84" s="143"/>
      <c r="X84" s="143"/>
      <c r="Y84" s="143"/>
      <c r="Z84" s="143"/>
    </row>
    <row r="85" ht="13.5" customHeight="1">
      <c r="A85" s="49"/>
      <c r="B85" s="49"/>
      <c r="C85" s="49"/>
      <c r="D85" s="49"/>
      <c r="E85" s="49"/>
      <c r="F85" s="49"/>
      <c r="G85" s="49"/>
      <c r="H85" s="49"/>
      <c r="I85" s="49"/>
      <c r="J85" s="49"/>
      <c r="K85" s="49"/>
      <c r="L85" s="49"/>
      <c r="M85" s="49"/>
      <c r="N85" s="49"/>
      <c r="O85" s="49"/>
      <c r="P85" s="49"/>
      <c r="Q85" s="49"/>
      <c r="R85" s="49"/>
      <c r="S85" s="49"/>
      <c r="T85" s="52"/>
      <c r="U85" s="143"/>
      <c r="V85" s="143"/>
      <c r="W85" s="143"/>
      <c r="X85" s="143"/>
      <c r="Y85" s="143"/>
      <c r="Z85" s="143"/>
    </row>
    <row r="86" ht="13.5" customHeight="1">
      <c r="A86" s="49"/>
      <c r="B86" s="49"/>
      <c r="C86" s="49"/>
      <c r="D86" s="49"/>
      <c r="E86" s="49"/>
      <c r="F86" s="49"/>
      <c r="G86" s="49"/>
      <c r="H86" s="49"/>
      <c r="I86" s="49"/>
      <c r="J86" s="49"/>
      <c r="K86" s="49"/>
      <c r="L86" s="49"/>
      <c r="M86" s="49"/>
      <c r="N86" s="49"/>
      <c r="O86" s="49"/>
      <c r="P86" s="49"/>
      <c r="Q86" s="49"/>
      <c r="R86" s="49"/>
      <c r="S86" s="49"/>
      <c r="T86" s="52"/>
      <c r="U86" s="143"/>
      <c r="V86" s="143"/>
      <c r="W86" s="143"/>
      <c r="X86" s="143"/>
      <c r="Y86" s="143"/>
      <c r="Z86" s="143"/>
    </row>
    <row r="87" ht="13.5" customHeight="1">
      <c r="A87" s="49"/>
      <c r="B87" s="49"/>
      <c r="C87" s="49"/>
      <c r="D87" s="49"/>
      <c r="E87" s="49"/>
      <c r="F87" s="49"/>
      <c r="G87" s="49"/>
      <c r="H87" s="49"/>
      <c r="I87" s="49"/>
      <c r="J87" s="49"/>
      <c r="K87" s="49"/>
      <c r="L87" s="49"/>
      <c r="M87" s="49"/>
      <c r="N87" s="49"/>
      <c r="O87" s="49"/>
      <c r="P87" s="49"/>
      <c r="Q87" s="49"/>
      <c r="R87" s="49"/>
      <c r="S87" s="49"/>
      <c r="T87" s="52"/>
      <c r="U87" s="143"/>
      <c r="V87" s="143"/>
      <c r="W87" s="143"/>
      <c r="X87" s="143"/>
      <c r="Y87" s="143"/>
      <c r="Z87" s="143"/>
    </row>
    <row r="88" ht="13.5" customHeight="1">
      <c r="A88" s="49"/>
      <c r="B88" s="49"/>
      <c r="C88" s="49"/>
      <c r="D88" s="49"/>
      <c r="E88" s="49"/>
      <c r="F88" s="49"/>
      <c r="G88" s="49"/>
      <c r="H88" s="49"/>
      <c r="I88" s="49"/>
      <c r="J88" s="49"/>
      <c r="K88" s="49"/>
      <c r="L88" s="49"/>
      <c r="M88" s="49"/>
      <c r="N88" s="49"/>
      <c r="O88" s="49"/>
      <c r="P88" s="49"/>
      <c r="Q88" s="49"/>
      <c r="R88" s="49"/>
      <c r="S88" s="49"/>
      <c r="T88" s="52"/>
      <c r="U88" s="143"/>
      <c r="V88" s="143"/>
      <c r="W88" s="143"/>
      <c r="X88" s="143"/>
      <c r="Y88" s="143"/>
      <c r="Z88" s="143"/>
    </row>
    <row r="89" ht="13.5" customHeight="1">
      <c r="A89" s="49"/>
      <c r="B89" s="49"/>
      <c r="C89" s="49"/>
      <c r="D89" s="49"/>
      <c r="E89" s="49"/>
      <c r="F89" s="49"/>
      <c r="G89" s="49"/>
      <c r="H89" s="49"/>
      <c r="I89" s="49"/>
      <c r="J89" s="49"/>
      <c r="K89" s="49"/>
      <c r="L89" s="49"/>
      <c r="M89" s="49"/>
      <c r="N89" s="49"/>
      <c r="O89" s="49"/>
      <c r="P89" s="49"/>
      <c r="Q89" s="49"/>
      <c r="R89" s="49"/>
      <c r="S89" s="49"/>
      <c r="T89" s="52"/>
      <c r="U89" s="143"/>
      <c r="V89" s="143"/>
      <c r="W89" s="143"/>
      <c r="X89" s="143"/>
      <c r="Y89" s="143"/>
      <c r="Z89" s="143"/>
    </row>
    <row r="90" ht="13.5" customHeight="1">
      <c r="A90" s="49"/>
      <c r="B90" s="49"/>
      <c r="C90" s="49"/>
      <c r="D90" s="49"/>
      <c r="E90" s="49"/>
      <c r="F90" s="49"/>
      <c r="G90" s="49"/>
      <c r="H90" s="49"/>
      <c r="I90" s="49"/>
      <c r="J90" s="49"/>
      <c r="K90" s="49"/>
      <c r="L90" s="49"/>
      <c r="M90" s="49"/>
      <c r="N90" s="49"/>
      <c r="O90" s="49"/>
      <c r="P90" s="49"/>
      <c r="Q90" s="49"/>
      <c r="R90" s="49"/>
      <c r="S90" s="49"/>
      <c r="T90" s="52"/>
      <c r="U90" s="143"/>
      <c r="V90" s="143"/>
      <c r="W90" s="143"/>
      <c r="X90" s="143"/>
      <c r="Y90" s="143"/>
      <c r="Z90" s="143"/>
    </row>
    <row r="91" ht="13.5" customHeight="1">
      <c r="A91" s="49"/>
      <c r="B91" s="49"/>
      <c r="C91" s="49"/>
      <c r="D91" s="49"/>
      <c r="E91" s="49"/>
      <c r="F91" s="49"/>
      <c r="G91" s="49"/>
      <c r="H91" s="49"/>
      <c r="I91" s="49"/>
      <c r="J91" s="49"/>
      <c r="K91" s="49"/>
      <c r="L91" s="49"/>
      <c r="M91" s="49"/>
      <c r="N91" s="49"/>
      <c r="O91" s="49"/>
      <c r="P91" s="49"/>
      <c r="Q91" s="49"/>
      <c r="R91" s="49"/>
      <c r="S91" s="49"/>
      <c r="T91" s="52"/>
      <c r="U91" s="143"/>
      <c r="V91" s="143"/>
      <c r="W91" s="143"/>
      <c r="X91" s="143"/>
      <c r="Y91" s="143"/>
      <c r="Z91" s="143"/>
    </row>
    <row r="92" ht="13.5" customHeight="1">
      <c r="A92" s="49"/>
      <c r="B92" s="49"/>
      <c r="C92" s="49"/>
      <c r="D92" s="49"/>
      <c r="E92" s="49"/>
      <c r="F92" s="49"/>
      <c r="G92" s="49"/>
      <c r="H92" s="49"/>
      <c r="I92" s="49"/>
      <c r="J92" s="49"/>
      <c r="K92" s="49"/>
      <c r="L92" s="49"/>
      <c r="M92" s="49"/>
      <c r="N92" s="49"/>
      <c r="O92" s="49"/>
      <c r="P92" s="49"/>
      <c r="Q92" s="49"/>
      <c r="R92" s="49"/>
      <c r="S92" s="49"/>
      <c r="T92" s="52"/>
      <c r="U92" s="143"/>
      <c r="V92" s="143"/>
      <c r="W92" s="143"/>
      <c r="X92" s="143"/>
      <c r="Y92" s="143"/>
      <c r="Z92" s="143"/>
    </row>
    <row r="93" ht="13.5" customHeight="1">
      <c r="A93" s="49"/>
      <c r="B93" s="49"/>
      <c r="C93" s="49"/>
      <c r="D93" s="49"/>
      <c r="E93" s="49"/>
      <c r="F93" s="49"/>
      <c r="G93" s="49"/>
      <c r="H93" s="49"/>
      <c r="I93" s="49"/>
      <c r="J93" s="49"/>
      <c r="K93" s="49"/>
      <c r="L93" s="49"/>
      <c r="M93" s="49"/>
      <c r="N93" s="49"/>
      <c r="O93" s="49"/>
      <c r="P93" s="49"/>
      <c r="Q93" s="49"/>
      <c r="R93" s="49"/>
      <c r="S93" s="49"/>
      <c r="T93" s="52"/>
      <c r="U93" s="143"/>
      <c r="V93" s="143"/>
      <c r="W93" s="143"/>
      <c r="X93" s="143"/>
      <c r="Y93" s="143"/>
      <c r="Z93" s="143"/>
    </row>
    <row r="94" ht="13.5" customHeight="1">
      <c r="A94" s="49"/>
      <c r="B94" s="49"/>
      <c r="C94" s="49"/>
      <c r="D94" s="49"/>
      <c r="E94" s="49"/>
      <c r="F94" s="49"/>
      <c r="G94" s="49"/>
      <c r="H94" s="49"/>
      <c r="I94" s="49"/>
      <c r="J94" s="49"/>
      <c r="K94" s="49"/>
      <c r="L94" s="49"/>
      <c r="M94" s="49"/>
      <c r="N94" s="49"/>
      <c r="O94" s="49"/>
      <c r="P94" s="49"/>
      <c r="Q94" s="49"/>
      <c r="R94" s="49"/>
      <c r="S94" s="49"/>
      <c r="T94" s="52"/>
      <c r="U94" s="143"/>
      <c r="V94" s="143"/>
      <c r="W94" s="143"/>
      <c r="X94" s="143"/>
      <c r="Y94" s="143"/>
      <c r="Z94" s="143"/>
    </row>
    <row r="95" ht="13.5" customHeight="1">
      <c r="A95" s="49"/>
      <c r="B95" s="49"/>
      <c r="C95" s="49"/>
      <c r="D95" s="49"/>
      <c r="E95" s="49"/>
      <c r="F95" s="49"/>
      <c r="G95" s="49"/>
      <c r="H95" s="49"/>
      <c r="I95" s="49"/>
      <c r="J95" s="49"/>
      <c r="K95" s="49"/>
      <c r="L95" s="49"/>
      <c r="M95" s="49"/>
      <c r="N95" s="49"/>
      <c r="O95" s="49"/>
      <c r="P95" s="49"/>
      <c r="Q95" s="49"/>
      <c r="R95" s="49"/>
      <c r="S95" s="49"/>
      <c r="T95" s="52"/>
      <c r="U95" s="143"/>
      <c r="V95" s="143"/>
      <c r="W95" s="143"/>
      <c r="X95" s="143"/>
      <c r="Y95" s="143"/>
      <c r="Z95" s="143"/>
    </row>
    <row r="96" ht="13.5" customHeight="1">
      <c r="A96" s="49"/>
      <c r="B96" s="49"/>
      <c r="C96" s="49"/>
      <c r="D96" s="49"/>
      <c r="E96" s="49"/>
      <c r="F96" s="49"/>
      <c r="G96" s="49"/>
      <c r="H96" s="49"/>
      <c r="I96" s="49"/>
      <c r="J96" s="49"/>
      <c r="K96" s="49"/>
      <c r="L96" s="49"/>
      <c r="M96" s="49"/>
      <c r="N96" s="49"/>
      <c r="O96" s="49"/>
      <c r="P96" s="49"/>
      <c r="Q96" s="49"/>
      <c r="R96" s="49"/>
      <c r="S96" s="49"/>
      <c r="T96" s="52"/>
      <c r="U96" s="143"/>
      <c r="V96" s="143"/>
      <c r="W96" s="143"/>
      <c r="X96" s="143"/>
      <c r="Y96" s="143"/>
      <c r="Z96" s="143"/>
    </row>
    <row r="97" ht="13.5" customHeight="1">
      <c r="A97" s="49"/>
      <c r="B97" s="49"/>
      <c r="C97" s="49"/>
      <c r="D97" s="49"/>
      <c r="E97" s="49"/>
      <c r="F97" s="49"/>
      <c r="G97" s="49"/>
      <c r="H97" s="49"/>
      <c r="I97" s="49"/>
      <c r="J97" s="49"/>
      <c r="K97" s="49"/>
      <c r="L97" s="49"/>
      <c r="M97" s="49"/>
      <c r="N97" s="49"/>
      <c r="O97" s="49"/>
      <c r="P97" s="49"/>
      <c r="Q97" s="49"/>
      <c r="R97" s="49"/>
      <c r="S97" s="49"/>
      <c r="T97" s="52"/>
      <c r="U97" s="143"/>
      <c r="V97" s="143"/>
      <c r="W97" s="143"/>
      <c r="X97" s="143"/>
      <c r="Y97" s="143"/>
      <c r="Z97" s="143"/>
    </row>
    <row r="98" ht="13.5" customHeight="1">
      <c r="A98" s="49"/>
      <c r="B98" s="49"/>
      <c r="C98" s="49"/>
      <c r="D98" s="49"/>
      <c r="E98" s="49"/>
      <c r="F98" s="49"/>
      <c r="G98" s="49"/>
      <c r="H98" s="49"/>
      <c r="I98" s="49"/>
      <c r="J98" s="49"/>
      <c r="K98" s="49"/>
      <c r="L98" s="49"/>
      <c r="M98" s="49"/>
      <c r="N98" s="49"/>
      <c r="O98" s="49"/>
      <c r="P98" s="49"/>
      <c r="Q98" s="49"/>
      <c r="R98" s="49"/>
      <c r="S98" s="49"/>
      <c r="T98" s="52"/>
      <c r="U98" s="143"/>
      <c r="V98" s="143"/>
      <c r="W98" s="143"/>
      <c r="X98" s="143"/>
      <c r="Y98" s="143"/>
      <c r="Z98" s="143"/>
    </row>
    <row r="99" ht="13.5" customHeight="1">
      <c r="A99" s="49"/>
      <c r="B99" s="49"/>
      <c r="C99" s="49"/>
      <c r="D99" s="49"/>
      <c r="E99" s="49"/>
      <c r="F99" s="49"/>
      <c r="G99" s="49"/>
      <c r="H99" s="49"/>
      <c r="I99" s="49"/>
      <c r="J99" s="49"/>
      <c r="K99" s="49"/>
      <c r="L99" s="49"/>
      <c r="M99" s="49"/>
      <c r="N99" s="49"/>
      <c r="O99" s="49"/>
      <c r="P99" s="49"/>
      <c r="Q99" s="49"/>
      <c r="R99" s="49"/>
      <c r="S99" s="49"/>
      <c r="T99" s="52"/>
      <c r="U99" s="143"/>
      <c r="V99" s="143"/>
      <c r="W99" s="143"/>
      <c r="X99" s="143"/>
      <c r="Y99" s="143"/>
      <c r="Z99" s="143"/>
    </row>
    <row r="100" ht="13.5" customHeight="1">
      <c r="A100" s="49"/>
      <c r="B100" s="49"/>
      <c r="C100" s="49"/>
      <c r="D100" s="49"/>
      <c r="E100" s="49"/>
      <c r="F100" s="49"/>
      <c r="G100" s="49"/>
      <c r="H100" s="49"/>
      <c r="I100" s="49"/>
      <c r="J100" s="49"/>
      <c r="K100" s="49"/>
      <c r="L100" s="49"/>
      <c r="M100" s="49"/>
      <c r="N100" s="49"/>
      <c r="O100" s="49"/>
      <c r="P100" s="49"/>
      <c r="Q100" s="49"/>
      <c r="R100" s="49"/>
      <c r="S100" s="49"/>
      <c r="T100" s="52"/>
      <c r="U100" s="143"/>
      <c r="V100" s="143"/>
      <c r="W100" s="143"/>
      <c r="X100" s="143"/>
      <c r="Y100" s="143"/>
      <c r="Z100" s="143"/>
    </row>
    <row r="101" ht="13.5" customHeight="1">
      <c r="A101" s="49"/>
      <c r="B101" s="49"/>
      <c r="C101" s="49"/>
      <c r="D101" s="49"/>
      <c r="E101" s="49"/>
      <c r="F101" s="49"/>
      <c r="G101" s="49"/>
      <c r="H101" s="49"/>
      <c r="I101" s="49"/>
      <c r="J101" s="49"/>
      <c r="K101" s="49"/>
      <c r="L101" s="49"/>
      <c r="M101" s="49"/>
      <c r="N101" s="49"/>
      <c r="O101" s="49"/>
      <c r="P101" s="49"/>
      <c r="Q101" s="49"/>
      <c r="R101" s="49"/>
      <c r="S101" s="49"/>
      <c r="T101" s="52"/>
      <c r="U101" s="143"/>
      <c r="V101" s="143"/>
      <c r="W101" s="143"/>
      <c r="X101" s="143"/>
      <c r="Y101" s="143"/>
      <c r="Z101" s="143"/>
    </row>
    <row r="102" ht="13.5" customHeight="1">
      <c r="A102" s="49"/>
      <c r="B102" s="49"/>
      <c r="C102" s="49"/>
      <c r="D102" s="49"/>
      <c r="E102" s="49"/>
      <c r="F102" s="49"/>
      <c r="G102" s="49"/>
      <c r="H102" s="49"/>
      <c r="I102" s="49"/>
      <c r="J102" s="49"/>
      <c r="K102" s="49"/>
      <c r="L102" s="49"/>
      <c r="M102" s="49"/>
      <c r="N102" s="49"/>
      <c r="O102" s="49"/>
      <c r="P102" s="49"/>
      <c r="Q102" s="49"/>
      <c r="R102" s="49"/>
      <c r="S102" s="49"/>
      <c r="T102" s="52"/>
      <c r="U102" s="143"/>
      <c r="V102" s="143"/>
      <c r="W102" s="143"/>
      <c r="X102" s="143"/>
      <c r="Y102" s="143"/>
      <c r="Z102" s="143"/>
    </row>
    <row r="103" ht="13.5" customHeight="1">
      <c r="A103" s="49"/>
      <c r="B103" s="49"/>
      <c r="C103" s="49"/>
      <c r="D103" s="49"/>
      <c r="E103" s="49"/>
      <c r="F103" s="49"/>
      <c r="G103" s="49"/>
      <c r="H103" s="49"/>
      <c r="I103" s="49"/>
      <c r="J103" s="49"/>
      <c r="K103" s="49"/>
      <c r="L103" s="49"/>
      <c r="M103" s="49"/>
      <c r="N103" s="49"/>
      <c r="O103" s="49"/>
      <c r="P103" s="49"/>
      <c r="Q103" s="49"/>
      <c r="R103" s="49"/>
      <c r="S103" s="49"/>
      <c r="T103" s="52"/>
      <c r="U103" s="143"/>
      <c r="V103" s="143"/>
      <c r="W103" s="143"/>
      <c r="X103" s="143"/>
      <c r="Y103" s="143"/>
      <c r="Z103" s="143"/>
    </row>
    <row r="104" ht="13.5" customHeight="1">
      <c r="A104" s="49"/>
      <c r="B104" s="49"/>
      <c r="C104" s="49"/>
      <c r="D104" s="49"/>
      <c r="E104" s="49"/>
      <c r="F104" s="49"/>
      <c r="G104" s="49"/>
      <c r="H104" s="49"/>
      <c r="I104" s="49"/>
      <c r="J104" s="49"/>
      <c r="K104" s="49"/>
      <c r="L104" s="49"/>
      <c r="M104" s="49"/>
      <c r="N104" s="49"/>
      <c r="O104" s="49"/>
      <c r="P104" s="49"/>
      <c r="Q104" s="49"/>
      <c r="R104" s="49"/>
      <c r="S104" s="49"/>
      <c r="T104" s="52"/>
      <c r="U104" s="143"/>
      <c r="V104" s="143"/>
      <c r="W104" s="143"/>
      <c r="X104" s="143"/>
      <c r="Y104" s="143"/>
      <c r="Z104" s="143"/>
    </row>
    <row r="105" ht="13.5" customHeight="1">
      <c r="A105" s="49"/>
      <c r="B105" s="49"/>
      <c r="C105" s="49"/>
      <c r="D105" s="49"/>
      <c r="E105" s="49"/>
      <c r="F105" s="49"/>
      <c r="G105" s="49"/>
      <c r="H105" s="49"/>
      <c r="I105" s="49"/>
      <c r="J105" s="49"/>
      <c r="K105" s="49"/>
      <c r="L105" s="49"/>
      <c r="M105" s="49"/>
      <c r="N105" s="49"/>
      <c r="O105" s="49"/>
      <c r="P105" s="49"/>
      <c r="Q105" s="49"/>
      <c r="R105" s="49"/>
      <c r="S105" s="49"/>
      <c r="T105" s="52"/>
      <c r="U105" s="143"/>
      <c r="V105" s="143"/>
      <c r="W105" s="143"/>
      <c r="X105" s="143"/>
      <c r="Y105" s="143"/>
      <c r="Z105" s="143"/>
    </row>
    <row r="106" ht="13.5" customHeight="1">
      <c r="A106" s="49"/>
      <c r="B106" s="49"/>
      <c r="C106" s="49"/>
      <c r="D106" s="49"/>
      <c r="E106" s="49"/>
      <c r="F106" s="49"/>
      <c r="G106" s="49"/>
      <c r="H106" s="49"/>
      <c r="I106" s="49"/>
      <c r="J106" s="49"/>
      <c r="K106" s="49"/>
      <c r="L106" s="49"/>
      <c r="M106" s="49"/>
      <c r="N106" s="49"/>
      <c r="O106" s="49"/>
      <c r="P106" s="49"/>
      <c r="Q106" s="49"/>
      <c r="R106" s="49"/>
      <c r="S106" s="49"/>
      <c r="T106" s="52"/>
      <c r="U106" s="143"/>
      <c r="V106" s="143"/>
      <c r="W106" s="143"/>
      <c r="X106" s="143"/>
      <c r="Y106" s="143"/>
      <c r="Z106" s="143"/>
    </row>
    <row r="107" ht="13.5" customHeight="1">
      <c r="A107" s="49"/>
      <c r="B107" s="49"/>
      <c r="C107" s="49"/>
      <c r="D107" s="49"/>
      <c r="E107" s="49"/>
      <c r="F107" s="49"/>
      <c r="G107" s="49"/>
      <c r="H107" s="49"/>
      <c r="I107" s="49"/>
      <c r="J107" s="49"/>
      <c r="K107" s="49"/>
      <c r="L107" s="49"/>
      <c r="M107" s="49"/>
      <c r="N107" s="49"/>
      <c r="O107" s="49"/>
      <c r="P107" s="49"/>
      <c r="Q107" s="49"/>
      <c r="R107" s="49"/>
      <c r="S107" s="49"/>
      <c r="T107" s="52"/>
      <c r="U107" s="143"/>
      <c r="V107" s="143"/>
      <c r="W107" s="143"/>
      <c r="X107" s="143"/>
      <c r="Y107" s="143"/>
      <c r="Z107" s="143"/>
    </row>
    <row r="108" ht="13.5" customHeight="1">
      <c r="A108" s="49"/>
      <c r="B108" s="49"/>
      <c r="C108" s="49"/>
      <c r="D108" s="49"/>
      <c r="E108" s="49"/>
      <c r="F108" s="49"/>
      <c r="G108" s="49"/>
      <c r="H108" s="49"/>
      <c r="I108" s="49"/>
      <c r="J108" s="49"/>
      <c r="K108" s="49"/>
      <c r="L108" s="49"/>
      <c r="M108" s="49"/>
      <c r="N108" s="49"/>
      <c r="O108" s="49"/>
      <c r="P108" s="49"/>
      <c r="Q108" s="49"/>
      <c r="R108" s="49"/>
      <c r="S108" s="49"/>
      <c r="T108" s="52"/>
      <c r="U108" s="143"/>
      <c r="V108" s="143"/>
      <c r="W108" s="143"/>
      <c r="X108" s="143"/>
      <c r="Y108" s="143"/>
      <c r="Z108" s="143"/>
    </row>
    <row r="109" ht="13.5" customHeight="1">
      <c r="A109" s="49"/>
      <c r="B109" s="49"/>
      <c r="C109" s="49"/>
      <c r="D109" s="49"/>
      <c r="E109" s="49"/>
      <c r="F109" s="49"/>
      <c r="G109" s="49"/>
      <c r="H109" s="49"/>
      <c r="I109" s="49"/>
      <c r="J109" s="49"/>
      <c r="K109" s="49"/>
      <c r="L109" s="49"/>
      <c r="M109" s="49"/>
      <c r="N109" s="49"/>
      <c r="O109" s="49"/>
      <c r="P109" s="49"/>
      <c r="Q109" s="49"/>
      <c r="R109" s="49"/>
      <c r="S109" s="49"/>
      <c r="T109" s="52"/>
      <c r="U109" s="143"/>
      <c r="V109" s="143"/>
      <c r="W109" s="143"/>
      <c r="X109" s="143"/>
      <c r="Y109" s="143"/>
      <c r="Z109" s="143"/>
    </row>
    <row r="110" ht="13.5" customHeight="1">
      <c r="A110" s="49"/>
      <c r="B110" s="49"/>
      <c r="C110" s="49"/>
      <c r="D110" s="49"/>
      <c r="E110" s="49"/>
      <c r="F110" s="49"/>
      <c r="G110" s="49"/>
      <c r="H110" s="49"/>
      <c r="I110" s="49"/>
      <c r="J110" s="49"/>
      <c r="K110" s="49"/>
      <c r="L110" s="49"/>
      <c r="M110" s="49"/>
      <c r="N110" s="49"/>
      <c r="O110" s="49"/>
      <c r="P110" s="49"/>
      <c r="Q110" s="49"/>
      <c r="R110" s="49"/>
      <c r="S110" s="49"/>
      <c r="T110" s="52"/>
      <c r="U110" s="143"/>
      <c r="V110" s="143"/>
      <c r="W110" s="143"/>
      <c r="X110" s="143"/>
      <c r="Y110" s="143"/>
      <c r="Z110" s="143"/>
    </row>
    <row r="111" ht="13.5" customHeight="1">
      <c r="A111" s="49"/>
      <c r="B111" s="49"/>
      <c r="C111" s="49"/>
      <c r="D111" s="49"/>
      <c r="E111" s="49"/>
      <c r="F111" s="49"/>
      <c r="G111" s="49"/>
      <c r="H111" s="49"/>
      <c r="I111" s="49"/>
      <c r="J111" s="49"/>
      <c r="K111" s="49"/>
      <c r="L111" s="49"/>
      <c r="M111" s="49"/>
      <c r="N111" s="49"/>
      <c r="O111" s="49"/>
      <c r="P111" s="49"/>
      <c r="Q111" s="49"/>
      <c r="R111" s="49"/>
      <c r="S111" s="49"/>
      <c r="T111" s="52"/>
      <c r="U111" s="143"/>
      <c r="V111" s="143"/>
      <c r="W111" s="143"/>
      <c r="X111" s="143"/>
      <c r="Y111" s="143"/>
      <c r="Z111" s="143"/>
    </row>
    <row r="112" ht="13.5" customHeight="1">
      <c r="A112" s="49"/>
      <c r="B112" s="49"/>
      <c r="C112" s="49"/>
      <c r="D112" s="49"/>
      <c r="E112" s="49"/>
      <c r="F112" s="49"/>
      <c r="G112" s="49"/>
      <c r="H112" s="49"/>
      <c r="I112" s="49"/>
      <c r="J112" s="49"/>
      <c r="K112" s="49"/>
      <c r="L112" s="49"/>
      <c r="M112" s="49"/>
      <c r="N112" s="49"/>
      <c r="O112" s="49"/>
      <c r="P112" s="49"/>
      <c r="Q112" s="49"/>
      <c r="R112" s="49"/>
      <c r="S112" s="49"/>
      <c r="T112" s="52"/>
      <c r="U112" s="143"/>
      <c r="V112" s="143"/>
      <c r="W112" s="143"/>
      <c r="X112" s="143"/>
      <c r="Y112" s="143"/>
      <c r="Z112" s="143"/>
    </row>
    <row r="113" ht="13.5" customHeight="1">
      <c r="A113" s="49"/>
      <c r="B113" s="49"/>
      <c r="C113" s="49"/>
      <c r="D113" s="49"/>
      <c r="E113" s="49"/>
      <c r="F113" s="49"/>
      <c r="G113" s="49"/>
      <c r="H113" s="49"/>
      <c r="I113" s="49"/>
      <c r="J113" s="49"/>
      <c r="K113" s="49"/>
      <c r="L113" s="49"/>
      <c r="M113" s="49"/>
      <c r="N113" s="49"/>
      <c r="O113" s="49"/>
      <c r="P113" s="49"/>
      <c r="Q113" s="49"/>
      <c r="R113" s="49"/>
      <c r="S113" s="49"/>
      <c r="T113" s="52"/>
      <c r="U113" s="143"/>
      <c r="V113" s="143"/>
      <c r="W113" s="143"/>
      <c r="X113" s="143"/>
      <c r="Y113" s="143"/>
      <c r="Z113" s="143"/>
    </row>
    <row r="114" ht="13.5" customHeight="1">
      <c r="A114" s="49"/>
      <c r="B114" s="49"/>
      <c r="C114" s="49"/>
      <c r="D114" s="49"/>
      <c r="E114" s="49"/>
      <c r="F114" s="49"/>
      <c r="G114" s="49"/>
      <c r="H114" s="49"/>
      <c r="I114" s="49"/>
      <c r="J114" s="49"/>
      <c r="K114" s="49"/>
      <c r="L114" s="49"/>
      <c r="M114" s="49"/>
      <c r="N114" s="49"/>
      <c r="O114" s="49"/>
      <c r="P114" s="49"/>
      <c r="Q114" s="49"/>
      <c r="R114" s="49"/>
      <c r="S114" s="49"/>
      <c r="T114" s="52"/>
      <c r="U114" s="143"/>
      <c r="V114" s="143"/>
      <c r="W114" s="143"/>
      <c r="X114" s="143"/>
      <c r="Y114" s="143"/>
      <c r="Z114" s="143"/>
    </row>
    <row r="115" ht="13.5" customHeight="1">
      <c r="A115" s="49"/>
      <c r="B115" s="49"/>
      <c r="C115" s="49"/>
      <c r="D115" s="49"/>
      <c r="E115" s="49"/>
      <c r="F115" s="49"/>
      <c r="G115" s="49"/>
      <c r="H115" s="49"/>
      <c r="I115" s="49"/>
      <c r="J115" s="49"/>
      <c r="K115" s="49"/>
      <c r="L115" s="49"/>
      <c r="M115" s="49"/>
      <c r="N115" s="49"/>
      <c r="O115" s="49"/>
      <c r="P115" s="49"/>
      <c r="Q115" s="49"/>
      <c r="R115" s="49"/>
      <c r="S115" s="49"/>
      <c r="T115" s="52"/>
      <c r="U115" s="143"/>
      <c r="V115" s="143"/>
      <c r="W115" s="143"/>
      <c r="X115" s="143"/>
      <c r="Y115" s="143"/>
      <c r="Z115" s="143"/>
    </row>
    <row r="116" ht="13.5" customHeight="1">
      <c r="A116" s="49"/>
      <c r="B116" s="49"/>
      <c r="C116" s="49"/>
      <c r="D116" s="49"/>
      <c r="E116" s="49"/>
      <c r="F116" s="49"/>
      <c r="G116" s="49"/>
      <c r="H116" s="49"/>
      <c r="I116" s="49"/>
      <c r="J116" s="49"/>
      <c r="K116" s="49"/>
      <c r="L116" s="49"/>
      <c r="M116" s="49"/>
      <c r="N116" s="49"/>
      <c r="O116" s="49"/>
      <c r="P116" s="49"/>
      <c r="Q116" s="49"/>
      <c r="R116" s="49"/>
      <c r="S116" s="49"/>
      <c r="T116" s="52"/>
      <c r="U116" s="143"/>
      <c r="V116" s="143"/>
      <c r="W116" s="143"/>
      <c r="X116" s="143"/>
      <c r="Y116" s="143"/>
      <c r="Z116" s="143"/>
    </row>
    <row r="117" ht="13.5" customHeight="1">
      <c r="A117" s="49"/>
      <c r="B117" s="49"/>
      <c r="C117" s="49"/>
      <c r="D117" s="49"/>
      <c r="E117" s="49"/>
      <c r="F117" s="49"/>
      <c r="G117" s="49"/>
      <c r="H117" s="49"/>
      <c r="I117" s="49"/>
      <c r="J117" s="49"/>
      <c r="K117" s="49"/>
      <c r="L117" s="49"/>
      <c r="M117" s="49"/>
      <c r="N117" s="49"/>
      <c r="O117" s="49"/>
      <c r="P117" s="49"/>
      <c r="Q117" s="49"/>
      <c r="R117" s="49"/>
      <c r="S117" s="49"/>
      <c r="T117" s="52"/>
      <c r="U117" s="143"/>
      <c r="V117" s="143"/>
      <c r="W117" s="143"/>
      <c r="X117" s="143"/>
      <c r="Y117" s="143"/>
      <c r="Z117" s="143"/>
    </row>
    <row r="118" ht="13.5" customHeight="1">
      <c r="A118" s="49"/>
      <c r="B118" s="49"/>
      <c r="C118" s="49"/>
      <c r="D118" s="49"/>
      <c r="E118" s="49"/>
      <c r="F118" s="49"/>
      <c r="G118" s="49"/>
      <c r="H118" s="49"/>
      <c r="I118" s="49"/>
      <c r="J118" s="49"/>
      <c r="K118" s="49"/>
      <c r="L118" s="49"/>
      <c r="M118" s="49"/>
      <c r="N118" s="49"/>
      <c r="O118" s="49"/>
      <c r="P118" s="49"/>
      <c r="Q118" s="49"/>
      <c r="R118" s="49"/>
      <c r="S118" s="49"/>
      <c r="T118" s="52"/>
      <c r="U118" s="143"/>
      <c r="V118" s="143"/>
      <c r="W118" s="143"/>
      <c r="X118" s="143"/>
      <c r="Y118" s="143"/>
      <c r="Z118" s="143"/>
    </row>
    <row r="119" ht="13.5" customHeight="1">
      <c r="A119" s="49"/>
      <c r="B119" s="49"/>
      <c r="C119" s="49"/>
      <c r="D119" s="49"/>
      <c r="E119" s="49"/>
      <c r="F119" s="49"/>
      <c r="G119" s="49"/>
      <c r="H119" s="49"/>
      <c r="I119" s="49"/>
      <c r="J119" s="49"/>
      <c r="K119" s="49"/>
      <c r="L119" s="49"/>
      <c r="M119" s="49"/>
      <c r="N119" s="49"/>
      <c r="O119" s="49"/>
      <c r="P119" s="49"/>
      <c r="Q119" s="49"/>
      <c r="R119" s="49"/>
      <c r="S119" s="49"/>
      <c r="T119" s="52"/>
      <c r="U119" s="143"/>
      <c r="V119" s="143"/>
      <c r="W119" s="143"/>
      <c r="X119" s="143"/>
      <c r="Y119" s="143"/>
      <c r="Z119" s="143"/>
    </row>
    <row r="120" ht="13.5" customHeight="1">
      <c r="A120" s="49"/>
      <c r="B120" s="49"/>
      <c r="C120" s="49"/>
      <c r="D120" s="49"/>
      <c r="E120" s="49"/>
      <c r="F120" s="49"/>
      <c r="G120" s="49"/>
      <c r="H120" s="49"/>
      <c r="I120" s="49"/>
      <c r="J120" s="49"/>
      <c r="K120" s="49"/>
      <c r="L120" s="49"/>
      <c r="M120" s="49"/>
      <c r="N120" s="49"/>
      <c r="O120" s="49"/>
      <c r="P120" s="49"/>
      <c r="Q120" s="49"/>
      <c r="R120" s="49"/>
      <c r="S120" s="49"/>
      <c r="T120" s="52"/>
      <c r="U120" s="143"/>
      <c r="V120" s="143"/>
      <c r="W120" s="143"/>
      <c r="X120" s="143"/>
      <c r="Y120" s="143"/>
      <c r="Z120" s="143"/>
    </row>
    <row r="121" ht="13.5" customHeight="1">
      <c r="A121" s="49"/>
      <c r="B121" s="49"/>
      <c r="C121" s="49"/>
      <c r="D121" s="49"/>
      <c r="E121" s="49"/>
      <c r="F121" s="49"/>
      <c r="G121" s="49"/>
      <c r="H121" s="49"/>
      <c r="I121" s="49"/>
      <c r="J121" s="49"/>
      <c r="K121" s="49"/>
      <c r="L121" s="49"/>
      <c r="M121" s="49"/>
      <c r="N121" s="49"/>
      <c r="O121" s="49"/>
      <c r="P121" s="49"/>
      <c r="Q121" s="49"/>
      <c r="R121" s="49"/>
      <c r="S121" s="49"/>
      <c r="T121" s="52"/>
      <c r="U121" s="143"/>
      <c r="V121" s="143"/>
      <c r="W121" s="143"/>
      <c r="X121" s="143"/>
      <c r="Y121" s="143"/>
      <c r="Z121" s="143"/>
    </row>
    <row r="122" ht="13.5" customHeight="1">
      <c r="A122" s="49"/>
      <c r="B122" s="49"/>
      <c r="C122" s="49"/>
      <c r="D122" s="49"/>
      <c r="E122" s="49"/>
      <c r="F122" s="49"/>
      <c r="G122" s="49"/>
      <c r="H122" s="49"/>
      <c r="I122" s="49"/>
      <c r="J122" s="49"/>
      <c r="K122" s="49"/>
      <c r="L122" s="49"/>
      <c r="M122" s="49"/>
      <c r="N122" s="49"/>
      <c r="O122" s="49"/>
      <c r="P122" s="49"/>
      <c r="Q122" s="49"/>
      <c r="R122" s="49"/>
      <c r="S122" s="49"/>
      <c r="T122" s="52"/>
      <c r="U122" s="143"/>
      <c r="V122" s="143"/>
      <c r="W122" s="143"/>
      <c r="X122" s="143"/>
      <c r="Y122" s="143"/>
      <c r="Z122" s="143"/>
    </row>
    <row r="123" ht="13.5" customHeight="1">
      <c r="A123" s="49"/>
      <c r="B123" s="49"/>
      <c r="C123" s="49"/>
      <c r="D123" s="49"/>
      <c r="E123" s="49"/>
      <c r="F123" s="49"/>
      <c r="G123" s="49"/>
      <c r="H123" s="49"/>
      <c r="I123" s="49"/>
      <c r="J123" s="49"/>
      <c r="K123" s="49"/>
      <c r="L123" s="49"/>
      <c r="M123" s="49"/>
      <c r="N123" s="49"/>
      <c r="O123" s="49"/>
      <c r="P123" s="49"/>
      <c r="Q123" s="49"/>
      <c r="R123" s="49"/>
      <c r="S123" s="49"/>
      <c r="T123" s="52"/>
      <c r="U123" s="143"/>
      <c r="V123" s="143"/>
      <c r="W123" s="143"/>
      <c r="X123" s="143"/>
      <c r="Y123" s="143"/>
      <c r="Z123" s="143"/>
    </row>
    <row r="124" ht="13.5" customHeight="1">
      <c r="A124" s="49"/>
      <c r="B124" s="49"/>
      <c r="C124" s="49"/>
      <c r="D124" s="49"/>
      <c r="E124" s="49"/>
      <c r="F124" s="49"/>
      <c r="G124" s="49"/>
      <c r="H124" s="49"/>
      <c r="I124" s="49"/>
      <c r="J124" s="49"/>
      <c r="K124" s="49"/>
      <c r="L124" s="49"/>
      <c r="M124" s="49"/>
      <c r="N124" s="49"/>
      <c r="O124" s="49"/>
      <c r="P124" s="49"/>
      <c r="Q124" s="49"/>
      <c r="R124" s="49"/>
      <c r="S124" s="49"/>
      <c r="T124" s="52"/>
      <c r="U124" s="143"/>
      <c r="V124" s="143"/>
      <c r="W124" s="143"/>
      <c r="X124" s="143"/>
      <c r="Y124" s="143"/>
      <c r="Z124" s="143"/>
    </row>
    <row r="125" ht="13.5" customHeight="1">
      <c r="A125" s="49"/>
      <c r="B125" s="49"/>
      <c r="C125" s="49"/>
      <c r="D125" s="49"/>
      <c r="E125" s="49"/>
      <c r="F125" s="49"/>
      <c r="G125" s="49"/>
      <c r="H125" s="49"/>
      <c r="I125" s="49"/>
      <c r="J125" s="49"/>
      <c r="K125" s="49"/>
      <c r="L125" s="49"/>
      <c r="M125" s="49"/>
      <c r="N125" s="49"/>
      <c r="O125" s="49"/>
      <c r="P125" s="49"/>
      <c r="Q125" s="49"/>
      <c r="R125" s="49"/>
      <c r="S125" s="49"/>
      <c r="T125" s="52"/>
      <c r="U125" s="143"/>
      <c r="V125" s="143"/>
      <c r="W125" s="143"/>
      <c r="X125" s="143"/>
      <c r="Y125" s="143"/>
      <c r="Z125" s="143"/>
    </row>
    <row r="126" ht="13.5" customHeight="1">
      <c r="A126" s="49"/>
      <c r="B126" s="49"/>
      <c r="C126" s="49"/>
      <c r="D126" s="49"/>
      <c r="E126" s="49"/>
      <c r="F126" s="49"/>
      <c r="G126" s="49"/>
      <c r="H126" s="49"/>
      <c r="I126" s="49"/>
      <c r="J126" s="49"/>
      <c r="K126" s="49"/>
      <c r="L126" s="49"/>
      <c r="M126" s="49"/>
      <c r="N126" s="49"/>
      <c r="O126" s="49"/>
      <c r="P126" s="49"/>
      <c r="Q126" s="49"/>
      <c r="R126" s="49"/>
      <c r="S126" s="49"/>
      <c r="T126" s="52"/>
      <c r="U126" s="143"/>
      <c r="V126" s="143"/>
      <c r="W126" s="143"/>
      <c r="X126" s="143"/>
      <c r="Y126" s="143"/>
      <c r="Z126" s="143"/>
    </row>
    <row r="127" ht="13.5" customHeight="1">
      <c r="A127" s="49"/>
      <c r="B127" s="49"/>
      <c r="C127" s="49"/>
      <c r="D127" s="49"/>
      <c r="E127" s="49"/>
      <c r="F127" s="49"/>
      <c r="G127" s="49"/>
      <c r="H127" s="49"/>
      <c r="I127" s="49"/>
      <c r="J127" s="49"/>
      <c r="K127" s="49"/>
      <c r="L127" s="49"/>
      <c r="M127" s="49"/>
      <c r="N127" s="49"/>
      <c r="O127" s="49"/>
      <c r="P127" s="49"/>
      <c r="Q127" s="49"/>
      <c r="R127" s="49"/>
      <c r="S127" s="49"/>
      <c r="T127" s="52"/>
      <c r="U127" s="143"/>
      <c r="V127" s="143"/>
      <c r="W127" s="143"/>
      <c r="X127" s="143"/>
      <c r="Y127" s="143"/>
      <c r="Z127" s="143"/>
    </row>
    <row r="128" ht="13.5" customHeight="1">
      <c r="A128" s="49"/>
      <c r="B128" s="49"/>
      <c r="C128" s="49"/>
      <c r="D128" s="49"/>
      <c r="E128" s="49"/>
      <c r="F128" s="49"/>
      <c r="G128" s="49"/>
      <c r="H128" s="49"/>
      <c r="I128" s="49"/>
      <c r="J128" s="49"/>
      <c r="K128" s="49"/>
      <c r="L128" s="49"/>
      <c r="M128" s="49"/>
      <c r="N128" s="49"/>
      <c r="O128" s="49"/>
      <c r="P128" s="49"/>
      <c r="Q128" s="49"/>
      <c r="R128" s="49"/>
      <c r="S128" s="49"/>
      <c r="T128" s="52"/>
      <c r="U128" s="143"/>
      <c r="V128" s="143"/>
      <c r="W128" s="143"/>
      <c r="X128" s="143"/>
      <c r="Y128" s="143"/>
      <c r="Z128" s="143"/>
    </row>
    <row r="129" ht="13.5" customHeight="1">
      <c r="A129" s="49"/>
      <c r="B129" s="49"/>
      <c r="C129" s="49"/>
      <c r="D129" s="49"/>
      <c r="E129" s="49"/>
      <c r="F129" s="49"/>
      <c r="G129" s="49"/>
      <c r="H129" s="49"/>
      <c r="I129" s="49"/>
      <c r="J129" s="49"/>
      <c r="K129" s="49"/>
      <c r="L129" s="49"/>
      <c r="M129" s="49"/>
      <c r="N129" s="49"/>
      <c r="O129" s="49"/>
      <c r="P129" s="49"/>
      <c r="Q129" s="49"/>
      <c r="R129" s="49"/>
      <c r="S129" s="49"/>
      <c r="T129" s="52"/>
      <c r="U129" s="143"/>
      <c r="V129" s="143"/>
      <c r="W129" s="143"/>
      <c r="X129" s="143"/>
      <c r="Y129" s="143"/>
      <c r="Z129" s="143"/>
    </row>
    <row r="130" ht="13.5" customHeight="1">
      <c r="A130" s="49"/>
      <c r="B130" s="49"/>
      <c r="C130" s="49"/>
      <c r="D130" s="49"/>
      <c r="E130" s="49"/>
      <c r="F130" s="49"/>
      <c r="G130" s="49"/>
      <c r="H130" s="49"/>
      <c r="I130" s="49"/>
      <c r="J130" s="49"/>
      <c r="K130" s="49"/>
      <c r="L130" s="49"/>
      <c r="M130" s="49"/>
      <c r="N130" s="49"/>
      <c r="O130" s="49"/>
      <c r="P130" s="49"/>
      <c r="Q130" s="49"/>
      <c r="R130" s="49"/>
      <c r="S130" s="49"/>
      <c r="T130" s="52"/>
      <c r="U130" s="143"/>
      <c r="V130" s="143"/>
      <c r="W130" s="143"/>
      <c r="X130" s="143"/>
      <c r="Y130" s="143"/>
      <c r="Z130" s="143"/>
    </row>
    <row r="131" ht="13.5" customHeight="1">
      <c r="A131" s="49"/>
      <c r="B131" s="49"/>
      <c r="C131" s="49"/>
      <c r="D131" s="49"/>
      <c r="E131" s="49"/>
      <c r="F131" s="49"/>
      <c r="G131" s="49"/>
      <c r="H131" s="49"/>
      <c r="I131" s="49"/>
      <c r="J131" s="49"/>
      <c r="K131" s="49"/>
      <c r="L131" s="49"/>
      <c r="M131" s="49"/>
      <c r="N131" s="49"/>
      <c r="O131" s="49"/>
      <c r="P131" s="49"/>
      <c r="Q131" s="49"/>
      <c r="R131" s="49"/>
      <c r="S131" s="49"/>
      <c r="T131" s="52"/>
      <c r="U131" s="143"/>
      <c r="V131" s="143"/>
      <c r="W131" s="143"/>
      <c r="X131" s="143"/>
      <c r="Y131" s="143"/>
      <c r="Z131" s="143"/>
    </row>
    <row r="132" ht="13.5" customHeight="1">
      <c r="A132" s="49"/>
      <c r="B132" s="49"/>
      <c r="C132" s="49"/>
      <c r="D132" s="49"/>
      <c r="E132" s="49"/>
      <c r="F132" s="49"/>
      <c r="G132" s="49"/>
      <c r="H132" s="49"/>
      <c r="I132" s="49"/>
      <c r="J132" s="49"/>
      <c r="K132" s="49"/>
      <c r="L132" s="49"/>
      <c r="M132" s="49"/>
      <c r="N132" s="49"/>
      <c r="O132" s="49"/>
      <c r="P132" s="49"/>
      <c r="Q132" s="49"/>
      <c r="R132" s="49"/>
      <c r="S132" s="49"/>
      <c r="T132" s="52"/>
      <c r="U132" s="143"/>
      <c r="V132" s="143"/>
      <c r="W132" s="143"/>
      <c r="X132" s="143"/>
      <c r="Y132" s="143"/>
      <c r="Z132" s="143"/>
    </row>
    <row r="133" ht="13.5" customHeight="1">
      <c r="A133" s="49"/>
      <c r="B133" s="49"/>
      <c r="C133" s="49"/>
      <c r="D133" s="49"/>
      <c r="E133" s="49"/>
      <c r="F133" s="49"/>
      <c r="G133" s="49"/>
      <c r="H133" s="49"/>
      <c r="I133" s="49"/>
      <c r="J133" s="49"/>
      <c r="K133" s="49"/>
      <c r="L133" s="49"/>
      <c r="M133" s="49"/>
      <c r="N133" s="49"/>
      <c r="O133" s="49"/>
      <c r="P133" s="49"/>
      <c r="Q133" s="49"/>
      <c r="R133" s="49"/>
      <c r="S133" s="49"/>
      <c r="T133" s="52"/>
      <c r="U133" s="143"/>
      <c r="V133" s="143"/>
      <c r="W133" s="143"/>
      <c r="X133" s="143"/>
      <c r="Y133" s="143"/>
      <c r="Z133" s="143"/>
    </row>
    <row r="134" ht="13.5" customHeight="1">
      <c r="A134" s="49"/>
      <c r="B134" s="49"/>
      <c r="C134" s="49"/>
      <c r="D134" s="49"/>
      <c r="E134" s="49"/>
      <c r="F134" s="49"/>
      <c r="G134" s="49"/>
      <c r="H134" s="49"/>
      <c r="I134" s="49"/>
      <c r="J134" s="49"/>
      <c r="K134" s="49"/>
      <c r="L134" s="49"/>
      <c r="M134" s="49"/>
      <c r="N134" s="49"/>
      <c r="O134" s="49"/>
      <c r="P134" s="49"/>
      <c r="Q134" s="49"/>
      <c r="R134" s="49"/>
      <c r="S134" s="49"/>
      <c r="T134" s="52"/>
      <c r="U134" s="143"/>
      <c r="V134" s="143"/>
      <c r="W134" s="143"/>
      <c r="X134" s="143"/>
      <c r="Y134" s="143"/>
      <c r="Z134" s="143"/>
    </row>
    <row r="135" ht="13.5" customHeight="1">
      <c r="A135" s="49"/>
      <c r="B135" s="49"/>
      <c r="C135" s="49"/>
      <c r="D135" s="49"/>
      <c r="E135" s="49"/>
      <c r="F135" s="49"/>
      <c r="G135" s="49"/>
      <c r="H135" s="49"/>
      <c r="I135" s="49"/>
      <c r="J135" s="49"/>
      <c r="K135" s="49"/>
      <c r="L135" s="49"/>
      <c r="M135" s="49"/>
      <c r="N135" s="49"/>
      <c r="O135" s="49"/>
      <c r="P135" s="49"/>
      <c r="Q135" s="49"/>
      <c r="R135" s="49"/>
      <c r="S135" s="49"/>
      <c r="T135" s="52"/>
      <c r="U135" s="143"/>
      <c r="V135" s="143"/>
      <c r="W135" s="143"/>
      <c r="X135" s="143"/>
      <c r="Y135" s="143"/>
      <c r="Z135" s="143"/>
    </row>
    <row r="136" ht="13.5" customHeight="1">
      <c r="A136" s="49"/>
      <c r="B136" s="49"/>
      <c r="C136" s="49"/>
      <c r="D136" s="49"/>
      <c r="E136" s="49"/>
      <c r="F136" s="49"/>
      <c r="G136" s="49"/>
      <c r="H136" s="49"/>
      <c r="I136" s="49"/>
      <c r="J136" s="49"/>
      <c r="K136" s="49"/>
      <c r="L136" s="49"/>
      <c r="M136" s="49"/>
      <c r="N136" s="49"/>
      <c r="O136" s="49"/>
      <c r="P136" s="49"/>
      <c r="Q136" s="49"/>
      <c r="R136" s="49"/>
      <c r="S136" s="49"/>
      <c r="T136" s="52"/>
      <c r="U136" s="143"/>
      <c r="V136" s="143"/>
      <c r="W136" s="143"/>
      <c r="X136" s="143"/>
      <c r="Y136" s="143"/>
      <c r="Z136" s="143"/>
    </row>
    <row r="137" ht="13.5" customHeight="1">
      <c r="A137" s="49"/>
      <c r="B137" s="49"/>
      <c r="C137" s="49"/>
      <c r="D137" s="49"/>
      <c r="E137" s="49"/>
      <c r="F137" s="49"/>
      <c r="G137" s="49"/>
      <c r="H137" s="49"/>
      <c r="I137" s="49"/>
      <c r="J137" s="49"/>
      <c r="K137" s="49"/>
      <c r="L137" s="49"/>
      <c r="M137" s="49"/>
      <c r="N137" s="49"/>
      <c r="O137" s="49"/>
      <c r="P137" s="49"/>
      <c r="Q137" s="49"/>
      <c r="R137" s="49"/>
      <c r="S137" s="49"/>
      <c r="T137" s="52"/>
      <c r="U137" s="143"/>
      <c r="V137" s="143"/>
      <c r="W137" s="143"/>
      <c r="X137" s="143"/>
      <c r="Y137" s="143"/>
      <c r="Z137" s="143"/>
    </row>
    <row r="138" ht="13.5" customHeight="1">
      <c r="A138" s="49"/>
      <c r="B138" s="49"/>
      <c r="C138" s="49"/>
      <c r="D138" s="49"/>
      <c r="E138" s="49"/>
      <c r="F138" s="49"/>
      <c r="G138" s="49"/>
      <c r="H138" s="49"/>
      <c r="I138" s="49"/>
      <c r="J138" s="49"/>
      <c r="K138" s="49"/>
      <c r="L138" s="49"/>
      <c r="M138" s="49"/>
      <c r="N138" s="49"/>
      <c r="O138" s="49"/>
      <c r="P138" s="49"/>
      <c r="Q138" s="49"/>
      <c r="R138" s="49"/>
      <c r="S138" s="49"/>
      <c r="T138" s="52"/>
      <c r="U138" s="143"/>
      <c r="V138" s="143"/>
      <c r="W138" s="143"/>
      <c r="X138" s="143"/>
      <c r="Y138" s="143"/>
      <c r="Z138" s="143"/>
    </row>
    <row r="139" ht="13.5" customHeight="1">
      <c r="A139" s="49"/>
      <c r="B139" s="49"/>
      <c r="C139" s="49"/>
      <c r="D139" s="49"/>
      <c r="E139" s="49"/>
      <c r="F139" s="49"/>
      <c r="G139" s="49"/>
      <c r="H139" s="49"/>
      <c r="I139" s="49"/>
      <c r="J139" s="49"/>
      <c r="K139" s="49"/>
      <c r="L139" s="49"/>
      <c r="M139" s="49"/>
      <c r="N139" s="49"/>
      <c r="O139" s="49"/>
      <c r="P139" s="49"/>
      <c r="Q139" s="49"/>
      <c r="R139" s="49"/>
      <c r="S139" s="49"/>
      <c r="T139" s="52"/>
      <c r="U139" s="143"/>
      <c r="V139" s="143"/>
      <c r="W139" s="143"/>
      <c r="X139" s="143"/>
      <c r="Y139" s="143"/>
      <c r="Z139" s="143"/>
    </row>
    <row r="140" ht="13.5" customHeight="1">
      <c r="A140" s="49"/>
      <c r="B140" s="49"/>
      <c r="C140" s="49"/>
      <c r="D140" s="49"/>
      <c r="E140" s="49"/>
      <c r="F140" s="49"/>
      <c r="G140" s="49"/>
      <c r="H140" s="49"/>
      <c r="I140" s="49"/>
      <c r="J140" s="49"/>
      <c r="K140" s="49"/>
      <c r="L140" s="49"/>
      <c r="M140" s="49"/>
      <c r="N140" s="49"/>
      <c r="O140" s="49"/>
      <c r="P140" s="49"/>
      <c r="Q140" s="49"/>
      <c r="R140" s="49"/>
      <c r="S140" s="49"/>
      <c r="T140" s="52"/>
      <c r="U140" s="143"/>
      <c r="V140" s="143"/>
      <c r="W140" s="143"/>
      <c r="X140" s="143"/>
      <c r="Y140" s="143"/>
      <c r="Z140" s="143"/>
    </row>
    <row r="141" ht="13.5" customHeight="1">
      <c r="A141" s="49"/>
      <c r="B141" s="49"/>
      <c r="C141" s="49"/>
      <c r="D141" s="49"/>
      <c r="E141" s="49"/>
      <c r="F141" s="49"/>
      <c r="G141" s="49"/>
      <c r="H141" s="49"/>
      <c r="I141" s="49"/>
      <c r="J141" s="49"/>
      <c r="K141" s="49"/>
      <c r="L141" s="49"/>
      <c r="M141" s="49"/>
      <c r="N141" s="49"/>
      <c r="O141" s="49"/>
      <c r="P141" s="49"/>
      <c r="Q141" s="49"/>
      <c r="R141" s="49"/>
      <c r="S141" s="49"/>
      <c r="T141" s="52"/>
      <c r="U141" s="143"/>
      <c r="V141" s="143"/>
      <c r="W141" s="143"/>
      <c r="X141" s="143"/>
      <c r="Y141" s="143"/>
      <c r="Z141" s="143"/>
    </row>
    <row r="142" ht="13.5" customHeight="1">
      <c r="A142" s="49"/>
      <c r="B142" s="49"/>
      <c r="C142" s="49"/>
      <c r="D142" s="49"/>
      <c r="E142" s="49"/>
      <c r="F142" s="49"/>
      <c r="G142" s="49"/>
      <c r="H142" s="49"/>
      <c r="I142" s="49"/>
      <c r="J142" s="49"/>
      <c r="K142" s="49"/>
      <c r="L142" s="49"/>
      <c r="M142" s="49"/>
      <c r="N142" s="49"/>
      <c r="O142" s="49"/>
      <c r="P142" s="49"/>
      <c r="Q142" s="49"/>
      <c r="R142" s="49"/>
      <c r="S142" s="49"/>
      <c r="T142" s="52"/>
      <c r="U142" s="143"/>
      <c r="V142" s="143"/>
      <c r="W142" s="143"/>
      <c r="X142" s="143"/>
      <c r="Y142" s="143"/>
      <c r="Z142" s="143"/>
    </row>
    <row r="143" ht="13.5" customHeight="1">
      <c r="A143" s="49"/>
      <c r="B143" s="49"/>
      <c r="C143" s="49"/>
      <c r="D143" s="49"/>
      <c r="E143" s="49"/>
      <c r="F143" s="49"/>
      <c r="G143" s="49"/>
      <c r="H143" s="49"/>
      <c r="I143" s="49"/>
      <c r="J143" s="49"/>
      <c r="K143" s="49"/>
      <c r="L143" s="49"/>
      <c r="M143" s="49"/>
      <c r="N143" s="49"/>
      <c r="O143" s="49"/>
      <c r="P143" s="49"/>
      <c r="Q143" s="49"/>
      <c r="R143" s="49"/>
      <c r="S143" s="49"/>
      <c r="T143" s="52"/>
      <c r="U143" s="143"/>
      <c r="V143" s="143"/>
      <c r="W143" s="143"/>
      <c r="X143" s="143"/>
      <c r="Y143" s="143"/>
      <c r="Z143" s="143"/>
    </row>
    <row r="144" ht="13.5" customHeight="1">
      <c r="A144" s="49"/>
      <c r="B144" s="49"/>
      <c r="C144" s="49"/>
      <c r="D144" s="49"/>
      <c r="E144" s="49"/>
      <c r="F144" s="49"/>
      <c r="G144" s="49"/>
      <c r="H144" s="49"/>
      <c r="I144" s="49"/>
      <c r="J144" s="49"/>
      <c r="K144" s="49"/>
      <c r="L144" s="49"/>
      <c r="M144" s="49"/>
      <c r="N144" s="49"/>
      <c r="O144" s="49"/>
      <c r="P144" s="49"/>
      <c r="Q144" s="49"/>
      <c r="R144" s="49"/>
      <c r="S144" s="49"/>
      <c r="T144" s="52"/>
      <c r="U144" s="143"/>
      <c r="V144" s="143"/>
      <c r="W144" s="143"/>
      <c r="X144" s="143"/>
      <c r="Y144" s="143"/>
      <c r="Z144" s="143"/>
    </row>
    <row r="145" ht="13.5" customHeight="1">
      <c r="A145" s="49"/>
      <c r="B145" s="49"/>
      <c r="C145" s="49"/>
      <c r="D145" s="49"/>
      <c r="E145" s="49"/>
      <c r="F145" s="49"/>
      <c r="G145" s="49"/>
      <c r="H145" s="49"/>
      <c r="I145" s="49"/>
      <c r="J145" s="49"/>
      <c r="K145" s="49"/>
      <c r="L145" s="49"/>
      <c r="M145" s="49"/>
      <c r="N145" s="49"/>
      <c r="O145" s="49"/>
      <c r="P145" s="49"/>
      <c r="Q145" s="49"/>
      <c r="R145" s="49"/>
      <c r="S145" s="49"/>
      <c r="T145" s="52"/>
      <c r="U145" s="143"/>
      <c r="V145" s="143"/>
      <c r="W145" s="143"/>
      <c r="X145" s="143"/>
      <c r="Y145" s="143"/>
      <c r="Z145" s="143"/>
    </row>
    <row r="146" ht="13.5" customHeight="1">
      <c r="A146" s="49"/>
      <c r="B146" s="49"/>
      <c r="C146" s="49"/>
      <c r="D146" s="49"/>
      <c r="E146" s="49"/>
      <c r="F146" s="49"/>
      <c r="G146" s="49"/>
      <c r="H146" s="49"/>
      <c r="I146" s="49"/>
      <c r="J146" s="49"/>
      <c r="K146" s="49"/>
      <c r="L146" s="49"/>
      <c r="M146" s="49"/>
      <c r="N146" s="49"/>
      <c r="O146" s="49"/>
      <c r="P146" s="49"/>
      <c r="Q146" s="49"/>
      <c r="R146" s="49"/>
      <c r="S146" s="49"/>
      <c r="T146" s="52"/>
      <c r="U146" s="143"/>
      <c r="V146" s="143"/>
      <c r="W146" s="143"/>
      <c r="X146" s="143"/>
      <c r="Y146" s="143"/>
      <c r="Z146" s="143"/>
    </row>
    <row r="147" ht="13.5" customHeight="1">
      <c r="A147" s="143"/>
      <c r="B147" s="143"/>
      <c r="C147" s="143"/>
      <c r="D147" s="143"/>
      <c r="E147" s="143"/>
      <c r="F147" s="143"/>
      <c r="G147" s="143"/>
      <c r="H147" s="143"/>
      <c r="I147" s="143"/>
      <c r="J147" s="143"/>
      <c r="K147" s="143"/>
      <c r="L147" s="143"/>
      <c r="M147" s="143"/>
      <c r="N147" s="143"/>
      <c r="O147" s="143"/>
      <c r="P147" s="143"/>
      <c r="Q147" s="143"/>
      <c r="R147" s="143"/>
      <c r="S147" s="143"/>
      <c r="T147" s="160"/>
      <c r="U147" s="143"/>
      <c r="V147" s="143"/>
      <c r="W147" s="143"/>
      <c r="X147" s="143"/>
      <c r="Y147" s="143"/>
      <c r="Z147" s="143"/>
    </row>
    <row r="148" ht="13.5" customHeight="1">
      <c r="A148" s="143"/>
      <c r="B148" s="143"/>
      <c r="C148" s="143"/>
      <c r="D148" s="143"/>
      <c r="E148" s="143"/>
      <c r="F148" s="143"/>
      <c r="G148" s="143"/>
      <c r="H148" s="143"/>
      <c r="I148" s="143"/>
      <c r="J148" s="143"/>
      <c r="K148" s="143"/>
      <c r="L148" s="143"/>
      <c r="M148" s="143"/>
      <c r="N148" s="143"/>
      <c r="O148" s="143"/>
      <c r="P148" s="143"/>
      <c r="Q148" s="143"/>
      <c r="R148" s="143"/>
      <c r="S148" s="143"/>
      <c r="T148" s="160"/>
      <c r="U148" s="143"/>
      <c r="V148" s="143"/>
      <c r="W148" s="143"/>
      <c r="X148" s="143"/>
      <c r="Y148" s="143"/>
      <c r="Z148" s="143"/>
    </row>
    <row r="149" ht="13.5" customHeight="1">
      <c r="A149" s="143"/>
      <c r="B149" s="143"/>
      <c r="C149" s="143"/>
      <c r="D149" s="143"/>
      <c r="E149" s="143"/>
      <c r="F149" s="143"/>
      <c r="G149" s="143"/>
      <c r="H149" s="143"/>
      <c r="I149" s="143"/>
      <c r="J149" s="143"/>
      <c r="K149" s="143"/>
      <c r="L149" s="143"/>
      <c r="M149" s="143"/>
      <c r="N149" s="143"/>
      <c r="O149" s="143"/>
      <c r="P149" s="143"/>
      <c r="Q149" s="143"/>
      <c r="R149" s="143"/>
      <c r="S149" s="143"/>
      <c r="T149" s="160"/>
      <c r="U149" s="143"/>
      <c r="V149" s="143"/>
      <c r="W149" s="143"/>
      <c r="X149" s="143"/>
      <c r="Y149" s="143"/>
      <c r="Z149" s="143"/>
    </row>
    <row r="150" ht="13.5" customHeight="1">
      <c r="A150" s="143"/>
      <c r="B150" s="143"/>
      <c r="C150" s="143"/>
      <c r="D150" s="143"/>
      <c r="E150" s="143"/>
      <c r="F150" s="143"/>
      <c r="G150" s="143"/>
      <c r="H150" s="143"/>
      <c r="I150" s="143"/>
      <c r="J150" s="143"/>
      <c r="K150" s="143"/>
      <c r="L150" s="143"/>
      <c r="M150" s="143"/>
      <c r="N150" s="143"/>
      <c r="O150" s="143"/>
      <c r="P150" s="143"/>
      <c r="Q150" s="143"/>
      <c r="R150" s="143"/>
      <c r="S150" s="143"/>
      <c r="T150" s="160"/>
      <c r="U150" s="143"/>
      <c r="V150" s="143"/>
      <c r="W150" s="143"/>
      <c r="X150" s="143"/>
      <c r="Y150" s="143"/>
      <c r="Z150" s="143"/>
    </row>
    <row r="151" ht="13.5" customHeight="1">
      <c r="A151" s="143"/>
      <c r="B151" s="143"/>
      <c r="C151" s="143"/>
      <c r="D151" s="143"/>
      <c r="E151" s="143"/>
      <c r="F151" s="143"/>
      <c r="G151" s="143"/>
      <c r="H151" s="143"/>
      <c r="I151" s="143"/>
      <c r="J151" s="143"/>
      <c r="K151" s="143"/>
      <c r="L151" s="143"/>
      <c r="M151" s="143"/>
      <c r="N151" s="143"/>
      <c r="O151" s="143"/>
      <c r="P151" s="143"/>
      <c r="Q151" s="143"/>
      <c r="R151" s="143"/>
      <c r="S151" s="143"/>
      <c r="T151" s="160"/>
      <c r="U151" s="143"/>
      <c r="V151" s="143"/>
      <c r="W151" s="143"/>
      <c r="X151" s="143"/>
      <c r="Y151" s="143"/>
      <c r="Z151" s="143"/>
    </row>
    <row r="152" ht="13.5" customHeight="1">
      <c r="A152" s="143"/>
      <c r="B152" s="143"/>
      <c r="C152" s="143"/>
      <c r="D152" s="143"/>
      <c r="E152" s="143"/>
      <c r="F152" s="143"/>
      <c r="G152" s="143"/>
      <c r="H152" s="143"/>
      <c r="I152" s="143"/>
      <c r="J152" s="143"/>
      <c r="K152" s="143"/>
      <c r="L152" s="143"/>
      <c r="M152" s="143"/>
      <c r="N152" s="143"/>
      <c r="O152" s="143"/>
      <c r="P152" s="143"/>
      <c r="Q152" s="143"/>
      <c r="R152" s="143"/>
      <c r="S152" s="143"/>
      <c r="T152" s="160"/>
      <c r="U152" s="143"/>
      <c r="V152" s="143"/>
      <c r="W152" s="143"/>
      <c r="X152" s="143"/>
      <c r="Y152" s="143"/>
      <c r="Z152" s="143"/>
    </row>
    <row r="153" ht="13.5" customHeight="1">
      <c r="A153" s="143"/>
      <c r="B153" s="143"/>
      <c r="C153" s="143"/>
      <c r="D153" s="143"/>
      <c r="E153" s="143"/>
      <c r="F153" s="143"/>
      <c r="G153" s="143"/>
      <c r="H153" s="143"/>
      <c r="I153" s="143"/>
      <c r="J153" s="143"/>
      <c r="K153" s="143"/>
      <c r="L153" s="143"/>
      <c r="M153" s="143"/>
      <c r="N153" s="143"/>
      <c r="O153" s="143"/>
      <c r="P153" s="143"/>
      <c r="Q153" s="143"/>
      <c r="R153" s="143"/>
      <c r="S153" s="143"/>
      <c r="T153" s="160"/>
      <c r="U153" s="143"/>
      <c r="V153" s="143"/>
      <c r="W153" s="143"/>
      <c r="X153" s="143"/>
      <c r="Y153" s="143"/>
      <c r="Z153" s="143"/>
    </row>
    <row r="154" ht="13.5" customHeight="1">
      <c r="A154" s="143"/>
      <c r="B154" s="143"/>
      <c r="C154" s="143"/>
      <c r="D154" s="143"/>
      <c r="E154" s="143"/>
      <c r="F154" s="143"/>
      <c r="G154" s="143"/>
      <c r="H154" s="143"/>
      <c r="I154" s="143"/>
      <c r="J154" s="143"/>
      <c r="K154" s="143"/>
      <c r="L154" s="143"/>
      <c r="M154" s="143"/>
      <c r="N154" s="143"/>
      <c r="O154" s="143"/>
      <c r="P154" s="143"/>
      <c r="Q154" s="143"/>
      <c r="R154" s="143"/>
      <c r="S154" s="143"/>
      <c r="T154" s="160"/>
      <c r="U154" s="143"/>
      <c r="V154" s="143"/>
      <c r="W154" s="143"/>
      <c r="X154" s="143"/>
      <c r="Y154" s="143"/>
      <c r="Z154" s="143"/>
    </row>
    <row r="155" ht="13.5" customHeight="1">
      <c r="A155" s="143"/>
      <c r="B155" s="143"/>
      <c r="C155" s="143"/>
      <c r="D155" s="143"/>
      <c r="E155" s="143"/>
      <c r="F155" s="143"/>
      <c r="G155" s="143"/>
      <c r="H155" s="143"/>
      <c r="I155" s="143"/>
      <c r="J155" s="143"/>
      <c r="K155" s="143"/>
      <c r="L155" s="143"/>
      <c r="M155" s="143"/>
      <c r="N155" s="143"/>
      <c r="O155" s="143"/>
      <c r="P155" s="143"/>
      <c r="Q155" s="143"/>
      <c r="R155" s="143"/>
      <c r="S155" s="143"/>
      <c r="T155" s="160"/>
      <c r="U155" s="143"/>
      <c r="V155" s="143"/>
      <c r="W155" s="143"/>
      <c r="X155" s="143"/>
      <c r="Y155" s="143"/>
      <c r="Z155" s="143"/>
    </row>
    <row r="156" ht="13.5" customHeight="1">
      <c r="A156" s="143"/>
      <c r="B156" s="143"/>
      <c r="C156" s="143"/>
      <c r="D156" s="143"/>
      <c r="E156" s="143"/>
      <c r="F156" s="143"/>
      <c r="G156" s="143"/>
      <c r="H156" s="143"/>
      <c r="I156" s="143"/>
      <c r="J156" s="143"/>
      <c r="K156" s="143"/>
      <c r="L156" s="143"/>
      <c r="M156" s="143"/>
      <c r="N156" s="143"/>
      <c r="O156" s="143"/>
      <c r="P156" s="143"/>
      <c r="Q156" s="143"/>
      <c r="R156" s="143"/>
      <c r="S156" s="143"/>
      <c r="T156" s="160"/>
      <c r="U156" s="143"/>
      <c r="V156" s="143"/>
      <c r="W156" s="143"/>
      <c r="X156" s="143"/>
      <c r="Y156" s="143"/>
      <c r="Z156" s="143"/>
    </row>
    <row r="157" ht="13.5" customHeight="1">
      <c r="A157" s="143"/>
      <c r="B157" s="143"/>
      <c r="C157" s="143"/>
      <c r="D157" s="143"/>
      <c r="E157" s="143"/>
      <c r="F157" s="143"/>
      <c r="G157" s="143"/>
      <c r="H157" s="143"/>
      <c r="I157" s="143"/>
      <c r="J157" s="143"/>
      <c r="K157" s="143"/>
      <c r="L157" s="143"/>
      <c r="M157" s="143"/>
      <c r="N157" s="143"/>
      <c r="O157" s="143"/>
      <c r="P157" s="143"/>
      <c r="Q157" s="143"/>
      <c r="R157" s="143"/>
      <c r="S157" s="143"/>
      <c r="T157" s="160"/>
      <c r="U157" s="143"/>
      <c r="V157" s="143"/>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43"/>
      <c r="R158" s="143"/>
      <c r="S158" s="143"/>
      <c r="T158" s="160"/>
      <c r="U158" s="143"/>
      <c r="V158" s="143"/>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43"/>
      <c r="R159" s="143"/>
      <c r="S159" s="143"/>
      <c r="T159" s="160"/>
      <c r="U159" s="143"/>
      <c r="V159" s="143"/>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43"/>
      <c r="R160" s="143"/>
      <c r="S160" s="143"/>
      <c r="T160" s="160"/>
      <c r="U160" s="143"/>
      <c r="V160" s="143"/>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43"/>
      <c r="R161" s="143"/>
      <c r="S161" s="143"/>
      <c r="T161" s="160"/>
      <c r="U161" s="143"/>
      <c r="V161" s="143"/>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43"/>
      <c r="R162" s="143"/>
      <c r="S162" s="143"/>
      <c r="T162" s="160"/>
      <c r="U162" s="143"/>
      <c r="V162" s="143"/>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43"/>
      <c r="R163" s="143"/>
      <c r="S163" s="143"/>
      <c r="T163" s="160"/>
      <c r="U163" s="143"/>
      <c r="V163" s="143"/>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43"/>
      <c r="R164" s="143"/>
      <c r="S164" s="143"/>
      <c r="T164" s="160"/>
      <c r="U164" s="143"/>
      <c r="V164" s="143"/>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43"/>
      <c r="R165" s="143"/>
      <c r="S165" s="143"/>
      <c r="T165" s="160"/>
      <c r="U165" s="143"/>
      <c r="V165" s="143"/>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43"/>
      <c r="R166" s="143"/>
      <c r="S166" s="143"/>
      <c r="T166" s="160"/>
      <c r="U166" s="143"/>
      <c r="V166" s="143"/>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43"/>
      <c r="R167" s="143"/>
      <c r="S167" s="143"/>
      <c r="T167" s="160"/>
      <c r="U167" s="143"/>
      <c r="V167" s="143"/>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43"/>
      <c r="R168" s="143"/>
      <c r="S168" s="143"/>
      <c r="T168" s="160"/>
      <c r="U168" s="143"/>
      <c r="V168" s="143"/>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43"/>
      <c r="R169" s="143"/>
      <c r="S169" s="143"/>
      <c r="T169" s="160"/>
      <c r="U169" s="143"/>
      <c r="V169" s="143"/>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43"/>
      <c r="R170" s="143"/>
      <c r="S170" s="143"/>
      <c r="T170" s="160"/>
      <c r="U170" s="143"/>
      <c r="V170" s="143"/>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43"/>
      <c r="R171" s="143"/>
      <c r="S171" s="143"/>
      <c r="T171" s="160"/>
      <c r="U171" s="143"/>
      <c r="V171" s="143"/>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43"/>
      <c r="R172" s="143"/>
      <c r="S172" s="143"/>
      <c r="T172" s="160"/>
      <c r="U172" s="143"/>
      <c r="V172" s="143"/>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43"/>
      <c r="R173" s="143"/>
      <c r="S173" s="143"/>
      <c r="T173" s="160"/>
      <c r="U173" s="143"/>
      <c r="V173" s="143"/>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43"/>
      <c r="R174" s="143"/>
      <c r="S174" s="143"/>
      <c r="T174" s="160"/>
      <c r="U174" s="143"/>
      <c r="V174" s="143"/>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43"/>
      <c r="R175" s="143"/>
      <c r="S175" s="143"/>
      <c r="T175" s="160"/>
      <c r="U175" s="143"/>
      <c r="V175" s="143"/>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43"/>
      <c r="R176" s="143"/>
      <c r="S176" s="143"/>
      <c r="T176" s="160"/>
      <c r="U176" s="143"/>
      <c r="V176" s="143"/>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43"/>
      <c r="R177" s="143"/>
      <c r="S177" s="143"/>
      <c r="T177" s="160"/>
      <c r="U177" s="143"/>
      <c r="V177" s="143"/>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43"/>
      <c r="R178" s="143"/>
      <c r="S178" s="143"/>
      <c r="T178" s="160"/>
      <c r="U178" s="143"/>
      <c r="V178" s="143"/>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43"/>
      <c r="R179" s="143"/>
      <c r="S179" s="143"/>
      <c r="T179" s="160"/>
      <c r="U179" s="143"/>
      <c r="V179" s="143"/>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43"/>
      <c r="R180" s="143"/>
      <c r="S180" s="143"/>
      <c r="T180" s="160"/>
      <c r="U180" s="143"/>
      <c r="V180" s="143"/>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43"/>
      <c r="R181" s="143"/>
      <c r="S181" s="143"/>
      <c r="T181" s="160"/>
      <c r="U181" s="143"/>
      <c r="V181" s="143"/>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43"/>
      <c r="R182" s="143"/>
      <c r="S182" s="143"/>
      <c r="T182" s="160"/>
      <c r="U182" s="143"/>
      <c r="V182" s="143"/>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43"/>
      <c r="R183" s="143"/>
      <c r="S183" s="143"/>
      <c r="T183" s="160"/>
      <c r="U183" s="143"/>
      <c r="V183" s="143"/>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43"/>
      <c r="R184" s="143"/>
      <c r="S184" s="143"/>
      <c r="T184" s="160"/>
      <c r="U184" s="143"/>
      <c r="V184" s="143"/>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43"/>
      <c r="R185" s="143"/>
      <c r="S185" s="143"/>
      <c r="T185" s="160"/>
      <c r="U185" s="143"/>
      <c r="V185" s="143"/>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43"/>
      <c r="R186" s="143"/>
      <c r="S186" s="143"/>
      <c r="T186" s="160"/>
      <c r="U186" s="143"/>
      <c r="V186" s="143"/>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43"/>
      <c r="R187" s="143"/>
      <c r="S187" s="143"/>
      <c r="T187" s="160"/>
      <c r="U187" s="143"/>
      <c r="V187" s="143"/>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43"/>
      <c r="R188" s="143"/>
      <c r="S188" s="143"/>
      <c r="T188" s="160"/>
      <c r="U188" s="143"/>
      <c r="V188" s="143"/>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43"/>
      <c r="R189" s="143"/>
      <c r="S189" s="143"/>
      <c r="T189" s="160"/>
      <c r="U189" s="143"/>
      <c r="V189" s="143"/>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43"/>
      <c r="R190" s="143"/>
      <c r="S190" s="143"/>
      <c r="T190" s="160"/>
      <c r="U190" s="143"/>
      <c r="V190" s="143"/>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43"/>
      <c r="R191" s="143"/>
      <c r="S191" s="143"/>
      <c r="T191" s="160"/>
      <c r="U191" s="143"/>
      <c r="V191" s="143"/>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43"/>
      <c r="R192" s="143"/>
      <c r="S192" s="143"/>
      <c r="T192" s="160"/>
      <c r="U192" s="143"/>
      <c r="V192" s="143"/>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43"/>
      <c r="R193" s="143"/>
      <c r="S193" s="143"/>
      <c r="T193" s="160"/>
      <c r="U193" s="143"/>
      <c r="V193" s="143"/>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43"/>
      <c r="R194" s="143"/>
      <c r="S194" s="143"/>
      <c r="T194" s="160"/>
      <c r="U194" s="143"/>
      <c r="V194" s="143"/>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43"/>
      <c r="R195" s="143"/>
      <c r="S195" s="143"/>
      <c r="T195" s="160"/>
      <c r="U195" s="143"/>
      <c r="V195" s="143"/>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43"/>
      <c r="R196" s="143"/>
      <c r="S196" s="143"/>
      <c r="T196" s="160"/>
      <c r="U196" s="143"/>
      <c r="V196" s="143"/>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43"/>
      <c r="R197" s="143"/>
      <c r="S197" s="143"/>
      <c r="T197" s="160"/>
      <c r="U197" s="143"/>
      <c r="V197" s="143"/>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43"/>
      <c r="R198" s="143"/>
      <c r="S198" s="143"/>
      <c r="T198" s="160"/>
      <c r="U198" s="143"/>
      <c r="V198" s="143"/>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43"/>
      <c r="R199" s="143"/>
      <c r="S199" s="143"/>
      <c r="T199" s="160"/>
      <c r="U199" s="143"/>
      <c r="V199" s="143"/>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43"/>
      <c r="R200" s="143"/>
      <c r="S200" s="143"/>
      <c r="T200" s="160"/>
      <c r="U200" s="143"/>
      <c r="V200" s="143"/>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43"/>
      <c r="R201" s="143"/>
      <c r="S201" s="143"/>
      <c r="T201" s="160"/>
      <c r="U201" s="143"/>
      <c r="V201" s="143"/>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43"/>
      <c r="R202" s="143"/>
      <c r="S202" s="143"/>
      <c r="T202" s="160"/>
      <c r="U202" s="143"/>
      <c r="V202" s="143"/>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43"/>
      <c r="R203" s="143"/>
      <c r="S203" s="143"/>
      <c r="T203" s="160"/>
      <c r="U203" s="143"/>
      <c r="V203" s="143"/>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43"/>
      <c r="R204" s="143"/>
      <c r="S204" s="143"/>
      <c r="T204" s="160"/>
      <c r="U204" s="143"/>
      <c r="V204" s="143"/>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43"/>
      <c r="R205" s="143"/>
      <c r="S205" s="143"/>
      <c r="T205" s="160"/>
      <c r="U205" s="143"/>
      <c r="V205" s="143"/>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43"/>
      <c r="R206" s="143"/>
      <c r="S206" s="143"/>
      <c r="T206" s="160"/>
      <c r="U206" s="143"/>
      <c r="V206" s="143"/>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43"/>
      <c r="R207" s="143"/>
      <c r="S207" s="143"/>
      <c r="T207" s="160"/>
      <c r="U207" s="143"/>
      <c r="V207" s="143"/>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43"/>
      <c r="R208" s="143"/>
      <c r="S208" s="143"/>
      <c r="T208" s="160"/>
      <c r="U208" s="143"/>
      <c r="V208" s="143"/>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43"/>
      <c r="R209" s="143"/>
      <c r="S209" s="143"/>
      <c r="T209" s="160"/>
      <c r="U209" s="143"/>
      <c r="V209" s="143"/>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43"/>
      <c r="R210" s="143"/>
      <c r="S210" s="143"/>
      <c r="T210" s="160"/>
      <c r="U210" s="143"/>
      <c r="V210" s="143"/>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43"/>
      <c r="R211" s="143"/>
      <c r="S211" s="143"/>
      <c r="T211" s="160"/>
      <c r="U211" s="143"/>
      <c r="V211" s="143"/>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43"/>
      <c r="R212" s="143"/>
      <c r="S212" s="143"/>
      <c r="T212" s="160"/>
      <c r="U212" s="143"/>
      <c r="V212" s="143"/>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43"/>
      <c r="R213" s="143"/>
      <c r="S213" s="143"/>
      <c r="T213" s="160"/>
      <c r="U213" s="143"/>
      <c r="V213" s="143"/>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43"/>
      <c r="R214" s="143"/>
      <c r="S214" s="143"/>
      <c r="T214" s="160"/>
      <c r="U214" s="143"/>
      <c r="V214" s="143"/>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43"/>
      <c r="R215" s="143"/>
      <c r="S215" s="143"/>
      <c r="T215" s="160"/>
      <c r="U215" s="143"/>
      <c r="V215" s="143"/>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43"/>
      <c r="R216" s="143"/>
      <c r="S216" s="143"/>
      <c r="T216" s="160"/>
      <c r="U216" s="143"/>
      <c r="V216" s="143"/>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43"/>
      <c r="R217" s="143"/>
      <c r="S217" s="143"/>
      <c r="T217" s="160"/>
      <c r="U217" s="143"/>
      <c r="V217" s="143"/>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43"/>
      <c r="R218" s="143"/>
      <c r="S218" s="143"/>
      <c r="T218" s="160"/>
      <c r="U218" s="143"/>
      <c r="V218" s="143"/>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43"/>
      <c r="R219" s="143"/>
      <c r="S219" s="143"/>
      <c r="T219" s="160"/>
      <c r="U219" s="143"/>
      <c r="V219" s="143"/>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43"/>
      <c r="R220" s="143"/>
      <c r="S220" s="143"/>
      <c r="T220" s="160"/>
      <c r="U220" s="143"/>
      <c r="V220" s="143"/>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43"/>
      <c r="R221" s="143"/>
      <c r="S221" s="143"/>
      <c r="T221" s="160"/>
      <c r="U221" s="143"/>
      <c r="V221" s="143"/>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43"/>
      <c r="R222" s="143"/>
      <c r="S222" s="143"/>
      <c r="T222" s="160"/>
      <c r="U222" s="143"/>
      <c r="V222" s="143"/>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43"/>
      <c r="R223" s="143"/>
      <c r="S223" s="143"/>
      <c r="T223" s="160"/>
      <c r="U223" s="143"/>
      <c r="V223" s="143"/>
      <c r="W223" s="143"/>
      <c r="X223" s="143"/>
      <c r="Y223" s="143"/>
      <c r="Z223" s="143"/>
    </row>
    <row r="224" ht="13.5" customHeight="1">
      <c r="A224" s="143"/>
      <c r="B224" s="143"/>
      <c r="C224" s="143"/>
      <c r="D224" s="143"/>
      <c r="E224" s="143"/>
      <c r="F224" s="143"/>
      <c r="G224" s="143"/>
      <c r="H224" s="143"/>
      <c r="I224" s="143"/>
      <c r="J224" s="143"/>
      <c r="K224" s="143"/>
      <c r="L224" s="143"/>
      <c r="M224" s="143"/>
      <c r="N224" s="143"/>
      <c r="O224" s="143"/>
      <c r="P224" s="143"/>
      <c r="Q224" s="143"/>
      <c r="R224" s="143"/>
      <c r="S224" s="143"/>
      <c r="T224" s="160"/>
      <c r="U224" s="143"/>
      <c r="V224" s="143"/>
      <c r="W224" s="143"/>
      <c r="X224" s="143"/>
      <c r="Y224" s="143"/>
      <c r="Z224" s="143"/>
    </row>
    <row r="225" ht="13.5" customHeight="1">
      <c r="A225" s="143"/>
      <c r="B225" s="143"/>
      <c r="C225" s="143"/>
      <c r="D225" s="143"/>
      <c r="E225" s="143"/>
      <c r="F225" s="143"/>
      <c r="G225" s="143"/>
      <c r="H225" s="143"/>
      <c r="I225" s="143"/>
      <c r="J225" s="143"/>
      <c r="K225" s="143"/>
      <c r="L225" s="143"/>
      <c r="M225" s="143"/>
      <c r="N225" s="143"/>
      <c r="O225" s="143"/>
      <c r="P225" s="143"/>
      <c r="Q225" s="143"/>
      <c r="R225" s="143"/>
      <c r="S225" s="143"/>
      <c r="T225" s="160"/>
      <c r="U225" s="143"/>
      <c r="V225" s="143"/>
      <c r="W225" s="143"/>
      <c r="X225" s="143"/>
      <c r="Y225" s="143"/>
      <c r="Z225" s="143"/>
    </row>
    <row r="226" ht="13.5" customHeight="1">
      <c r="A226" s="143"/>
      <c r="B226" s="143"/>
      <c r="C226" s="143"/>
      <c r="D226" s="143"/>
      <c r="E226" s="143"/>
      <c r="F226" s="143"/>
      <c r="G226" s="143"/>
      <c r="H226" s="143"/>
      <c r="I226" s="143"/>
      <c r="J226" s="143"/>
      <c r="K226" s="143"/>
      <c r="L226" s="143"/>
      <c r="M226" s="143"/>
      <c r="N226" s="143"/>
      <c r="O226" s="143"/>
      <c r="P226" s="143"/>
      <c r="Q226" s="143"/>
      <c r="R226" s="143"/>
      <c r="S226" s="143"/>
      <c r="T226" s="160"/>
      <c r="U226" s="143"/>
      <c r="V226" s="143"/>
      <c r="W226" s="143"/>
      <c r="X226" s="143"/>
      <c r="Y226" s="143"/>
      <c r="Z226" s="143"/>
    </row>
    <row r="227" ht="13.5" customHeight="1">
      <c r="A227" s="143"/>
      <c r="B227" s="143"/>
      <c r="C227" s="143"/>
      <c r="D227" s="143"/>
      <c r="E227" s="143"/>
      <c r="F227" s="143"/>
      <c r="G227" s="143"/>
      <c r="H227" s="143"/>
      <c r="I227" s="143"/>
      <c r="J227" s="143"/>
      <c r="K227" s="143"/>
      <c r="L227" s="143"/>
      <c r="M227" s="143"/>
      <c r="N227" s="143"/>
      <c r="O227" s="143"/>
      <c r="P227" s="143"/>
      <c r="Q227" s="143"/>
      <c r="R227" s="143"/>
      <c r="S227" s="143"/>
      <c r="T227" s="160"/>
      <c r="U227" s="143"/>
      <c r="V227" s="143"/>
      <c r="W227" s="143"/>
      <c r="X227" s="143"/>
      <c r="Y227" s="143"/>
      <c r="Z227" s="143"/>
    </row>
    <row r="228" ht="13.5" customHeight="1">
      <c r="A228" s="143"/>
      <c r="B228" s="143"/>
      <c r="C228" s="143"/>
      <c r="D228" s="143"/>
      <c r="E228" s="143"/>
      <c r="F228" s="143"/>
      <c r="G228" s="143"/>
      <c r="H228" s="143"/>
      <c r="I228" s="143"/>
      <c r="J228" s="143"/>
      <c r="K228" s="143"/>
      <c r="L228" s="143"/>
      <c r="M228" s="143"/>
      <c r="N228" s="143"/>
      <c r="O228" s="143"/>
      <c r="P228" s="143"/>
      <c r="Q228" s="143"/>
      <c r="R228" s="143"/>
      <c r="S228" s="143"/>
      <c r="T228" s="160"/>
      <c r="U228" s="143"/>
      <c r="V228" s="143"/>
      <c r="W228" s="143"/>
      <c r="X228" s="143"/>
      <c r="Y228" s="143"/>
      <c r="Z228" s="143"/>
    </row>
    <row r="229" ht="13.5" customHeight="1">
      <c r="A229" s="143"/>
      <c r="B229" s="143"/>
      <c r="C229" s="143"/>
      <c r="D229" s="143"/>
      <c r="E229" s="143"/>
      <c r="F229" s="143"/>
      <c r="G229" s="143"/>
      <c r="H229" s="143"/>
      <c r="I229" s="143"/>
      <c r="J229" s="143"/>
      <c r="K229" s="143"/>
      <c r="L229" s="143"/>
      <c r="M229" s="143"/>
      <c r="N229" s="143"/>
      <c r="O229" s="143"/>
      <c r="P229" s="143"/>
      <c r="Q229" s="143"/>
      <c r="R229" s="143"/>
      <c r="S229" s="143"/>
      <c r="T229" s="160"/>
      <c r="U229" s="143"/>
      <c r="V229" s="143"/>
      <c r="W229" s="143"/>
      <c r="X229" s="143"/>
      <c r="Y229" s="143"/>
      <c r="Z229" s="143"/>
    </row>
    <row r="230" ht="13.5" customHeight="1">
      <c r="A230" s="143"/>
      <c r="B230" s="143"/>
      <c r="C230" s="143"/>
      <c r="D230" s="143"/>
      <c r="E230" s="143"/>
      <c r="F230" s="143"/>
      <c r="G230" s="143"/>
      <c r="H230" s="143"/>
      <c r="I230" s="143"/>
      <c r="J230" s="143"/>
      <c r="K230" s="143"/>
      <c r="L230" s="143"/>
      <c r="M230" s="143"/>
      <c r="N230" s="143"/>
      <c r="O230" s="143"/>
      <c r="P230" s="143"/>
      <c r="Q230" s="143"/>
      <c r="R230" s="143"/>
      <c r="S230" s="143"/>
      <c r="T230" s="160"/>
      <c r="U230" s="143"/>
      <c r="V230" s="143"/>
      <c r="W230" s="143"/>
      <c r="X230" s="143"/>
      <c r="Y230" s="143"/>
      <c r="Z230" s="143"/>
    </row>
    <row r="231" ht="13.5" customHeight="1">
      <c r="A231" s="143"/>
      <c r="B231" s="143"/>
      <c r="C231" s="143"/>
      <c r="D231" s="143"/>
      <c r="E231" s="143"/>
      <c r="F231" s="143"/>
      <c r="G231" s="143"/>
      <c r="H231" s="143"/>
      <c r="I231" s="143"/>
      <c r="J231" s="143"/>
      <c r="K231" s="143"/>
      <c r="L231" s="143"/>
      <c r="M231" s="143"/>
      <c r="N231" s="143"/>
      <c r="O231" s="143"/>
      <c r="P231" s="143"/>
      <c r="Q231" s="143"/>
      <c r="R231" s="143"/>
      <c r="S231" s="143"/>
      <c r="T231" s="160"/>
      <c r="U231" s="143"/>
      <c r="V231" s="143"/>
      <c r="W231" s="143"/>
      <c r="X231" s="143"/>
      <c r="Y231" s="143"/>
      <c r="Z231" s="143"/>
    </row>
    <row r="232" ht="13.5" customHeight="1">
      <c r="A232" s="143"/>
      <c r="B232" s="143"/>
      <c r="C232" s="143"/>
      <c r="D232" s="143"/>
      <c r="E232" s="143"/>
      <c r="F232" s="143"/>
      <c r="G232" s="143"/>
      <c r="H232" s="143"/>
      <c r="I232" s="143"/>
      <c r="J232" s="143"/>
      <c r="K232" s="143"/>
      <c r="L232" s="143"/>
      <c r="M232" s="143"/>
      <c r="N232" s="143"/>
      <c r="O232" s="143"/>
      <c r="P232" s="143"/>
      <c r="Q232" s="143"/>
      <c r="R232" s="143"/>
      <c r="S232" s="143"/>
      <c r="T232" s="160"/>
      <c r="U232" s="143"/>
      <c r="V232" s="143"/>
      <c r="W232" s="143"/>
      <c r="X232" s="143"/>
      <c r="Y232" s="143"/>
      <c r="Z232" s="143"/>
    </row>
    <row r="233" ht="13.5" customHeight="1">
      <c r="A233" s="143"/>
      <c r="B233" s="143"/>
      <c r="C233" s="143"/>
      <c r="D233" s="143"/>
      <c r="E233" s="143"/>
      <c r="F233" s="143"/>
      <c r="G233" s="143"/>
      <c r="H233" s="143"/>
      <c r="I233" s="143"/>
      <c r="J233" s="143"/>
      <c r="K233" s="143"/>
      <c r="L233" s="143"/>
      <c r="M233" s="143"/>
      <c r="N233" s="143"/>
      <c r="O233" s="143"/>
      <c r="P233" s="143"/>
      <c r="Q233" s="143"/>
      <c r="R233" s="143"/>
      <c r="S233" s="143"/>
      <c r="T233" s="160"/>
      <c r="U233" s="143"/>
      <c r="V233" s="143"/>
      <c r="W233" s="143"/>
      <c r="X233" s="143"/>
      <c r="Y233" s="143"/>
      <c r="Z233" s="143"/>
    </row>
    <row r="234" ht="13.5" customHeight="1">
      <c r="A234" s="143"/>
      <c r="B234" s="143"/>
      <c r="C234" s="143"/>
      <c r="D234" s="143"/>
      <c r="E234" s="143"/>
      <c r="F234" s="143"/>
      <c r="G234" s="143"/>
      <c r="H234" s="143"/>
      <c r="I234" s="143"/>
      <c r="J234" s="143"/>
      <c r="K234" s="143"/>
      <c r="L234" s="143"/>
      <c r="M234" s="143"/>
      <c r="N234" s="143"/>
      <c r="O234" s="143"/>
      <c r="P234" s="143"/>
      <c r="Q234" s="143"/>
      <c r="R234" s="143"/>
      <c r="S234" s="143"/>
      <c r="T234" s="160"/>
      <c r="U234" s="143"/>
      <c r="V234" s="143"/>
      <c r="W234" s="143"/>
      <c r="X234" s="143"/>
      <c r="Y234" s="143"/>
      <c r="Z234" s="143"/>
    </row>
    <row r="235" ht="13.5" customHeight="1">
      <c r="A235" s="143"/>
      <c r="B235" s="143"/>
      <c r="C235" s="143"/>
      <c r="D235" s="143"/>
      <c r="E235" s="143"/>
      <c r="F235" s="143"/>
      <c r="G235" s="143"/>
      <c r="H235" s="143"/>
      <c r="I235" s="143"/>
      <c r="J235" s="143"/>
      <c r="K235" s="143"/>
      <c r="L235" s="143"/>
      <c r="M235" s="143"/>
      <c r="N235" s="143"/>
      <c r="O235" s="143"/>
      <c r="P235" s="143"/>
      <c r="Q235" s="143"/>
      <c r="R235" s="143"/>
      <c r="S235" s="143"/>
      <c r="T235" s="160"/>
      <c r="U235" s="143"/>
      <c r="V235" s="143"/>
      <c r="W235" s="143"/>
      <c r="X235" s="143"/>
      <c r="Y235" s="143"/>
      <c r="Z235" s="143"/>
    </row>
    <row r="236" ht="13.5" customHeight="1">
      <c r="A236" s="143"/>
      <c r="B236" s="143"/>
      <c r="C236" s="143"/>
      <c r="D236" s="143"/>
      <c r="E236" s="143"/>
      <c r="F236" s="143"/>
      <c r="G236" s="143"/>
      <c r="H236" s="143"/>
      <c r="I236" s="143"/>
      <c r="J236" s="143"/>
      <c r="K236" s="143"/>
      <c r="L236" s="143"/>
      <c r="M236" s="143"/>
      <c r="N236" s="143"/>
      <c r="O236" s="143"/>
      <c r="P236" s="143"/>
      <c r="Q236" s="143"/>
      <c r="R236" s="143"/>
      <c r="S236" s="143"/>
      <c r="T236" s="160"/>
      <c r="U236" s="143"/>
      <c r="V236" s="143"/>
      <c r="W236" s="143"/>
      <c r="X236" s="143"/>
      <c r="Y236" s="143"/>
      <c r="Z236" s="143"/>
    </row>
    <row r="237" ht="13.5" customHeight="1">
      <c r="A237" s="143"/>
      <c r="B237" s="143"/>
      <c r="C237" s="143"/>
      <c r="D237" s="143"/>
      <c r="E237" s="143"/>
      <c r="F237" s="143"/>
      <c r="G237" s="143"/>
      <c r="H237" s="143"/>
      <c r="I237" s="143"/>
      <c r="J237" s="143"/>
      <c r="K237" s="143"/>
      <c r="L237" s="143"/>
      <c r="M237" s="143"/>
      <c r="N237" s="143"/>
      <c r="O237" s="143"/>
      <c r="P237" s="143"/>
      <c r="Q237" s="143"/>
      <c r="R237" s="143"/>
      <c r="S237" s="143"/>
      <c r="T237" s="160"/>
      <c r="U237" s="143"/>
      <c r="V237" s="143"/>
      <c r="W237" s="143"/>
      <c r="X237" s="143"/>
      <c r="Y237" s="143"/>
      <c r="Z237" s="143"/>
    </row>
    <row r="238" ht="13.5" customHeight="1">
      <c r="A238" s="143"/>
      <c r="B238" s="143"/>
      <c r="C238" s="143"/>
      <c r="D238" s="143"/>
      <c r="E238" s="143"/>
      <c r="F238" s="143"/>
      <c r="G238" s="143"/>
      <c r="H238" s="143"/>
      <c r="I238" s="143"/>
      <c r="J238" s="143"/>
      <c r="K238" s="143"/>
      <c r="L238" s="143"/>
      <c r="M238" s="143"/>
      <c r="N238" s="143"/>
      <c r="O238" s="143"/>
      <c r="P238" s="143"/>
      <c r="Q238" s="143"/>
      <c r="R238" s="143"/>
      <c r="S238" s="143"/>
      <c r="T238" s="160"/>
      <c r="U238" s="143"/>
      <c r="V238" s="143"/>
      <c r="W238" s="143"/>
      <c r="X238" s="143"/>
      <c r="Y238" s="143"/>
      <c r="Z238" s="143"/>
    </row>
    <row r="239" ht="13.5" customHeight="1">
      <c r="A239" s="143"/>
      <c r="B239" s="143"/>
      <c r="C239" s="143"/>
      <c r="D239" s="143"/>
      <c r="E239" s="143"/>
      <c r="F239" s="143"/>
      <c r="G239" s="143"/>
      <c r="H239" s="143"/>
      <c r="I239" s="143"/>
      <c r="J239" s="143"/>
      <c r="K239" s="143"/>
      <c r="L239" s="143"/>
      <c r="M239" s="143"/>
      <c r="N239" s="143"/>
      <c r="O239" s="143"/>
      <c r="P239" s="143"/>
      <c r="Q239" s="143"/>
      <c r="R239" s="143"/>
      <c r="S239" s="143"/>
      <c r="T239" s="160"/>
      <c r="U239" s="143"/>
      <c r="V239" s="143"/>
      <c r="W239" s="143"/>
      <c r="X239" s="143"/>
      <c r="Y239" s="143"/>
      <c r="Z239" s="143"/>
    </row>
    <row r="240" ht="13.5" customHeight="1">
      <c r="A240" s="143"/>
      <c r="B240" s="143"/>
      <c r="C240" s="143"/>
      <c r="D240" s="143"/>
      <c r="E240" s="143"/>
      <c r="F240" s="143"/>
      <c r="G240" s="143"/>
      <c r="H240" s="143"/>
      <c r="I240" s="143"/>
      <c r="J240" s="143"/>
      <c r="K240" s="143"/>
      <c r="L240" s="143"/>
      <c r="M240" s="143"/>
      <c r="N240" s="143"/>
      <c r="O240" s="143"/>
      <c r="P240" s="143"/>
      <c r="Q240" s="143"/>
      <c r="R240" s="143"/>
      <c r="S240" s="143"/>
      <c r="T240" s="160"/>
      <c r="U240" s="143"/>
      <c r="V240" s="143"/>
      <c r="W240" s="143"/>
      <c r="X240" s="143"/>
      <c r="Y240" s="143"/>
      <c r="Z240" s="143"/>
    </row>
    <row r="241" ht="13.5" customHeight="1">
      <c r="A241" s="143"/>
      <c r="B241" s="143"/>
      <c r="C241" s="143"/>
      <c r="D241" s="143"/>
      <c r="E241" s="143"/>
      <c r="F241" s="143"/>
      <c r="G241" s="143"/>
      <c r="H241" s="143"/>
      <c r="I241" s="143"/>
      <c r="J241" s="143"/>
      <c r="K241" s="143"/>
      <c r="L241" s="143"/>
      <c r="M241" s="143"/>
      <c r="N241" s="143"/>
      <c r="O241" s="143"/>
      <c r="P241" s="143"/>
      <c r="Q241" s="143"/>
      <c r="R241" s="143"/>
      <c r="S241" s="143"/>
      <c r="T241" s="160"/>
      <c r="U241" s="143"/>
      <c r="V241" s="143"/>
      <c r="W241" s="143"/>
      <c r="X241" s="143"/>
      <c r="Y241" s="143"/>
      <c r="Z241" s="143"/>
    </row>
    <row r="242" ht="13.5" customHeight="1">
      <c r="A242" s="143"/>
      <c r="B242" s="143"/>
      <c r="C242" s="143"/>
      <c r="D242" s="143"/>
      <c r="E242" s="143"/>
      <c r="F242" s="143"/>
      <c r="G242" s="143"/>
      <c r="H242" s="143"/>
      <c r="I242" s="143"/>
      <c r="J242" s="143"/>
      <c r="K242" s="143"/>
      <c r="L242" s="143"/>
      <c r="M242" s="143"/>
      <c r="N242" s="143"/>
      <c r="O242" s="143"/>
      <c r="P242" s="143"/>
      <c r="Q242" s="143"/>
      <c r="R242" s="143"/>
      <c r="S242" s="143"/>
      <c r="T242" s="160"/>
      <c r="U242" s="143"/>
      <c r="V242" s="143"/>
      <c r="W242" s="143"/>
      <c r="X242" s="143"/>
      <c r="Y242" s="143"/>
      <c r="Z242" s="143"/>
    </row>
    <row r="243" ht="13.5" customHeight="1">
      <c r="A243" s="143"/>
      <c r="B243" s="143"/>
      <c r="C243" s="143"/>
      <c r="D243" s="143"/>
      <c r="E243" s="143"/>
      <c r="F243" s="143"/>
      <c r="G243" s="143"/>
      <c r="H243" s="143"/>
      <c r="I243" s="143"/>
      <c r="J243" s="143"/>
      <c r="K243" s="143"/>
      <c r="L243" s="143"/>
      <c r="M243" s="143"/>
      <c r="N243" s="143"/>
      <c r="O243" s="143"/>
      <c r="P243" s="143"/>
      <c r="Q243" s="143"/>
      <c r="R243" s="143"/>
      <c r="S243" s="143"/>
      <c r="T243" s="160"/>
      <c r="U243" s="143"/>
      <c r="V243" s="143"/>
      <c r="W243" s="143"/>
      <c r="X243" s="143"/>
      <c r="Y243" s="143"/>
      <c r="Z243" s="143"/>
    </row>
    <row r="244" ht="13.5" customHeight="1">
      <c r="A244" s="143"/>
      <c r="B244" s="143"/>
      <c r="C244" s="143"/>
      <c r="D244" s="143"/>
      <c r="E244" s="143"/>
      <c r="F244" s="143"/>
      <c r="G244" s="143"/>
      <c r="H244" s="143"/>
      <c r="I244" s="143"/>
      <c r="J244" s="143"/>
      <c r="K244" s="143"/>
      <c r="L244" s="143"/>
      <c r="M244" s="143"/>
      <c r="N244" s="143"/>
      <c r="O244" s="143"/>
      <c r="P244" s="143"/>
      <c r="Q244" s="143"/>
      <c r="R244" s="143"/>
      <c r="S244" s="143"/>
      <c r="T244" s="160"/>
      <c r="U244" s="143"/>
      <c r="V244" s="143"/>
      <c r="W244" s="143"/>
      <c r="X244" s="143"/>
      <c r="Y244" s="143"/>
      <c r="Z244" s="143"/>
    </row>
    <row r="245" ht="13.5" customHeight="1">
      <c r="A245" s="2"/>
      <c r="B245" s="2"/>
      <c r="C245" s="2"/>
      <c r="D245" s="2"/>
      <c r="E245" s="2"/>
      <c r="F245" s="2"/>
      <c r="G245" s="2"/>
      <c r="H245" s="2"/>
      <c r="I245" s="2"/>
      <c r="J245" s="2"/>
      <c r="K245" s="2"/>
      <c r="L245" s="2"/>
      <c r="M245" s="2"/>
      <c r="N245" s="2"/>
      <c r="O245" s="2"/>
      <c r="P245" s="2"/>
      <c r="Q245" s="2"/>
      <c r="R245" s="2"/>
      <c r="S245" s="2"/>
      <c r="T245" s="158"/>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158"/>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158"/>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158"/>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158"/>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158"/>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158"/>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158"/>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158"/>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158"/>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158"/>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158"/>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158"/>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158"/>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158"/>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158"/>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158"/>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158"/>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158"/>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158"/>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158"/>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158"/>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158"/>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158"/>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158"/>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158"/>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158"/>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158"/>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158"/>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158"/>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158"/>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158"/>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158"/>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158"/>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158"/>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158"/>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158"/>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158"/>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158"/>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158"/>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158"/>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158"/>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158"/>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158"/>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158"/>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158"/>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158"/>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158"/>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158"/>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158"/>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158"/>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158"/>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158"/>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158"/>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158"/>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158"/>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158"/>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158"/>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158"/>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158"/>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158"/>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158"/>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158"/>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158"/>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158"/>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158"/>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158"/>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158"/>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158"/>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158"/>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158"/>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158"/>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158"/>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158"/>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158"/>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158"/>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158"/>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158"/>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158"/>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158"/>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158"/>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158"/>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158"/>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158"/>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158"/>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158"/>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158"/>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158"/>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158"/>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158"/>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158"/>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158"/>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158"/>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158"/>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158"/>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158"/>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158"/>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158"/>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158"/>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158"/>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158"/>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158"/>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158"/>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158"/>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158"/>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158"/>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158"/>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158"/>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158"/>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158"/>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158"/>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158"/>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158"/>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158"/>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158"/>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158"/>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158"/>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158"/>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158"/>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158"/>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158"/>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158"/>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158"/>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158"/>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158"/>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158"/>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158"/>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158"/>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158"/>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158"/>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158"/>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158"/>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158"/>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158"/>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158"/>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158"/>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158"/>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158"/>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158"/>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158"/>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158"/>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158"/>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158"/>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158"/>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158"/>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158"/>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158"/>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158"/>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158"/>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158"/>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158"/>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158"/>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158"/>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158"/>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158"/>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158"/>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158"/>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158"/>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158"/>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158"/>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158"/>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158"/>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158"/>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158"/>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158"/>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158"/>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158"/>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158"/>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158"/>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158"/>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158"/>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158"/>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158"/>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158"/>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158"/>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158"/>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158"/>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158"/>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158"/>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158"/>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158"/>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158"/>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158"/>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158"/>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158"/>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158"/>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158"/>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158"/>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158"/>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158"/>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158"/>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158"/>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158"/>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158"/>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158"/>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158"/>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158"/>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158"/>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158"/>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158"/>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158"/>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158"/>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158"/>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158"/>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158"/>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158"/>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158"/>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158"/>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158"/>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158"/>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158"/>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158"/>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158"/>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158"/>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158"/>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158"/>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158"/>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158"/>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158"/>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158"/>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158"/>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158"/>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158"/>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158"/>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158"/>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158"/>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158"/>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158"/>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158"/>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158"/>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158"/>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158"/>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158"/>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158"/>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158"/>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158"/>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158"/>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158"/>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158"/>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158"/>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158"/>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158"/>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158"/>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158"/>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158"/>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158"/>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158"/>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158"/>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158"/>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158"/>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158"/>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158"/>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158"/>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158"/>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158"/>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158"/>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158"/>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158"/>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158"/>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158"/>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158"/>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158"/>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158"/>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158"/>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158"/>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158"/>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158"/>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158"/>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158"/>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158"/>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158"/>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158"/>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158"/>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158"/>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158"/>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158"/>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158"/>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158"/>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158"/>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158"/>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158"/>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158"/>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158"/>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158"/>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158"/>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158"/>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158"/>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158"/>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158"/>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158"/>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158"/>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158"/>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158"/>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158"/>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158"/>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158"/>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158"/>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158"/>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158"/>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158"/>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158"/>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158"/>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158"/>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158"/>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158"/>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158"/>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158"/>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158"/>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158"/>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158"/>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158"/>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158"/>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158"/>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158"/>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158"/>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158"/>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158"/>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158"/>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158"/>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158"/>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158"/>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158"/>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158"/>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158"/>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158"/>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158"/>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158"/>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158"/>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158"/>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158"/>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158"/>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158"/>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158"/>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158"/>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158"/>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158"/>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158"/>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158"/>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158"/>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158"/>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158"/>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158"/>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158"/>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158"/>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158"/>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158"/>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158"/>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158"/>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158"/>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158"/>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158"/>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158"/>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158"/>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158"/>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158"/>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158"/>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158"/>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158"/>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158"/>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158"/>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158"/>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158"/>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158"/>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158"/>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158"/>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158"/>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158"/>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158"/>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158"/>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158"/>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158"/>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158"/>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158"/>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158"/>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158"/>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158"/>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158"/>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158"/>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158"/>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158"/>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158"/>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158"/>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158"/>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158"/>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158"/>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158"/>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158"/>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158"/>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158"/>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158"/>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158"/>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158"/>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158"/>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158"/>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158"/>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158"/>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158"/>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158"/>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158"/>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158"/>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158"/>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158"/>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158"/>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158"/>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158"/>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158"/>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158"/>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158"/>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158"/>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158"/>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158"/>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158"/>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158"/>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158"/>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158"/>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158"/>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158"/>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158"/>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158"/>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158"/>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158"/>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158"/>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158"/>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158"/>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158"/>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158"/>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158"/>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158"/>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158"/>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158"/>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158"/>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158"/>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158"/>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158"/>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158"/>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158"/>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158"/>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158"/>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158"/>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158"/>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158"/>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158"/>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158"/>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158"/>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158"/>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158"/>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158"/>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158"/>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158"/>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158"/>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158"/>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158"/>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158"/>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158"/>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158"/>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158"/>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158"/>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158"/>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158"/>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158"/>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158"/>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158"/>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158"/>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158"/>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158"/>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158"/>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158"/>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158"/>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158"/>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158"/>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158"/>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158"/>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158"/>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158"/>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158"/>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158"/>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158"/>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158"/>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158"/>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158"/>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158"/>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158"/>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158"/>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158"/>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158"/>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158"/>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158"/>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158"/>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158"/>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158"/>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158"/>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158"/>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158"/>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158"/>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158"/>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158"/>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158"/>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158"/>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158"/>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158"/>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158"/>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158"/>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158"/>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158"/>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158"/>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158"/>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158"/>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158"/>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158"/>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158"/>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158"/>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158"/>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158"/>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158"/>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158"/>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158"/>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158"/>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158"/>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158"/>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158"/>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158"/>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158"/>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158"/>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158"/>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158"/>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158"/>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158"/>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158"/>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158"/>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158"/>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158"/>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158"/>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158"/>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158"/>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158"/>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158"/>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158"/>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158"/>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158"/>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158"/>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158"/>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158"/>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158"/>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158"/>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158"/>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158"/>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158"/>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158"/>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158"/>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158"/>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158"/>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158"/>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158"/>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158"/>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158"/>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158"/>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158"/>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158"/>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158"/>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158"/>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158"/>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158"/>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158"/>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158"/>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158"/>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158"/>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158"/>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158"/>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158"/>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158"/>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158"/>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158"/>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158"/>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158"/>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158"/>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158"/>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158"/>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158"/>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158"/>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158"/>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158"/>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158"/>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158"/>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158"/>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158"/>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158"/>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158"/>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158"/>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158"/>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158"/>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158"/>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158"/>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158"/>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158"/>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158"/>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158"/>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158"/>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158"/>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158"/>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158"/>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158"/>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158"/>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158"/>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158"/>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158"/>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158"/>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158"/>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158"/>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158"/>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158"/>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158"/>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158"/>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158"/>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158"/>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158"/>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158"/>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158"/>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158"/>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158"/>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158"/>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158"/>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158"/>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158"/>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158"/>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158"/>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158"/>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158"/>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158"/>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158"/>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158"/>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158"/>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158"/>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158"/>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158"/>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158"/>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158"/>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158"/>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158"/>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158"/>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158"/>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158"/>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158"/>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158"/>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158"/>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158"/>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158"/>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158"/>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158"/>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158"/>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158"/>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158"/>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158"/>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158"/>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158"/>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158"/>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158"/>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158"/>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158"/>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158"/>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158"/>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158"/>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158"/>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158"/>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158"/>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158"/>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158"/>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158"/>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158"/>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158"/>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158"/>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158"/>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158"/>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158"/>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158"/>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158"/>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158"/>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158"/>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158"/>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158"/>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158"/>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158"/>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158"/>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158"/>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158"/>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158"/>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158"/>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158"/>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158"/>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158"/>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158"/>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158"/>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158"/>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158"/>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158"/>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158"/>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158"/>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158"/>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158"/>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158"/>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158"/>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158"/>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158"/>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158"/>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158"/>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158"/>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158"/>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158"/>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158"/>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158"/>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158"/>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158"/>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158"/>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158"/>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158"/>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158"/>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158"/>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158"/>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158"/>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158"/>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158"/>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158"/>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158"/>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158"/>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158"/>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158"/>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158"/>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158"/>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158"/>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158"/>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158"/>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158"/>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158"/>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158"/>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158"/>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158"/>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158"/>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158"/>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158"/>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158"/>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158"/>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158"/>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158"/>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158"/>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158"/>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158"/>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158"/>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158"/>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158"/>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158"/>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158"/>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158"/>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158"/>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158"/>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158"/>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158"/>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158"/>
      <c r="U1000" s="2"/>
      <c r="V1000" s="2"/>
      <c r="W1000" s="2"/>
      <c r="X1000" s="2"/>
      <c r="Y1000" s="2"/>
      <c r="Z1000" s="2"/>
    </row>
  </sheetData>
  <mergeCells count="38">
    <mergeCell ref="A1:T1"/>
    <mergeCell ref="A2:C2"/>
    <mergeCell ref="D2:G2"/>
    <mergeCell ref="H2:J2"/>
    <mergeCell ref="K2:O2"/>
    <mergeCell ref="P2:R2"/>
    <mergeCell ref="S2:T2"/>
    <mergeCell ref="K3:O3"/>
    <mergeCell ref="L6:L12"/>
    <mergeCell ref="L13:L22"/>
    <mergeCell ref="L23:L30"/>
    <mergeCell ref="L31:L37"/>
    <mergeCell ref="L38:L44"/>
    <mergeCell ref="A3:C3"/>
    <mergeCell ref="D3:G3"/>
    <mergeCell ref="H3:J3"/>
    <mergeCell ref="P3:R3"/>
    <mergeCell ref="S3:T3"/>
    <mergeCell ref="A6:A12"/>
    <mergeCell ref="D6:D12"/>
    <mergeCell ref="B23:B30"/>
    <mergeCell ref="C23:C30"/>
    <mergeCell ref="B31:B37"/>
    <mergeCell ref="C31:C37"/>
    <mergeCell ref="D31:D37"/>
    <mergeCell ref="B38:B44"/>
    <mergeCell ref="C38:C44"/>
    <mergeCell ref="D38:D44"/>
    <mergeCell ref="A23:A30"/>
    <mergeCell ref="A31:A37"/>
    <mergeCell ref="A38:A44"/>
    <mergeCell ref="B6:B12"/>
    <mergeCell ref="C6:C12"/>
    <mergeCell ref="A13:A22"/>
    <mergeCell ref="B13:B22"/>
    <mergeCell ref="C13:C22"/>
    <mergeCell ref="D13:D22"/>
    <mergeCell ref="D23:D30"/>
  </mergeCell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55.75"/>
    <col customWidth="1" min="11" max="11" width="58.25"/>
    <col customWidth="1" hidden="1" min="12" max="12" width="18.88"/>
    <col customWidth="1" hidden="1" min="13" max="13" width="30.75"/>
    <col hidden="1" min="14" max="16" width="12.63"/>
    <col customWidth="1" min="17" max="17" width="12.63"/>
    <col customWidth="1" min="18" max="19" width="15.75"/>
    <col customWidth="1" min="20" max="20" width="20.75"/>
  </cols>
  <sheetData>
    <row r="1" ht="13.5" customHeight="1">
      <c r="A1" s="21" t="s">
        <v>1909</v>
      </c>
      <c r="B1" s="24"/>
      <c r="C1" s="24"/>
      <c r="D1" s="24"/>
      <c r="E1" s="24"/>
      <c r="F1" s="24"/>
      <c r="G1" s="24"/>
      <c r="H1" s="24"/>
      <c r="I1" s="24"/>
      <c r="J1" s="24"/>
      <c r="K1" s="24"/>
      <c r="L1" s="24"/>
      <c r="M1" s="24"/>
      <c r="N1" s="24"/>
      <c r="O1" s="24"/>
      <c r="P1" s="24"/>
      <c r="Q1" s="24"/>
      <c r="R1" s="24"/>
      <c r="S1" s="24"/>
      <c r="T1" s="27"/>
      <c r="U1" s="2"/>
      <c r="V1" s="2"/>
      <c r="W1" s="2"/>
      <c r="X1" s="2"/>
      <c r="Y1" s="2"/>
      <c r="Z1" s="2"/>
    </row>
    <row r="2" ht="13.5" customHeight="1">
      <c r="A2" s="35" t="s">
        <v>38</v>
      </c>
      <c r="B2" s="37"/>
      <c r="C2" s="39"/>
      <c r="D2" s="40" t="s">
        <v>47</v>
      </c>
      <c r="E2" s="37"/>
      <c r="F2" s="37"/>
      <c r="G2" s="39"/>
      <c r="H2" s="35" t="s">
        <v>50</v>
      </c>
      <c r="I2" s="37"/>
      <c r="J2" s="39"/>
      <c r="K2" s="40" t="s">
        <v>3270</v>
      </c>
      <c r="L2" s="37"/>
      <c r="M2" s="37"/>
      <c r="N2" s="37"/>
      <c r="O2" s="39"/>
      <c r="P2" s="35" t="s">
        <v>6</v>
      </c>
      <c r="Q2" s="37"/>
      <c r="R2" s="39"/>
      <c r="S2" s="40" t="s">
        <v>33</v>
      </c>
      <c r="T2" s="39"/>
      <c r="U2" s="2"/>
      <c r="V2" s="2"/>
      <c r="W2" s="2"/>
      <c r="X2" s="2"/>
      <c r="Y2" s="2"/>
      <c r="Z2" s="2"/>
    </row>
    <row r="3" ht="13.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2"/>
      <c r="V3" s="2"/>
      <c r="W3" s="2"/>
      <c r="X3" s="2"/>
      <c r="Y3" s="2"/>
      <c r="Z3" s="2"/>
    </row>
    <row r="4" ht="13.5" customHeight="1">
      <c r="A4" s="49"/>
      <c r="B4" s="49"/>
      <c r="C4" s="49"/>
      <c r="D4" s="49"/>
      <c r="E4" s="49"/>
      <c r="F4" s="49"/>
      <c r="G4" s="49"/>
      <c r="H4" s="49"/>
      <c r="I4" s="49"/>
      <c r="J4" s="49"/>
      <c r="K4" s="49"/>
      <c r="L4" s="49"/>
      <c r="M4" s="49"/>
      <c r="N4" s="49"/>
      <c r="O4" s="49"/>
      <c r="P4" s="49"/>
      <c r="Q4" s="49"/>
      <c r="R4" s="49"/>
      <c r="S4" s="49"/>
      <c r="T4" s="49"/>
      <c r="U4" s="2"/>
      <c r="V4" s="2"/>
      <c r="W4" s="2"/>
      <c r="X4" s="2"/>
      <c r="Y4" s="2"/>
      <c r="Z4" s="2"/>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3" t="s">
        <v>82</v>
      </c>
      <c r="U5" s="2"/>
      <c r="V5" s="2"/>
      <c r="W5" s="2"/>
      <c r="X5" s="2"/>
      <c r="Y5" s="2"/>
      <c r="Z5" s="2"/>
    </row>
    <row r="6" ht="13.5" customHeight="1">
      <c r="A6" s="59" t="s">
        <v>755</v>
      </c>
      <c r="B6" s="59" t="s">
        <v>757</v>
      </c>
      <c r="C6" s="60" t="s">
        <v>759</v>
      </c>
      <c r="D6" s="60" t="s">
        <v>3271</v>
      </c>
      <c r="E6" s="61" t="s">
        <v>3272</v>
      </c>
      <c r="F6" s="62" t="s">
        <v>3273</v>
      </c>
      <c r="G6" s="63" t="s">
        <v>3274</v>
      </c>
      <c r="H6" s="61" t="s">
        <v>88</v>
      </c>
      <c r="I6" s="61" t="s">
        <v>60</v>
      </c>
      <c r="J6" s="203" t="s">
        <v>3275</v>
      </c>
      <c r="K6" s="204" t="s">
        <v>3276</v>
      </c>
      <c r="L6" s="60" t="s">
        <v>3277</v>
      </c>
      <c r="M6" s="61"/>
      <c r="N6" s="61"/>
      <c r="O6" s="61"/>
      <c r="P6" s="61"/>
      <c r="Q6" s="61" t="s">
        <v>93</v>
      </c>
      <c r="R6" s="61" t="s">
        <v>94</v>
      </c>
      <c r="S6" s="61" t="s">
        <v>94</v>
      </c>
      <c r="T6" s="66">
        <v>46255.0</v>
      </c>
      <c r="U6" s="2"/>
      <c r="V6" s="2"/>
      <c r="W6" s="2"/>
      <c r="X6" s="2"/>
      <c r="Y6" s="2"/>
      <c r="Z6" s="2"/>
    </row>
    <row r="7" ht="13.5" customHeight="1">
      <c r="A7" s="67"/>
      <c r="B7" s="67"/>
      <c r="C7" s="67"/>
      <c r="D7" s="67"/>
      <c r="E7" s="61" t="s">
        <v>3278</v>
      </c>
      <c r="F7" s="68"/>
      <c r="G7" s="63" t="s">
        <v>3279</v>
      </c>
      <c r="H7" s="61" t="s">
        <v>88</v>
      </c>
      <c r="I7" s="61" t="s">
        <v>60</v>
      </c>
      <c r="J7" s="151" t="s">
        <v>3280</v>
      </c>
      <c r="K7" s="90"/>
      <c r="L7" s="67"/>
      <c r="M7" s="61"/>
      <c r="N7" s="61"/>
      <c r="O7" s="61"/>
      <c r="P7" s="61"/>
      <c r="Q7" s="61" t="s">
        <v>93</v>
      </c>
      <c r="R7" s="61" t="s">
        <v>94</v>
      </c>
      <c r="S7" s="61" t="s">
        <v>94</v>
      </c>
      <c r="T7" s="66">
        <v>46246.0</v>
      </c>
      <c r="U7" s="2"/>
      <c r="V7" s="2"/>
      <c r="W7" s="2"/>
      <c r="X7" s="2"/>
      <c r="Y7" s="2"/>
      <c r="Z7" s="2"/>
    </row>
    <row r="8" ht="13.5" customHeight="1">
      <c r="A8" s="67"/>
      <c r="B8" s="67"/>
      <c r="C8" s="67"/>
      <c r="D8" s="67"/>
      <c r="E8" s="61" t="s">
        <v>3281</v>
      </c>
      <c r="F8" s="62" t="s">
        <v>3282</v>
      </c>
      <c r="G8" s="63" t="s">
        <v>3283</v>
      </c>
      <c r="H8" s="61" t="s">
        <v>88</v>
      </c>
      <c r="I8" s="61" t="s">
        <v>2742</v>
      </c>
      <c r="J8" s="63" t="s">
        <v>3284</v>
      </c>
      <c r="K8" s="90"/>
      <c r="L8" s="67"/>
      <c r="M8" s="61"/>
      <c r="N8" s="61"/>
      <c r="O8" s="61"/>
      <c r="P8" s="61"/>
      <c r="Q8" s="61" t="s">
        <v>93</v>
      </c>
      <c r="R8" s="61" t="s">
        <v>94</v>
      </c>
      <c r="S8" s="61" t="s">
        <v>94</v>
      </c>
      <c r="T8" s="66">
        <v>46246.0</v>
      </c>
      <c r="U8" s="2"/>
      <c r="V8" s="2"/>
      <c r="W8" s="2"/>
      <c r="X8" s="2"/>
      <c r="Y8" s="2"/>
      <c r="Z8" s="2"/>
    </row>
    <row r="9" ht="13.5" customHeight="1">
      <c r="A9" s="67"/>
      <c r="B9" s="67"/>
      <c r="C9" s="67"/>
      <c r="D9" s="67"/>
      <c r="E9" s="61" t="s">
        <v>3285</v>
      </c>
      <c r="F9" s="68"/>
      <c r="G9" s="63" t="s">
        <v>3286</v>
      </c>
      <c r="H9" s="61" t="s">
        <v>88</v>
      </c>
      <c r="I9" s="61" t="s">
        <v>2742</v>
      </c>
      <c r="J9" s="63" t="s">
        <v>3287</v>
      </c>
      <c r="K9" s="90"/>
      <c r="L9" s="67"/>
      <c r="M9" s="61"/>
      <c r="N9" s="61"/>
      <c r="O9" s="61"/>
      <c r="P9" s="61"/>
      <c r="Q9" s="61" t="s">
        <v>93</v>
      </c>
      <c r="R9" s="61" t="s">
        <v>94</v>
      </c>
      <c r="S9" s="61" t="s">
        <v>94</v>
      </c>
      <c r="T9" s="66">
        <v>46246.0</v>
      </c>
      <c r="U9" s="2"/>
      <c r="V9" s="2"/>
      <c r="W9" s="2"/>
      <c r="X9" s="2"/>
      <c r="Y9" s="2"/>
      <c r="Z9" s="2"/>
    </row>
    <row r="10" ht="13.5" customHeight="1">
      <c r="A10" s="67"/>
      <c r="B10" s="67"/>
      <c r="C10" s="67"/>
      <c r="D10" s="67"/>
      <c r="E10" s="61" t="s">
        <v>3288</v>
      </c>
      <c r="F10" s="62" t="s">
        <v>3289</v>
      </c>
      <c r="G10" s="63" t="s">
        <v>3290</v>
      </c>
      <c r="H10" s="61" t="s">
        <v>88</v>
      </c>
      <c r="I10" s="61" t="s">
        <v>60</v>
      </c>
      <c r="J10" s="151" t="s">
        <v>3291</v>
      </c>
      <c r="K10" s="90"/>
      <c r="L10" s="67"/>
      <c r="M10" s="61"/>
      <c r="N10" s="61"/>
      <c r="O10" s="61"/>
      <c r="P10" s="61"/>
      <c r="Q10" s="61" t="s">
        <v>93</v>
      </c>
      <c r="R10" s="61" t="s">
        <v>94</v>
      </c>
      <c r="S10" s="61" t="s">
        <v>94</v>
      </c>
      <c r="T10" s="66">
        <v>46246.0</v>
      </c>
      <c r="U10" s="2"/>
      <c r="V10" s="2"/>
      <c r="W10" s="2"/>
      <c r="X10" s="2"/>
      <c r="Y10" s="2"/>
      <c r="Z10" s="2"/>
    </row>
    <row r="11" ht="13.5" customHeight="1">
      <c r="A11" s="77"/>
      <c r="B11" s="77"/>
      <c r="C11" s="77"/>
      <c r="D11" s="77"/>
      <c r="E11" s="61" t="s">
        <v>3292</v>
      </c>
      <c r="F11" s="68"/>
      <c r="G11" s="63" t="s">
        <v>3293</v>
      </c>
      <c r="H11" s="61" t="s">
        <v>88</v>
      </c>
      <c r="I11" s="61" t="s">
        <v>60</v>
      </c>
      <c r="J11" s="151" t="s">
        <v>3294</v>
      </c>
      <c r="K11" s="90"/>
      <c r="L11" s="77"/>
      <c r="M11" s="61"/>
      <c r="N11" s="61"/>
      <c r="O11" s="61"/>
      <c r="P11" s="61"/>
      <c r="Q11" s="61" t="s">
        <v>93</v>
      </c>
      <c r="R11" s="61" t="s">
        <v>94</v>
      </c>
      <c r="S11" s="61" t="s">
        <v>94</v>
      </c>
      <c r="T11" s="66">
        <v>46246.0</v>
      </c>
      <c r="U11" s="2"/>
      <c r="V11" s="2"/>
      <c r="W11" s="2"/>
      <c r="X11" s="2"/>
      <c r="Y11" s="2"/>
      <c r="Z11" s="2"/>
    </row>
    <row r="12" ht="13.5" customHeight="1">
      <c r="A12" s="78" t="s">
        <v>755</v>
      </c>
      <c r="B12" s="78" t="s">
        <v>765</v>
      </c>
      <c r="C12" s="79" t="s">
        <v>767</v>
      </c>
      <c r="D12" s="79" t="s">
        <v>3295</v>
      </c>
      <c r="E12" s="89" t="s">
        <v>3296</v>
      </c>
      <c r="F12" s="70" t="s">
        <v>3297</v>
      </c>
      <c r="G12" s="83" t="s">
        <v>3298</v>
      </c>
      <c r="H12" s="81" t="s">
        <v>88</v>
      </c>
      <c r="I12" s="81" t="s">
        <v>60</v>
      </c>
      <c r="J12" s="83" t="s">
        <v>3299</v>
      </c>
      <c r="K12" s="90"/>
      <c r="L12" s="79"/>
      <c r="M12" s="81"/>
      <c r="N12" s="81"/>
      <c r="O12" s="81"/>
      <c r="P12" s="89"/>
      <c r="Q12" s="89" t="s">
        <v>93</v>
      </c>
      <c r="R12" s="89" t="s">
        <v>94</v>
      </c>
      <c r="S12" s="89" t="s">
        <v>94</v>
      </c>
      <c r="T12" s="86">
        <v>46246.0</v>
      </c>
      <c r="U12" s="2"/>
      <c r="V12" s="2"/>
      <c r="W12" s="2"/>
      <c r="X12" s="2"/>
      <c r="Y12" s="2"/>
      <c r="Z12" s="2"/>
    </row>
    <row r="13" ht="13.5" customHeight="1">
      <c r="A13" s="67"/>
      <c r="B13" s="67"/>
      <c r="C13" s="67"/>
      <c r="D13" s="67"/>
      <c r="E13" s="89" t="s">
        <v>3300</v>
      </c>
      <c r="F13" s="70"/>
      <c r="G13" s="83" t="s">
        <v>3301</v>
      </c>
      <c r="H13" s="81" t="s">
        <v>88</v>
      </c>
      <c r="I13" s="81" t="s">
        <v>60</v>
      </c>
      <c r="J13" s="83" t="s">
        <v>3302</v>
      </c>
      <c r="K13" s="90"/>
      <c r="L13" s="67"/>
      <c r="M13" s="147"/>
      <c r="N13" s="147"/>
      <c r="O13" s="147"/>
      <c r="P13" s="147"/>
      <c r="Q13" s="89" t="s">
        <v>93</v>
      </c>
      <c r="R13" s="89" t="s">
        <v>94</v>
      </c>
      <c r="S13" s="89" t="s">
        <v>94</v>
      </c>
      <c r="T13" s="86">
        <v>46246.0</v>
      </c>
      <c r="U13" s="2"/>
      <c r="V13" s="2"/>
      <c r="W13" s="2"/>
      <c r="X13" s="2"/>
      <c r="Y13" s="2"/>
      <c r="Z13" s="2"/>
    </row>
    <row r="14" ht="13.5" customHeight="1">
      <c r="A14" s="77"/>
      <c r="B14" s="77"/>
      <c r="C14" s="77"/>
      <c r="D14" s="77"/>
      <c r="E14" s="89" t="s">
        <v>3303</v>
      </c>
      <c r="F14" s="70"/>
      <c r="G14" s="83" t="s">
        <v>3304</v>
      </c>
      <c r="H14" s="81" t="s">
        <v>88</v>
      </c>
      <c r="I14" s="81" t="s">
        <v>60</v>
      </c>
      <c r="J14" s="83" t="s">
        <v>3305</v>
      </c>
      <c r="K14" s="90"/>
      <c r="L14" s="77"/>
      <c r="M14" s="147"/>
      <c r="N14" s="147"/>
      <c r="O14" s="147"/>
      <c r="P14" s="147"/>
      <c r="Q14" s="89" t="s">
        <v>93</v>
      </c>
      <c r="R14" s="89" t="s">
        <v>94</v>
      </c>
      <c r="S14" s="89" t="s">
        <v>94</v>
      </c>
      <c r="T14" s="148">
        <v>46246.0</v>
      </c>
      <c r="U14" s="2"/>
      <c r="V14" s="2"/>
      <c r="W14" s="2"/>
      <c r="X14" s="2"/>
      <c r="Y14" s="2"/>
      <c r="Z14" s="2"/>
    </row>
    <row r="15" ht="13.5" customHeight="1">
      <c r="A15" s="59" t="s">
        <v>755</v>
      </c>
      <c r="B15" s="59" t="s">
        <v>772</v>
      </c>
      <c r="C15" s="60" t="s">
        <v>773</v>
      </c>
      <c r="D15" s="60" t="s">
        <v>3306</v>
      </c>
      <c r="E15" s="61" t="s">
        <v>3307</v>
      </c>
      <c r="F15" s="62" t="s">
        <v>3308</v>
      </c>
      <c r="G15" s="63" t="s">
        <v>3309</v>
      </c>
      <c r="H15" s="61" t="s">
        <v>88</v>
      </c>
      <c r="I15" s="61" t="s">
        <v>60</v>
      </c>
      <c r="J15" s="151" t="s">
        <v>3310</v>
      </c>
      <c r="K15" s="90"/>
      <c r="L15" s="60" t="s">
        <v>3311</v>
      </c>
      <c r="M15" s="61"/>
      <c r="N15" s="61"/>
      <c r="O15" s="61"/>
      <c r="P15" s="61"/>
      <c r="Q15" s="61" t="s">
        <v>93</v>
      </c>
      <c r="R15" s="61" t="s">
        <v>94</v>
      </c>
      <c r="S15" s="61" t="s">
        <v>94</v>
      </c>
      <c r="T15" s="66">
        <v>46246.0</v>
      </c>
      <c r="U15" s="2"/>
      <c r="V15" s="2"/>
      <c r="W15" s="2"/>
      <c r="X15" s="2"/>
      <c r="Y15" s="2"/>
      <c r="Z15" s="2"/>
    </row>
    <row r="16" ht="13.5" customHeight="1">
      <c r="A16" s="67"/>
      <c r="B16" s="67"/>
      <c r="C16" s="67"/>
      <c r="D16" s="67"/>
      <c r="E16" s="61" t="s">
        <v>3312</v>
      </c>
      <c r="F16" s="62"/>
      <c r="G16" s="63" t="s">
        <v>3313</v>
      </c>
      <c r="H16" s="61" t="s">
        <v>88</v>
      </c>
      <c r="I16" s="61" t="s">
        <v>60</v>
      </c>
      <c r="J16" s="151" t="s">
        <v>3314</v>
      </c>
      <c r="K16" s="90"/>
      <c r="L16" s="67"/>
      <c r="M16" s="61"/>
      <c r="N16" s="61"/>
      <c r="O16" s="61"/>
      <c r="P16" s="61"/>
      <c r="Q16" s="61" t="s">
        <v>93</v>
      </c>
      <c r="R16" s="61" t="s">
        <v>94</v>
      </c>
      <c r="S16" s="61" t="s">
        <v>94</v>
      </c>
      <c r="T16" s="66">
        <v>46246.0</v>
      </c>
      <c r="U16" s="2"/>
      <c r="V16" s="2"/>
      <c r="W16" s="2"/>
      <c r="X16" s="2"/>
      <c r="Y16" s="2"/>
      <c r="Z16" s="2"/>
    </row>
    <row r="17" ht="13.5" customHeight="1">
      <c r="A17" s="67"/>
      <c r="B17" s="67"/>
      <c r="C17" s="67"/>
      <c r="D17" s="67"/>
      <c r="E17" s="61" t="s">
        <v>3315</v>
      </c>
      <c r="F17" s="62" t="s">
        <v>3316</v>
      </c>
      <c r="G17" s="63" t="s">
        <v>3317</v>
      </c>
      <c r="H17" s="61" t="s">
        <v>88</v>
      </c>
      <c r="I17" s="61" t="s">
        <v>60</v>
      </c>
      <c r="J17" s="151" t="s">
        <v>3318</v>
      </c>
      <c r="K17" s="90"/>
      <c r="L17" s="67"/>
      <c r="M17" s="61"/>
      <c r="N17" s="61"/>
      <c r="O17" s="61"/>
      <c r="P17" s="61"/>
      <c r="Q17" s="61" t="s">
        <v>93</v>
      </c>
      <c r="R17" s="61" t="s">
        <v>94</v>
      </c>
      <c r="S17" s="61" t="s">
        <v>94</v>
      </c>
      <c r="T17" s="66">
        <v>46246.0</v>
      </c>
      <c r="U17" s="2"/>
      <c r="V17" s="2"/>
      <c r="W17" s="2"/>
      <c r="X17" s="2"/>
      <c r="Y17" s="2"/>
      <c r="Z17" s="2"/>
    </row>
    <row r="18" ht="13.5" customHeight="1">
      <c r="A18" s="67"/>
      <c r="B18" s="67"/>
      <c r="C18" s="67"/>
      <c r="D18" s="67"/>
      <c r="E18" s="61" t="s">
        <v>3319</v>
      </c>
      <c r="F18" s="62"/>
      <c r="G18" s="63" t="s">
        <v>3320</v>
      </c>
      <c r="H18" s="61" t="s">
        <v>88</v>
      </c>
      <c r="I18" s="61" t="s">
        <v>60</v>
      </c>
      <c r="J18" s="151" t="s">
        <v>3321</v>
      </c>
      <c r="K18" s="90"/>
      <c r="L18" s="67"/>
      <c r="M18" s="61"/>
      <c r="N18" s="61"/>
      <c r="O18" s="61"/>
      <c r="P18" s="61"/>
      <c r="Q18" s="61" t="s">
        <v>93</v>
      </c>
      <c r="R18" s="61" t="s">
        <v>94</v>
      </c>
      <c r="S18" s="61" t="s">
        <v>94</v>
      </c>
      <c r="T18" s="66">
        <v>46246.0</v>
      </c>
      <c r="U18" s="2"/>
      <c r="V18" s="2"/>
      <c r="W18" s="2"/>
      <c r="X18" s="2"/>
      <c r="Y18" s="2"/>
      <c r="Z18" s="2"/>
    </row>
    <row r="19" ht="13.5" customHeight="1">
      <c r="A19" s="67"/>
      <c r="B19" s="67"/>
      <c r="C19" s="67"/>
      <c r="D19" s="67"/>
      <c r="E19" s="61" t="s">
        <v>3322</v>
      </c>
      <c r="F19" s="62" t="s">
        <v>3323</v>
      </c>
      <c r="G19" s="63" t="s">
        <v>3324</v>
      </c>
      <c r="H19" s="61" t="s">
        <v>88</v>
      </c>
      <c r="I19" s="61" t="s">
        <v>60</v>
      </c>
      <c r="J19" s="151" t="s">
        <v>3325</v>
      </c>
      <c r="K19" s="90"/>
      <c r="L19" s="67"/>
      <c r="M19" s="61"/>
      <c r="N19" s="61"/>
      <c r="O19" s="61"/>
      <c r="P19" s="61"/>
      <c r="Q19" s="61" t="s">
        <v>93</v>
      </c>
      <c r="R19" s="61" t="s">
        <v>94</v>
      </c>
      <c r="S19" s="61" t="s">
        <v>94</v>
      </c>
      <c r="T19" s="66">
        <v>46246.0</v>
      </c>
      <c r="U19" s="2"/>
      <c r="V19" s="2"/>
      <c r="W19" s="2"/>
      <c r="X19" s="2"/>
      <c r="Y19" s="2"/>
      <c r="Z19" s="2"/>
    </row>
    <row r="20" ht="13.5" customHeight="1">
      <c r="A20" s="77"/>
      <c r="B20" s="77"/>
      <c r="C20" s="77"/>
      <c r="D20" s="77"/>
      <c r="E20" s="61" t="s">
        <v>3326</v>
      </c>
      <c r="F20" s="62"/>
      <c r="G20" s="63" t="s">
        <v>3327</v>
      </c>
      <c r="H20" s="61" t="s">
        <v>88</v>
      </c>
      <c r="I20" s="61" t="s">
        <v>60</v>
      </c>
      <c r="J20" s="151" t="s">
        <v>3328</v>
      </c>
      <c r="K20" s="90"/>
      <c r="L20" s="77"/>
      <c r="M20" s="61"/>
      <c r="N20" s="61"/>
      <c r="O20" s="61"/>
      <c r="P20" s="61"/>
      <c r="Q20" s="61" t="s">
        <v>93</v>
      </c>
      <c r="R20" s="61" t="s">
        <v>94</v>
      </c>
      <c r="S20" s="61" t="s">
        <v>94</v>
      </c>
      <c r="T20" s="66">
        <v>46246.0</v>
      </c>
      <c r="U20" s="2"/>
      <c r="V20" s="2"/>
      <c r="W20" s="2"/>
      <c r="X20" s="2"/>
      <c r="Y20" s="2"/>
      <c r="Z20" s="2"/>
    </row>
    <row r="21" ht="13.5" customHeight="1">
      <c r="A21" s="78" t="s">
        <v>755</v>
      </c>
      <c r="B21" s="78" t="s">
        <v>780</v>
      </c>
      <c r="C21" s="79" t="s">
        <v>781</v>
      </c>
      <c r="D21" s="79" t="s">
        <v>3329</v>
      </c>
      <c r="E21" s="89" t="s">
        <v>3330</v>
      </c>
      <c r="F21" s="70" t="s">
        <v>3331</v>
      </c>
      <c r="G21" s="83" t="s">
        <v>3332</v>
      </c>
      <c r="H21" s="81" t="s">
        <v>88</v>
      </c>
      <c r="I21" s="81" t="s">
        <v>60</v>
      </c>
      <c r="J21" s="117" t="s">
        <v>3333</v>
      </c>
      <c r="K21" s="90"/>
      <c r="L21" s="79" t="s">
        <v>3334</v>
      </c>
      <c r="M21" s="147"/>
      <c r="N21" s="147"/>
      <c r="O21" s="147"/>
      <c r="P21" s="147"/>
      <c r="Q21" s="89" t="s">
        <v>93</v>
      </c>
      <c r="R21" s="89" t="s">
        <v>94</v>
      </c>
      <c r="S21" s="89" t="s">
        <v>94</v>
      </c>
      <c r="T21" s="86">
        <v>46246.0</v>
      </c>
      <c r="U21" s="2"/>
      <c r="V21" s="2"/>
      <c r="W21" s="2"/>
      <c r="X21" s="2"/>
      <c r="Y21" s="2"/>
      <c r="Z21" s="2"/>
    </row>
    <row r="22" ht="13.5" customHeight="1">
      <c r="A22" s="67"/>
      <c r="B22" s="67"/>
      <c r="C22" s="67"/>
      <c r="D22" s="67"/>
      <c r="E22" s="89" t="s">
        <v>3335</v>
      </c>
      <c r="F22" s="70"/>
      <c r="G22" s="83" t="s">
        <v>3336</v>
      </c>
      <c r="H22" s="81" t="s">
        <v>88</v>
      </c>
      <c r="I22" s="81" t="s">
        <v>60</v>
      </c>
      <c r="J22" s="117" t="s">
        <v>3337</v>
      </c>
      <c r="K22" s="90"/>
      <c r="L22" s="67"/>
      <c r="M22" s="147"/>
      <c r="N22" s="147"/>
      <c r="O22" s="147"/>
      <c r="P22" s="147"/>
      <c r="Q22" s="89" t="s">
        <v>93</v>
      </c>
      <c r="R22" s="89" t="s">
        <v>94</v>
      </c>
      <c r="S22" s="89" t="s">
        <v>94</v>
      </c>
      <c r="T22" s="148">
        <v>46246.0</v>
      </c>
      <c r="U22" s="2"/>
      <c r="V22" s="2"/>
      <c r="W22" s="2"/>
      <c r="X22" s="2"/>
      <c r="Y22" s="2"/>
      <c r="Z22" s="2"/>
    </row>
    <row r="23" ht="13.5" customHeight="1">
      <c r="A23" s="67"/>
      <c r="B23" s="67"/>
      <c r="C23" s="67"/>
      <c r="D23" s="67"/>
      <c r="E23" s="89" t="s">
        <v>3338</v>
      </c>
      <c r="F23" s="70" t="s">
        <v>3339</v>
      </c>
      <c r="G23" s="83" t="s">
        <v>3340</v>
      </c>
      <c r="H23" s="81" t="s">
        <v>88</v>
      </c>
      <c r="I23" s="81" t="s">
        <v>60</v>
      </c>
      <c r="J23" s="117" t="s">
        <v>3341</v>
      </c>
      <c r="K23" s="90"/>
      <c r="L23" s="67"/>
      <c r="M23" s="147"/>
      <c r="N23" s="147"/>
      <c r="O23" s="147"/>
      <c r="P23" s="147"/>
      <c r="Q23" s="89" t="s">
        <v>93</v>
      </c>
      <c r="R23" s="89" t="s">
        <v>94</v>
      </c>
      <c r="S23" s="89" t="s">
        <v>94</v>
      </c>
      <c r="T23" s="148">
        <v>46246.0</v>
      </c>
      <c r="U23" s="2"/>
      <c r="V23" s="2"/>
      <c r="W23" s="2"/>
      <c r="X23" s="2"/>
      <c r="Y23" s="2"/>
      <c r="Z23" s="2"/>
    </row>
    <row r="24" ht="13.5" customHeight="1">
      <c r="A24" s="67"/>
      <c r="B24" s="67"/>
      <c r="C24" s="67"/>
      <c r="D24" s="67"/>
      <c r="E24" s="89" t="s">
        <v>3342</v>
      </c>
      <c r="F24" s="70"/>
      <c r="G24" s="83" t="s">
        <v>3343</v>
      </c>
      <c r="H24" s="81" t="s">
        <v>88</v>
      </c>
      <c r="I24" s="81" t="s">
        <v>60</v>
      </c>
      <c r="J24" s="117" t="s">
        <v>3344</v>
      </c>
      <c r="K24" s="90"/>
      <c r="L24" s="67"/>
      <c r="M24" s="147"/>
      <c r="N24" s="147"/>
      <c r="O24" s="147"/>
      <c r="P24" s="147"/>
      <c r="Q24" s="89" t="s">
        <v>93</v>
      </c>
      <c r="R24" s="89" t="s">
        <v>94</v>
      </c>
      <c r="S24" s="89" t="s">
        <v>94</v>
      </c>
      <c r="T24" s="148">
        <v>46246.0</v>
      </c>
      <c r="U24" s="2"/>
      <c r="V24" s="2"/>
      <c r="W24" s="2"/>
      <c r="X24" s="2"/>
      <c r="Y24" s="2"/>
      <c r="Z24" s="2"/>
    </row>
    <row r="25" ht="13.5" customHeight="1">
      <c r="A25" s="67"/>
      <c r="B25" s="67"/>
      <c r="C25" s="67"/>
      <c r="D25" s="67"/>
      <c r="E25" s="89" t="s">
        <v>3345</v>
      </c>
      <c r="F25" s="70" t="s">
        <v>3346</v>
      </c>
      <c r="G25" s="83" t="s">
        <v>3347</v>
      </c>
      <c r="H25" s="81" t="s">
        <v>88</v>
      </c>
      <c r="I25" s="81" t="s">
        <v>60</v>
      </c>
      <c r="J25" s="117" t="s">
        <v>3348</v>
      </c>
      <c r="K25" s="90"/>
      <c r="L25" s="67"/>
      <c r="M25" s="147"/>
      <c r="N25" s="147"/>
      <c r="O25" s="147"/>
      <c r="P25" s="147"/>
      <c r="Q25" s="89" t="s">
        <v>93</v>
      </c>
      <c r="R25" s="89" t="s">
        <v>94</v>
      </c>
      <c r="S25" s="89" t="s">
        <v>94</v>
      </c>
      <c r="T25" s="148">
        <v>46246.0</v>
      </c>
      <c r="U25" s="2"/>
      <c r="V25" s="2"/>
      <c r="W25" s="2"/>
      <c r="X25" s="2"/>
      <c r="Y25" s="2"/>
      <c r="Z25" s="2"/>
    </row>
    <row r="26" ht="13.5" customHeight="1">
      <c r="A26" s="77"/>
      <c r="B26" s="77"/>
      <c r="C26" s="77"/>
      <c r="D26" s="77"/>
      <c r="E26" s="89" t="s">
        <v>3349</v>
      </c>
      <c r="F26" s="70"/>
      <c r="G26" s="83" t="s">
        <v>3350</v>
      </c>
      <c r="H26" s="81" t="s">
        <v>88</v>
      </c>
      <c r="I26" s="81" t="s">
        <v>60</v>
      </c>
      <c r="J26" s="83" t="s">
        <v>3351</v>
      </c>
      <c r="K26" s="90"/>
      <c r="L26" s="77"/>
      <c r="M26" s="147"/>
      <c r="N26" s="147"/>
      <c r="O26" s="147"/>
      <c r="P26" s="147"/>
      <c r="Q26" s="89" t="s">
        <v>93</v>
      </c>
      <c r="R26" s="89" t="s">
        <v>94</v>
      </c>
      <c r="S26" s="89" t="s">
        <v>94</v>
      </c>
      <c r="T26" s="148">
        <v>46246.0</v>
      </c>
      <c r="U26" s="2"/>
      <c r="V26" s="2"/>
      <c r="W26" s="2"/>
      <c r="X26" s="2"/>
      <c r="Y26" s="2"/>
      <c r="Z26" s="2"/>
    </row>
    <row r="27" ht="13.5" customHeight="1">
      <c r="A27" s="59" t="s">
        <v>755</v>
      </c>
      <c r="B27" s="59" t="s">
        <v>786</v>
      </c>
      <c r="C27" s="60" t="s">
        <v>787</v>
      </c>
      <c r="D27" s="60" t="s">
        <v>3352</v>
      </c>
      <c r="E27" s="61" t="s">
        <v>3353</v>
      </c>
      <c r="F27" s="62" t="s">
        <v>3354</v>
      </c>
      <c r="G27" s="63" t="s">
        <v>3355</v>
      </c>
      <c r="H27" s="61" t="s">
        <v>88</v>
      </c>
      <c r="I27" s="61" t="s">
        <v>60</v>
      </c>
      <c r="J27" s="151" t="s">
        <v>3356</v>
      </c>
      <c r="K27" s="90"/>
      <c r="L27" s="60" t="s">
        <v>3357</v>
      </c>
      <c r="M27" s="61"/>
      <c r="N27" s="61"/>
      <c r="O27" s="61"/>
      <c r="P27" s="61"/>
      <c r="Q27" s="61" t="s">
        <v>93</v>
      </c>
      <c r="R27" s="61" t="s">
        <v>94</v>
      </c>
      <c r="S27" s="61" t="s">
        <v>94</v>
      </c>
      <c r="T27" s="66">
        <v>46246.0</v>
      </c>
      <c r="U27" s="2"/>
      <c r="V27" s="2"/>
      <c r="W27" s="2"/>
      <c r="X27" s="2"/>
      <c r="Y27" s="2"/>
      <c r="Z27" s="2"/>
    </row>
    <row r="28" ht="13.5" customHeight="1">
      <c r="A28" s="67"/>
      <c r="B28" s="67"/>
      <c r="C28" s="67"/>
      <c r="D28" s="67"/>
      <c r="E28" s="61" t="s">
        <v>3358</v>
      </c>
      <c r="F28" s="62"/>
      <c r="G28" s="63" t="s">
        <v>3359</v>
      </c>
      <c r="H28" s="61" t="s">
        <v>88</v>
      </c>
      <c r="I28" s="61" t="s">
        <v>60</v>
      </c>
      <c r="J28" s="151" t="s">
        <v>3360</v>
      </c>
      <c r="K28" s="90"/>
      <c r="L28" s="67"/>
      <c r="M28" s="61"/>
      <c r="N28" s="61"/>
      <c r="O28" s="61"/>
      <c r="P28" s="61"/>
      <c r="Q28" s="61" t="s">
        <v>93</v>
      </c>
      <c r="R28" s="61" t="s">
        <v>94</v>
      </c>
      <c r="S28" s="61" t="s">
        <v>94</v>
      </c>
      <c r="T28" s="66">
        <v>46246.0</v>
      </c>
      <c r="U28" s="2"/>
      <c r="V28" s="2"/>
      <c r="W28" s="2"/>
      <c r="X28" s="2"/>
      <c r="Y28" s="2"/>
      <c r="Z28" s="2"/>
    </row>
    <row r="29" ht="13.5" customHeight="1">
      <c r="A29" s="77"/>
      <c r="B29" s="77"/>
      <c r="C29" s="77"/>
      <c r="D29" s="77"/>
      <c r="E29" s="61" t="s">
        <v>3361</v>
      </c>
      <c r="F29" s="62"/>
      <c r="G29" s="63" t="s">
        <v>3362</v>
      </c>
      <c r="H29" s="61" t="s">
        <v>88</v>
      </c>
      <c r="I29" s="61" t="s">
        <v>60</v>
      </c>
      <c r="J29" s="151" t="s">
        <v>3363</v>
      </c>
      <c r="K29" s="90"/>
      <c r="L29" s="77"/>
      <c r="M29" s="61"/>
      <c r="N29" s="61"/>
      <c r="O29" s="61"/>
      <c r="P29" s="61"/>
      <c r="Q29" s="61" t="s">
        <v>93</v>
      </c>
      <c r="R29" s="61" t="s">
        <v>94</v>
      </c>
      <c r="S29" s="61" t="s">
        <v>94</v>
      </c>
      <c r="T29" s="66">
        <v>46246.0</v>
      </c>
      <c r="U29" s="2"/>
      <c r="V29" s="2"/>
      <c r="W29" s="2"/>
      <c r="X29" s="2"/>
      <c r="Y29" s="2"/>
      <c r="Z29" s="2"/>
    </row>
    <row r="30" ht="13.5" customHeight="1">
      <c r="A30" s="78" t="s">
        <v>755</v>
      </c>
      <c r="B30" s="78" t="s">
        <v>796</v>
      </c>
      <c r="C30" s="79" t="s">
        <v>3364</v>
      </c>
      <c r="D30" s="79" t="s">
        <v>3365</v>
      </c>
      <c r="E30" s="89" t="s">
        <v>3366</v>
      </c>
      <c r="F30" s="70" t="s">
        <v>2243</v>
      </c>
      <c r="G30" s="83" t="s">
        <v>3367</v>
      </c>
      <c r="H30" s="81" t="s">
        <v>88</v>
      </c>
      <c r="I30" s="81" t="s">
        <v>60</v>
      </c>
      <c r="J30" s="117" t="s">
        <v>3368</v>
      </c>
      <c r="K30" s="90"/>
      <c r="L30" s="79"/>
      <c r="M30" s="147"/>
      <c r="N30" s="147"/>
      <c r="O30" s="147"/>
      <c r="P30" s="147"/>
      <c r="Q30" s="89" t="s">
        <v>93</v>
      </c>
      <c r="R30" s="89" t="s">
        <v>94</v>
      </c>
      <c r="S30" s="89" t="s">
        <v>94</v>
      </c>
      <c r="T30" s="86">
        <v>46246.0</v>
      </c>
      <c r="U30" s="2"/>
      <c r="V30" s="2"/>
      <c r="W30" s="2"/>
      <c r="X30" s="2"/>
      <c r="Y30" s="2"/>
      <c r="Z30" s="2"/>
    </row>
    <row r="31" ht="13.5" customHeight="1">
      <c r="A31" s="67"/>
      <c r="B31" s="67"/>
      <c r="C31" s="67"/>
      <c r="D31" s="67"/>
      <c r="E31" s="89" t="s">
        <v>3369</v>
      </c>
      <c r="F31" s="70"/>
      <c r="G31" s="83" t="s">
        <v>3370</v>
      </c>
      <c r="H31" s="81" t="s">
        <v>88</v>
      </c>
      <c r="I31" s="81" t="s">
        <v>60</v>
      </c>
      <c r="J31" s="117" t="s">
        <v>3371</v>
      </c>
      <c r="K31" s="90"/>
      <c r="L31" s="67"/>
      <c r="M31" s="147"/>
      <c r="N31" s="147"/>
      <c r="O31" s="147"/>
      <c r="P31" s="147"/>
      <c r="Q31" s="89" t="s">
        <v>93</v>
      </c>
      <c r="R31" s="89" t="s">
        <v>94</v>
      </c>
      <c r="S31" s="89" t="s">
        <v>94</v>
      </c>
      <c r="T31" s="148">
        <v>46246.0</v>
      </c>
      <c r="U31" s="2"/>
      <c r="V31" s="2"/>
      <c r="W31" s="2"/>
      <c r="X31" s="2"/>
      <c r="Y31" s="2"/>
      <c r="Z31" s="2"/>
    </row>
    <row r="32" ht="13.5" customHeight="1">
      <c r="A32" s="67"/>
      <c r="B32" s="67"/>
      <c r="C32" s="67"/>
      <c r="D32" s="67"/>
      <c r="E32" s="89" t="s">
        <v>3372</v>
      </c>
      <c r="F32" s="70" t="s">
        <v>3373</v>
      </c>
      <c r="G32" s="83" t="s">
        <v>3374</v>
      </c>
      <c r="H32" s="81" t="s">
        <v>88</v>
      </c>
      <c r="I32" s="81" t="s">
        <v>60</v>
      </c>
      <c r="J32" s="117" t="s">
        <v>3375</v>
      </c>
      <c r="K32" s="90"/>
      <c r="L32" s="67"/>
      <c r="M32" s="147"/>
      <c r="N32" s="147"/>
      <c r="O32" s="147"/>
      <c r="P32" s="147"/>
      <c r="Q32" s="89" t="s">
        <v>93</v>
      </c>
      <c r="R32" s="89" t="s">
        <v>94</v>
      </c>
      <c r="S32" s="89" t="s">
        <v>94</v>
      </c>
      <c r="T32" s="148">
        <v>46246.0</v>
      </c>
      <c r="U32" s="2"/>
      <c r="V32" s="2"/>
      <c r="W32" s="2"/>
      <c r="X32" s="2"/>
      <c r="Y32" s="2"/>
      <c r="Z32" s="2"/>
    </row>
    <row r="33" ht="13.5" customHeight="1">
      <c r="A33" s="77"/>
      <c r="B33" s="77"/>
      <c r="C33" s="77"/>
      <c r="D33" s="77"/>
      <c r="E33" s="89" t="s">
        <v>3376</v>
      </c>
      <c r="F33" s="70"/>
      <c r="G33" s="83" t="s">
        <v>3377</v>
      </c>
      <c r="H33" s="81" t="s">
        <v>88</v>
      </c>
      <c r="I33" s="81" t="s">
        <v>60</v>
      </c>
      <c r="J33" s="117" t="s">
        <v>3378</v>
      </c>
      <c r="K33" s="90"/>
      <c r="L33" s="77"/>
      <c r="M33" s="147"/>
      <c r="N33" s="147"/>
      <c r="O33" s="147"/>
      <c r="P33" s="147"/>
      <c r="Q33" s="89" t="s">
        <v>93</v>
      </c>
      <c r="R33" s="89" t="s">
        <v>94</v>
      </c>
      <c r="S33" s="89" t="s">
        <v>94</v>
      </c>
      <c r="T33" s="148">
        <v>46246.0</v>
      </c>
      <c r="U33" s="2"/>
      <c r="V33" s="2"/>
      <c r="W33" s="2"/>
      <c r="X33" s="2"/>
      <c r="Y33" s="2"/>
      <c r="Z33" s="2"/>
    </row>
    <row r="34" ht="13.5" customHeight="1">
      <c r="A34" s="59" t="s">
        <v>755</v>
      </c>
      <c r="B34" s="59" t="s">
        <v>805</v>
      </c>
      <c r="C34" s="59" t="s">
        <v>806</v>
      </c>
      <c r="D34" s="60" t="s">
        <v>3379</v>
      </c>
      <c r="E34" s="61" t="s">
        <v>3380</v>
      </c>
      <c r="F34" s="62" t="s">
        <v>3381</v>
      </c>
      <c r="G34" s="63" t="s">
        <v>3381</v>
      </c>
      <c r="H34" s="61" t="s">
        <v>88</v>
      </c>
      <c r="I34" s="61" t="s">
        <v>60</v>
      </c>
      <c r="J34" s="151" t="s">
        <v>3382</v>
      </c>
      <c r="K34" s="90"/>
      <c r="L34" s="205"/>
      <c r="M34" s="61"/>
      <c r="N34" s="61"/>
      <c r="O34" s="61"/>
      <c r="P34" s="61"/>
      <c r="Q34" s="61" t="s">
        <v>93</v>
      </c>
      <c r="R34" s="61" t="s">
        <v>94</v>
      </c>
      <c r="S34" s="61" t="s">
        <v>94</v>
      </c>
      <c r="T34" s="66">
        <v>46246.0</v>
      </c>
      <c r="U34" s="2"/>
      <c r="V34" s="2"/>
      <c r="W34" s="2"/>
      <c r="X34" s="2"/>
      <c r="Y34" s="2"/>
      <c r="Z34" s="2"/>
    </row>
    <row r="35" ht="13.5" customHeight="1">
      <c r="A35" s="77"/>
      <c r="B35" s="77"/>
      <c r="C35" s="77"/>
      <c r="D35" s="77"/>
      <c r="E35" s="61" t="s">
        <v>3383</v>
      </c>
      <c r="F35" s="62" t="s">
        <v>3384</v>
      </c>
      <c r="G35" s="63" t="s">
        <v>3385</v>
      </c>
      <c r="H35" s="61" t="s">
        <v>88</v>
      </c>
      <c r="I35" s="61" t="s">
        <v>60</v>
      </c>
      <c r="J35" s="151" t="s">
        <v>3386</v>
      </c>
      <c r="K35" s="90"/>
      <c r="L35" s="77"/>
      <c r="M35" s="61"/>
      <c r="N35" s="61"/>
      <c r="O35" s="61"/>
      <c r="P35" s="61"/>
      <c r="Q35" s="61" t="s">
        <v>93</v>
      </c>
      <c r="R35" s="61" t="s">
        <v>94</v>
      </c>
      <c r="S35" s="61" t="s">
        <v>94</v>
      </c>
      <c r="T35" s="66">
        <v>46246.0</v>
      </c>
      <c r="U35" s="2"/>
      <c r="V35" s="2"/>
      <c r="W35" s="2"/>
      <c r="X35" s="2"/>
      <c r="Y35" s="2"/>
      <c r="Z35" s="2"/>
    </row>
    <row r="36" ht="13.5" customHeight="1">
      <c r="A36" s="78" t="s">
        <v>755</v>
      </c>
      <c r="B36" s="78" t="s">
        <v>814</v>
      </c>
      <c r="C36" s="79" t="s">
        <v>815</v>
      </c>
      <c r="D36" s="79" t="s">
        <v>3387</v>
      </c>
      <c r="E36" s="89" t="s">
        <v>3388</v>
      </c>
      <c r="F36" s="70" t="s">
        <v>3389</v>
      </c>
      <c r="G36" s="83" t="s">
        <v>3389</v>
      </c>
      <c r="H36" s="81" t="s">
        <v>88</v>
      </c>
      <c r="I36" s="81" t="s">
        <v>60</v>
      </c>
      <c r="J36" s="117" t="s">
        <v>3390</v>
      </c>
      <c r="K36" s="90"/>
      <c r="L36" s="206"/>
      <c r="M36" s="147"/>
      <c r="N36" s="147"/>
      <c r="O36" s="147"/>
      <c r="P36" s="147"/>
      <c r="Q36" s="89" t="s">
        <v>93</v>
      </c>
      <c r="R36" s="89" t="s">
        <v>94</v>
      </c>
      <c r="S36" s="89" t="s">
        <v>94</v>
      </c>
      <c r="T36" s="86">
        <v>46246.0</v>
      </c>
      <c r="U36" s="2"/>
      <c r="V36" s="2"/>
      <c r="W36" s="2"/>
      <c r="X36" s="2"/>
      <c r="Y36" s="2"/>
      <c r="Z36" s="2"/>
    </row>
    <row r="37" ht="13.5" customHeight="1">
      <c r="A37" s="67"/>
      <c r="B37" s="67"/>
      <c r="C37" s="67"/>
      <c r="D37" s="67"/>
      <c r="E37" s="89" t="s">
        <v>3391</v>
      </c>
      <c r="F37" s="70" t="s">
        <v>3392</v>
      </c>
      <c r="G37" s="83" t="s">
        <v>3392</v>
      </c>
      <c r="H37" s="81" t="s">
        <v>88</v>
      </c>
      <c r="I37" s="81" t="s">
        <v>60</v>
      </c>
      <c r="J37" s="117" t="s">
        <v>3393</v>
      </c>
      <c r="K37" s="90"/>
      <c r="L37" s="67"/>
      <c r="M37" s="85"/>
      <c r="N37" s="85"/>
      <c r="O37" s="85"/>
      <c r="P37" s="85"/>
      <c r="Q37" s="89" t="s">
        <v>93</v>
      </c>
      <c r="R37" s="89" t="s">
        <v>94</v>
      </c>
      <c r="S37" s="89" t="s">
        <v>94</v>
      </c>
      <c r="T37" s="148">
        <v>46246.0</v>
      </c>
      <c r="U37" s="2"/>
      <c r="V37" s="2"/>
      <c r="W37" s="2"/>
      <c r="X37" s="2"/>
      <c r="Y37" s="2"/>
      <c r="Z37" s="2"/>
    </row>
    <row r="38" ht="13.5" customHeight="1">
      <c r="A38" s="67"/>
      <c r="B38" s="67"/>
      <c r="C38" s="67"/>
      <c r="D38" s="67"/>
      <c r="E38" s="89" t="s">
        <v>3394</v>
      </c>
      <c r="F38" s="70" t="s">
        <v>3395</v>
      </c>
      <c r="G38" s="83" t="s">
        <v>3395</v>
      </c>
      <c r="H38" s="81" t="s">
        <v>88</v>
      </c>
      <c r="I38" s="81" t="s">
        <v>60</v>
      </c>
      <c r="J38" s="117" t="s">
        <v>3396</v>
      </c>
      <c r="K38" s="90"/>
      <c r="L38" s="67"/>
      <c r="M38" s="85"/>
      <c r="N38" s="85"/>
      <c r="O38" s="85"/>
      <c r="P38" s="85"/>
      <c r="Q38" s="89" t="s">
        <v>93</v>
      </c>
      <c r="R38" s="89" t="s">
        <v>94</v>
      </c>
      <c r="S38" s="89" t="s">
        <v>94</v>
      </c>
      <c r="T38" s="148">
        <v>46246.0</v>
      </c>
      <c r="U38" s="2"/>
      <c r="V38" s="2"/>
      <c r="W38" s="2"/>
      <c r="X38" s="2"/>
      <c r="Y38" s="2"/>
      <c r="Z38" s="2"/>
    </row>
    <row r="39" ht="13.5" customHeight="1">
      <c r="A39" s="67"/>
      <c r="B39" s="67"/>
      <c r="C39" s="67"/>
      <c r="D39" s="67"/>
      <c r="E39" s="89" t="s">
        <v>3397</v>
      </c>
      <c r="F39" s="70" t="s">
        <v>3398</v>
      </c>
      <c r="G39" s="83" t="s">
        <v>3398</v>
      </c>
      <c r="H39" s="81" t="s">
        <v>88</v>
      </c>
      <c r="I39" s="81" t="s">
        <v>60</v>
      </c>
      <c r="J39" s="117" t="s">
        <v>3399</v>
      </c>
      <c r="K39" s="90"/>
      <c r="L39" s="67"/>
      <c r="M39" s="85"/>
      <c r="N39" s="85"/>
      <c r="O39" s="85"/>
      <c r="P39" s="85"/>
      <c r="Q39" s="89" t="s">
        <v>93</v>
      </c>
      <c r="R39" s="89" t="s">
        <v>94</v>
      </c>
      <c r="S39" s="89" t="s">
        <v>94</v>
      </c>
      <c r="T39" s="148">
        <v>46246.0</v>
      </c>
      <c r="U39" s="2"/>
      <c r="V39" s="2"/>
      <c r="W39" s="2"/>
      <c r="X39" s="2"/>
      <c r="Y39" s="2"/>
      <c r="Z39" s="2"/>
    </row>
    <row r="40" ht="13.5" customHeight="1">
      <c r="A40" s="77"/>
      <c r="B40" s="77"/>
      <c r="C40" s="77"/>
      <c r="D40" s="77"/>
      <c r="E40" s="89" t="s">
        <v>3400</v>
      </c>
      <c r="F40" s="70" t="s">
        <v>3401</v>
      </c>
      <c r="G40" s="83" t="s">
        <v>3401</v>
      </c>
      <c r="H40" s="81" t="s">
        <v>88</v>
      </c>
      <c r="I40" s="81" t="s">
        <v>60</v>
      </c>
      <c r="J40" s="83" t="s">
        <v>3402</v>
      </c>
      <c r="K40" s="90"/>
      <c r="L40" s="77"/>
      <c r="M40" s="85"/>
      <c r="N40" s="85"/>
      <c r="O40" s="85"/>
      <c r="P40" s="85"/>
      <c r="Q40" s="89" t="s">
        <v>93</v>
      </c>
      <c r="R40" s="89" t="s">
        <v>94</v>
      </c>
      <c r="S40" s="89" t="s">
        <v>94</v>
      </c>
      <c r="T40" s="148">
        <v>46246.0</v>
      </c>
      <c r="U40" s="2"/>
      <c r="V40" s="2"/>
      <c r="W40" s="2"/>
      <c r="X40" s="2"/>
      <c r="Y40" s="2"/>
      <c r="Z40" s="2"/>
    </row>
    <row r="41" ht="13.5" customHeight="1">
      <c r="A41" s="49"/>
      <c r="B41" s="49"/>
      <c r="C41" s="49"/>
      <c r="D41" s="49"/>
      <c r="E41" s="49"/>
      <c r="F41" s="49"/>
      <c r="G41" s="49"/>
      <c r="H41" s="49"/>
      <c r="I41" s="49"/>
      <c r="J41" s="49"/>
      <c r="K41" s="49"/>
      <c r="L41" s="49"/>
      <c r="M41" s="49"/>
      <c r="N41" s="49"/>
      <c r="O41" s="49"/>
      <c r="P41" s="49"/>
      <c r="Q41" s="49"/>
      <c r="R41" s="49"/>
      <c r="S41" s="49"/>
      <c r="T41" s="49"/>
      <c r="U41" s="2"/>
      <c r="V41" s="2"/>
      <c r="W41" s="2"/>
      <c r="X41" s="2"/>
      <c r="Y41" s="2"/>
      <c r="Z41" s="2"/>
    </row>
    <row r="42" ht="13.5" customHeight="1">
      <c r="A42" s="49"/>
      <c r="B42" s="49"/>
      <c r="C42" s="49"/>
      <c r="D42" s="49"/>
      <c r="E42" s="49"/>
      <c r="F42" s="49"/>
      <c r="G42" s="49"/>
      <c r="H42" s="49"/>
      <c r="I42" s="49"/>
      <c r="J42" s="49"/>
      <c r="K42" s="49"/>
      <c r="L42" s="49"/>
      <c r="M42" s="49"/>
      <c r="N42" s="49"/>
      <c r="O42" s="49"/>
      <c r="P42" s="49"/>
      <c r="Q42" s="49"/>
      <c r="R42" s="49"/>
      <c r="S42" s="49"/>
      <c r="T42" s="49"/>
      <c r="U42" s="2"/>
      <c r="V42" s="2"/>
      <c r="W42" s="2"/>
      <c r="X42" s="2"/>
      <c r="Y42" s="2"/>
      <c r="Z42" s="2"/>
    </row>
    <row r="43" ht="13.5" customHeight="1">
      <c r="A43" s="49"/>
      <c r="B43" s="49"/>
      <c r="C43" s="49"/>
      <c r="D43" s="49"/>
      <c r="E43" s="49"/>
      <c r="F43" s="49"/>
      <c r="G43" s="49"/>
      <c r="H43" s="49"/>
      <c r="I43" s="49"/>
      <c r="J43" s="49"/>
      <c r="K43" s="49"/>
      <c r="L43" s="49"/>
      <c r="M43" s="49"/>
      <c r="N43" s="49"/>
      <c r="O43" s="49"/>
      <c r="P43" s="49"/>
      <c r="Q43" s="49"/>
      <c r="R43" s="49"/>
      <c r="S43" s="49"/>
      <c r="T43" s="49"/>
      <c r="U43" s="2"/>
      <c r="V43" s="2"/>
      <c r="W43" s="2"/>
      <c r="X43" s="2"/>
      <c r="Y43" s="2"/>
      <c r="Z43" s="2"/>
    </row>
    <row r="44" ht="13.5" customHeight="1">
      <c r="A44" s="49"/>
      <c r="B44" s="49"/>
      <c r="C44" s="49"/>
      <c r="D44" s="49"/>
      <c r="E44" s="49"/>
      <c r="F44" s="49"/>
      <c r="G44" s="49"/>
      <c r="H44" s="49"/>
      <c r="I44" s="49"/>
      <c r="J44" s="49"/>
      <c r="K44" s="49"/>
      <c r="L44" s="49"/>
      <c r="M44" s="49"/>
      <c r="N44" s="49"/>
      <c r="O44" s="49"/>
      <c r="P44" s="49"/>
      <c r="Q44" s="49"/>
      <c r="R44" s="49"/>
      <c r="S44" s="49"/>
      <c r="T44" s="49"/>
      <c r="U44" s="2"/>
      <c r="V44" s="2"/>
      <c r="W44" s="2"/>
      <c r="X44" s="2"/>
      <c r="Y44" s="2"/>
      <c r="Z44" s="2"/>
    </row>
    <row r="45" ht="13.5" customHeight="1">
      <c r="A45" s="49"/>
      <c r="B45" s="49"/>
      <c r="C45" s="49"/>
      <c r="D45" s="49"/>
      <c r="E45" s="49"/>
      <c r="F45" s="49"/>
      <c r="G45" s="49"/>
      <c r="H45" s="49"/>
      <c r="I45" s="49"/>
      <c r="J45" s="49"/>
      <c r="K45" s="49"/>
      <c r="L45" s="49"/>
      <c r="M45" s="49"/>
      <c r="N45" s="49"/>
      <c r="O45" s="49"/>
      <c r="P45" s="49"/>
      <c r="Q45" s="49"/>
      <c r="R45" s="49"/>
      <c r="S45" s="49"/>
      <c r="T45" s="49"/>
      <c r="U45" s="2"/>
      <c r="V45" s="2"/>
      <c r="W45" s="2"/>
      <c r="X45" s="2"/>
      <c r="Y45" s="2"/>
      <c r="Z45" s="2"/>
    </row>
    <row r="46" ht="13.5" customHeight="1">
      <c r="A46" s="49"/>
      <c r="B46" s="49"/>
      <c r="C46" s="49"/>
      <c r="D46" s="49"/>
      <c r="E46" s="49"/>
      <c r="F46" s="49"/>
      <c r="G46" s="49"/>
      <c r="H46" s="49"/>
      <c r="I46" s="49"/>
      <c r="J46" s="49"/>
      <c r="K46" s="49"/>
      <c r="L46" s="49"/>
      <c r="M46" s="49"/>
      <c r="N46" s="49"/>
      <c r="O46" s="49"/>
      <c r="P46" s="49"/>
      <c r="Q46" s="49"/>
      <c r="R46" s="49"/>
      <c r="S46" s="49"/>
      <c r="T46" s="49"/>
      <c r="U46" s="2"/>
      <c r="V46" s="2"/>
      <c r="W46" s="2"/>
      <c r="X46" s="2"/>
      <c r="Y46" s="2"/>
      <c r="Z46" s="2"/>
    </row>
    <row r="47" ht="13.5" customHeight="1">
      <c r="A47" s="49"/>
      <c r="B47" s="49"/>
      <c r="C47" s="49"/>
      <c r="D47" s="49"/>
      <c r="E47" s="49"/>
      <c r="F47" s="49"/>
      <c r="G47" s="49"/>
      <c r="H47" s="49"/>
      <c r="I47" s="49"/>
      <c r="J47" s="49"/>
      <c r="K47" s="49"/>
      <c r="L47" s="49"/>
      <c r="M47" s="49"/>
      <c r="N47" s="49"/>
      <c r="O47" s="49"/>
      <c r="P47" s="49"/>
      <c r="Q47" s="49"/>
      <c r="R47" s="49"/>
      <c r="S47" s="49"/>
      <c r="T47" s="49"/>
      <c r="U47" s="2"/>
      <c r="V47" s="2"/>
      <c r="W47" s="2"/>
      <c r="X47" s="2"/>
      <c r="Y47" s="2"/>
      <c r="Z47" s="2"/>
    </row>
    <row r="48" ht="13.5" customHeight="1">
      <c r="A48" s="49"/>
      <c r="B48" s="49"/>
      <c r="C48" s="49"/>
      <c r="D48" s="49"/>
      <c r="E48" s="49"/>
      <c r="F48" s="49"/>
      <c r="G48" s="49"/>
      <c r="H48" s="49"/>
      <c r="I48" s="49"/>
      <c r="J48" s="49"/>
      <c r="K48" s="49"/>
      <c r="L48" s="49"/>
      <c r="M48" s="49"/>
      <c r="N48" s="49"/>
      <c r="O48" s="49"/>
      <c r="P48" s="49"/>
      <c r="Q48" s="49"/>
      <c r="R48" s="49"/>
      <c r="S48" s="49"/>
      <c r="T48" s="49"/>
      <c r="U48" s="2"/>
      <c r="V48" s="2"/>
      <c r="W48" s="2"/>
      <c r="X48" s="2"/>
      <c r="Y48" s="2"/>
      <c r="Z48" s="2"/>
    </row>
    <row r="49" ht="13.5" customHeight="1">
      <c r="A49" s="49"/>
      <c r="B49" s="49"/>
      <c r="C49" s="49"/>
      <c r="D49" s="49"/>
      <c r="E49" s="49"/>
      <c r="F49" s="49"/>
      <c r="G49" s="49"/>
      <c r="H49" s="49"/>
      <c r="I49" s="49"/>
      <c r="J49" s="49"/>
      <c r="K49" s="49"/>
      <c r="L49" s="49"/>
      <c r="M49" s="49"/>
      <c r="N49" s="49"/>
      <c r="O49" s="49"/>
      <c r="P49" s="49"/>
      <c r="Q49" s="49"/>
      <c r="R49" s="49"/>
      <c r="S49" s="49"/>
      <c r="T49" s="49"/>
      <c r="U49" s="2"/>
      <c r="V49" s="2"/>
      <c r="W49" s="2"/>
      <c r="X49" s="2"/>
      <c r="Y49" s="2"/>
      <c r="Z49" s="2"/>
    </row>
    <row r="50" ht="13.5" customHeight="1">
      <c r="A50" s="49"/>
      <c r="B50" s="49"/>
      <c r="C50" s="49"/>
      <c r="D50" s="49"/>
      <c r="E50" s="49"/>
      <c r="F50" s="49"/>
      <c r="G50" s="49"/>
      <c r="H50" s="49"/>
      <c r="I50" s="49"/>
      <c r="J50" s="49"/>
      <c r="K50" s="49"/>
      <c r="L50" s="49"/>
      <c r="M50" s="49"/>
      <c r="N50" s="49"/>
      <c r="O50" s="49"/>
      <c r="P50" s="49"/>
      <c r="Q50" s="49"/>
      <c r="R50" s="49"/>
      <c r="S50" s="49"/>
      <c r="T50" s="49"/>
      <c r="U50" s="2"/>
      <c r="V50" s="2"/>
      <c r="W50" s="2"/>
      <c r="X50" s="2"/>
      <c r="Y50" s="2"/>
      <c r="Z50" s="2"/>
    </row>
    <row r="51" ht="13.5" customHeight="1">
      <c r="A51" s="49"/>
      <c r="B51" s="49"/>
      <c r="C51" s="49"/>
      <c r="D51" s="49"/>
      <c r="E51" s="49"/>
      <c r="F51" s="49"/>
      <c r="G51" s="49"/>
      <c r="H51" s="49"/>
      <c r="I51" s="49"/>
      <c r="J51" s="49"/>
      <c r="K51" s="49"/>
      <c r="L51" s="49"/>
      <c r="M51" s="49"/>
      <c r="N51" s="49"/>
      <c r="O51" s="49"/>
      <c r="P51" s="49"/>
      <c r="Q51" s="49"/>
      <c r="R51" s="49"/>
      <c r="S51" s="49"/>
      <c r="T51" s="49"/>
      <c r="U51" s="2"/>
      <c r="V51" s="2"/>
      <c r="W51" s="2"/>
      <c r="X51" s="2"/>
      <c r="Y51" s="2"/>
      <c r="Z51" s="2"/>
    </row>
    <row r="52" ht="13.5" customHeight="1">
      <c r="A52" s="49"/>
      <c r="B52" s="49"/>
      <c r="C52" s="49"/>
      <c r="D52" s="49"/>
      <c r="E52" s="49"/>
      <c r="F52" s="49"/>
      <c r="G52" s="49"/>
      <c r="H52" s="49"/>
      <c r="I52" s="49"/>
      <c r="J52" s="49"/>
      <c r="K52" s="49"/>
      <c r="L52" s="49"/>
      <c r="M52" s="49"/>
      <c r="N52" s="49"/>
      <c r="O52" s="49"/>
      <c r="P52" s="49"/>
      <c r="Q52" s="49"/>
      <c r="R52" s="49"/>
      <c r="S52" s="49"/>
      <c r="T52" s="49"/>
      <c r="U52" s="2"/>
      <c r="V52" s="2"/>
      <c r="W52" s="2"/>
      <c r="X52" s="2"/>
      <c r="Y52" s="2"/>
      <c r="Z52" s="2"/>
    </row>
    <row r="53" ht="13.5" customHeight="1">
      <c r="A53" s="49"/>
      <c r="B53" s="49"/>
      <c r="C53" s="49"/>
      <c r="D53" s="49"/>
      <c r="E53" s="49"/>
      <c r="F53" s="49"/>
      <c r="G53" s="49"/>
      <c r="H53" s="49"/>
      <c r="I53" s="49"/>
      <c r="J53" s="49"/>
      <c r="K53" s="49"/>
      <c r="L53" s="49"/>
      <c r="M53" s="49"/>
      <c r="N53" s="49"/>
      <c r="O53" s="49"/>
      <c r="P53" s="49"/>
      <c r="Q53" s="49"/>
      <c r="R53" s="49"/>
      <c r="S53" s="49"/>
      <c r="T53" s="49"/>
      <c r="U53" s="2"/>
      <c r="V53" s="2"/>
      <c r="W53" s="2"/>
      <c r="X53" s="2"/>
      <c r="Y53" s="2"/>
      <c r="Z53" s="2"/>
    </row>
    <row r="54" ht="13.5" customHeight="1">
      <c r="A54" s="49"/>
      <c r="B54" s="49"/>
      <c r="C54" s="49"/>
      <c r="D54" s="49"/>
      <c r="E54" s="49"/>
      <c r="F54" s="49"/>
      <c r="G54" s="49"/>
      <c r="H54" s="49"/>
      <c r="I54" s="49"/>
      <c r="J54" s="49"/>
      <c r="K54" s="49"/>
      <c r="L54" s="49"/>
      <c r="M54" s="49"/>
      <c r="N54" s="49"/>
      <c r="O54" s="49"/>
      <c r="P54" s="49"/>
      <c r="Q54" s="49"/>
      <c r="R54" s="49"/>
      <c r="S54" s="49"/>
      <c r="T54" s="49"/>
      <c r="U54" s="2"/>
      <c r="V54" s="2"/>
      <c r="W54" s="2"/>
      <c r="X54" s="2"/>
      <c r="Y54" s="2"/>
      <c r="Z54" s="2"/>
    </row>
    <row r="55" ht="13.5" customHeight="1">
      <c r="A55" s="49"/>
      <c r="B55" s="49"/>
      <c r="C55" s="49"/>
      <c r="D55" s="49"/>
      <c r="E55" s="49"/>
      <c r="F55" s="49"/>
      <c r="G55" s="49"/>
      <c r="H55" s="49"/>
      <c r="I55" s="49"/>
      <c r="J55" s="49"/>
      <c r="K55" s="49"/>
      <c r="L55" s="49"/>
      <c r="M55" s="49"/>
      <c r="N55" s="49"/>
      <c r="O55" s="49"/>
      <c r="P55" s="49"/>
      <c r="Q55" s="49"/>
      <c r="R55" s="49"/>
      <c r="S55" s="49"/>
      <c r="T55" s="49"/>
      <c r="U55" s="2"/>
      <c r="V55" s="2"/>
      <c r="W55" s="2"/>
      <c r="X55" s="2"/>
      <c r="Y55" s="2"/>
      <c r="Z55" s="2"/>
    </row>
    <row r="56" ht="13.5" customHeight="1">
      <c r="A56" s="49"/>
      <c r="B56" s="49"/>
      <c r="C56" s="49"/>
      <c r="D56" s="49"/>
      <c r="E56" s="49"/>
      <c r="F56" s="49"/>
      <c r="G56" s="49"/>
      <c r="H56" s="49"/>
      <c r="I56" s="49"/>
      <c r="J56" s="49"/>
      <c r="K56" s="49"/>
      <c r="L56" s="49"/>
      <c r="M56" s="49"/>
      <c r="N56" s="49"/>
      <c r="O56" s="49"/>
      <c r="P56" s="49"/>
      <c r="Q56" s="49"/>
      <c r="R56" s="49"/>
      <c r="S56" s="49"/>
      <c r="T56" s="49"/>
      <c r="U56" s="2"/>
      <c r="V56" s="2"/>
      <c r="W56" s="2"/>
      <c r="X56" s="2"/>
      <c r="Y56" s="2"/>
      <c r="Z56" s="2"/>
    </row>
    <row r="57" ht="13.5" customHeight="1">
      <c r="A57" s="49"/>
      <c r="B57" s="49"/>
      <c r="C57" s="49"/>
      <c r="D57" s="49"/>
      <c r="E57" s="49"/>
      <c r="F57" s="49"/>
      <c r="G57" s="49"/>
      <c r="H57" s="49"/>
      <c r="I57" s="49"/>
      <c r="J57" s="49"/>
      <c r="K57" s="49"/>
      <c r="L57" s="49"/>
      <c r="M57" s="49"/>
      <c r="N57" s="49"/>
      <c r="O57" s="49"/>
      <c r="P57" s="49"/>
      <c r="Q57" s="49"/>
      <c r="R57" s="49"/>
      <c r="S57" s="49"/>
      <c r="T57" s="49"/>
      <c r="U57" s="2"/>
      <c r="V57" s="2"/>
      <c r="W57" s="2"/>
      <c r="X57" s="2"/>
      <c r="Y57" s="2"/>
      <c r="Z57" s="2"/>
    </row>
    <row r="58" ht="13.5" customHeight="1">
      <c r="A58" s="49"/>
      <c r="B58" s="49"/>
      <c r="C58" s="49"/>
      <c r="D58" s="49"/>
      <c r="E58" s="49"/>
      <c r="F58" s="49"/>
      <c r="G58" s="49"/>
      <c r="H58" s="49"/>
      <c r="I58" s="49"/>
      <c r="J58" s="49"/>
      <c r="K58" s="49"/>
      <c r="L58" s="49"/>
      <c r="M58" s="49"/>
      <c r="N58" s="49"/>
      <c r="O58" s="49"/>
      <c r="P58" s="49"/>
      <c r="Q58" s="49"/>
      <c r="R58" s="49"/>
      <c r="S58" s="49"/>
      <c r="T58" s="49"/>
      <c r="U58" s="2"/>
      <c r="V58" s="2"/>
      <c r="W58" s="2"/>
      <c r="X58" s="2"/>
      <c r="Y58" s="2"/>
      <c r="Z58" s="2"/>
    </row>
    <row r="59" ht="13.5" customHeight="1">
      <c r="A59" s="49"/>
      <c r="B59" s="49"/>
      <c r="C59" s="49"/>
      <c r="D59" s="49"/>
      <c r="E59" s="49"/>
      <c r="F59" s="49"/>
      <c r="G59" s="49"/>
      <c r="H59" s="49"/>
      <c r="I59" s="49"/>
      <c r="J59" s="49"/>
      <c r="K59" s="49"/>
      <c r="L59" s="49"/>
      <c r="M59" s="49"/>
      <c r="N59" s="49"/>
      <c r="O59" s="49"/>
      <c r="P59" s="49"/>
      <c r="Q59" s="49"/>
      <c r="R59" s="49"/>
      <c r="S59" s="49"/>
      <c r="T59" s="49"/>
      <c r="U59" s="2"/>
      <c r="V59" s="2"/>
      <c r="W59" s="2"/>
      <c r="X59" s="2"/>
      <c r="Y59" s="2"/>
      <c r="Z59" s="2"/>
    </row>
    <row r="60" ht="13.5" customHeight="1">
      <c r="A60" s="49"/>
      <c r="B60" s="49"/>
      <c r="C60" s="49"/>
      <c r="D60" s="49"/>
      <c r="E60" s="49"/>
      <c r="F60" s="49"/>
      <c r="G60" s="49"/>
      <c r="H60" s="49"/>
      <c r="I60" s="49"/>
      <c r="J60" s="49"/>
      <c r="K60" s="49"/>
      <c r="L60" s="49"/>
      <c r="M60" s="49"/>
      <c r="N60" s="49"/>
      <c r="O60" s="49"/>
      <c r="P60" s="49"/>
      <c r="Q60" s="49"/>
      <c r="R60" s="49"/>
      <c r="S60" s="49"/>
      <c r="T60" s="49"/>
      <c r="U60" s="2"/>
      <c r="V60" s="2"/>
      <c r="W60" s="2"/>
      <c r="X60" s="2"/>
      <c r="Y60" s="2"/>
      <c r="Z60" s="2"/>
    </row>
    <row r="61" ht="13.5" customHeight="1">
      <c r="A61" s="49"/>
      <c r="B61" s="49"/>
      <c r="C61" s="49"/>
      <c r="D61" s="49"/>
      <c r="E61" s="49"/>
      <c r="F61" s="49"/>
      <c r="G61" s="49"/>
      <c r="H61" s="49"/>
      <c r="I61" s="49"/>
      <c r="J61" s="49"/>
      <c r="K61" s="49"/>
      <c r="L61" s="49"/>
      <c r="M61" s="49"/>
      <c r="N61" s="49"/>
      <c r="O61" s="49"/>
      <c r="P61" s="49"/>
      <c r="Q61" s="49"/>
      <c r="R61" s="49"/>
      <c r="S61" s="49"/>
      <c r="T61" s="49"/>
      <c r="U61" s="2"/>
      <c r="V61" s="2"/>
      <c r="W61" s="2"/>
      <c r="X61" s="2"/>
      <c r="Y61" s="2"/>
      <c r="Z61" s="2"/>
    </row>
    <row r="62" ht="13.5" customHeight="1">
      <c r="A62" s="49"/>
      <c r="B62" s="49"/>
      <c r="C62" s="49"/>
      <c r="D62" s="49"/>
      <c r="E62" s="49"/>
      <c r="F62" s="49"/>
      <c r="G62" s="49"/>
      <c r="H62" s="49"/>
      <c r="I62" s="49"/>
      <c r="J62" s="49"/>
      <c r="K62" s="49"/>
      <c r="L62" s="49"/>
      <c r="M62" s="49"/>
      <c r="N62" s="49"/>
      <c r="O62" s="49"/>
      <c r="P62" s="49"/>
      <c r="Q62" s="49"/>
      <c r="R62" s="49"/>
      <c r="S62" s="49"/>
      <c r="T62" s="49"/>
      <c r="U62" s="2"/>
      <c r="V62" s="2"/>
      <c r="W62" s="2"/>
      <c r="X62" s="2"/>
      <c r="Y62" s="2"/>
      <c r="Z62" s="2"/>
    </row>
    <row r="63" ht="13.5" customHeight="1">
      <c r="A63" s="49"/>
      <c r="B63" s="49"/>
      <c r="C63" s="49"/>
      <c r="D63" s="49"/>
      <c r="E63" s="49"/>
      <c r="F63" s="49"/>
      <c r="G63" s="49"/>
      <c r="H63" s="49"/>
      <c r="I63" s="49"/>
      <c r="J63" s="49"/>
      <c r="K63" s="49"/>
      <c r="L63" s="49"/>
      <c r="M63" s="49"/>
      <c r="N63" s="49"/>
      <c r="O63" s="49"/>
      <c r="P63" s="49"/>
      <c r="Q63" s="49"/>
      <c r="R63" s="49"/>
      <c r="S63" s="49"/>
      <c r="T63" s="49"/>
      <c r="U63" s="2"/>
      <c r="V63" s="2"/>
      <c r="W63" s="2"/>
      <c r="X63" s="2"/>
      <c r="Y63" s="2"/>
      <c r="Z63" s="2"/>
    </row>
    <row r="64" ht="13.5" customHeight="1">
      <c r="A64" s="49"/>
      <c r="B64" s="49"/>
      <c r="C64" s="49"/>
      <c r="D64" s="49"/>
      <c r="E64" s="49"/>
      <c r="F64" s="49"/>
      <c r="G64" s="49"/>
      <c r="H64" s="49"/>
      <c r="I64" s="49"/>
      <c r="J64" s="49"/>
      <c r="K64" s="49"/>
      <c r="L64" s="49"/>
      <c r="M64" s="49"/>
      <c r="N64" s="49"/>
      <c r="O64" s="49"/>
      <c r="P64" s="49"/>
      <c r="Q64" s="49"/>
      <c r="R64" s="49"/>
      <c r="S64" s="49"/>
      <c r="T64" s="49"/>
      <c r="U64" s="2"/>
      <c r="V64" s="2"/>
      <c r="W64" s="2"/>
      <c r="X64" s="2"/>
      <c r="Y64" s="2"/>
      <c r="Z64" s="2"/>
    </row>
    <row r="65" ht="13.5" customHeight="1">
      <c r="A65" s="49"/>
      <c r="B65" s="49"/>
      <c r="C65" s="49"/>
      <c r="D65" s="49"/>
      <c r="E65" s="49"/>
      <c r="F65" s="49"/>
      <c r="G65" s="49"/>
      <c r="H65" s="49"/>
      <c r="I65" s="49"/>
      <c r="J65" s="49"/>
      <c r="K65" s="49"/>
      <c r="L65" s="49"/>
      <c r="M65" s="49"/>
      <c r="N65" s="49"/>
      <c r="O65" s="49"/>
      <c r="P65" s="49"/>
      <c r="Q65" s="49"/>
      <c r="R65" s="49"/>
      <c r="S65" s="49"/>
      <c r="T65" s="49"/>
      <c r="U65" s="2"/>
      <c r="V65" s="2"/>
      <c r="W65" s="2"/>
      <c r="X65" s="2"/>
      <c r="Y65" s="2"/>
      <c r="Z65" s="2"/>
    </row>
    <row r="66" ht="13.5" customHeight="1">
      <c r="A66" s="49"/>
      <c r="B66" s="49"/>
      <c r="C66" s="49"/>
      <c r="D66" s="49"/>
      <c r="E66" s="49"/>
      <c r="F66" s="49"/>
      <c r="G66" s="49"/>
      <c r="H66" s="49"/>
      <c r="I66" s="49"/>
      <c r="J66" s="49"/>
      <c r="K66" s="49"/>
      <c r="L66" s="49"/>
      <c r="M66" s="49"/>
      <c r="N66" s="49"/>
      <c r="O66" s="49"/>
      <c r="P66" s="49"/>
      <c r="Q66" s="49"/>
      <c r="R66" s="49"/>
      <c r="S66" s="49"/>
      <c r="T66" s="49"/>
      <c r="U66" s="2"/>
      <c r="V66" s="2"/>
      <c r="W66" s="2"/>
      <c r="X66" s="2"/>
      <c r="Y66" s="2"/>
      <c r="Z66" s="2"/>
    </row>
    <row r="67" ht="13.5" customHeight="1">
      <c r="A67" s="49"/>
      <c r="B67" s="49"/>
      <c r="C67" s="49"/>
      <c r="D67" s="49"/>
      <c r="E67" s="49"/>
      <c r="F67" s="49"/>
      <c r="G67" s="49"/>
      <c r="H67" s="49"/>
      <c r="I67" s="49"/>
      <c r="J67" s="49"/>
      <c r="K67" s="49"/>
      <c r="L67" s="49"/>
      <c r="M67" s="49"/>
      <c r="N67" s="49"/>
      <c r="O67" s="49"/>
      <c r="P67" s="49"/>
      <c r="Q67" s="49"/>
      <c r="R67" s="49"/>
      <c r="S67" s="49"/>
      <c r="T67" s="49"/>
      <c r="U67" s="2"/>
      <c r="V67" s="2"/>
      <c r="W67" s="2"/>
      <c r="X67" s="2"/>
      <c r="Y67" s="2"/>
      <c r="Z67" s="2"/>
    </row>
    <row r="68" ht="13.5" customHeight="1">
      <c r="A68" s="49"/>
      <c r="B68" s="49"/>
      <c r="C68" s="49"/>
      <c r="D68" s="49"/>
      <c r="E68" s="49"/>
      <c r="F68" s="49"/>
      <c r="G68" s="49"/>
      <c r="H68" s="49"/>
      <c r="I68" s="49"/>
      <c r="J68" s="49"/>
      <c r="K68" s="49"/>
      <c r="L68" s="49"/>
      <c r="M68" s="49"/>
      <c r="N68" s="49"/>
      <c r="O68" s="49"/>
      <c r="P68" s="49"/>
      <c r="Q68" s="49"/>
      <c r="R68" s="49"/>
      <c r="S68" s="49"/>
      <c r="T68" s="49"/>
      <c r="U68" s="2"/>
      <c r="V68" s="2"/>
      <c r="W68" s="2"/>
      <c r="X68" s="2"/>
      <c r="Y68" s="2"/>
      <c r="Z68" s="2"/>
    </row>
    <row r="69" ht="13.5" customHeight="1">
      <c r="A69" s="49"/>
      <c r="B69" s="49"/>
      <c r="C69" s="49"/>
      <c r="D69" s="49"/>
      <c r="E69" s="49"/>
      <c r="F69" s="49"/>
      <c r="G69" s="49"/>
      <c r="H69" s="49"/>
      <c r="I69" s="49"/>
      <c r="J69" s="49"/>
      <c r="K69" s="49"/>
      <c r="L69" s="49"/>
      <c r="M69" s="49"/>
      <c r="N69" s="49"/>
      <c r="O69" s="49"/>
      <c r="P69" s="49"/>
      <c r="Q69" s="49"/>
      <c r="R69" s="49"/>
      <c r="S69" s="49"/>
      <c r="T69" s="49"/>
      <c r="U69" s="2"/>
      <c r="V69" s="2"/>
      <c r="W69" s="2"/>
      <c r="X69" s="2"/>
      <c r="Y69" s="2"/>
      <c r="Z69" s="2"/>
    </row>
    <row r="70" ht="13.5" customHeight="1">
      <c r="A70" s="49"/>
      <c r="B70" s="49"/>
      <c r="C70" s="49"/>
      <c r="D70" s="49"/>
      <c r="E70" s="49"/>
      <c r="F70" s="49"/>
      <c r="G70" s="49"/>
      <c r="H70" s="49"/>
      <c r="I70" s="49"/>
      <c r="J70" s="49"/>
      <c r="K70" s="49"/>
      <c r="L70" s="49"/>
      <c r="M70" s="49"/>
      <c r="N70" s="49"/>
      <c r="O70" s="49"/>
      <c r="P70" s="49"/>
      <c r="Q70" s="49"/>
      <c r="R70" s="49"/>
      <c r="S70" s="49"/>
      <c r="T70" s="49"/>
      <c r="U70" s="2"/>
      <c r="V70" s="2"/>
      <c r="W70" s="2"/>
      <c r="X70" s="2"/>
      <c r="Y70" s="2"/>
      <c r="Z70" s="2"/>
    </row>
    <row r="71" ht="13.5" customHeight="1">
      <c r="A71" s="49"/>
      <c r="B71" s="49"/>
      <c r="C71" s="49"/>
      <c r="D71" s="49"/>
      <c r="E71" s="49"/>
      <c r="F71" s="49"/>
      <c r="G71" s="49"/>
      <c r="H71" s="49"/>
      <c r="I71" s="49"/>
      <c r="J71" s="49"/>
      <c r="K71" s="49"/>
      <c r="L71" s="49"/>
      <c r="M71" s="49"/>
      <c r="N71" s="49"/>
      <c r="O71" s="49"/>
      <c r="P71" s="49"/>
      <c r="Q71" s="49"/>
      <c r="R71" s="49"/>
      <c r="S71" s="49"/>
      <c r="T71" s="49"/>
      <c r="U71" s="2"/>
      <c r="V71" s="2"/>
      <c r="W71" s="2"/>
      <c r="X71" s="2"/>
      <c r="Y71" s="2"/>
      <c r="Z71" s="2"/>
    </row>
    <row r="72" ht="13.5" customHeight="1">
      <c r="A72" s="49"/>
      <c r="B72" s="49"/>
      <c r="C72" s="49"/>
      <c r="D72" s="49"/>
      <c r="E72" s="49"/>
      <c r="F72" s="49"/>
      <c r="G72" s="49"/>
      <c r="H72" s="49"/>
      <c r="I72" s="49"/>
      <c r="J72" s="49"/>
      <c r="K72" s="49"/>
      <c r="L72" s="49"/>
      <c r="M72" s="49"/>
      <c r="N72" s="49"/>
      <c r="O72" s="49"/>
      <c r="P72" s="49"/>
      <c r="Q72" s="49"/>
      <c r="R72" s="49"/>
      <c r="S72" s="49"/>
      <c r="T72" s="49"/>
      <c r="U72" s="2"/>
      <c r="V72" s="2"/>
      <c r="W72" s="2"/>
      <c r="X72" s="2"/>
      <c r="Y72" s="2"/>
      <c r="Z72" s="2"/>
    </row>
    <row r="73" ht="13.5" customHeight="1">
      <c r="A73" s="49"/>
      <c r="B73" s="49"/>
      <c r="C73" s="49"/>
      <c r="D73" s="49"/>
      <c r="E73" s="49"/>
      <c r="F73" s="49"/>
      <c r="G73" s="49"/>
      <c r="H73" s="49"/>
      <c r="I73" s="49"/>
      <c r="J73" s="49"/>
      <c r="K73" s="49"/>
      <c r="L73" s="49"/>
      <c r="M73" s="49"/>
      <c r="N73" s="49"/>
      <c r="O73" s="49"/>
      <c r="P73" s="49"/>
      <c r="Q73" s="49"/>
      <c r="R73" s="49"/>
      <c r="S73" s="49"/>
      <c r="T73" s="49"/>
      <c r="U73" s="2"/>
      <c r="V73" s="2"/>
      <c r="W73" s="2"/>
      <c r="X73" s="2"/>
      <c r="Y73" s="2"/>
      <c r="Z73" s="2"/>
    </row>
    <row r="74" ht="13.5" customHeight="1">
      <c r="A74" s="49"/>
      <c r="B74" s="49"/>
      <c r="C74" s="49"/>
      <c r="D74" s="49"/>
      <c r="E74" s="49"/>
      <c r="F74" s="49"/>
      <c r="G74" s="49"/>
      <c r="H74" s="49"/>
      <c r="I74" s="49"/>
      <c r="J74" s="49"/>
      <c r="K74" s="49"/>
      <c r="L74" s="49"/>
      <c r="M74" s="49"/>
      <c r="N74" s="49"/>
      <c r="O74" s="49"/>
      <c r="P74" s="49"/>
      <c r="Q74" s="49"/>
      <c r="R74" s="49"/>
      <c r="S74" s="49"/>
      <c r="T74" s="49"/>
      <c r="U74" s="2"/>
      <c r="V74" s="2"/>
      <c r="W74" s="2"/>
      <c r="X74" s="2"/>
      <c r="Y74" s="2"/>
      <c r="Z74" s="2"/>
    </row>
    <row r="75" ht="13.5" customHeight="1">
      <c r="A75" s="49"/>
      <c r="B75" s="49"/>
      <c r="C75" s="49"/>
      <c r="D75" s="49"/>
      <c r="E75" s="49"/>
      <c r="F75" s="49"/>
      <c r="G75" s="49"/>
      <c r="H75" s="49"/>
      <c r="I75" s="49"/>
      <c r="J75" s="49"/>
      <c r="K75" s="49"/>
      <c r="L75" s="49"/>
      <c r="M75" s="49"/>
      <c r="N75" s="49"/>
      <c r="O75" s="49"/>
      <c r="P75" s="49"/>
      <c r="Q75" s="49"/>
      <c r="R75" s="49"/>
      <c r="S75" s="49"/>
      <c r="T75" s="49"/>
      <c r="U75" s="2"/>
      <c r="V75" s="2"/>
      <c r="W75" s="2"/>
      <c r="X75" s="2"/>
      <c r="Y75" s="2"/>
      <c r="Z75" s="2"/>
    </row>
    <row r="76" ht="13.5" customHeight="1">
      <c r="A76" s="49"/>
      <c r="B76" s="49"/>
      <c r="C76" s="49"/>
      <c r="D76" s="49"/>
      <c r="E76" s="49"/>
      <c r="F76" s="49"/>
      <c r="G76" s="49"/>
      <c r="H76" s="49"/>
      <c r="I76" s="49"/>
      <c r="J76" s="49"/>
      <c r="K76" s="49"/>
      <c r="L76" s="49"/>
      <c r="M76" s="49"/>
      <c r="N76" s="49"/>
      <c r="O76" s="49"/>
      <c r="P76" s="49"/>
      <c r="Q76" s="49"/>
      <c r="R76" s="49"/>
      <c r="S76" s="49"/>
      <c r="T76" s="49"/>
      <c r="U76" s="2"/>
      <c r="V76" s="2"/>
      <c r="W76" s="2"/>
      <c r="X76" s="2"/>
      <c r="Y76" s="2"/>
      <c r="Z76" s="2"/>
    </row>
    <row r="77" ht="13.5" customHeight="1">
      <c r="A77" s="49"/>
      <c r="B77" s="49"/>
      <c r="C77" s="49"/>
      <c r="D77" s="49"/>
      <c r="E77" s="49"/>
      <c r="F77" s="49"/>
      <c r="G77" s="49"/>
      <c r="H77" s="49"/>
      <c r="I77" s="49"/>
      <c r="J77" s="49"/>
      <c r="K77" s="49"/>
      <c r="L77" s="49"/>
      <c r="M77" s="49"/>
      <c r="N77" s="49"/>
      <c r="O77" s="49"/>
      <c r="P77" s="49"/>
      <c r="Q77" s="49"/>
      <c r="R77" s="49"/>
      <c r="S77" s="49"/>
      <c r="T77" s="49"/>
      <c r="U77" s="2"/>
      <c r="V77" s="2"/>
      <c r="W77" s="2"/>
      <c r="X77" s="2"/>
      <c r="Y77" s="2"/>
      <c r="Z77" s="2"/>
    </row>
    <row r="78" ht="13.5" customHeight="1">
      <c r="A78" s="49"/>
      <c r="B78" s="49"/>
      <c r="C78" s="49"/>
      <c r="D78" s="49"/>
      <c r="E78" s="49"/>
      <c r="F78" s="49"/>
      <c r="G78" s="49"/>
      <c r="H78" s="49"/>
      <c r="I78" s="49"/>
      <c r="J78" s="49"/>
      <c r="K78" s="49"/>
      <c r="L78" s="49"/>
      <c r="M78" s="49"/>
      <c r="N78" s="49"/>
      <c r="O78" s="49"/>
      <c r="P78" s="49"/>
      <c r="Q78" s="49"/>
      <c r="R78" s="49"/>
      <c r="S78" s="49"/>
      <c r="T78" s="49"/>
      <c r="U78" s="2"/>
      <c r="V78" s="2"/>
      <c r="W78" s="2"/>
      <c r="X78" s="2"/>
      <c r="Y78" s="2"/>
      <c r="Z78" s="2"/>
    </row>
    <row r="79" ht="13.5" customHeight="1">
      <c r="A79" s="49"/>
      <c r="B79" s="49"/>
      <c r="C79" s="49"/>
      <c r="D79" s="49"/>
      <c r="E79" s="49"/>
      <c r="F79" s="49"/>
      <c r="G79" s="49"/>
      <c r="H79" s="49"/>
      <c r="I79" s="49"/>
      <c r="J79" s="49"/>
      <c r="K79" s="49"/>
      <c r="L79" s="49"/>
      <c r="M79" s="49"/>
      <c r="N79" s="49"/>
      <c r="O79" s="49"/>
      <c r="P79" s="49"/>
      <c r="Q79" s="49"/>
      <c r="R79" s="49"/>
      <c r="S79" s="49"/>
      <c r="T79" s="49"/>
      <c r="U79" s="2"/>
      <c r="V79" s="2"/>
      <c r="W79" s="2"/>
      <c r="X79" s="2"/>
      <c r="Y79" s="2"/>
      <c r="Z79" s="2"/>
    </row>
    <row r="80" ht="13.5" customHeight="1">
      <c r="A80" s="49"/>
      <c r="B80" s="49"/>
      <c r="C80" s="49"/>
      <c r="D80" s="49"/>
      <c r="E80" s="49"/>
      <c r="F80" s="49"/>
      <c r="G80" s="49"/>
      <c r="H80" s="49"/>
      <c r="I80" s="49"/>
      <c r="J80" s="49"/>
      <c r="K80" s="49"/>
      <c r="L80" s="49"/>
      <c r="M80" s="49"/>
      <c r="N80" s="49"/>
      <c r="O80" s="49"/>
      <c r="P80" s="49"/>
      <c r="Q80" s="49"/>
      <c r="R80" s="49"/>
      <c r="S80" s="49"/>
      <c r="T80" s="49"/>
      <c r="U80" s="2"/>
      <c r="V80" s="2"/>
      <c r="W80" s="2"/>
      <c r="X80" s="2"/>
      <c r="Y80" s="2"/>
      <c r="Z80" s="2"/>
    </row>
    <row r="81" ht="13.5" customHeight="1">
      <c r="A81" s="49"/>
      <c r="B81" s="49"/>
      <c r="C81" s="49"/>
      <c r="D81" s="49"/>
      <c r="E81" s="49"/>
      <c r="F81" s="49"/>
      <c r="G81" s="49"/>
      <c r="H81" s="49"/>
      <c r="I81" s="49"/>
      <c r="J81" s="49"/>
      <c r="K81" s="49"/>
      <c r="L81" s="49"/>
      <c r="M81" s="49"/>
      <c r="N81" s="49"/>
      <c r="O81" s="49"/>
      <c r="P81" s="49"/>
      <c r="Q81" s="49"/>
      <c r="R81" s="49"/>
      <c r="S81" s="49"/>
      <c r="T81" s="49"/>
      <c r="U81" s="2"/>
      <c r="V81" s="2"/>
      <c r="W81" s="2"/>
      <c r="X81" s="2"/>
      <c r="Y81" s="2"/>
      <c r="Z81" s="2"/>
    </row>
    <row r="82" ht="13.5" customHeight="1">
      <c r="A82" s="49"/>
      <c r="B82" s="49"/>
      <c r="C82" s="49"/>
      <c r="D82" s="49"/>
      <c r="E82" s="49"/>
      <c r="F82" s="49"/>
      <c r="G82" s="49"/>
      <c r="H82" s="49"/>
      <c r="I82" s="49"/>
      <c r="J82" s="49"/>
      <c r="K82" s="49"/>
      <c r="L82" s="49"/>
      <c r="M82" s="49"/>
      <c r="N82" s="49"/>
      <c r="O82" s="49"/>
      <c r="P82" s="49"/>
      <c r="Q82" s="49"/>
      <c r="R82" s="49"/>
      <c r="S82" s="49"/>
      <c r="T82" s="49"/>
      <c r="U82" s="2"/>
      <c r="V82" s="2"/>
      <c r="W82" s="2"/>
      <c r="X82" s="2"/>
      <c r="Y82" s="2"/>
      <c r="Z82" s="2"/>
    </row>
    <row r="83" ht="13.5" customHeight="1">
      <c r="A83" s="49"/>
      <c r="B83" s="49"/>
      <c r="C83" s="49"/>
      <c r="D83" s="49"/>
      <c r="E83" s="49"/>
      <c r="F83" s="49"/>
      <c r="G83" s="49"/>
      <c r="H83" s="49"/>
      <c r="I83" s="49"/>
      <c r="J83" s="49"/>
      <c r="K83" s="49"/>
      <c r="L83" s="49"/>
      <c r="M83" s="49"/>
      <c r="N83" s="49"/>
      <c r="O83" s="49"/>
      <c r="P83" s="49"/>
      <c r="Q83" s="49"/>
      <c r="R83" s="49"/>
      <c r="S83" s="49"/>
      <c r="T83" s="49"/>
      <c r="U83" s="2"/>
      <c r="V83" s="2"/>
      <c r="W83" s="2"/>
      <c r="X83" s="2"/>
      <c r="Y83" s="2"/>
      <c r="Z83" s="2"/>
    </row>
    <row r="84" ht="13.5" customHeight="1">
      <c r="A84" s="49"/>
      <c r="B84" s="49"/>
      <c r="C84" s="49"/>
      <c r="D84" s="49"/>
      <c r="E84" s="49"/>
      <c r="F84" s="49"/>
      <c r="G84" s="49"/>
      <c r="H84" s="49"/>
      <c r="I84" s="49"/>
      <c r="J84" s="49"/>
      <c r="K84" s="49"/>
      <c r="L84" s="49"/>
      <c r="M84" s="49"/>
      <c r="N84" s="49"/>
      <c r="O84" s="49"/>
      <c r="P84" s="49"/>
      <c r="Q84" s="49"/>
      <c r="R84" s="49"/>
      <c r="S84" s="49"/>
      <c r="T84" s="49"/>
      <c r="U84" s="2"/>
      <c r="V84" s="2"/>
      <c r="W84" s="2"/>
      <c r="X84" s="2"/>
      <c r="Y84" s="2"/>
      <c r="Z84" s="2"/>
    </row>
    <row r="85" ht="13.5" customHeight="1">
      <c r="A85" s="49"/>
      <c r="B85" s="49"/>
      <c r="C85" s="49"/>
      <c r="D85" s="49"/>
      <c r="E85" s="49"/>
      <c r="F85" s="49"/>
      <c r="G85" s="49"/>
      <c r="H85" s="49"/>
      <c r="I85" s="49"/>
      <c r="J85" s="49"/>
      <c r="K85" s="49"/>
      <c r="L85" s="49"/>
      <c r="M85" s="49"/>
      <c r="N85" s="49"/>
      <c r="O85" s="49"/>
      <c r="P85" s="49"/>
      <c r="Q85" s="49"/>
      <c r="R85" s="49"/>
      <c r="S85" s="49"/>
      <c r="T85" s="49"/>
      <c r="U85" s="2"/>
      <c r="V85" s="2"/>
      <c r="W85" s="2"/>
      <c r="X85" s="2"/>
      <c r="Y85" s="2"/>
      <c r="Z85" s="2"/>
    </row>
    <row r="86" ht="13.5" customHeight="1">
      <c r="A86" s="49"/>
      <c r="B86" s="49"/>
      <c r="C86" s="49"/>
      <c r="D86" s="49"/>
      <c r="E86" s="49"/>
      <c r="F86" s="49"/>
      <c r="G86" s="49"/>
      <c r="H86" s="49"/>
      <c r="I86" s="49"/>
      <c r="J86" s="49"/>
      <c r="K86" s="49"/>
      <c r="L86" s="49"/>
      <c r="M86" s="49"/>
      <c r="N86" s="49"/>
      <c r="O86" s="49"/>
      <c r="P86" s="49"/>
      <c r="Q86" s="49"/>
      <c r="R86" s="49"/>
      <c r="S86" s="49"/>
      <c r="T86" s="49"/>
      <c r="U86" s="2"/>
      <c r="V86" s="2"/>
      <c r="W86" s="2"/>
      <c r="X86" s="2"/>
      <c r="Y86" s="2"/>
      <c r="Z86" s="2"/>
    </row>
    <row r="87" ht="13.5" customHeight="1">
      <c r="A87" s="49"/>
      <c r="B87" s="49"/>
      <c r="C87" s="49"/>
      <c r="D87" s="49"/>
      <c r="E87" s="49"/>
      <c r="F87" s="49"/>
      <c r="G87" s="49"/>
      <c r="H87" s="49"/>
      <c r="I87" s="49"/>
      <c r="J87" s="49"/>
      <c r="K87" s="49"/>
      <c r="L87" s="49"/>
      <c r="M87" s="49"/>
      <c r="N87" s="49"/>
      <c r="O87" s="49"/>
      <c r="P87" s="49"/>
      <c r="Q87" s="49"/>
      <c r="R87" s="49"/>
      <c r="S87" s="49"/>
      <c r="T87" s="49"/>
      <c r="U87" s="2"/>
      <c r="V87" s="2"/>
      <c r="W87" s="2"/>
      <c r="X87" s="2"/>
      <c r="Y87" s="2"/>
      <c r="Z87" s="2"/>
    </row>
    <row r="88" ht="13.5" customHeight="1">
      <c r="A88" s="49"/>
      <c r="B88" s="49"/>
      <c r="C88" s="49"/>
      <c r="D88" s="49"/>
      <c r="E88" s="49"/>
      <c r="F88" s="49"/>
      <c r="G88" s="49"/>
      <c r="H88" s="49"/>
      <c r="I88" s="49"/>
      <c r="J88" s="49"/>
      <c r="K88" s="49"/>
      <c r="L88" s="49"/>
      <c r="M88" s="49"/>
      <c r="N88" s="49"/>
      <c r="O88" s="49"/>
      <c r="P88" s="49"/>
      <c r="Q88" s="49"/>
      <c r="R88" s="49"/>
      <c r="S88" s="49"/>
      <c r="T88" s="49"/>
      <c r="U88" s="2"/>
      <c r="V88" s="2"/>
      <c r="W88" s="2"/>
      <c r="X88" s="2"/>
      <c r="Y88" s="2"/>
      <c r="Z88" s="2"/>
    </row>
    <row r="89" ht="13.5" customHeight="1">
      <c r="A89" s="49"/>
      <c r="B89" s="49"/>
      <c r="C89" s="49"/>
      <c r="D89" s="49"/>
      <c r="E89" s="49"/>
      <c r="F89" s="49"/>
      <c r="G89" s="49"/>
      <c r="H89" s="49"/>
      <c r="I89" s="49"/>
      <c r="J89" s="49"/>
      <c r="K89" s="49"/>
      <c r="L89" s="49"/>
      <c r="M89" s="49"/>
      <c r="N89" s="49"/>
      <c r="O89" s="49"/>
      <c r="P89" s="49"/>
      <c r="Q89" s="49"/>
      <c r="R89" s="49"/>
      <c r="S89" s="49"/>
      <c r="T89" s="49"/>
      <c r="U89" s="2"/>
      <c r="V89" s="2"/>
      <c r="W89" s="2"/>
      <c r="X89" s="2"/>
      <c r="Y89" s="2"/>
      <c r="Z89" s="2"/>
    </row>
    <row r="90" ht="13.5" customHeight="1">
      <c r="A90" s="49"/>
      <c r="B90" s="49"/>
      <c r="C90" s="49"/>
      <c r="D90" s="49"/>
      <c r="E90" s="49"/>
      <c r="F90" s="49"/>
      <c r="G90" s="49"/>
      <c r="H90" s="49"/>
      <c r="I90" s="49"/>
      <c r="J90" s="49"/>
      <c r="K90" s="49"/>
      <c r="L90" s="49"/>
      <c r="M90" s="49"/>
      <c r="N90" s="49"/>
      <c r="O90" s="49"/>
      <c r="P90" s="49"/>
      <c r="Q90" s="49"/>
      <c r="R90" s="49"/>
      <c r="S90" s="49"/>
      <c r="T90" s="49"/>
      <c r="U90" s="2"/>
      <c r="V90" s="2"/>
      <c r="W90" s="2"/>
      <c r="X90" s="2"/>
      <c r="Y90" s="2"/>
      <c r="Z90" s="2"/>
    </row>
    <row r="91" ht="13.5" customHeight="1">
      <c r="A91" s="49"/>
      <c r="B91" s="49"/>
      <c r="C91" s="49"/>
      <c r="D91" s="49"/>
      <c r="E91" s="49"/>
      <c r="F91" s="49"/>
      <c r="G91" s="49"/>
      <c r="H91" s="49"/>
      <c r="I91" s="49"/>
      <c r="J91" s="49"/>
      <c r="K91" s="49"/>
      <c r="L91" s="49"/>
      <c r="M91" s="49"/>
      <c r="N91" s="49"/>
      <c r="O91" s="49"/>
      <c r="P91" s="49"/>
      <c r="Q91" s="49"/>
      <c r="R91" s="49"/>
      <c r="S91" s="49"/>
      <c r="T91" s="49"/>
      <c r="U91" s="2"/>
      <c r="V91" s="2"/>
      <c r="W91" s="2"/>
      <c r="X91" s="2"/>
      <c r="Y91" s="2"/>
      <c r="Z91" s="2"/>
    </row>
    <row r="92" ht="13.5" customHeight="1">
      <c r="A92" s="49"/>
      <c r="B92" s="49"/>
      <c r="C92" s="49"/>
      <c r="D92" s="49"/>
      <c r="E92" s="49"/>
      <c r="F92" s="49"/>
      <c r="G92" s="49"/>
      <c r="H92" s="49"/>
      <c r="I92" s="49"/>
      <c r="J92" s="49"/>
      <c r="K92" s="49"/>
      <c r="L92" s="49"/>
      <c r="M92" s="49"/>
      <c r="N92" s="49"/>
      <c r="O92" s="49"/>
      <c r="P92" s="49"/>
      <c r="Q92" s="49"/>
      <c r="R92" s="49"/>
      <c r="S92" s="49"/>
      <c r="T92" s="49"/>
      <c r="U92" s="2"/>
      <c r="V92" s="2"/>
      <c r="W92" s="2"/>
      <c r="X92" s="2"/>
      <c r="Y92" s="2"/>
      <c r="Z92" s="2"/>
    </row>
    <row r="93" ht="13.5" customHeight="1">
      <c r="A93" s="49"/>
      <c r="B93" s="49"/>
      <c r="C93" s="49"/>
      <c r="D93" s="49"/>
      <c r="E93" s="49"/>
      <c r="F93" s="49"/>
      <c r="G93" s="49"/>
      <c r="H93" s="49"/>
      <c r="I93" s="49"/>
      <c r="J93" s="49"/>
      <c r="K93" s="49"/>
      <c r="L93" s="49"/>
      <c r="M93" s="49"/>
      <c r="N93" s="49"/>
      <c r="O93" s="49"/>
      <c r="P93" s="49"/>
      <c r="Q93" s="49"/>
      <c r="R93" s="49"/>
      <c r="S93" s="49"/>
      <c r="T93" s="49"/>
      <c r="U93" s="2"/>
      <c r="V93" s="2"/>
      <c r="W93" s="2"/>
      <c r="X93" s="2"/>
      <c r="Y93" s="2"/>
      <c r="Z93" s="2"/>
    </row>
    <row r="94" ht="13.5" customHeight="1">
      <c r="A94" s="49"/>
      <c r="B94" s="49"/>
      <c r="C94" s="49"/>
      <c r="D94" s="49"/>
      <c r="E94" s="49"/>
      <c r="F94" s="49"/>
      <c r="G94" s="49"/>
      <c r="H94" s="49"/>
      <c r="I94" s="49"/>
      <c r="J94" s="49"/>
      <c r="K94" s="49"/>
      <c r="L94" s="49"/>
      <c r="M94" s="49"/>
      <c r="N94" s="49"/>
      <c r="O94" s="49"/>
      <c r="P94" s="49"/>
      <c r="Q94" s="49"/>
      <c r="R94" s="49"/>
      <c r="S94" s="49"/>
      <c r="T94" s="49"/>
      <c r="U94" s="2"/>
      <c r="V94" s="2"/>
      <c r="W94" s="2"/>
      <c r="X94" s="2"/>
      <c r="Y94" s="2"/>
      <c r="Z94" s="2"/>
    </row>
    <row r="95" ht="13.5" customHeight="1">
      <c r="A95" s="49"/>
      <c r="B95" s="49"/>
      <c r="C95" s="49"/>
      <c r="D95" s="49"/>
      <c r="E95" s="49"/>
      <c r="F95" s="49"/>
      <c r="G95" s="49"/>
      <c r="H95" s="49"/>
      <c r="I95" s="49"/>
      <c r="J95" s="49"/>
      <c r="K95" s="49"/>
      <c r="L95" s="49"/>
      <c r="M95" s="49"/>
      <c r="N95" s="49"/>
      <c r="O95" s="49"/>
      <c r="P95" s="49"/>
      <c r="Q95" s="49"/>
      <c r="R95" s="49"/>
      <c r="S95" s="49"/>
      <c r="T95" s="49"/>
      <c r="U95" s="2"/>
      <c r="V95" s="2"/>
      <c r="W95" s="2"/>
      <c r="X95" s="2"/>
      <c r="Y95" s="2"/>
      <c r="Z95" s="2"/>
    </row>
    <row r="96" ht="13.5" customHeight="1">
      <c r="A96" s="49"/>
      <c r="B96" s="49"/>
      <c r="C96" s="49"/>
      <c r="D96" s="49"/>
      <c r="E96" s="49"/>
      <c r="F96" s="49"/>
      <c r="G96" s="49"/>
      <c r="H96" s="49"/>
      <c r="I96" s="49"/>
      <c r="J96" s="49"/>
      <c r="K96" s="49"/>
      <c r="L96" s="49"/>
      <c r="M96" s="49"/>
      <c r="N96" s="49"/>
      <c r="O96" s="49"/>
      <c r="P96" s="49"/>
      <c r="Q96" s="49"/>
      <c r="R96" s="49"/>
      <c r="S96" s="49"/>
      <c r="T96" s="49"/>
      <c r="U96" s="2"/>
      <c r="V96" s="2"/>
      <c r="W96" s="2"/>
      <c r="X96" s="2"/>
      <c r="Y96" s="2"/>
      <c r="Z96" s="2"/>
    </row>
    <row r="97" ht="13.5" customHeight="1">
      <c r="A97" s="49"/>
      <c r="B97" s="49"/>
      <c r="C97" s="49"/>
      <c r="D97" s="49"/>
      <c r="E97" s="49"/>
      <c r="F97" s="49"/>
      <c r="G97" s="49"/>
      <c r="H97" s="49"/>
      <c r="I97" s="49"/>
      <c r="J97" s="49"/>
      <c r="K97" s="49"/>
      <c r="L97" s="49"/>
      <c r="M97" s="49"/>
      <c r="N97" s="49"/>
      <c r="O97" s="49"/>
      <c r="P97" s="49"/>
      <c r="Q97" s="49"/>
      <c r="R97" s="49"/>
      <c r="S97" s="49"/>
      <c r="T97" s="49"/>
      <c r="U97" s="2"/>
      <c r="V97" s="2"/>
      <c r="W97" s="2"/>
      <c r="X97" s="2"/>
      <c r="Y97" s="2"/>
      <c r="Z97" s="2"/>
    </row>
    <row r="98" ht="13.5" customHeight="1">
      <c r="A98" s="49"/>
      <c r="B98" s="49"/>
      <c r="C98" s="49"/>
      <c r="D98" s="49"/>
      <c r="E98" s="49"/>
      <c r="F98" s="49"/>
      <c r="G98" s="49"/>
      <c r="H98" s="49"/>
      <c r="I98" s="49"/>
      <c r="J98" s="49"/>
      <c r="K98" s="49"/>
      <c r="L98" s="49"/>
      <c r="M98" s="49"/>
      <c r="N98" s="49"/>
      <c r="O98" s="49"/>
      <c r="P98" s="49"/>
      <c r="Q98" s="49"/>
      <c r="R98" s="49"/>
      <c r="S98" s="49"/>
      <c r="T98" s="49"/>
      <c r="U98" s="2"/>
      <c r="V98" s="2"/>
      <c r="W98" s="2"/>
      <c r="X98" s="2"/>
      <c r="Y98" s="2"/>
      <c r="Z98" s="2"/>
    </row>
    <row r="99" ht="13.5" customHeight="1">
      <c r="A99" s="49"/>
      <c r="B99" s="49"/>
      <c r="C99" s="49"/>
      <c r="D99" s="49"/>
      <c r="E99" s="49"/>
      <c r="F99" s="49"/>
      <c r="G99" s="49"/>
      <c r="H99" s="49"/>
      <c r="I99" s="49"/>
      <c r="J99" s="49"/>
      <c r="K99" s="49"/>
      <c r="L99" s="49"/>
      <c r="M99" s="49"/>
      <c r="N99" s="49"/>
      <c r="O99" s="49"/>
      <c r="P99" s="49"/>
      <c r="Q99" s="49"/>
      <c r="R99" s="49"/>
      <c r="S99" s="49"/>
      <c r="T99" s="49"/>
      <c r="U99" s="2"/>
      <c r="V99" s="2"/>
      <c r="W99" s="2"/>
      <c r="X99" s="2"/>
      <c r="Y99" s="2"/>
      <c r="Z99" s="2"/>
    </row>
    <row r="100" ht="13.5" customHeight="1">
      <c r="A100" s="49"/>
      <c r="B100" s="49"/>
      <c r="C100" s="49"/>
      <c r="D100" s="49"/>
      <c r="E100" s="49"/>
      <c r="F100" s="49"/>
      <c r="G100" s="49"/>
      <c r="H100" s="49"/>
      <c r="I100" s="49"/>
      <c r="J100" s="49"/>
      <c r="K100" s="49"/>
      <c r="L100" s="49"/>
      <c r="M100" s="49"/>
      <c r="N100" s="49"/>
      <c r="O100" s="49"/>
      <c r="P100" s="49"/>
      <c r="Q100" s="49"/>
      <c r="R100" s="49"/>
      <c r="S100" s="49"/>
      <c r="T100" s="49"/>
      <c r="U100" s="2"/>
      <c r="V100" s="2"/>
      <c r="W100" s="2"/>
      <c r="X100" s="2"/>
      <c r="Y100" s="2"/>
      <c r="Z100" s="2"/>
    </row>
    <row r="101" ht="13.5" customHeight="1">
      <c r="A101" s="49"/>
      <c r="B101" s="49"/>
      <c r="C101" s="49"/>
      <c r="D101" s="49"/>
      <c r="E101" s="49"/>
      <c r="F101" s="49"/>
      <c r="G101" s="49"/>
      <c r="H101" s="49"/>
      <c r="I101" s="49"/>
      <c r="J101" s="49"/>
      <c r="K101" s="49"/>
      <c r="L101" s="49"/>
      <c r="M101" s="49"/>
      <c r="N101" s="49"/>
      <c r="O101" s="49"/>
      <c r="P101" s="49"/>
      <c r="Q101" s="49"/>
      <c r="R101" s="49"/>
      <c r="S101" s="49"/>
      <c r="T101" s="49"/>
      <c r="U101" s="2"/>
      <c r="V101" s="2"/>
      <c r="W101" s="2"/>
      <c r="X101" s="2"/>
      <c r="Y101" s="2"/>
      <c r="Z101" s="2"/>
    </row>
    <row r="102" ht="13.5" customHeight="1">
      <c r="A102" s="49"/>
      <c r="B102" s="49"/>
      <c r="C102" s="49"/>
      <c r="D102" s="49"/>
      <c r="E102" s="49"/>
      <c r="F102" s="49"/>
      <c r="G102" s="49"/>
      <c r="H102" s="49"/>
      <c r="I102" s="49"/>
      <c r="J102" s="49"/>
      <c r="K102" s="49"/>
      <c r="L102" s="49"/>
      <c r="M102" s="49"/>
      <c r="N102" s="49"/>
      <c r="O102" s="49"/>
      <c r="P102" s="49"/>
      <c r="Q102" s="49"/>
      <c r="R102" s="49"/>
      <c r="S102" s="49"/>
      <c r="T102" s="49"/>
      <c r="U102" s="2"/>
      <c r="V102" s="2"/>
      <c r="W102" s="2"/>
      <c r="X102" s="2"/>
      <c r="Y102" s="2"/>
      <c r="Z102" s="2"/>
    </row>
    <row r="103" ht="13.5" customHeight="1">
      <c r="A103" s="49"/>
      <c r="B103" s="49"/>
      <c r="C103" s="49"/>
      <c r="D103" s="49"/>
      <c r="E103" s="49"/>
      <c r="F103" s="49"/>
      <c r="G103" s="49"/>
      <c r="H103" s="49"/>
      <c r="I103" s="49"/>
      <c r="J103" s="49"/>
      <c r="K103" s="49"/>
      <c r="L103" s="49"/>
      <c r="M103" s="49"/>
      <c r="N103" s="49"/>
      <c r="O103" s="49"/>
      <c r="P103" s="49"/>
      <c r="Q103" s="49"/>
      <c r="R103" s="49"/>
      <c r="S103" s="49"/>
      <c r="T103" s="49"/>
      <c r="U103" s="2"/>
      <c r="V103" s="2"/>
      <c r="W103" s="2"/>
      <c r="X103" s="2"/>
      <c r="Y103" s="2"/>
      <c r="Z103" s="2"/>
    </row>
    <row r="104" ht="13.5" customHeight="1">
      <c r="A104" s="49"/>
      <c r="B104" s="49"/>
      <c r="C104" s="49"/>
      <c r="D104" s="49"/>
      <c r="E104" s="49"/>
      <c r="F104" s="49"/>
      <c r="G104" s="49"/>
      <c r="H104" s="49"/>
      <c r="I104" s="49"/>
      <c r="J104" s="49"/>
      <c r="K104" s="49"/>
      <c r="L104" s="49"/>
      <c r="M104" s="49"/>
      <c r="N104" s="49"/>
      <c r="O104" s="49"/>
      <c r="P104" s="49"/>
      <c r="Q104" s="49"/>
      <c r="R104" s="49"/>
      <c r="S104" s="49"/>
      <c r="T104" s="49"/>
      <c r="U104" s="2"/>
      <c r="V104" s="2"/>
      <c r="W104" s="2"/>
      <c r="X104" s="2"/>
      <c r="Y104" s="2"/>
      <c r="Z104" s="2"/>
    </row>
    <row r="105" ht="13.5" customHeight="1">
      <c r="A105" s="49"/>
      <c r="B105" s="49"/>
      <c r="C105" s="49"/>
      <c r="D105" s="49"/>
      <c r="E105" s="49"/>
      <c r="F105" s="49"/>
      <c r="G105" s="49"/>
      <c r="H105" s="49"/>
      <c r="I105" s="49"/>
      <c r="J105" s="49"/>
      <c r="K105" s="49"/>
      <c r="L105" s="49"/>
      <c r="M105" s="49"/>
      <c r="N105" s="49"/>
      <c r="O105" s="49"/>
      <c r="P105" s="49"/>
      <c r="Q105" s="49"/>
      <c r="R105" s="49"/>
      <c r="S105" s="49"/>
      <c r="T105" s="49"/>
      <c r="U105" s="2"/>
      <c r="V105" s="2"/>
      <c r="W105" s="2"/>
      <c r="X105" s="2"/>
      <c r="Y105" s="2"/>
      <c r="Z105" s="2"/>
    </row>
    <row r="106" ht="13.5" customHeight="1">
      <c r="A106" s="49"/>
      <c r="B106" s="49"/>
      <c r="C106" s="49"/>
      <c r="D106" s="49"/>
      <c r="E106" s="49"/>
      <c r="F106" s="49"/>
      <c r="G106" s="49"/>
      <c r="H106" s="49"/>
      <c r="I106" s="49"/>
      <c r="J106" s="49"/>
      <c r="K106" s="49"/>
      <c r="L106" s="49"/>
      <c r="M106" s="49"/>
      <c r="N106" s="49"/>
      <c r="O106" s="49"/>
      <c r="P106" s="49"/>
      <c r="Q106" s="49"/>
      <c r="R106" s="49"/>
      <c r="S106" s="49"/>
      <c r="T106" s="49"/>
      <c r="U106" s="2"/>
      <c r="V106" s="2"/>
      <c r="W106" s="2"/>
      <c r="X106" s="2"/>
      <c r="Y106" s="2"/>
      <c r="Z106" s="2"/>
    </row>
    <row r="107" ht="13.5" customHeight="1">
      <c r="A107" s="49"/>
      <c r="B107" s="49"/>
      <c r="C107" s="49"/>
      <c r="D107" s="49"/>
      <c r="E107" s="49"/>
      <c r="F107" s="49"/>
      <c r="G107" s="49"/>
      <c r="H107" s="49"/>
      <c r="I107" s="49"/>
      <c r="J107" s="49"/>
      <c r="K107" s="49"/>
      <c r="L107" s="49"/>
      <c r="M107" s="49"/>
      <c r="N107" s="49"/>
      <c r="O107" s="49"/>
      <c r="P107" s="49"/>
      <c r="Q107" s="49"/>
      <c r="R107" s="49"/>
      <c r="S107" s="49"/>
      <c r="T107" s="49"/>
      <c r="U107" s="2"/>
      <c r="V107" s="2"/>
      <c r="W107" s="2"/>
      <c r="X107" s="2"/>
      <c r="Y107" s="2"/>
      <c r="Z107" s="2"/>
    </row>
    <row r="108" ht="13.5" customHeight="1">
      <c r="A108" s="49"/>
      <c r="B108" s="49"/>
      <c r="C108" s="49"/>
      <c r="D108" s="49"/>
      <c r="E108" s="49"/>
      <c r="F108" s="49"/>
      <c r="G108" s="49"/>
      <c r="H108" s="49"/>
      <c r="I108" s="49"/>
      <c r="J108" s="49"/>
      <c r="K108" s="49"/>
      <c r="L108" s="49"/>
      <c r="M108" s="49"/>
      <c r="N108" s="49"/>
      <c r="O108" s="49"/>
      <c r="P108" s="49"/>
      <c r="Q108" s="49"/>
      <c r="R108" s="49"/>
      <c r="S108" s="49"/>
      <c r="T108" s="49"/>
      <c r="U108" s="2"/>
      <c r="V108" s="2"/>
      <c r="W108" s="2"/>
      <c r="X108" s="2"/>
      <c r="Y108" s="2"/>
      <c r="Z108" s="2"/>
    </row>
    <row r="109" ht="13.5" customHeight="1">
      <c r="A109" s="49"/>
      <c r="B109" s="49"/>
      <c r="C109" s="49"/>
      <c r="D109" s="49"/>
      <c r="E109" s="49"/>
      <c r="F109" s="49"/>
      <c r="G109" s="49"/>
      <c r="H109" s="49"/>
      <c r="I109" s="49"/>
      <c r="J109" s="49"/>
      <c r="K109" s="49"/>
      <c r="L109" s="49"/>
      <c r="M109" s="49"/>
      <c r="N109" s="49"/>
      <c r="O109" s="49"/>
      <c r="P109" s="49"/>
      <c r="Q109" s="49"/>
      <c r="R109" s="49"/>
      <c r="S109" s="49"/>
      <c r="T109" s="49"/>
      <c r="U109" s="2"/>
      <c r="V109" s="2"/>
      <c r="W109" s="2"/>
      <c r="X109" s="2"/>
      <c r="Y109" s="2"/>
      <c r="Z109" s="2"/>
    </row>
    <row r="110" ht="13.5" customHeight="1">
      <c r="A110" s="49"/>
      <c r="B110" s="49"/>
      <c r="C110" s="49"/>
      <c r="D110" s="49"/>
      <c r="E110" s="49"/>
      <c r="F110" s="49"/>
      <c r="G110" s="49"/>
      <c r="H110" s="49"/>
      <c r="I110" s="49"/>
      <c r="J110" s="49"/>
      <c r="K110" s="49"/>
      <c r="L110" s="49"/>
      <c r="M110" s="49"/>
      <c r="N110" s="49"/>
      <c r="O110" s="49"/>
      <c r="P110" s="49"/>
      <c r="Q110" s="49"/>
      <c r="R110" s="49"/>
      <c r="S110" s="49"/>
      <c r="T110" s="49"/>
      <c r="U110" s="2"/>
      <c r="V110" s="2"/>
      <c r="W110" s="2"/>
      <c r="X110" s="2"/>
      <c r="Y110" s="2"/>
      <c r="Z110" s="2"/>
    </row>
    <row r="111" ht="13.5" customHeight="1">
      <c r="A111" s="49"/>
      <c r="B111" s="49"/>
      <c r="C111" s="49"/>
      <c r="D111" s="49"/>
      <c r="E111" s="49"/>
      <c r="F111" s="49"/>
      <c r="G111" s="49"/>
      <c r="H111" s="49"/>
      <c r="I111" s="49"/>
      <c r="J111" s="49"/>
      <c r="K111" s="49"/>
      <c r="L111" s="49"/>
      <c r="M111" s="49"/>
      <c r="N111" s="49"/>
      <c r="O111" s="49"/>
      <c r="P111" s="49"/>
      <c r="Q111" s="49"/>
      <c r="R111" s="49"/>
      <c r="S111" s="49"/>
      <c r="T111" s="49"/>
      <c r="U111" s="2"/>
      <c r="V111" s="2"/>
      <c r="W111" s="2"/>
      <c r="X111" s="2"/>
      <c r="Y111" s="2"/>
      <c r="Z111" s="2"/>
    </row>
    <row r="112" ht="13.5" customHeight="1">
      <c r="A112" s="49"/>
      <c r="B112" s="49"/>
      <c r="C112" s="49"/>
      <c r="D112" s="49"/>
      <c r="E112" s="49"/>
      <c r="F112" s="49"/>
      <c r="G112" s="49"/>
      <c r="H112" s="49"/>
      <c r="I112" s="49"/>
      <c r="J112" s="49"/>
      <c r="K112" s="49"/>
      <c r="L112" s="49"/>
      <c r="M112" s="49"/>
      <c r="N112" s="49"/>
      <c r="O112" s="49"/>
      <c r="P112" s="49"/>
      <c r="Q112" s="49"/>
      <c r="R112" s="49"/>
      <c r="S112" s="49"/>
      <c r="T112" s="49"/>
      <c r="U112" s="2"/>
      <c r="V112" s="2"/>
      <c r="W112" s="2"/>
      <c r="X112" s="2"/>
      <c r="Y112" s="2"/>
      <c r="Z112" s="2"/>
    </row>
    <row r="113" ht="13.5" customHeight="1">
      <c r="A113" s="49"/>
      <c r="B113" s="49"/>
      <c r="C113" s="49"/>
      <c r="D113" s="49"/>
      <c r="E113" s="49"/>
      <c r="F113" s="49"/>
      <c r="G113" s="49"/>
      <c r="H113" s="49"/>
      <c r="I113" s="49"/>
      <c r="J113" s="49"/>
      <c r="K113" s="49"/>
      <c r="L113" s="49"/>
      <c r="M113" s="49"/>
      <c r="N113" s="49"/>
      <c r="O113" s="49"/>
      <c r="P113" s="49"/>
      <c r="Q113" s="49"/>
      <c r="R113" s="49"/>
      <c r="S113" s="49"/>
      <c r="T113" s="49"/>
      <c r="U113" s="2"/>
      <c r="V113" s="2"/>
      <c r="W113" s="2"/>
      <c r="X113" s="2"/>
      <c r="Y113" s="2"/>
      <c r="Z113" s="2"/>
    </row>
    <row r="114" ht="13.5" customHeight="1">
      <c r="A114" s="49"/>
      <c r="B114" s="49"/>
      <c r="C114" s="49"/>
      <c r="D114" s="49"/>
      <c r="E114" s="49"/>
      <c r="F114" s="49"/>
      <c r="G114" s="49"/>
      <c r="H114" s="49"/>
      <c r="I114" s="49"/>
      <c r="J114" s="49"/>
      <c r="K114" s="49"/>
      <c r="L114" s="49"/>
      <c r="M114" s="49"/>
      <c r="N114" s="49"/>
      <c r="O114" s="49"/>
      <c r="P114" s="49"/>
      <c r="Q114" s="49"/>
      <c r="R114" s="49"/>
      <c r="S114" s="49"/>
      <c r="T114" s="49"/>
      <c r="U114" s="2"/>
      <c r="V114" s="2"/>
      <c r="W114" s="2"/>
      <c r="X114" s="2"/>
      <c r="Y114" s="2"/>
      <c r="Z114" s="2"/>
    </row>
    <row r="115" ht="13.5" customHeight="1">
      <c r="A115" s="49"/>
      <c r="B115" s="49"/>
      <c r="C115" s="49"/>
      <c r="D115" s="49"/>
      <c r="E115" s="49"/>
      <c r="F115" s="49"/>
      <c r="G115" s="49"/>
      <c r="H115" s="49"/>
      <c r="I115" s="49"/>
      <c r="J115" s="49"/>
      <c r="K115" s="49"/>
      <c r="L115" s="49"/>
      <c r="M115" s="49"/>
      <c r="N115" s="49"/>
      <c r="O115" s="49"/>
      <c r="P115" s="49"/>
      <c r="Q115" s="49"/>
      <c r="R115" s="49"/>
      <c r="S115" s="49"/>
      <c r="T115" s="49"/>
      <c r="U115" s="2"/>
      <c r="V115" s="2"/>
      <c r="W115" s="2"/>
      <c r="X115" s="2"/>
      <c r="Y115" s="2"/>
      <c r="Z115" s="2"/>
    </row>
    <row r="116" ht="13.5" customHeight="1">
      <c r="A116" s="49"/>
      <c r="B116" s="49"/>
      <c r="C116" s="49"/>
      <c r="D116" s="49"/>
      <c r="E116" s="49"/>
      <c r="F116" s="49"/>
      <c r="G116" s="49"/>
      <c r="H116" s="49"/>
      <c r="I116" s="49"/>
      <c r="J116" s="49"/>
      <c r="K116" s="49"/>
      <c r="L116" s="49"/>
      <c r="M116" s="49"/>
      <c r="N116" s="49"/>
      <c r="O116" s="49"/>
      <c r="P116" s="49"/>
      <c r="Q116" s="49"/>
      <c r="R116" s="49"/>
      <c r="S116" s="49"/>
      <c r="T116" s="49"/>
      <c r="U116" s="2"/>
      <c r="V116" s="2"/>
      <c r="W116" s="2"/>
      <c r="X116" s="2"/>
      <c r="Y116" s="2"/>
      <c r="Z116" s="2"/>
    </row>
    <row r="117" ht="13.5" customHeight="1">
      <c r="A117" s="49"/>
      <c r="B117" s="49"/>
      <c r="C117" s="49"/>
      <c r="D117" s="49"/>
      <c r="E117" s="49"/>
      <c r="F117" s="49"/>
      <c r="G117" s="49"/>
      <c r="H117" s="49"/>
      <c r="I117" s="49"/>
      <c r="J117" s="49"/>
      <c r="K117" s="49"/>
      <c r="L117" s="49"/>
      <c r="M117" s="49"/>
      <c r="N117" s="49"/>
      <c r="O117" s="49"/>
      <c r="P117" s="49"/>
      <c r="Q117" s="49"/>
      <c r="R117" s="49"/>
      <c r="S117" s="49"/>
      <c r="T117" s="49"/>
      <c r="U117" s="2"/>
      <c r="V117" s="2"/>
      <c r="W117" s="2"/>
      <c r="X117" s="2"/>
      <c r="Y117" s="2"/>
      <c r="Z117" s="2"/>
    </row>
    <row r="118" ht="13.5" customHeight="1">
      <c r="A118" s="49"/>
      <c r="B118" s="49"/>
      <c r="C118" s="49"/>
      <c r="D118" s="49"/>
      <c r="E118" s="49"/>
      <c r="F118" s="49"/>
      <c r="G118" s="49"/>
      <c r="H118" s="49"/>
      <c r="I118" s="49"/>
      <c r="J118" s="49"/>
      <c r="K118" s="49"/>
      <c r="L118" s="49"/>
      <c r="M118" s="49"/>
      <c r="N118" s="49"/>
      <c r="O118" s="49"/>
      <c r="P118" s="49"/>
      <c r="Q118" s="49"/>
      <c r="R118" s="49"/>
      <c r="S118" s="49"/>
      <c r="T118" s="49"/>
      <c r="U118" s="2"/>
      <c r="V118" s="2"/>
      <c r="W118" s="2"/>
      <c r="X118" s="2"/>
      <c r="Y118" s="2"/>
      <c r="Z118" s="2"/>
    </row>
    <row r="119" ht="13.5" customHeight="1">
      <c r="A119" s="49"/>
      <c r="B119" s="49"/>
      <c r="C119" s="49"/>
      <c r="D119" s="49"/>
      <c r="E119" s="49"/>
      <c r="F119" s="49"/>
      <c r="G119" s="49"/>
      <c r="H119" s="49"/>
      <c r="I119" s="49"/>
      <c r="J119" s="49"/>
      <c r="K119" s="49"/>
      <c r="L119" s="49"/>
      <c r="M119" s="49"/>
      <c r="N119" s="49"/>
      <c r="O119" s="49"/>
      <c r="P119" s="49"/>
      <c r="Q119" s="49"/>
      <c r="R119" s="49"/>
      <c r="S119" s="49"/>
      <c r="T119" s="49"/>
      <c r="U119" s="2"/>
      <c r="V119" s="2"/>
      <c r="W119" s="2"/>
      <c r="X119" s="2"/>
      <c r="Y119" s="2"/>
      <c r="Z119" s="2"/>
    </row>
    <row r="120" ht="13.5" customHeight="1">
      <c r="A120" s="49"/>
      <c r="B120" s="49"/>
      <c r="C120" s="49"/>
      <c r="D120" s="49"/>
      <c r="E120" s="49"/>
      <c r="F120" s="49"/>
      <c r="G120" s="49"/>
      <c r="H120" s="49"/>
      <c r="I120" s="49"/>
      <c r="J120" s="49"/>
      <c r="K120" s="49"/>
      <c r="L120" s="49"/>
      <c r="M120" s="49"/>
      <c r="N120" s="49"/>
      <c r="O120" s="49"/>
      <c r="P120" s="49"/>
      <c r="Q120" s="49"/>
      <c r="R120" s="49"/>
      <c r="S120" s="49"/>
      <c r="T120" s="49"/>
      <c r="U120" s="2"/>
      <c r="V120" s="2"/>
      <c r="W120" s="2"/>
      <c r="X120" s="2"/>
      <c r="Y120" s="2"/>
      <c r="Z120" s="2"/>
    </row>
    <row r="121" ht="13.5" customHeight="1">
      <c r="A121" s="49"/>
      <c r="B121" s="49"/>
      <c r="C121" s="49"/>
      <c r="D121" s="49"/>
      <c r="E121" s="49"/>
      <c r="F121" s="49"/>
      <c r="G121" s="49"/>
      <c r="H121" s="49"/>
      <c r="I121" s="49"/>
      <c r="J121" s="49"/>
      <c r="K121" s="49"/>
      <c r="L121" s="49"/>
      <c r="M121" s="49"/>
      <c r="N121" s="49"/>
      <c r="O121" s="49"/>
      <c r="P121" s="49"/>
      <c r="Q121" s="49"/>
      <c r="R121" s="49"/>
      <c r="S121" s="49"/>
      <c r="T121" s="49"/>
      <c r="U121" s="2"/>
      <c r="V121" s="2"/>
      <c r="W121" s="2"/>
      <c r="X121" s="2"/>
      <c r="Y121" s="2"/>
      <c r="Z121" s="2"/>
    </row>
    <row r="122" ht="13.5" customHeight="1">
      <c r="A122" s="49"/>
      <c r="B122" s="49"/>
      <c r="C122" s="49"/>
      <c r="D122" s="49"/>
      <c r="E122" s="49"/>
      <c r="F122" s="49"/>
      <c r="G122" s="49"/>
      <c r="H122" s="49"/>
      <c r="I122" s="49"/>
      <c r="J122" s="49"/>
      <c r="K122" s="49"/>
      <c r="L122" s="49"/>
      <c r="M122" s="49"/>
      <c r="N122" s="49"/>
      <c r="O122" s="49"/>
      <c r="P122" s="49"/>
      <c r="Q122" s="49"/>
      <c r="R122" s="49"/>
      <c r="S122" s="49"/>
      <c r="T122" s="49"/>
      <c r="U122" s="2"/>
      <c r="V122" s="2"/>
      <c r="W122" s="2"/>
      <c r="X122" s="2"/>
      <c r="Y122" s="2"/>
      <c r="Z122" s="2"/>
    </row>
    <row r="123" ht="13.5" customHeight="1">
      <c r="A123" s="49"/>
      <c r="B123" s="49"/>
      <c r="C123" s="49"/>
      <c r="D123" s="49"/>
      <c r="E123" s="49"/>
      <c r="F123" s="49"/>
      <c r="G123" s="49"/>
      <c r="H123" s="49"/>
      <c r="I123" s="49"/>
      <c r="J123" s="49"/>
      <c r="K123" s="49"/>
      <c r="L123" s="49"/>
      <c r="M123" s="49"/>
      <c r="N123" s="49"/>
      <c r="O123" s="49"/>
      <c r="P123" s="49"/>
      <c r="Q123" s="49"/>
      <c r="R123" s="49"/>
      <c r="S123" s="49"/>
      <c r="T123" s="49"/>
      <c r="U123" s="2"/>
      <c r="V123" s="2"/>
      <c r="W123" s="2"/>
      <c r="X123" s="2"/>
      <c r="Y123" s="2"/>
      <c r="Z123" s="2"/>
    </row>
    <row r="124" ht="13.5" customHeight="1">
      <c r="A124" s="49"/>
      <c r="B124" s="49"/>
      <c r="C124" s="49"/>
      <c r="D124" s="49"/>
      <c r="E124" s="49"/>
      <c r="F124" s="49"/>
      <c r="G124" s="49"/>
      <c r="H124" s="49"/>
      <c r="I124" s="49"/>
      <c r="J124" s="49"/>
      <c r="K124" s="49"/>
      <c r="L124" s="49"/>
      <c r="M124" s="49"/>
      <c r="N124" s="49"/>
      <c r="O124" s="49"/>
      <c r="P124" s="49"/>
      <c r="Q124" s="49"/>
      <c r="R124" s="49"/>
      <c r="S124" s="49"/>
      <c r="T124" s="49"/>
      <c r="U124" s="2"/>
      <c r="V124" s="2"/>
      <c r="W124" s="2"/>
      <c r="X124" s="2"/>
      <c r="Y124" s="2"/>
      <c r="Z124" s="2"/>
    </row>
    <row r="125" ht="13.5" customHeight="1">
      <c r="A125" s="49"/>
      <c r="B125" s="49"/>
      <c r="C125" s="49"/>
      <c r="D125" s="49"/>
      <c r="E125" s="49"/>
      <c r="F125" s="49"/>
      <c r="G125" s="49"/>
      <c r="H125" s="49"/>
      <c r="I125" s="49"/>
      <c r="J125" s="49"/>
      <c r="K125" s="49"/>
      <c r="L125" s="49"/>
      <c r="M125" s="49"/>
      <c r="N125" s="49"/>
      <c r="O125" s="49"/>
      <c r="P125" s="49"/>
      <c r="Q125" s="49"/>
      <c r="R125" s="49"/>
      <c r="S125" s="49"/>
      <c r="T125" s="49"/>
      <c r="U125" s="2"/>
      <c r="V125" s="2"/>
      <c r="W125" s="2"/>
      <c r="X125" s="2"/>
      <c r="Y125" s="2"/>
      <c r="Z125" s="2"/>
    </row>
    <row r="126" ht="13.5" customHeight="1">
      <c r="A126" s="49"/>
      <c r="B126" s="49"/>
      <c r="C126" s="49"/>
      <c r="D126" s="49"/>
      <c r="E126" s="49"/>
      <c r="F126" s="49"/>
      <c r="G126" s="49"/>
      <c r="H126" s="49"/>
      <c r="I126" s="49"/>
      <c r="J126" s="49"/>
      <c r="K126" s="49"/>
      <c r="L126" s="49"/>
      <c r="M126" s="49"/>
      <c r="N126" s="49"/>
      <c r="O126" s="49"/>
      <c r="P126" s="49"/>
      <c r="Q126" s="49"/>
      <c r="R126" s="49"/>
      <c r="S126" s="49"/>
      <c r="T126" s="49"/>
      <c r="U126" s="2"/>
      <c r="V126" s="2"/>
      <c r="W126" s="2"/>
      <c r="X126" s="2"/>
      <c r="Y126" s="2"/>
      <c r="Z126" s="2"/>
    </row>
    <row r="127" ht="13.5" customHeight="1">
      <c r="A127" s="49"/>
      <c r="B127" s="49"/>
      <c r="C127" s="49"/>
      <c r="D127" s="49"/>
      <c r="E127" s="49"/>
      <c r="F127" s="49"/>
      <c r="G127" s="49"/>
      <c r="H127" s="49"/>
      <c r="I127" s="49"/>
      <c r="J127" s="49"/>
      <c r="K127" s="49"/>
      <c r="L127" s="49"/>
      <c r="M127" s="49"/>
      <c r="N127" s="49"/>
      <c r="O127" s="49"/>
      <c r="P127" s="49"/>
      <c r="Q127" s="49"/>
      <c r="R127" s="49"/>
      <c r="S127" s="49"/>
      <c r="T127" s="49"/>
      <c r="U127" s="2"/>
      <c r="V127" s="2"/>
      <c r="W127" s="2"/>
      <c r="X127" s="2"/>
      <c r="Y127" s="2"/>
      <c r="Z127" s="2"/>
    </row>
    <row r="128" ht="13.5" customHeight="1">
      <c r="A128" s="49"/>
      <c r="B128" s="49"/>
      <c r="C128" s="49"/>
      <c r="D128" s="49"/>
      <c r="E128" s="49"/>
      <c r="F128" s="49"/>
      <c r="G128" s="49"/>
      <c r="H128" s="49"/>
      <c r="I128" s="49"/>
      <c r="J128" s="49"/>
      <c r="K128" s="49"/>
      <c r="L128" s="49"/>
      <c r="M128" s="49"/>
      <c r="N128" s="49"/>
      <c r="O128" s="49"/>
      <c r="P128" s="49"/>
      <c r="Q128" s="49"/>
      <c r="R128" s="49"/>
      <c r="S128" s="49"/>
      <c r="T128" s="49"/>
      <c r="U128" s="2"/>
      <c r="V128" s="2"/>
      <c r="W128" s="2"/>
      <c r="X128" s="2"/>
      <c r="Y128" s="2"/>
      <c r="Z128" s="2"/>
    </row>
    <row r="129" ht="13.5" customHeight="1">
      <c r="A129" s="49"/>
      <c r="B129" s="49"/>
      <c r="C129" s="49"/>
      <c r="D129" s="49"/>
      <c r="E129" s="49"/>
      <c r="F129" s="49"/>
      <c r="G129" s="49"/>
      <c r="H129" s="49"/>
      <c r="I129" s="49"/>
      <c r="J129" s="49"/>
      <c r="K129" s="49"/>
      <c r="L129" s="49"/>
      <c r="M129" s="49"/>
      <c r="N129" s="49"/>
      <c r="O129" s="49"/>
      <c r="P129" s="49"/>
      <c r="Q129" s="49"/>
      <c r="R129" s="49"/>
      <c r="S129" s="49"/>
      <c r="T129" s="49"/>
      <c r="U129" s="2"/>
      <c r="V129" s="2"/>
      <c r="W129" s="2"/>
      <c r="X129" s="2"/>
      <c r="Y129" s="2"/>
      <c r="Z129" s="2"/>
    </row>
    <row r="130" ht="13.5" customHeight="1">
      <c r="A130" s="49"/>
      <c r="B130" s="49"/>
      <c r="C130" s="49"/>
      <c r="D130" s="49"/>
      <c r="E130" s="49"/>
      <c r="F130" s="49"/>
      <c r="G130" s="49"/>
      <c r="H130" s="49"/>
      <c r="I130" s="49"/>
      <c r="J130" s="49"/>
      <c r="K130" s="49"/>
      <c r="L130" s="49"/>
      <c r="M130" s="49"/>
      <c r="N130" s="49"/>
      <c r="O130" s="49"/>
      <c r="P130" s="49"/>
      <c r="Q130" s="49"/>
      <c r="R130" s="49"/>
      <c r="S130" s="49"/>
      <c r="T130" s="49"/>
      <c r="U130" s="2"/>
      <c r="V130" s="2"/>
      <c r="W130" s="2"/>
      <c r="X130" s="2"/>
      <c r="Y130" s="2"/>
      <c r="Z130" s="2"/>
    </row>
    <row r="131" ht="13.5" customHeight="1">
      <c r="A131" s="49"/>
      <c r="B131" s="49"/>
      <c r="C131" s="49"/>
      <c r="D131" s="49"/>
      <c r="E131" s="49"/>
      <c r="F131" s="49"/>
      <c r="G131" s="49"/>
      <c r="H131" s="49"/>
      <c r="I131" s="49"/>
      <c r="J131" s="49"/>
      <c r="K131" s="49"/>
      <c r="L131" s="49"/>
      <c r="M131" s="49"/>
      <c r="N131" s="49"/>
      <c r="O131" s="49"/>
      <c r="P131" s="49"/>
      <c r="Q131" s="49"/>
      <c r="R131" s="49"/>
      <c r="S131" s="49"/>
      <c r="T131" s="49"/>
      <c r="U131" s="2"/>
      <c r="V131" s="2"/>
      <c r="W131" s="2"/>
      <c r="X131" s="2"/>
      <c r="Y131" s="2"/>
      <c r="Z131" s="2"/>
    </row>
    <row r="132" ht="13.5" customHeight="1">
      <c r="A132" s="49"/>
      <c r="B132" s="49"/>
      <c r="C132" s="49"/>
      <c r="D132" s="49"/>
      <c r="E132" s="49"/>
      <c r="F132" s="49"/>
      <c r="G132" s="49"/>
      <c r="H132" s="49"/>
      <c r="I132" s="49"/>
      <c r="J132" s="49"/>
      <c r="K132" s="49"/>
      <c r="L132" s="49"/>
      <c r="M132" s="49"/>
      <c r="N132" s="49"/>
      <c r="O132" s="49"/>
      <c r="P132" s="49"/>
      <c r="Q132" s="49"/>
      <c r="R132" s="49"/>
      <c r="S132" s="49"/>
      <c r="T132" s="49"/>
      <c r="U132" s="2"/>
      <c r="V132" s="2"/>
      <c r="W132" s="2"/>
      <c r="X132" s="2"/>
      <c r="Y132" s="2"/>
      <c r="Z132" s="2"/>
    </row>
    <row r="133" ht="13.5" customHeight="1">
      <c r="A133" s="49"/>
      <c r="B133" s="49"/>
      <c r="C133" s="49"/>
      <c r="D133" s="49"/>
      <c r="E133" s="49"/>
      <c r="F133" s="49"/>
      <c r="G133" s="49"/>
      <c r="H133" s="49"/>
      <c r="I133" s="49"/>
      <c r="J133" s="49"/>
      <c r="K133" s="49"/>
      <c r="L133" s="49"/>
      <c r="M133" s="49"/>
      <c r="N133" s="49"/>
      <c r="O133" s="49"/>
      <c r="P133" s="49"/>
      <c r="Q133" s="49"/>
      <c r="R133" s="49"/>
      <c r="S133" s="49"/>
      <c r="T133" s="49"/>
      <c r="U133" s="2"/>
      <c r="V133" s="2"/>
      <c r="W133" s="2"/>
      <c r="X133" s="2"/>
      <c r="Y133" s="2"/>
      <c r="Z133" s="2"/>
    </row>
    <row r="134" ht="13.5" customHeight="1">
      <c r="A134" s="49"/>
      <c r="B134" s="49"/>
      <c r="C134" s="49"/>
      <c r="D134" s="49"/>
      <c r="E134" s="49"/>
      <c r="F134" s="49"/>
      <c r="G134" s="49"/>
      <c r="H134" s="49"/>
      <c r="I134" s="49"/>
      <c r="J134" s="49"/>
      <c r="K134" s="49"/>
      <c r="L134" s="49"/>
      <c r="M134" s="49"/>
      <c r="N134" s="49"/>
      <c r="O134" s="49"/>
      <c r="P134" s="49"/>
      <c r="Q134" s="49"/>
      <c r="R134" s="49"/>
      <c r="S134" s="49"/>
      <c r="T134" s="49"/>
      <c r="U134" s="2"/>
      <c r="V134" s="2"/>
      <c r="W134" s="2"/>
      <c r="X134" s="2"/>
      <c r="Y134" s="2"/>
      <c r="Z134" s="2"/>
    </row>
    <row r="135" ht="13.5" customHeight="1">
      <c r="A135" s="49"/>
      <c r="B135" s="49"/>
      <c r="C135" s="49"/>
      <c r="D135" s="49"/>
      <c r="E135" s="49"/>
      <c r="F135" s="49"/>
      <c r="G135" s="49"/>
      <c r="H135" s="49"/>
      <c r="I135" s="49"/>
      <c r="J135" s="49"/>
      <c r="K135" s="49"/>
      <c r="L135" s="49"/>
      <c r="M135" s="49"/>
      <c r="N135" s="49"/>
      <c r="O135" s="49"/>
      <c r="P135" s="49"/>
      <c r="Q135" s="49"/>
      <c r="R135" s="49"/>
      <c r="S135" s="49"/>
      <c r="T135" s="49"/>
      <c r="U135" s="2"/>
      <c r="V135" s="2"/>
      <c r="W135" s="2"/>
      <c r="X135" s="2"/>
      <c r="Y135" s="2"/>
      <c r="Z135" s="2"/>
    </row>
    <row r="136" ht="13.5" customHeight="1">
      <c r="A136" s="49"/>
      <c r="B136" s="49"/>
      <c r="C136" s="49"/>
      <c r="D136" s="49"/>
      <c r="E136" s="49"/>
      <c r="F136" s="49"/>
      <c r="G136" s="49"/>
      <c r="H136" s="49"/>
      <c r="I136" s="49"/>
      <c r="J136" s="49"/>
      <c r="K136" s="49"/>
      <c r="L136" s="49"/>
      <c r="M136" s="49"/>
      <c r="N136" s="49"/>
      <c r="O136" s="49"/>
      <c r="P136" s="49"/>
      <c r="Q136" s="49"/>
      <c r="R136" s="49"/>
      <c r="S136" s="49"/>
      <c r="T136" s="49"/>
      <c r="U136" s="2"/>
      <c r="V136" s="2"/>
      <c r="W136" s="2"/>
      <c r="X136" s="2"/>
      <c r="Y136" s="2"/>
      <c r="Z136" s="2"/>
    </row>
    <row r="137" ht="13.5" customHeight="1">
      <c r="A137" s="49"/>
      <c r="B137" s="49"/>
      <c r="C137" s="49"/>
      <c r="D137" s="49"/>
      <c r="E137" s="49"/>
      <c r="F137" s="49"/>
      <c r="G137" s="49"/>
      <c r="H137" s="49"/>
      <c r="I137" s="49"/>
      <c r="J137" s="49"/>
      <c r="K137" s="49"/>
      <c r="L137" s="49"/>
      <c r="M137" s="49"/>
      <c r="N137" s="49"/>
      <c r="O137" s="49"/>
      <c r="P137" s="49"/>
      <c r="Q137" s="49"/>
      <c r="R137" s="49"/>
      <c r="S137" s="49"/>
      <c r="T137" s="49"/>
      <c r="U137" s="2"/>
      <c r="V137" s="2"/>
      <c r="W137" s="2"/>
      <c r="X137" s="2"/>
      <c r="Y137" s="2"/>
      <c r="Z137" s="2"/>
    </row>
    <row r="138" ht="13.5" customHeight="1">
      <c r="A138" s="49"/>
      <c r="B138" s="49"/>
      <c r="C138" s="49"/>
      <c r="D138" s="49"/>
      <c r="E138" s="49"/>
      <c r="F138" s="49"/>
      <c r="G138" s="49"/>
      <c r="H138" s="49"/>
      <c r="I138" s="49"/>
      <c r="J138" s="49"/>
      <c r="K138" s="49"/>
      <c r="L138" s="49"/>
      <c r="M138" s="49"/>
      <c r="N138" s="49"/>
      <c r="O138" s="49"/>
      <c r="P138" s="49"/>
      <c r="Q138" s="49"/>
      <c r="R138" s="49"/>
      <c r="S138" s="49"/>
      <c r="T138" s="49"/>
      <c r="U138" s="2"/>
      <c r="V138" s="2"/>
      <c r="W138" s="2"/>
      <c r="X138" s="2"/>
      <c r="Y138" s="2"/>
      <c r="Z138" s="2"/>
    </row>
    <row r="139" ht="13.5" customHeight="1">
      <c r="A139" s="49"/>
      <c r="B139" s="49"/>
      <c r="C139" s="49"/>
      <c r="D139" s="49"/>
      <c r="E139" s="49"/>
      <c r="F139" s="49"/>
      <c r="G139" s="49"/>
      <c r="H139" s="49"/>
      <c r="I139" s="49"/>
      <c r="J139" s="49"/>
      <c r="K139" s="49"/>
      <c r="L139" s="49"/>
      <c r="M139" s="49"/>
      <c r="N139" s="49"/>
      <c r="O139" s="49"/>
      <c r="P139" s="49"/>
      <c r="Q139" s="49"/>
      <c r="R139" s="49"/>
      <c r="S139" s="49"/>
      <c r="T139" s="49"/>
      <c r="U139" s="2"/>
      <c r="V139" s="2"/>
      <c r="W139" s="2"/>
      <c r="X139" s="2"/>
      <c r="Y139" s="2"/>
      <c r="Z139" s="2"/>
    </row>
    <row r="140" ht="13.5" customHeight="1">
      <c r="A140" s="49"/>
      <c r="B140" s="49"/>
      <c r="C140" s="49"/>
      <c r="D140" s="49"/>
      <c r="E140" s="49"/>
      <c r="F140" s="49"/>
      <c r="G140" s="49"/>
      <c r="H140" s="49"/>
      <c r="I140" s="49"/>
      <c r="J140" s="49"/>
      <c r="K140" s="49"/>
      <c r="L140" s="49"/>
      <c r="M140" s="49"/>
      <c r="N140" s="49"/>
      <c r="O140" s="49"/>
      <c r="P140" s="49"/>
      <c r="Q140" s="49"/>
      <c r="R140" s="49"/>
      <c r="S140" s="49"/>
      <c r="T140" s="49"/>
      <c r="U140" s="2"/>
      <c r="V140" s="2"/>
      <c r="W140" s="2"/>
      <c r="X140" s="2"/>
      <c r="Y140" s="2"/>
      <c r="Z140" s="2"/>
    </row>
    <row r="141" ht="13.5" customHeight="1">
      <c r="A141" s="49"/>
      <c r="B141" s="49"/>
      <c r="C141" s="49"/>
      <c r="D141" s="49"/>
      <c r="E141" s="49"/>
      <c r="F141" s="49"/>
      <c r="G141" s="49"/>
      <c r="H141" s="49"/>
      <c r="I141" s="49"/>
      <c r="J141" s="49"/>
      <c r="K141" s="49"/>
      <c r="L141" s="49"/>
      <c r="M141" s="49"/>
      <c r="N141" s="49"/>
      <c r="O141" s="49"/>
      <c r="P141" s="49"/>
      <c r="Q141" s="49"/>
      <c r="R141" s="49"/>
      <c r="S141" s="49"/>
      <c r="T141" s="49"/>
      <c r="U141" s="2"/>
      <c r="V141" s="2"/>
      <c r="W141" s="2"/>
      <c r="X141" s="2"/>
      <c r="Y141" s="2"/>
      <c r="Z141" s="2"/>
    </row>
    <row r="142" ht="13.5" customHeight="1">
      <c r="A142" s="49"/>
      <c r="B142" s="49"/>
      <c r="C142" s="49"/>
      <c r="D142" s="49"/>
      <c r="E142" s="49"/>
      <c r="F142" s="49"/>
      <c r="G142" s="49"/>
      <c r="H142" s="49"/>
      <c r="I142" s="49"/>
      <c r="J142" s="49"/>
      <c r="K142" s="49"/>
      <c r="L142" s="49"/>
      <c r="M142" s="49"/>
      <c r="N142" s="49"/>
      <c r="O142" s="49"/>
      <c r="P142" s="49"/>
      <c r="Q142" s="49"/>
      <c r="R142" s="49"/>
      <c r="S142" s="49"/>
      <c r="T142" s="49"/>
      <c r="U142" s="2"/>
      <c r="V142" s="2"/>
      <c r="W142" s="2"/>
      <c r="X142" s="2"/>
      <c r="Y142" s="2"/>
      <c r="Z142" s="2"/>
    </row>
    <row r="143" ht="13.5" customHeight="1">
      <c r="A143" s="49"/>
      <c r="B143" s="49"/>
      <c r="C143" s="49"/>
      <c r="D143" s="49"/>
      <c r="E143" s="49"/>
      <c r="F143" s="49"/>
      <c r="G143" s="49"/>
      <c r="H143" s="49"/>
      <c r="I143" s="49"/>
      <c r="J143" s="49"/>
      <c r="K143" s="49"/>
      <c r="L143" s="49"/>
      <c r="M143" s="49"/>
      <c r="N143" s="49"/>
      <c r="O143" s="49"/>
      <c r="P143" s="49"/>
      <c r="Q143" s="49"/>
      <c r="R143" s="49"/>
      <c r="S143" s="49"/>
      <c r="T143" s="49"/>
      <c r="U143" s="2"/>
      <c r="V143" s="2"/>
      <c r="W143" s="2"/>
      <c r="X143" s="2"/>
      <c r="Y143" s="2"/>
      <c r="Z143" s="2"/>
    </row>
    <row r="144" ht="13.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3.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3.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3.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3.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3.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3.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3.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3.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3.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3.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3.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3.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3.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3.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3.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3.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3.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3.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3.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3.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3.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3.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3.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3.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3.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3.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3.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3.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3.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3.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3.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3.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3.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3.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3.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3.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3.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3.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3.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3.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3.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3.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3.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3.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3.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3.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3.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3.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3.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3.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3.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3.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3.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3.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3.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3.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3.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3.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3.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3.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3.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3.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3.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3.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3.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3.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3.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3.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3.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3.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3.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3.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3.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3.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3.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3.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3.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3.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3.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3.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3">
    <mergeCell ref="A15:A20"/>
    <mergeCell ref="A21:A26"/>
    <mergeCell ref="B21:B26"/>
    <mergeCell ref="C21:C26"/>
    <mergeCell ref="D21:D26"/>
    <mergeCell ref="A27:A29"/>
    <mergeCell ref="B27:B29"/>
    <mergeCell ref="A30:A33"/>
    <mergeCell ref="B30:B33"/>
    <mergeCell ref="C30:C33"/>
    <mergeCell ref="D30:D33"/>
    <mergeCell ref="B34:B35"/>
    <mergeCell ref="C34:C35"/>
    <mergeCell ref="D34:D35"/>
    <mergeCell ref="A1:T1"/>
    <mergeCell ref="A2:C2"/>
    <mergeCell ref="D2:G2"/>
    <mergeCell ref="H2:J2"/>
    <mergeCell ref="K2:O2"/>
    <mergeCell ref="P2:R2"/>
    <mergeCell ref="S2:T2"/>
    <mergeCell ref="A3:C3"/>
    <mergeCell ref="D3:G3"/>
    <mergeCell ref="H3:J3"/>
    <mergeCell ref="P3:R3"/>
    <mergeCell ref="S3:T3"/>
    <mergeCell ref="A6:A11"/>
    <mergeCell ref="D6:D11"/>
    <mergeCell ref="B15:B20"/>
    <mergeCell ref="C15:C20"/>
    <mergeCell ref="B6:B11"/>
    <mergeCell ref="C6:C11"/>
    <mergeCell ref="A12:A14"/>
    <mergeCell ref="B12:B14"/>
    <mergeCell ref="C12:C14"/>
    <mergeCell ref="D12:D14"/>
    <mergeCell ref="D15:D20"/>
    <mergeCell ref="C27:C29"/>
    <mergeCell ref="D27:D29"/>
    <mergeCell ref="A34:A35"/>
    <mergeCell ref="A36:A40"/>
    <mergeCell ref="B36:B40"/>
    <mergeCell ref="C36:C40"/>
    <mergeCell ref="D36:D40"/>
    <mergeCell ref="L34:L35"/>
    <mergeCell ref="L36:L40"/>
    <mergeCell ref="K3:O3"/>
    <mergeCell ref="L6:L11"/>
    <mergeCell ref="L12:L14"/>
    <mergeCell ref="L15:L20"/>
    <mergeCell ref="L21:L26"/>
    <mergeCell ref="L27:L29"/>
    <mergeCell ref="L30:L33"/>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55.75"/>
    <col customWidth="1" min="11" max="11" width="44.38"/>
    <col customWidth="1" hidden="1" min="12" max="12" width="18.88"/>
    <col customWidth="1" hidden="1" min="13" max="13" width="30.75"/>
    <col hidden="1" min="14" max="16" width="12.63"/>
    <col customWidth="1" min="17" max="17" width="12.63"/>
    <col customWidth="1" min="18" max="19" width="15.75"/>
    <col customWidth="1" min="20" max="20" width="20.75"/>
    <col customWidth="1" min="21" max="26" width="12.63"/>
  </cols>
  <sheetData>
    <row r="1" ht="13.5" customHeight="1">
      <c r="A1" s="21" t="s">
        <v>1909</v>
      </c>
      <c r="B1" s="24"/>
      <c r="C1" s="24"/>
      <c r="D1" s="24"/>
      <c r="E1" s="24"/>
      <c r="F1" s="24"/>
      <c r="G1" s="24"/>
      <c r="H1" s="24"/>
      <c r="I1" s="24"/>
      <c r="J1" s="24"/>
      <c r="K1" s="24"/>
      <c r="L1" s="24"/>
      <c r="M1" s="24"/>
      <c r="N1" s="24"/>
      <c r="O1" s="24"/>
      <c r="P1" s="24"/>
      <c r="Q1" s="24"/>
      <c r="R1" s="24"/>
      <c r="S1" s="24"/>
      <c r="T1" s="27"/>
      <c r="U1" s="143"/>
      <c r="V1" s="143"/>
      <c r="W1" s="143"/>
      <c r="X1" s="143"/>
      <c r="Y1" s="143"/>
      <c r="Z1" s="143"/>
    </row>
    <row r="2" ht="13.5" customHeight="1">
      <c r="A2" s="35" t="s">
        <v>38</v>
      </c>
      <c r="B2" s="37"/>
      <c r="C2" s="39"/>
      <c r="D2" s="40" t="s">
        <v>47</v>
      </c>
      <c r="E2" s="37"/>
      <c r="F2" s="37"/>
      <c r="G2" s="39"/>
      <c r="H2" s="35" t="s">
        <v>50</v>
      </c>
      <c r="I2" s="37"/>
      <c r="J2" s="39"/>
      <c r="K2" s="40" t="s">
        <v>3403</v>
      </c>
      <c r="L2" s="37"/>
      <c r="M2" s="37"/>
      <c r="N2" s="37"/>
      <c r="O2" s="39"/>
      <c r="P2" s="35" t="s">
        <v>6</v>
      </c>
      <c r="Q2" s="37"/>
      <c r="R2" s="39"/>
      <c r="S2" s="40" t="s">
        <v>33</v>
      </c>
      <c r="T2" s="39"/>
      <c r="U2" s="143"/>
      <c r="V2" s="143"/>
      <c r="W2" s="143"/>
      <c r="X2" s="143"/>
      <c r="Y2" s="143"/>
      <c r="Z2" s="143"/>
    </row>
    <row r="3" ht="13.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143"/>
      <c r="W3" s="143"/>
      <c r="X3" s="143"/>
      <c r="Y3" s="143"/>
      <c r="Z3" s="143"/>
    </row>
    <row r="4" ht="13.5" customHeight="1">
      <c r="A4" s="49"/>
      <c r="B4" s="49"/>
      <c r="C4" s="49"/>
      <c r="D4" s="49"/>
      <c r="E4" s="49"/>
      <c r="F4" s="49"/>
      <c r="G4" s="49"/>
      <c r="H4" s="49"/>
      <c r="I4" s="49"/>
      <c r="J4" s="49"/>
      <c r="K4" s="49"/>
      <c r="L4" s="49"/>
      <c r="M4" s="49"/>
      <c r="N4" s="49"/>
      <c r="O4" s="49"/>
      <c r="P4" s="49"/>
      <c r="Q4" s="49"/>
      <c r="R4" s="49"/>
      <c r="S4" s="49"/>
      <c r="T4" s="49"/>
      <c r="U4" s="143"/>
      <c r="V4" s="143"/>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3" t="s">
        <v>82</v>
      </c>
      <c r="U5" s="143"/>
      <c r="V5" s="143"/>
      <c r="W5" s="143"/>
      <c r="X5" s="143"/>
      <c r="Y5" s="143"/>
      <c r="Z5" s="143"/>
    </row>
    <row r="6" ht="13.5" customHeight="1">
      <c r="A6" s="59" t="s">
        <v>3404</v>
      </c>
      <c r="B6" s="59" t="s">
        <v>829</v>
      </c>
      <c r="C6" s="60" t="s">
        <v>830</v>
      </c>
      <c r="D6" s="60" t="s">
        <v>3405</v>
      </c>
      <c r="E6" s="61" t="s">
        <v>3406</v>
      </c>
      <c r="F6" s="62" t="s">
        <v>3407</v>
      </c>
      <c r="G6" s="63" t="s">
        <v>3408</v>
      </c>
      <c r="H6" s="61" t="s">
        <v>88</v>
      </c>
      <c r="I6" s="61" t="s">
        <v>60</v>
      </c>
      <c r="J6" s="151" t="s">
        <v>3409</v>
      </c>
      <c r="K6" s="90"/>
      <c r="L6" s="60" t="s">
        <v>3410</v>
      </c>
      <c r="M6" s="61"/>
      <c r="N6" s="61"/>
      <c r="O6" s="61"/>
      <c r="P6" s="61"/>
      <c r="Q6" s="61" t="s">
        <v>93</v>
      </c>
      <c r="R6" s="61" t="s">
        <v>94</v>
      </c>
      <c r="S6" s="61" t="s">
        <v>94</v>
      </c>
      <c r="T6" s="66">
        <v>46246.0</v>
      </c>
      <c r="U6" s="143"/>
      <c r="V6" s="143"/>
      <c r="W6" s="143"/>
      <c r="X6" s="143"/>
      <c r="Y6" s="143"/>
      <c r="Z6" s="143"/>
    </row>
    <row r="7" ht="13.5" customHeight="1">
      <c r="A7" s="67"/>
      <c r="B7" s="67"/>
      <c r="C7" s="67"/>
      <c r="D7" s="67"/>
      <c r="E7" s="61" t="s">
        <v>3411</v>
      </c>
      <c r="F7" s="62" t="s">
        <v>3412</v>
      </c>
      <c r="G7" s="63" t="s">
        <v>3413</v>
      </c>
      <c r="H7" s="61" t="s">
        <v>88</v>
      </c>
      <c r="I7" s="61" t="s">
        <v>60</v>
      </c>
      <c r="J7" s="151" t="s">
        <v>3414</v>
      </c>
      <c r="K7" s="90"/>
      <c r="L7" s="67"/>
      <c r="M7" s="61"/>
      <c r="N7" s="61"/>
      <c r="O7" s="61"/>
      <c r="P7" s="61"/>
      <c r="Q7" s="61" t="s">
        <v>93</v>
      </c>
      <c r="R7" s="61" t="s">
        <v>94</v>
      </c>
      <c r="S7" s="61" t="s">
        <v>94</v>
      </c>
      <c r="T7" s="66">
        <v>46246.0</v>
      </c>
      <c r="U7" s="143"/>
      <c r="V7" s="143"/>
      <c r="W7" s="143"/>
      <c r="X7" s="143"/>
      <c r="Y7" s="143"/>
      <c r="Z7" s="143"/>
    </row>
    <row r="8" ht="13.5" customHeight="1">
      <c r="A8" s="67"/>
      <c r="B8" s="67"/>
      <c r="C8" s="67"/>
      <c r="D8" s="67"/>
      <c r="E8" s="61" t="s">
        <v>3415</v>
      </c>
      <c r="F8" s="68"/>
      <c r="G8" s="63" t="s">
        <v>3416</v>
      </c>
      <c r="H8" s="61" t="s">
        <v>88</v>
      </c>
      <c r="I8" s="61" t="s">
        <v>60</v>
      </c>
      <c r="J8" s="151" t="s">
        <v>3417</v>
      </c>
      <c r="K8" s="90"/>
      <c r="L8" s="67"/>
      <c r="M8" s="61"/>
      <c r="N8" s="61"/>
      <c r="O8" s="61"/>
      <c r="P8" s="61"/>
      <c r="Q8" s="61" t="s">
        <v>93</v>
      </c>
      <c r="R8" s="61" t="s">
        <v>94</v>
      </c>
      <c r="S8" s="61" t="s">
        <v>94</v>
      </c>
      <c r="T8" s="66">
        <v>46246.0</v>
      </c>
      <c r="U8" s="143"/>
      <c r="V8" s="143"/>
      <c r="W8" s="143"/>
      <c r="X8" s="143"/>
      <c r="Y8" s="143"/>
      <c r="Z8" s="143"/>
    </row>
    <row r="9" ht="13.5" customHeight="1">
      <c r="A9" s="67"/>
      <c r="B9" s="67"/>
      <c r="C9" s="67"/>
      <c r="D9" s="67"/>
      <c r="E9" s="61" t="s">
        <v>3418</v>
      </c>
      <c r="F9" s="68"/>
      <c r="G9" s="63" t="s">
        <v>3419</v>
      </c>
      <c r="H9" s="61" t="s">
        <v>88</v>
      </c>
      <c r="I9" s="61" t="s">
        <v>60</v>
      </c>
      <c r="J9" s="151" t="s">
        <v>3420</v>
      </c>
      <c r="K9" s="90"/>
      <c r="L9" s="67"/>
      <c r="M9" s="61"/>
      <c r="N9" s="61"/>
      <c r="O9" s="61"/>
      <c r="P9" s="61"/>
      <c r="Q9" s="61" t="s">
        <v>93</v>
      </c>
      <c r="R9" s="61" t="s">
        <v>94</v>
      </c>
      <c r="S9" s="61" t="s">
        <v>94</v>
      </c>
      <c r="T9" s="66">
        <v>46246.0</v>
      </c>
      <c r="U9" s="143"/>
      <c r="V9" s="143"/>
      <c r="W9" s="143"/>
      <c r="X9" s="143"/>
      <c r="Y9" s="143"/>
      <c r="Z9" s="143"/>
    </row>
    <row r="10" ht="13.5" customHeight="1">
      <c r="A10" s="67"/>
      <c r="B10" s="67"/>
      <c r="C10" s="67"/>
      <c r="D10" s="67"/>
      <c r="E10" s="61" t="s">
        <v>3421</v>
      </c>
      <c r="F10" s="62" t="s">
        <v>3422</v>
      </c>
      <c r="G10" s="63" t="s">
        <v>3423</v>
      </c>
      <c r="H10" s="61" t="s">
        <v>88</v>
      </c>
      <c r="I10" s="61" t="s">
        <v>60</v>
      </c>
      <c r="J10" s="151" t="s">
        <v>3424</v>
      </c>
      <c r="K10" s="90"/>
      <c r="L10" s="67"/>
      <c r="M10" s="61"/>
      <c r="N10" s="61"/>
      <c r="O10" s="61"/>
      <c r="P10" s="61"/>
      <c r="Q10" s="61" t="s">
        <v>93</v>
      </c>
      <c r="R10" s="61" t="s">
        <v>94</v>
      </c>
      <c r="S10" s="61" t="s">
        <v>94</v>
      </c>
      <c r="T10" s="66">
        <v>46246.0</v>
      </c>
      <c r="U10" s="143"/>
      <c r="V10" s="143"/>
      <c r="W10" s="143"/>
      <c r="X10" s="143"/>
      <c r="Y10" s="143"/>
      <c r="Z10" s="143"/>
    </row>
    <row r="11" ht="13.5" customHeight="1">
      <c r="A11" s="67"/>
      <c r="B11" s="67"/>
      <c r="C11" s="67"/>
      <c r="D11" s="67"/>
      <c r="E11" s="61" t="s">
        <v>3425</v>
      </c>
      <c r="F11" s="68"/>
      <c r="G11" s="63" t="s">
        <v>3426</v>
      </c>
      <c r="H11" s="61" t="s">
        <v>88</v>
      </c>
      <c r="I11" s="61" t="s">
        <v>60</v>
      </c>
      <c r="J11" s="151" t="s">
        <v>3427</v>
      </c>
      <c r="K11" s="90"/>
      <c r="L11" s="67"/>
      <c r="M11" s="61"/>
      <c r="N11" s="61"/>
      <c r="O11" s="61"/>
      <c r="P11" s="61"/>
      <c r="Q11" s="61" t="s">
        <v>93</v>
      </c>
      <c r="R11" s="61" t="s">
        <v>94</v>
      </c>
      <c r="S11" s="61" t="s">
        <v>94</v>
      </c>
      <c r="T11" s="66">
        <v>46246.0</v>
      </c>
      <c r="U11" s="143"/>
      <c r="V11" s="143"/>
      <c r="W11" s="143"/>
      <c r="X11" s="143"/>
      <c r="Y11" s="143"/>
      <c r="Z11" s="143"/>
    </row>
    <row r="12" ht="13.5" customHeight="1">
      <c r="A12" s="67"/>
      <c r="B12" s="67"/>
      <c r="C12" s="67"/>
      <c r="D12" s="67"/>
      <c r="E12" s="61" t="s">
        <v>3428</v>
      </c>
      <c r="F12" s="68"/>
      <c r="G12" s="63" t="s">
        <v>3429</v>
      </c>
      <c r="H12" s="61" t="s">
        <v>88</v>
      </c>
      <c r="I12" s="61" t="s">
        <v>60</v>
      </c>
      <c r="J12" s="151" t="s">
        <v>3430</v>
      </c>
      <c r="K12" s="90"/>
      <c r="L12" s="67"/>
      <c r="M12" s="61"/>
      <c r="N12" s="61"/>
      <c r="O12" s="61"/>
      <c r="P12" s="61"/>
      <c r="Q12" s="61" t="s">
        <v>93</v>
      </c>
      <c r="R12" s="61" t="s">
        <v>94</v>
      </c>
      <c r="S12" s="61" t="s">
        <v>94</v>
      </c>
      <c r="T12" s="66">
        <v>46246.0</v>
      </c>
      <c r="U12" s="143"/>
      <c r="V12" s="143"/>
      <c r="W12" s="143"/>
      <c r="X12" s="143"/>
      <c r="Y12" s="143"/>
      <c r="Z12" s="143"/>
    </row>
    <row r="13" ht="13.5" customHeight="1">
      <c r="A13" s="77"/>
      <c r="B13" s="77"/>
      <c r="C13" s="77"/>
      <c r="D13" s="77"/>
      <c r="E13" s="61" t="s">
        <v>3431</v>
      </c>
      <c r="F13" s="68"/>
      <c r="G13" s="63" t="s">
        <v>3432</v>
      </c>
      <c r="H13" s="61" t="s">
        <v>88</v>
      </c>
      <c r="I13" s="61" t="s">
        <v>60</v>
      </c>
      <c r="J13" s="151" t="s">
        <v>3433</v>
      </c>
      <c r="K13" s="90"/>
      <c r="L13" s="77"/>
      <c r="M13" s="61"/>
      <c r="N13" s="61"/>
      <c r="O13" s="61"/>
      <c r="P13" s="61"/>
      <c r="Q13" s="61" t="s">
        <v>93</v>
      </c>
      <c r="R13" s="61" t="s">
        <v>94</v>
      </c>
      <c r="S13" s="61" t="s">
        <v>94</v>
      </c>
      <c r="T13" s="66">
        <v>46246.0</v>
      </c>
      <c r="U13" s="143"/>
      <c r="V13" s="143"/>
      <c r="W13" s="143"/>
      <c r="X13" s="143"/>
      <c r="Y13" s="143"/>
      <c r="Z13" s="143"/>
    </row>
    <row r="14" ht="13.5" customHeight="1">
      <c r="A14" s="78" t="s">
        <v>3404</v>
      </c>
      <c r="B14" s="78" t="s">
        <v>837</v>
      </c>
      <c r="C14" s="79" t="s">
        <v>838</v>
      </c>
      <c r="D14" s="79" t="s">
        <v>3434</v>
      </c>
      <c r="E14" s="89" t="s">
        <v>3435</v>
      </c>
      <c r="F14" s="70" t="s">
        <v>3436</v>
      </c>
      <c r="G14" s="83" t="s">
        <v>3437</v>
      </c>
      <c r="H14" s="81" t="s">
        <v>88</v>
      </c>
      <c r="I14" s="81" t="s">
        <v>60</v>
      </c>
      <c r="J14" s="82" t="s">
        <v>3438</v>
      </c>
      <c r="K14" s="90"/>
      <c r="L14" s="79" t="s">
        <v>3439</v>
      </c>
      <c r="M14" s="147"/>
      <c r="N14" s="147"/>
      <c r="O14" s="147"/>
      <c r="P14" s="147"/>
      <c r="Q14" s="89" t="s">
        <v>93</v>
      </c>
      <c r="R14" s="81" t="s">
        <v>94</v>
      </c>
      <c r="S14" s="81" t="s">
        <v>94</v>
      </c>
      <c r="T14" s="84">
        <v>46246.0</v>
      </c>
      <c r="U14" s="143"/>
      <c r="V14" s="143"/>
      <c r="W14" s="143"/>
      <c r="X14" s="143"/>
      <c r="Y14" s="143"/>
      <c r="Z14" s="143"/>
    </row>
    <row r="15" ht="13.5" customHeight="1">
      <c r="A15" s="67"/>
      <c r="B15" s="67"/>
      <c r="C15" s="67"/>
      <c r="D15" s="67"/>
      <c r="E15" s="89" t="s">
        <v>3440</v>
      </c>
      <c r="F15" s="70"/>
      <c r="G15" s="83" t="s">
        <v>3441</v>
      </c>
      <c r="H15" s="81" t="s">
        <v>88</v>
      </c>
      <c r="I15" s="81" t="s">
        <v>60</v>
      </c>
      <c r="J15" s="83" t="s">
        <v>3442</v>
      </c>
      <c r="K15" s="90"/>
      <c r="L15" s="67"/>
      <c r="M15" s="147"/>
      <c r="N15" s="147"/>
      <c r="O15" s="147"/>
      <c r="P15" s="147"/>
      <c r="Q15" s="89" t="s">
        <v>93</v>
      </c>
      <c r="R15" s="89" t="s">
        <v>94</v>
      </c>
      <c r="S15" s="89" t="s">
        <v>94</v>
      </c>
      <c r="T15" s="148">
        <v>46246.0</v>
      </c>
      <c r="U15" s="143"/>
      <c r="V15" s="143"/>
      <c r="W15" s="143"/>
      <c r="X15" s="143"/>
      <c r="Y15" s="143"/>
      <c r="Z15" s="143"/>
    </row>
    <row r="16" ht="13.5" customHeight="1">
      <c r="A16" s="67"/>
      <c r="B16" s="67"/>
      <c r="C16" s="67"/>
      <c r="D16" s="67"/>
      <c r="E16" s="89" t="s">
        <v>3443</v>
      </c>
      <c r="F16" s="70" t="s">
        <v>3444</v>
      </c>
      <c r="G16" s="83" t="s">
        <v>3445</v>
      </c>
      <c r="H16" s="81" t="s">
        <v>88</v>
      </c>
      <c r="I16" s="81" t="s">
        <v>60</v>
      </c>
      <c r="J16" s="117" t="s">
        <v>3445</v>
      </c>
      <c r="K16" s="90"/>
      <c r="L16" s="67"/>
      <c r="M16" s="147"/>
      <c r="N16" s="147"/>
      <c r="O16" s="147"/>
      <c r="P16" s="147"/>
      <c r="Q16" s="89" t="s">
        <v>93</v>
      </c>
      <c r="R16" s="89" t="s">
        <v>94</v>
      </c>
      <c r="S16" s="89" t="s">
        <v>94</v>
      </c>
      <c r="T16" s="148">
        <v>46246.0</v>
      </c>
      <c r="U16" s="143"/>
      <c r="V16" s="143"/>
      <c r="W16" s="143"/>
      <c r="X16" s="143"/>
      <c r="Y16" s="143"/>
      <c r="Z16" s="143"/>
    </row>
    <row r="17" ht="13.5" customHeight="1">
      <c r="A17" s="67"/>
      <c r="B17" s="67"/>
      <c r="C17" s="67"/>
      <c r="D17" s="67"/>
      <c r="E17" s="89" t="s">
        <v>3446</v>
      </c>
      <c r="F17" s="70"/>
      <c r="G17" s="83" t="s">
        <v>3447</v>
      </c>
      <c r="H17" s="81" t="s">
        <v>88</v>
      </c>
      <c r="I17" s="81" t="s">
        <v>60</v>
      </c>
      <c r="J17" s="117" t="s">
        <v>3448</v>
      </c>
      <c r="K17" s="90"/>
      <c r="L17" s="67"/>
      <c r="M17" s="147"/>
      <c r="N17" s="147"/>
      <c r="O17" s="147"/>
      <c r="P17" s="147"/>
      <c r="Q17" s="89" t="s">
        <v>93</v>
      </c>
      <c r="R17" s="89" t="s">
        <v>94</v>
      </c>
      <c r="S17" s="89" t="s">
        <v>94</v>
      </c>
      <c r="T17" s="148">
        <v>46246.0</v>
      </c>
      <c r="U17" s="143"/>
      <c r="V17" s="143"/>
      <c r="W17" s="143"/>
      <c r="X17" s="143"/>
      <c r="Y17" s="143"/>
      <c r="Z17" s="143"/>
    </row>
    <row r="18" ht="13.5" customHeight="1">
      <c r="A18" s="67"/>
      <c r="B18" s="67"/>
      <c r="C18" s="67"/>
      <c r="D18" s="67"/>
      <c r="E18" s="89" t="s">
        <v>3449</v>
      </c>
      <c r="F18" s="70" t="s">
        <v>3450</v>
      </c>
      <c r="G18" s="83" t="s">
        <v>3451</v>
      </c>
      <c r="H18" s="81" t="s">
        <v>88</v>
      </c>
      <c r="I18" s="81" t="s">
        <v>60</v>
      </c>
      <c r="J18" s="117" t="s">
        <v>3451</v>
      </c>
      <c r="K18" s="90"/>
      <c r="L18" s="67"/>
      <c r="M18" s="147"/>
      <c r="N18" s="147"/>
      <c r="O18" s="147"/>
      <c r="P18" s="147"/>
      <c r="Q18" s="89" t="s">
        <v>93</v>
      </c>
      <c r="R18" s="89" t="s">
        <v>94</v>
      </c>
      <c r="S18" s="89" t="s">
        <v>94</v>
      </c>
      <c r="T18" s="148">
        <v>46246.0</v>
      </c>
      <c r="U18" s="143"/>
      <c r="V18" s="143"/>
      <c r="W18" s="143"/>
      <c r="X18" s="143"/>
      <c r="Y18" s="143"/>
      <c r="Z18" s="143"/>
    </row>
    <row r="19" ht="13.5" customHeight="1">
      <c r="A19" s="67"/>
      <c r="B19" s="67"/>
      <c r="C19" s="67"/>
      <c r="D19" s="67"/>
      <c r="E19" s="89" t="s">
        <v>3452</v>
      </c>
      <c r="F19" s="70"/>
      <c r="G19" s="83" t="s">
        <v>3453</v>
      </c>
      <c r="H19" s="81" t="s">
        <v>88</v>
      </c>
      <c r="I19" s="81" t="s">
        <v>60</v>
      </c>
      <c r="J19" s="117" t="s">
        <v>3454</v>
      </c>
      <c r="K19" s="90"/>
      <c r="L19" s="67"/>
      <c r="M19" s="147"/>
      <c r="N19" s="147"/>
      <c r="O19" s="147"/>
      <c r="P19" s="147"/>
      <c r="Q19" s="89" t="s">
        <v>93</v>
      </c>
      <c r="R19" s="89" t="s">
        <v>94</v>
      </c>
      <c r="S19" s="89" t="s">
        <v>94</v>
      </c>
      <c r="T19" s="148">
        <v>46246.0</v>
      </c>
      <c r="U19" s="143"/>
      <c r="V19" s="143"/>
      <c r="W19" s="143"/>
      <c r="X19" s="143"/>
      <c r="Y19" s="143"/>
      <c r="Z19" s="143"/>
    </row>
    <row r="20" ht="13.5" customHeight="1">
      <c r="A20" s="67"/>
      <c r="B20" s="67"/>
      <c r="C20" s="67"/>
      <c r="D20" s="67"/>
      <c r="E20" s="89" t="s">
        <v>3455</v>
      </c>
      <c r="F20" s="70"/>
      <c r="G20" s="83" t="s">
        <v>3456</v>
      </c>
      <c r="H20" s="81" t="s">
        <v>88</v>
      </c>
      <c r="I20" s="81" t="s">
        <v>60</v>
      </c>
      <c r="J20" s="117" t="s">
        <v>3456</v>
      </c>
      <c r="K20" s="90"/>
      <c r="L20" s="67"/>
      <c r="M20" s="147"/>
      <c r="N20" s="147"/>
      <c r="O20" s="147"/>
      <c r="P20" s="147"/>
      <c r="Q20" s="89" t="s">
        <v>93</v>
      </c>
      <c r="R20" s="89" t="s">
        <v>94</v>
      </c>
      <c r="S20" s="89" t="s">
        <v>94</v>
      </c>
      <c r="T20" s="148">
        <v>46246.0</v>
      </c>
      <c r="U20" s="143"/>
      <c r="V20" s="143"/>
      <c r="W20" s="143"/>
      <c r="X20" s="143"/>
      <c r="Y20" s="143"/>
      <c r="Z20" s="143"/>
    </row>
    <row r="21" ht="13.5" customHeight="1">
      <c r="A21" s="67"/>
      <c r="B21" s="67"/>
      <c r="C21" s="67"/>
      <c r="D21" s="67"/>
      <c r="E21" s="89" t="s">
        <v>3457</v>
      </c>
      <c r="F21" s="70"/>
      <c r="G21" s="83" t="s">
        <v>3458</v>
      </c>
      <c r="H21" s="81" t="s">
        <v>88</v>
      </c>
      <c r="I21" s="81" t="s">
        <v>60</v>
      </c>
      <c r="J21" s="117" t="s">
        <v>3459</v>
      </c>
      <c r="K21" s="90"/>
      <c r="L21" s="67"/>
      <c r="M21" s="147"/>
      <c r="N21" s="147"/>
      <c r="O21" s="147"/>
      <c r="P21" s="147"/>
      <c r="Q21" s="89" t="s">
        <v>93</v>
      </c>
      <c r="R21" s="89" t="s">
        <v>94</v>
      </c>
      <c r="S21" s="89" t="s">
        <v>94</v>
      </c>
      <c r="T21" s="148">
        <v>46246.0</v>
      </c>
      <c r="U21" s="143"/>
      <c r="V21" s="143"/>
      <c r="W21" s="143"/>
      <c r="X21" s="143"/>
      <c r="Y21" s="143"/>
      <c r="Z21" s="143"/>
    </row>
    <row r="22" ht="13.5" customHeight="1">
      <c r="A22" s="77"/>
      <c r="B22" s="77"/>
      <c r="C22" s="77"/>
      <c r="D22" s="77"/>
      <c r="E22" s="89" t="s">
        <v>3460</v>
      </c>
      <c r="F22" s="70" t="s">
        <v>3461</v>
      </c>
      <c r="G22" s="83" t="s">
        <v>3462</v>
      </c>
      <c r="H22" s="81" t="s">
        <v>88</v>
      </c>
      <c r="I22" s="81" t="s">
        <v>60</v>
      </c>
      <c r="J22" s="117" t="s">
        <v>3463</v>
      </c>
      <c r="K22" s="90"/>
      <c r="L22" s="77"/>
      <c r="M22" s="147"/>
      <c r="N22" s="147"/>
      <c r="O22" s="147"/>
      <c r="P22" s="147"/>
      <c r="Q22" s="89" t="s">
        <v>93</v>
      </c>
      <c r="R22" s="89" t="s">
        <v>94</v>
      </c>
      <c r="S22" s="89" t="s">
        <v>94</v>
      </c>
      <c r="T22" s="148">
        <v>46246.0</v>
      </c>
      <c r="U22" s="143"/>
      <c r="V22" s="143"/>
      <c r="W22" s="143"/>
      <c r="X22" s="143"/>
      <c r="Y22" s="143"/>
      <c r="Z22" s="143"/>
    </row>
    <row r="23" ht="13.5" customHeight="1">
      <c r="A23" s="59" t="s">
        <v>3404</v>
      </c>
      <c r="B23" s="59" t="s">
        <v>846</v>
      </c>
      <c r="C23" s="60" t="s">
        <v>847</v>
      </c>
      <c r="D23" s="60" t="s">
        <v>3464</v>
      </c>
      <c r="E23" s="61" t="s">
        <v>3465</v>
      </c>
      <c r="F23" s="62" t="s">
        <v>3466</v>
      </c>
      <c r="G23" s="63" t="s">
        <v>3467</v>
      </c>
      <c r="H23" s="61" t="s">
        <v>88</v>
      </c>
      <c r="I23" s="61" t="s">
        <v>60</v>
      </c>
      <c r="J23" s="151" t="s">
        <v>3468</v>
      </c>
      <c r="K23" s="90"/>
      <c r="L23" s="60" t="s">
        <v>3469</v>
      </c>
      <c r="M23" s="61"/>
      <c r="N23" s="61"/>
      <c r="O23" s="61"/>
      <c r="P23" s="61"/>
      <c r="Q23" s="61" t="s">
        <v>93</v>
      </c>
      <c r="R23" s="61" t="s">
        <v>94</v>
      </c>
      <c r="S23" s="61" t="s">
        <v>94</v>
      </c>
      <c r="T23" s="66">
        <v>46246.0</v>
      </c>
      <c r="U23" s="143"/>
      <c r="V23" s="143"/>
      <c r="W23" s="143"/>
      <c r="X23" s="143"/>
      <c r="Y23" s="143"/>
      <c r="Z23" s="143"/>
    </row>
    <row r="24" ht="13.5" customHeight="1">
      <c r="A24" s="67"/>
      <c r="B24" s="67"/>
      <c r="C24" s="67"/>
      <c r="D24" s="67"/>
      <c r="E24" s="61" t="s">
        <v>3470</v>
      </c>
      <c r="F24" s="62"/>
      <c r="G24" s="63" t="s">
        <v>3471</v>
      </c>
      <c r="H24" s="61" t="s">
        <v>88</v>
      </c>
      <c r="I24" s="61" t="s">
        <v>60</v>
      </c>
      <c r="J24" s="151" t="s">
        <v>3472</v>
      </c>
      <c r="K24" s="90"/>
      <c r="L24" s="67"/>
      <c r="M24" s="61"/>
      <c r="N24" s="61"/>
      <c r="O24" s="61"/>
      <c r="P24" s="61"/>
      <c r="Q24" s="61" t="s">
        <v>93</v>
      </c>
      <c r="R24" s="61" t="s">
        <v>94</v>
      </c>
      <c r="S24" s="61" t="s">
        <v>94</v>
      </c>
      <c r="T24" s="66">
        <v>46246.0</v>
      </c>
      <c r="U24" s="143"/>
      <c r="V24" s="143"/>
      <c r="W24" s="143"/>
      <c r="X24" s="143"/>
      <c r="Y24" s="143"/>
      <c r="Z24" s="143"/>
    </row>
    <row r="25" ht="13.5" customHeight="1">
      <c r="A25" s="67"/>
      <c r="B25" s="67"/>
      <c r="C25" s="67"/>
      <c r="D25" s="67"/>
      <c r="E25" s="61" t="s">
        <v>3473</v>
      </c>
      <c r="F25" s="62"/>
      <c r="G25" s="63" t="s">
        <v>3474</v>
      </c>
      <c r="H25" s="61" t="s">
        <v>88</v>
      </c>
      <c r="I25" s="61" t="s">
        <v>60</v>
      </c>
      <c r="J25" s="151" t="s">
        <v>3475</v>
      </c>
      <c r="K25" s="90"/>
      <c r="L25" s="67"/>
      <c r="M25" s="61"/>
      <c r="N25" s="61"/>
      <c r="O25" s="61"/>
      <c r="P25" s="61"/>
      <c r="Q25" s="61" t="s">
        <v>93</v>
      </c>
      <c r="R25" s="61" t="s">
        <v>94</v>
      </c>
      <c r="S25" s="61" t="s">
        <v>94</v>
      </c>
      <c r="T25" s="66">
        <v>46246.0</v>
      </c>
      <c r="U25" s="143"/>
      <c r="V25" s="143"/>
      <c r="W25" s="143"/>
      <c r="X25" s="143"/>
      <c r="Y25" s="143"/>
      <c r="Z25" s="143"/>
    </row>
    <row r="26" ht="13.5" customHeight="1">
      <c r="A26" s="67"/>
      <c r="B26" s="67"/>
      <c r="C26" s="67"/>
      <c r="D26" s="67"/>
      <c r="E26" s="61" t="s">
        <v>3476</v>
      </c>
      <c r="F26" s="62" t="s">
        <v>3477</v>
      </c>
      <c r="G26" s="63" t="s">
        <v>3478</v>
      </c>
      <c r="H26" s="61" t="s">
        <v>88</v>
      </c>
      <c r="I26" s="61" t="s">
        <v>60</v>
      </c>
      <c r="J26" s="151" t="s">
        <v>3478</v>
      </c>
      <c r="K26" s="90"/>
      <c r="L26" s="67"/>
      <c r="M26" s="61"/>
      <c r="N26" s="61"/>
      <c r="O26" s="61"/>
      <c r="P26" s="61"/>
      <c r="Q26" s="61" t="s">
        <v>93</v>
      </c>
      <c r="R26" s="61" t="s">
        <v>94</v>
      </c>
      <c r="S26" s="61" t="s">
        <v>94</v>
      </c>
      <c r="T26" s="66">
        <v>46246.0</v>
      </c>
      <c r="U26" s="143"/>
      <c r="V26" s="143"/>
      <c r="W26" s="143"/>
      <c r="X26" s="143"/>
      <c r="Y26" s="143"/>
      <c r="Z26" s="143"/>
    </row>
    <row r="27" ht="13.5" customHeight="1">
      <c r="A27" s="67"/>
      <c r="B27" s="67"/>
      <c r="C27" s="67"/>
      <c r="D27" s="67"/>
      <c r="E27" s="61" t="s">
        <v>3479</v>
      </c>
      <c r="F27" s="62"/>
      <c r="G27" s="63" t="s">
        <v>3480</v>
      </c>
      <c r="H27" s="61" t="s">
        <v>88</v>
      </c>
      <c r="I27" s="61" t="s">
        <v>60</v>
      </c>
      <c r="J27" s="151" t="s">
        <v>3480</v>
      </c>
      <c r="K27" s="90"/>
      <c r="L27" s="67"/>
      <c r="M27" s="61"/>
      <c r="N27" s="61"/>
      <c r="O27" s="61"/>
      <c r="P27" s="61"/>
      <c r="Q27" s="61" t="s">
        <v>93</v>
      </c>
      <c r="R27" s="61" t="s">
        <v>94</v>
      </c>
      <c r="S27" s="61" t="s">
        <v>94</v>
      </c>
      <c r="T27" s="66">
        <v>46246.0</v>
      </c>
      <c r="U27" s="143"/>
      <c r="V27" s="143"/>
      <c r="W27" s="143"/>
      <c r="X27" s="143"/>
      <c r="Y27" s="143"/>
      <c r="Z27" s="143"/>
    </row>
    <row r="28" ht="13.5" customHeight="1">
      <c r="A28" s="67"/>
      <c r="B28" s="67"/>
      <c r="C28" s="67"/>
      <c r="D28" s="67"/>
      <c r="E28" s="61" t="s">
        <v>3481</v>
      </c>
      <c r="F28" s="62"/>
      <c r="G28" s="63" t="s">
        <v>3482</v>
      </c>
      <c r="H28" s="61" t="s">
        <v>88</v>
      </c>
      <c r="I28" s="61" t="s">
        <v>60</v>
      </c>
      <c r="J28" s="151" t="s">
        <v>3482</v>
      </c>
      <c r="K28" s="90"/>
      <c r="L28" s="67"/>
      <c r="M28" s="61"/>
      <c r="N28" s="61"/>
      <c r="O28" s="61"/>
      <c r="P28" s="61"/>
      <c r="Q28" s="61" t="s">
        <v>93</v>
      </c>
      <c r="R28" s="61" t="s">
        <v>94</v>
      </c>
      <c r="S28" s="61" t="s">
        <v>94</v>
      </c>
      <c r="T28" s="66">
        <v>46246.0</v>
      </c>
      <c r="U28" s="143"/>
      <c r="V28" s="143"/>
      <c r="W28" s="143"/>
      <c r="X28" s="143"/>
      <c r="Y28" s="143"/>
      <c r="Z28" s="143"/>
    </row>
    <row r="29" ht="13.5" customHeight="1">
      <c r="A29" s="67"/>
      <c r="B29" s="67"/>
      <c r="C29" s="67"/>
      <c r="D29" s="67"/>
      <c r="E29" s="61" t="s">
        <v>3483</v>
      </c>
      <c r="F29" s="62"/>
      <c r="G29" s="63" t="s">
        <v>3484</v>
      </c>
      <c r="H29" s="61" t="s">
        <v>88</v>
      </c>
      <c r="I29" s="61" t="s">
        <v>60</v>
      </c>
      <c r="J29" s="151" t="s">
        <v>3484</v>
      </c>
      <c r="K29" s="90"/>
      <c r="L29" s="67"/>
      <c r="M29" s="61"/>
      <c r="N29" s="61"/>
      <c r="O29" s="61"/>
      <c r="P29" s="61"/>
      <c r="Q29" s="61" t="s">
        <v>93</v>
      </c>
      <c r="R29" s="61" t="s">
        <v>94</v>
      </c>
      <c r="S29" s="61" t="s">
        <v>94</v>
      </c>
      <c r="T29" s="66">
        <v>46246.0</v>
      </c>
      <c r="U29" s="143"/>
      <c r="V29" s="143"/>
      <c r="W29" s="143"/>
      <c r="X29" s="143"/>
      <c r="Y29" s="143"/>
      <c r="Z29" s="143"/>
    </row>
    <row r="30" ht="13.5" customHeight="1">
      <c r="A30" s="67"/>
      <c r="B30" s="67"/>
      <c r="C30" s="67"/>
      <c r="D30" s="67"/>
      <c r="E30" s="61" t="s">
        <v>3485</v>
      </c>
      <c r="F30" s="62"/>
      <c r="G30" s="63" t="s">
        <v>3486</v>
      </c>
      <c r="H30" s="61" t="s">
        <v>88</v>
      </c>
      <c r="I30" s="61" t="s">
        <v>60</v>
      </c>
      <c r="J30" s="151" t="s">
        <v>3487</v>
      </c>
      <c r="K30" s="90"/>
      <c r="L30" s="67"/>
      <c r="M30" s="61"/>
      <c r="N30" s="61"/>
      <c r="O30" s="61"/>
      <c r="P30" s="61"/>
      <c r="Q30" s="61" t="s">
        <v>93</v>
      </c>
      <c r="R30" s="61" t="s">
        <v>94</v>
      </c>
      <c r="S30" s="61" t="s">
        <v>94</v>
      </c>
      <c r="T30" s="66">
        <v>46246.0</v>
      </c>
      <c r="U30" s="143"/>
      <c r="V30" s="143"/>
      <c r="W30" s="143"/>
      <c r="X30" s="143"/>
      <c r="Y30" s="143"/>
      <c r="Z30" s="143"/>
    </row>
    <row r="31" ht="13.5" customHeight="1">
      <c r="A31" s="67"/>
      <c r="B31" s="67"/>
      <c r="C31" s="67"/>
      <c r="D31" s="67"/>
      <c r="E31" s="61" t="s">
        <v>3488</v>
      </c>
      <c r="F31" s="62" t="s">
        <v>3489</v>
      </c>
      <c r="G31" s="63" t="s">
        <v>3490</v>
      </c>
      <c r="H31" s="61" t="s">
        <v>88</v>
      </c>
      <c r="I31" s="61" t="s">
        <v>60</v>
      </c>
      <c r="J31" s="151" t="s">
        <v>3491</v>
      </c>
      <c r="K31" s="90"/>
      <c r="L31" s="67"/>
      <c r="M31" s="61"/>
      <c r="N31" s="61"/>
      <c r="O31" s="61"/>
      <c r="P31" s="61"/>
      <c r="Q31" s="61" t="s">
        <v>93</v>
      </c>
      <c r="R31" s="61" t="s">
        <v>94</v>
      </c>
      <c r="S31" s="61" t="s">
        <v>94</v>
      </c>
      <c r="T31" s="66">
        <v>46246.0</v>
      </c>
      <c r="U31" s="143"/>
      <c r="V31" s="143"/>
      <c r="W31" s="143"/>
      <c r="X31" s="143"/>
      <c r="Y31" s="143"/>
      <c r="Z31" s="143"/>
    </row>
    <row r="32" ht="13.5" customHeight="1">
      <c r="A32" s="67"/>
      <c r="B32" s="67"/>
      <c r="C32" s="67"/>
      <c r="D32" s="67"/>
      <c r="E32" s="61" t="s">
        <v>3492</v>
      </c>
      <c r="F32" s="62"/>
      <c r="G32" s="63" t="s">
        <v>3493</v>
      </c>
      <c r="H32" s="61" t="s">
        <v>88</v>
      </c>
      <c r="I32" s="61" t="s">
        <v>60</v>
      </c>
      <c r="J32" s="151" t="s">
        <v>3494</v>
      </c>
      <c r="K32" s="90"/>
      <c r="L32" s="67"/>
      <c r="M32" s="61"/>
      <c r="N32" s="61"/>
      <c r="O32" s="61"/>
      <c r="P32" s="61"/>
      <c r="Q32" s="61" t="s">
        <v>93</v>
      </c>
      <c r="R32" s="61" t="s">
        <v>94</v>
      </c>
      <c r="S32" s="61" t="s">
        <v>94</v>
      </c>
      <c r="T32" s="66">
        <v>46246.0</v>
      </c>
      <c r="U32" s="143"/>
      <c r="V32" s="143"/>
      <c r="W32" s="143"/>
      <c r="X32" s="143"/>
      <c r="Y32" s="143"/>
      <c r="Z32" s="143"/>
    </row>
    <row r="33" ht="13.5" customHeight="1">
      <c r="A33" s="67"/>
      <c r="B33" s="67"/>
      <c r="C33" s="67"/>
      <c r="D33" s="67"/>
      <c r="E33" s="61" t="s">
        <v>3496</v>
      </c>
      <c r="F33" s="62"/>
      <c r="G33" s="63" t="s">
        <v>3497</v>
      </c>
      <c r="H33" s="61" t="s">
        <v>88</v>
      </c>
      <c r="I33" s="61" t="s">
        <v>60</v>
      </c>
      <c r="J33" s="151" t="s">
        <v>3498</v>
      </c>
      <c r="K33" s="90"/>
      <c r="L33" s="67"/>
      <c r="M33" s="61"/>
      <c r="N33" s="61"/>
      <c r="O33" s="61"/>
      <c r="P33" s="61"/>
      <c r="Q33" s="61" t="s">
        <v>93</v>
      </c>
      <c r="R33" s="61" t="s">
        <v>94</v>
      </c>
      <c r="S33" s="61" t="s">
        <v>94</v>
      </c>
      <c r="T33" s="66">
        <v>46246.0</v>
      </c>
      <c r="U33" s="143"/>
      <c r="V33" s="143"/>
      <c r="W33" s="143"/>
      <c r="X33" s="143"/>
      <c r="Y33" s="143"/>
      <c r="Z33" s="143"/>
    </row>
    <row r="34" ht="13.5" customHeight="1">
      <c r="A34" s="67"/>
      <c r="B34" s="67"/>
      <c r="C34" s="67"/>
      <c r="D34" s="67"/>
      <c r="E34" s="61" t="s">
        <v>3499</v>
      </c>
      <c r="F34" s="62"/>
      <c r="G34" s="63" t="s">
        <v>3500</v>
      </c>
      <c r="H34" s="61" t="s">
        <v>88</v>
      </c>
      <c r="I34" s="61" t="s">
        <v>60</v>
      </c>
      <c r="J34" s="151" t="s">
        <v>3501</v>
      </c>
      <c r="K34" s="90"/>
      <c r="L34" s="67"/>
      <c r="M34" s="61"/>
      <c r="N34" s="61"/>
      <c r="O34" s="61"/>
      <c r="P34" s="61"/>
      <c r="Q34" s="61" t="s">
        <v>93</v>
      </c>
      <c r="R34" s="61" t="s">
        <v>94</v>
      </c>
      <c r="S34" s="61" t="s">
        <v>94</v>
      </c>
      <c r="T34" s="66">
        <v>46246.0</v>
      </c>
      <c r="U34" s="143"/>
      <c r="V34" s="143"/>
      <c r="W34" s="143"/>
      <c r="X34" s="143"/>
      <c r="Y34" s="143"/>
      <c r="Z34" s="143"/>
    </row>
    <row r="35" ht="13.5" customHeight="1">
      <c r="A35" s="67"/>
      <c r="B35" s="67"/>
      <c r="C35" s="67"/>
      <c r="D35" s="67"/>
      <c r="E35" s="61" t="s">
        <v>3502</v>
      </c>
      <c r="F35" s="62" t="s">
        <v>3503</v>
      </c>
      <c r="G35" s="63" t="s">
        <v>3504</v>
      </c>
      <c r="H35" s="61" t="s">
        <v>88</v>
      </c>
      <c r="I35" s="61" t="s">
        <v>60</v>
      </c>
      <c r="J35" s="151" t="s">
        <v>3505</v>
      </c>
      <c r="K35" s="90"/>
      <c r="L35" s="67"/>
      <c r="M35" s="61"/>
      <c r="N35" s="61"/>
      <c r="O35" s="61"/>
      <c r="P35" s="61"/>
      <c r="Q35" s="61" t="s">
        <v>93</v>
      </c>
      <c r="R35" s="61" t="s">
        <v>94</v>
      </c>
      <c r="S35" s="61" t="s">
        <v>94</v>
      </c>
      <c r="T35" s="66">
        <v>46246.0</v>
      </c>
      <c r="U35" s="143"/>
      <c r="V35" s="143"/>
      <c r="W35" s="143"/>
      <c r="X35" s="143"/>
      <c r="Y35" s="143"/>
      <c r="Z35" s="143"/>
    </row>
    <row r="36" ht="13.5" customHeight="1">
      <c r="A36" s="67"/>
      <c r="B36" s="67"/>
      <c r="C36" s="67"/>
      <c r="D36" s="67"/>
      <c r="E36" s="61" t="s">
        <v>3506</v>
      </c>
      <c r="F36" s="62"/>
      <c r="G36" s="63" t="s">
        <v>3507</v>
      </c>
      <c r="H36" s="61" t="s">
        <v>88</v>
      </c>
      <c r="I36" s="61" t="s">
        <v>60</v>
      </c>
      <c r="J36" s="151" t="s">
        <v>3508</v>
      </c>
      <c r="K36" s="90"/>
      <c r="L36" s="67"/>
      <c r="M36" s="61"/>
      <c r="N36" s="61"/>
      <c r="O36" s="61"/>
      <c r="P36" s="61"/>
      <c r="Q36" s="61" t="s">
        <v>93</v>
      </c>
      <c r="R36" s="61" t="s">
        <v>94</v>
      </c>
      <c r="S36" s="61" t="s">
        <v>94</v>
      </c>
      <c r="T36" s="66">
        <v>46246.0</v>
      </c>
      <c r="U36" s="143"/>
      <c r="V36" s="143"/>
      <c r="W36" s="143"/>
      <c r="X36" s="143"/>
      <c r="Y36" s="143"/>
      <c r="Z36" s="143"/>
    </row>
    <row r="37" ht="13.5" customHeight="1">
      <c r="A37" s="67"/>
      <c r="B37" s="67"/>
      <c r="C37" s="67"/>
      <c r="D37" s="67"/>
      <c r="E37" s="61" t="s">
        <v>3509</v>
      </c>
      <c r="F37" s="62"/>
      <c r="G37" s="63" t="s">
        <v>3510</v>
      </c>
      <c r="H37" s="61" t="s">
        <v>88</v>
      </c>
      <c r="I37" s="61" t="s">
        <v>60</v>
      </c>
      <c r="J37" s="151" t="s">
        <v>3510</v>
      </c>
      <c r="K37" s="90"/>
      <c r="L37" s="67"/>
      <c r="M37" s="61"/>
      <c r="N37" s="61"/>
      <c r="O37" s="61"/>
      <c r="P37" s="61"/>
      <c r="Q37" s="61" t="s">
        <v>93</v>
      </c>
      <c r="R37" s="61" t="s">
        <v>94</v>
      </c>
      <c r="S37" s="61" t="s">
        <v>94</v>
      </c>
      <c r="T37" s="66">
        <v>46246.0</v>
      </c>
      <c r="U37" s="143"/>
      <c r="V37" s="143"/>
      <c r="W37" s="143"/>
      <c r="X37" s="143"/>
      <c r="Y37" s="143"/>
      <c r="Z37" s="143"/>
    </row>
    <row r="38" ht="13.5" customHeight="1">
      <c r="A38" s="67"/>
      <c r="B38" s="67"/>
      <c r="C38" s="67"/>
      <c r="D38" s="67"/>
      <c r="E38" s="61" t="s">
        <v>3511</v>
      </c>
      <c r="F38" s="62"/>
      <c r="G38" s="63" t="s">
        <v>3512</v>
      </c>
      <c r="H38" s="61" t="s">
        <v>88</v>
      </c>
      <c r="I38" s="61" t="s">
        <v>60</v>
      </c>
      <c r="J38" s="151" t="s">
        <v>3512</v>
      </c>
      <c r="K38" s="90"/>
      <c r="L38" s="67"/>
      <c r="M38" s="61"/>
      <c r="N38" s="61"/>
      <c r="O38" s="61"/>
      <c r="P38" s="61"/>
      <c r="Q38" s="61" t="s">
        <v>93</v>
      </c>
      <c r="R38" s="61" t="s">
        <v>94</v>
      </c>
      <c r="S38" s="61" t="s">
        <v>94</v>
      </c>
      <c r="T38" s="66">
        <v>46246.0</v>
      </c>
      <c r="U38" s="143"/>
      <c r="V38" s="143"/>
      <c r="W38" s="143"/>
      <c r="X38" s="143"/>
      <c r="Y38" s="143"/>
      <c r="Z38" s="143"/>
    </row>
    <row r="39" ht="13.5" customHeight="1">
      <c r="A39" s="67"/>
      <c r="B39" s="67"/>
      <c r="C39" s="67"/>
      <c r="D39" s="67"/>
      <c r="E39" s="61" t="s">
        <v>3514</v>
      </c>
      <c r="F39" s="62"/>
      <c r="G39" s="63" t="s">
        <v>3515</v>
      </c>
      <c r="H39" s="61" t="s">
        <v>88</v>
      </c>
      <c r="I39" s="61" t="s">
        <v>60</v>
      </c>
      <c r="J39" s="151" t="s">
        <v>3517</v>
      </c>
      <c r="K39" s="90"/>
      <c r="L39" s="67"/>
      <c r="M39" s="61"/>
      <c r="N39" s="61"/>
      <c r="O39" s="61"/>
      <c r="P39" s="61"/>
      <c r="Q39" s="61" t="s">
        <v>93</v>
      </c>
      <c r="R39" s="61" t="s">
        <v>94</v>
      </c>
      <c r="S39" s="61" t="s">
        <v>94</v>
      </c>
      <c r="T39" s="66">
        <v>46246.0</v>
      </c>
      <c r="U39" s="143"/>
      <c r="V39" s="143"/>
      <c r="W39" s="143"/>
      <c r="X39" s="143"/>
      <c r="Y39" s="143"/>
      <c r="Z39" s="143"/>
    </row>
    <row r="40" ht="13.5" customHeight="1">
      <c r="A40" s="77"/>
      <c r="B40" s="77"/>
      <c r="C40" s="77"/>
      <c r="D40" s="77"/>
      <c r="E40" s="61" t="s">
        <v>3522</v>
      </c>
      <c r="F40" s="62" t="s">
        <v>3523</v>
      </c>
      <c r="G40" s="63" t="s">
        <v>3524</v>
      </c>
      <c r="H40" s="61" t="s">
        <v>88</v>
      </c>
      <c r="I40" s="61" t="s">
        <v>60</v>
      </c>
      <c r="J40" s="151" t="s">
        <v>3525</v>
      </c>
      <c r="K40" s="90"/>
      <c r="L40" s="77"/>
      <c r="M40" s="61"/>
      <c r="N40" s="61"/>
      <c r="O40" s="61"/>
      <c r="P40" s="61"/>
      <c r="Q40" s="61" t="s">
        <v>93</v>
      </c>
      <c r="R40" s="61" t="s">
        <v>94</v>
      </c>
      <c r="S40" s="61" t="s">
        <v>94</v>
      </c>
      <c r="T40" s="66">
        <v>46246.0</v>
      </c>
      <c r="U40" s="143"/>
      <c r="V40" s="143"/>
      <c r="W40" s="143"/>
      <c r="X40" s="143"/>
      <c r="Y40" s="143"/>
      <c r="Z40" s="143"/>
    </row>
    <row r="41" ht="13.5" customHeight="1">
      <c r="A41" s="78" t="s">
        <v>3404</v>
      </c>
      <c r="B41" s="78" t="s">
        <v>851</v>
      </c>
      <c r="C41" s="79" t="s">
        <v>853</v>
      </c>
      <c r="D41" s="79" t="s">
        <v>3528</v>
      </c>
      <c r="E41" s="89" t="s">
        <v>3529</v>
      </c>
      <c r="F41" s="70" t="s">
        <v>3530</v>
      </c>
      <c r="G41" s="83" t="s">
        <v>3532</v>
      </c>
      <c r="H41" s="81" t="s">
        <v>88</v>
      </c>
      <c r="I41" s="81" t="s">
        <v>60</v>
      </c>
      <c r="J41" s="117" t="s">
        <v>3533</v>
      </c>
      <c r="K41" s="90"/>
      <c r="L41" s="79" t="s">
        <v>3534</v>
      </c>
      <c r="M41" s="147"/>
      <c r="N41" s="147"/>
      <c r="O41" s="147"/>
      <c r="P41" s="147"/>
      <c r="Q41" s="89" t="s">
        <v>93</v>
      </c>
      <c r="R41" s="81" t="s">
        <v>94</v>
      </c>
      <c r="S41" s="81" t="s">
        <v>94</v>
      </c>
      <c r="T41" s="84">
        <v>46246.0</v>
      </c>
      <c r="U41" s="143"/>
      <c r="V41" s="143"/>
      <c r="W41" s="143"/>
      <c r="X41" s="143"/>
      <c r="Y41" s="143"/>
      <c r="Z41" s="143"/>
    </row>
    <row r="42" ht="13.5" customHeight="1">
      <c r="A42" s="67"/>
      <c r="B42" s="67"/>
      <c r="C42" s="67"/>
      <c r="D42" s="67"/>
      <c r="E42" s="89" t="s">
        <v>3536</v>
      </c>
      <c r="F42" s="70"/>
      <c r="G42" s="83" t="s">
        <v>3538</v>
      </c>
      <c r="H42" s="81" t="s">
        <v>88</v>
      </c>
      <c r="I42" s="81" t="s">
        <v>60</v>
      </c>
      <c r="J42" s="117" t="s">
        <v>3540</v>
      </c>
      <c r="K42" s="90"/>
      <c r="L42" s="67"/>
      <c r="M42" s="147"/>
      <c r="N42" s="147"/>
      <c r="O42" s="147"/>
      <c r="P42" s="147"/>
      <c r="Q42" s="89" t="s">
        <v>93</v>
      </c>
      <c r="R42" s="89" t="s">
        <v>94</v>
      </c>
      <c r="S42" s="89" t="s">
        <v>94</v>
      </c>
      <c r="T42" s="148">
        <v>46246.0</v>
      </c>
      <c r="U42" s="143"/>
      <c r="V42" s="143"/>
      <c r="W42" s="143"/>
      <c r="X42" s="143"/>
      <c r="Y42" s="143"/>
      <c r="Z42" s="143"/>
    </row>
    <row r="43" ht="13.5" customHeight="1">
      <c r="A43" s="67"/>
      <c r="B43" s="67"/>
      <c r="C43" s="67"/>
      <c r="D43" s="67"/>
      <c r="E43" s="89" t="s">
        <v>3542</v>
      </c>
      <c r="F43" s="70"/>
      <c r="G43" s="83" t="s">
        <v>3543</v>
      </c>
      <c r="H43" s="81" t="s">
        <v>88</v>
      </c>
      <c r="I43" s="81" t="s">
        <v>60</v>
      </c>
      <c r="J43" s="117" t="s">
        <v>3544</v>
      </c>
      <c r="K43" s="90"/>
      <c r="L43" s="67"/>
      <c r="M43" s="147"/>
      <c r="N43" s="147"/>
      <c r="O43" s="147"/>
      <c r="P43" s="147"/>
      <c r="Q43" s="89" t="s">
        <v>93</v>
      </c>
      <c r="R43" s="89" t="s">
        <v>94</v>
      </c>
      <c r="S43" s="89" t="s">
        <v>94</v>
      </c>
      <c r="T43" s="148">
        <v>46246.0</v>
      </c>
      <c r="U43" s="143"/>
      <c r="V43" s="143"/>
      <c r="W43" s="143"/>
      <c r="X43" s="143"/>
      <c r="Y43" s="143"/>
      <c r="Z43" s="143"/>
    </row>
    <row r="44" ht="13.5" customHeight="1">
      <c r="A44" s="67"/>
      <c r="B44" s="67"/>
      <c r="C44" s="67"/>
      <c r="D44" s="67"/>
      <c r="E44" s="89" t="s">
        <v>3548</v>
      </c>
      <c r="F44" s="70"/>
      <c r="G44" s="83" t="s">
        <v>3549</v>
      </c>
      <c r="H44" s="81" t="s">
        <v>88</v>
      </c>
      <c r="I44" s="81" t="s">
        <v>60</v>
      </c>
      <c r="J44" s="117" t="s">
        <v>3550</v>
      </c>
      <c r="K44" s="90"/>
      <c r="L44" s="67"/>
      <c r="M44" s="147"/>
      <c r="N44" s="147"/>
      <c r="O44" s="147"/>
      <c r="P44" s="147"/>
      <c r="Q44" s="89" t="s">
        <v>93</v>
      </c>
      <c r="R44" s="89" t="s">
        <v>94</v>
      </c>
      <c r="S44" s="89" t="s">
        <v>94</v>
      </c>
      <c r="T44" s="148">
        <v>46246.0</v>
      </c>
      <c r="U44" s="143"/>
      <c r="V44" s="143"/>
      <c r="W44" s="143"/>
      <c r="X44" s="143"/>
      <c r="Y44" s="143"/>
      <c r="Z44" s="143"/>
    </row>
    <row r="45" ht="13.5" customHeight="1">
      <c r="A45" s="67"/>
      <c r="B45" s="67"/>
      <c r="C45" s="67"/>
      <c r="D45" s="67"/>
      <c r="E45" s="89" t="s">
        <v>3553</v>
      </c>
      <c r="F45" s="70" t="s">
        <v>3554</v>
      </c>
      <c r="G45" s="83" t="s">
        <v>3555</v>
      </c>
      <c r="H45" s="81" t="s">
        <v>88</v>
      </c>
      <c r="I45" s="81" t="s">
        <v>60</v>
      </c>
      <c r="J45" s="117" t="s">
        <v>3557</v>
      </c>
      <c r="K45" s="90"/>
      <c r="L45" s="67"/>
      <c r="M45" s="147"/>
      <c r="N45" s="147"/>
      <c r="O45" s="147"/>
      <c r="P45" s="147"/>
      <c r="Q45" s="89" t="s">
        <v>93</v>
      </c>
      <c r="R45" s="89" t="s">
        <v>94</v>
      </c>
      <c r="S45" s="89" t="s">
        <v>94</v>
      </c>
      <c r="T45" s="148">
        <v>46246.0</v>
      </c>
      <c r="U45" s="143"/>
      <c r="V45" s="143"/>
      <c r="W45" s="143"/>
      <c r="X45" s="143"/>
      <c r="Y45" s="143"/>
      <c r="Z45" s="143"/>
    </row>
    <row r="46" ht="13.5" customHeight="1">
      <c r="A46" s="67"/>
      <c r="B46" s="67"/>
      <c r="C46" s="67"/>
      <c r="D46" s="67"/>
      <c r="E46" s="89" t="s">
        <v>3558</v>
      </c>
      <c r="F46" s="70"/>
      <c r="G46" s="83" t="s">
        <v>3560</v>
      </c>
      <c r="H46" s="81" t="s">
        <v>88</v>
      </c>
      <c r="I46" s="81" t="s">
        <v>60</v>
      </c>
      <c r="J46" s="117" t="s">
        <v>3562</v>
      </c>
      <c r="K46" s="90"/>
      <c r="L46" s="67"/>
      <c r="M46" s="85"/>
      <c r="N46" s="85"/>
      <c r="O46" s="85"/>
      <c r="P46" s="85"/>
      <c r="Q46" s="89" t="s">
        <v>93</v>
      </c>
      <c r="R46" s="89" t="s">
        <v>94</v>
      </c>
      <c r="S46" s="89" t="s">
        <v>94</v>
      </c>
      <c r="T46" s="148">
        <v>46246.0</v>
      </c>
      <c r="U46" s="143"/>
      <c r="V46" s="143"/>
      <c r="W46" s="143"/>
      <c r="X46" s="143"/>
      <c r="Y46" s="143"/>
      <c r="Z46" s="143"/>
    </row>
    <row r="47" ht="13.5" customHeight="1">
      <c r="A47" s="67"/>
      <c r="B47" s="67"/>
      <c r="C47" s="67"/>
      <c r="D47" s="67"/>
      <c r="E47" s="89" t="s">
        <v>3564</v>
      </c>
      <c r="F47" s="70"/>
      <c r="G47" s="83" t="s">
        <v>3565</v>
      </c>
      <c r="H47" s="81" t="s">
        <v>88</v>
      </c>
      <c r="I47" s="81" t="s">
        <v>60</v>
      </c>
      <c r="J47" s="117" t="s">
        <v>3566</v>
      </c>
      <c r="K47" s="90"/>
      <c r="L47" s="67"/>
      <c r="M47" s="85"/>
      <c r="N47" s="85"/>
      <c r="O47" s="85"/>
      <c r="P47" s="85"/>
      <c r="Q47" s="89" t="s">
        <v>93</v>
      </c>
      <c r="R47" s="89" t="s">
        <v>94</v>
      </c>
      <c r="S47" s="89" t="s">
        <v>94</v>
      </c>
      <c r="T47" s="148">
        <v>46246.0</v>
      </c>
      <c r="U47" s="143"/>
      <c r="V47" s="143"/>
      <c r="W47" s="143"/>
      <c r="X47" s="143"/>
      <c r="Y47" s="143"/>
      <c r="Z47" s="143"/>
    </row>
    <row r="48" ht="13.5" customHeight="1">
      <c r="A48" s="67"/>
      <c r="B48" s="67"/>
      <c r="C48" s="67"/>
      <c r="D48" s="67"/>
      <c r="E48" s="89" t="s">
        <v>3571</v>
      </c>
      <c r="F48" s="70" t="s">
        <v>3572</v>
      </c>
      <c r="G48" s="83" t="s">
        <v>3573</v>
      </c>
      <c r="H48" s="81" t="s">
        <v>88</v>
      </c>
      <c r="I48" s="81" t="s">
        <v>60</v>
      </c>
      <c r="J48" s="117" t="s">
        <v>3574</v>
      </c>
      <c r="K48" s="90"/>
      <c r="L48" s="67"/>
      <c r="M48" s="85"/>
      <c r="N48" s="85"/>
      <c r="O48" s="85"/>
      <c r="P48" s="85"/>
      <c r="Q48" s="89" t="s">
        <v>93</v>
      </c>
      <c r="R48" s="89" t="s">
        <v>94</v>
      </c>
      <c r="S48" s="89" t="s">
        <v>94</v>
      </c>
      <c r="T48" s="148">
        <v>46246.0</v>
      </c>
      <c r="U48" s="143"/>
      <c r="V48" s="143"/>
      <c r="W48" s="143"/>
      <c r="X48" s="143"/>
      <c r="Y48" s="143"/>
      <c r="Z48" s="143"/>
    </row>
    <row r="49" ht="13.5" customHeight="1">
      <c r="A49" s="67"/>
      <c r="B49" s="67"/>
      <c r="C49" s="67"/>
      <c r="D49" s="67"/>
      <c r="E49" s="89" t="s">
        <v>3578</v>
      </c>
      <c r="F49" s="70"/>
      <c r="G49" s="83" t="s">
        <v>3579</v>
      </c>
      <c r="H49" s="81" t="s">
        <v>88</v>
      </c>
      <c r="I49" s="81" t="s">
        <v>60</v>
      </c>
      <c r="J49" s="117" t="s">
        <v>3580</v>
      </c>
      <c r="K49" s="90"/>
      <c r="L49" s="67"/>
      <c r="M49" s="85"/>
      <c r="N49" s="85"/>
      <c r="O49" s="85"/>
      <c r="P49" s="85"/>
      <c r="Q49" s="89" t="s">
        <v>93</v>
      </c>
      <c r="R49" s="89" t="s">
        <v>94</v>
      </c>
      <c r="S49" s="89" t="s">
        <v>94</v>
      </c>
      <c r="T49" s="148">
        <v>46246.0</v>
      </c>
      <c r="U49" s="143"/>
      <c r="V49" s="143"/>
      <c r="W49" s="143"/>
      <c r="X49" s="143"/>
      <c r="Y49" s="143"/>
      <c r="Z49" s="143"/>
    </row>
    <row r="50" ht="13.5" customHeight="1">
      <c r="A50" s="67"/>
      <c r="B50" s="67"/>
      <c r="C50" s="67"/>
      <c r="D50" s="67"/>
      <c r="E50" s="89" t="s">
        <v>3584</v>
      </c>
      <c r="F50" s="70"/>
      <c r="G50" s="83" t="s">
        <v>3585</v>
      </c>
      <c r="H50" s="81" t="s">
        <v>88</v>
      </c>
      <c r="I50" s="81" t="s">
        <v>60</v>
      </c>
      <c r="J50" s="117" t="s">
        <v>3586</v>
      </c>
      <c r="K50" s="90"/>
      <c r="L50" s="67"/>
      <c r="M50" s="85"/>
      <c r="N50" s="85"/>
      <c r="O50" s="85"/>
      <c r="P50" s="85"/>
      <c r="Q50" s="89" t="s">
        <v>93</v>
      </c>
      <c r="R50" s="89" t="s">
        <v>94</v>
      </c>
      <c r="S50" s="89" t="s">
        <v>94</v>
      </c>
      <c r="T50" s="148">
        <v>46246.0</v>
      </c>
      <c r="U50" s="143"/>
      <c r="V50" s="143"/>
      <c r="W50" s="143"/>
      <c r="X50" s="143"/>
      <c r="Y50" s="143"/>
      <c r="Z50" s="143"/>
    </row>
    <row r="51" ht="13.5" customHeight="1">
      <c r="A51" s="67"/>
      <c r="B51" s="67"/>
      <c r="C51" s="67"/>
      <c r="D51" s="67"/>
      <c r="E51" s="89" t="s">
        <v>3589</v>
      </c>
      <c r="F51" s="70"/>
      <c r="G51" s="83" t="s">
        <v>3591</v>
      </c>
      <c r="H51" s="81" t="s">
        <v>88</v>
      </c>
      <c r="I51" s="81" t="s">
        <v>60</v>
      </c>
      <c r="J51" s="117" t="s">
        <v>3593</v>
      </c>
      <c r="K51" s="90"/>
      <c r="L51" s="67"/>
      <c r="M51" s="85"/>
      <c r="N51" s="85"/>
      <c r="O51" s="85"/>
      <c r="P51" s="85"/>
      <c r="Q51" s="89" t="s">
        <v>93</v>
      </c>
      <c r="R51" s="89" t="s">
        <v>94</v>
      </c>
      <c r="S51" s="89" t="s">
        <v>94</v>
      </c>
      <c r="T51" s="148">
        <v>46246.0</v>
      </c>
      <c r="U51" s="143"/>
      <c r="V51" s="143"/>
      <c r="W51" s="143"/>
      <c r="X51" s="143"/>
      <c r="Y51" s="143"/>
      <c r="Z51" s="143"/>
    </row>
    <row r="52" ht="13.5" customHeight="1">
      <c r="A52" s="77"/>
      <c r="B52" s="77"/>
      <c r="C52" s="77"/>
      <c r="D52" s="77"/>
      <c r="E52" s="89" t="s">
        <v>3594</v>
      </c>
      <c r="F52" s="70"/>
      <c r="G52" s="83" t="s">
        <v>3595</v>
      </c>
      <c r="H52" s="81" t="s">
        <v>88</v>
      </c>
      <c r="I52" s="81" t="s">
        <v>2742</v>
      </c>
      <c r="J52" s="161" t="s">
        <v>3597</v>
      </c>
      <c r="K52" s="204" t="s">
        <v>3599</v>
      </c>
      <c r="L52" s="77"/>
      <c r="M52" s="85"/>
      <c r="N52" s="85"/>
      <c r="O52" s="85"/>
      <c r="P52" s="85"/>
      <c r="Q52" s="89" t="s">
        <v>93</v>
      </c>
      <c r="R52" s="89" t="s">
        <v>94</v>
      </c>
      <c r="S52" s="89" t="s">
        <v>94</v>
      </c>
      <c r="T52" s="148">
        <v>46255.0</v>
      </c>
      <c r="U52" s="143"/>
      <c r="V52" s="143"/>
      <c r="W52" s="143"/>
      <c r="X52" s="143"/>
      <c r="Y52" s="143"/>
      <c r="Z52" s="143"/>
    </row>
    <row r="53" ht="13.5" customHeight="1">
      <c r="A53" s="59" t="s">
        <v>3404</v>
      </c>
      <c r="B53" s="59" t="s">
        <v>860</v>
      </c>
      <c r="C53" s="60" t="s">
        <v>861</v>
      </c>
      <c r="D53" s="60" t="s">
        <v>3601</v>
      </c>
      <c r="E53" s="61" t="s">
        <v>3603</v>
      </c>
      <c r="F53" s="62" t="s">
        <v>3604</v>
      </c>
      <c r="G53" s="63" t="s">
        <v>3606</v>
      </c>
      <c r="H53" s="61" t="s">
        <v>88</v>
      </c>
      <c r="I53" s="61" t="s">
        <v>60</v>
      </c>
      <c r="J53" s="151" t="s">
        <v>3608</v>
      </c>
      <c r="K53" s="90"/>
      <c r="L53" s="60" t="s">
        <v>3609</v>
      </c>
      <c r="M53" s="61"/>
      <c r="N53" s="61"/>
      <c r="O53" s="61"/>
      <c r="P53" s="61"/>
      <c r="Q53" s="61" t="s">
        <v>93</v>
      </c>
      <c r="R53" s="61" t="s">
        <v>94</v>
      </c>
      <c r="S53" s="61" t="s">
        <v>94</v>
      </c>
      <c r="T53" s="66">
        <v>46246.0</v>
      </c>
      <c r="U53" s="143"/>
      <c r="V53" s="143"/>
      <c r="W53" s="143"/>
      <c r="X53" s="143"/>
      <c r="Y53" s="143"/>
      <c r="Z53" s="143"/>
    </row>
    <row r="54" ht="13.5" customHeight="1">
      <c r="A54" s="67"/>
      <c r="B54" s="67"/>
      <c r="C54" s="67"/>
      <c r="D54" s="67"/>
      <c r="E54" s="61" t="s">
        <v>3613</v>
      </c>
      <c r="F54" s="62"/>
      <c r="G54" s="63" t="s">
        <v>3614</v>
      </c>
      <c r="H54" s="61" t="s">
        <v>88</v>
      </c>
      <c r="I54" s="61" t="s">
        <v>60</v>
      </c>
      <c r="J54" s="151" t="s">
        <v>3615</v>
      </c>
      <c r="K54" s="90"/>
      <c r="L54" s="67"/>
      <c r="M54" s="61"/>
      <c r="N54" s="61"/>
      <c r="O54" s="61"/>
      <c r="P54" s="61"/>
      <c r="Q54" s="61" t="s">
        <v>93</v>
      </c>
      <c r="R54" s="61" t="s">
        <v>94</v>
      </c>
      <c r="S54" s="61" t="s">
        <v>94</v>
      </c>
      <c r="T54" s="66">
        <v>46246.0</v>
      </c>
      <c r="U54" s="143"/>
      <c r="V54" s="143"/>
      <c r="W54" s="143"/>
      <c r="X54" s="143"/>
      <c r="Y54" s="143"/>
      <c r="Z54" s="143"/>
    </row>
    <row r="55" ht="13.5" customHeight="1">
      <c r="A55" s="67"/>
      <c r="B55" s="67"/>
      <c r="C55" s="67"/>
      <c r="D55" s="67"/>
      <c r="E55" s="61" t="s">
        <v>3620</v>
      </c>
      <c r="F55" s="62" t="s">
        <v>3621</v>
      </c>
      <c r="G55" s="63" t="s">
        <v>3622</v>
      </c>
      <c r="H55" s="61" t="s">
        <v>88</v>
      </c>
      <c r="I55" s="61" t="s">
        <v>60</v>
      </c>
      <c r="J55" s="151" t="s">
        <v>3623</v>
      </c>
      <c r="K55" s="90"/>
      <c r="L55" s="67"/>
      <c r="M55" s="61"/>
      <c r="N55" s="61"/>
      <c r="O55" s="61"/>
      <c r="P55" s="61"/>
      <c r="Q55" s="61" t="s">
        <v>93</v>
      </c>
      <c r="R55" s="61" t="s">
        <v>94</v>
      </c>
      <c r="S55" s="61" t="s">
        <v>94</v>
      </c>
      <c r="T55" s="66">
        <v>46246.0</v>
      </c>
      <c r="U55" s="143"/>
      <c r="V55" s="143"/>
      <c r="W55" s="143"/>
      <c r="X55" s="143"/>
      <c r="Y55" s="143"/>
      <c r="Z55" s="143"/>
    </row>
    <row r="56" ht="13.5" customHeight="1">
      <c r="A56" s="67"/>
      <c r="B56" s="67"/>
      <c r="C56" s="67"/>
      <c r="D56" s="67"/>
      <c r="E56" s="61" t="s">
        <v>3626</v>
      </c>
      <c r="F56" s="62"/>
      <c r="G56" s="63" t="s">
        <v>3627</v>
      </c>
      <c r="H56" s="61" t="s">
        <v>88</v>
      </c>
      <c r="I56" s="61" t="s">
        <v>60</v>
      </c>
      <c r="J56" s="151" t="s">
        <v>3629</v>
      </c>
      <c r="K56" s="90"/>
      <c r="L56" s="67"/>
      <c r="M56" s="61"/>
      <c r="N56" s="61"/>
      <c r="O56" s="61"/>
      <c r="P56" s="61"/>
      <c r="Q56" s="61" t="s">
        <v>93</v>
      </c>
      <c r="R56" s="61" t="s">
        <v>94</v>
      </c>
      <c r="S56" s="61" t="s">
        <v>94</v>
      </c>
      <c r="T56" s="66">
        <v>46246.0</v>
      </c>
      <c r="U56" s="143"/>
      <c r="V56" s="143"/>
      <c r="W56" s="143"/>
      <c r="X56" s="143"/>
      <c r="Y56" s="143"/>
      <c r="Z56" s="143"/>
    </row>
    <row r="57" ht="13.5" customHeight="1">
      <c r="A57" s="77"/>
      <c r="B57" s="77"/>
      <c r="C57" s="77"/>
      <c r="D57" s="77"/>
      <c r="E57" s="61" t="s">
        <v>3631</v>
      </c>
      <c r="F57" s="62" t="s">
        <v>3633</v>
      </c>
      <c r="G57" s="63" t="s">
        <v>3634</v>
      </c>
      <c r="H57" s="61" t="s">
        <v>88</v>
      </c>
      <c r="I57" s="61" t="s">
        <v>60</v>
      </c>
      <c r="J57" s="151" t="s">
        <v>3636</v>
      </c>
      <c r="K57" s="90"/>
      <c r="L57" s="77"/>
      <c r="M57" s="61"/>
      <c r="N57" s="61"/>
      <c r="O57" s="61"/>
      <c r="P57" s="61"/>
      <c r="Q57" s="61" t="s">
        <v>93</v>
      </c>
      <c r="R57" s="61" t="s">
        <v>94</v>
      </c>
      <c r="S57" s="61" t="s">
        <v>94</v>
      </c>
      <c r="T57" s="66">
        <v>46246.0</v>
      </c>
      <c r="U57" s="143"/>
      <c r="V57" s="143"/>
      <c r="W57" s="143"/>
      <c r="X57" s="143"/>
      <c r="Y57" s="143"/>
      <c r="Z57" s="143"/>
    </row>
    <row r="58" ht="13.5" customHeight="1">
      <c r="A58" s="152" t="s">
        <v>3404</v>
      </c>
      <c r="B58" s="152" t="s">
        <v>869</v>
      </c>
      <c r="C58" s="138" t="s">
        <v>3637</v>
      </c>
      <c r="D58" s="138" t="s">
        <v>3637</v>
      </c>
      <c r="E58" s="152" t="s">
        <v>3639</v>
      </c>
      <c r="F58" s="138" t="s">
        <v>3637</v>
      </c>
      <c r="G58" s="138" t="s">
        <v>3646</v>
      </c>
      <c r="H58" s="152" t="s">
        <v>1890</v>
      </c>
      <c r="I58" s="152" t="s">
        <v>60</v>
      </c>
      <c r="J58" s="140" t="s">
        <v>3647</v>
      </c>
      <c r="K58" s="153" t="s">
        <v>3648</v>
      </c>
      <c r="L58" s="154"/>
      <c r="M58" s="154"/>
      <c r="N58" s="154"/>
      <c r="O58" s="154"/>
      <c r="P58" s="154"/>
      <c r="Q58" s="152" t="s">
        <v>93</v>
      </c>
      <c r="R58" s="152" t="s">
        <v>94</v>
      </c>
      <c r="S58" s="152" t="s">
        <v>94</v>
      </c>
      <c r="T58" s="155">
        <v>46255.0</v>
      </c>
      <c r="U58" s="143"/>
      <c r="V58" s="143"/>
      <c r="W58" s="143"/>
      <c r="X58" s="143"/>
      <c r="Y58" s="143"/>
      <c r="Z58" s="143"/>
    </row>
    <row r="59" ht="13.5" customHeight="1">
      <c r="A59" s="152" t="s">
        <v>3404</v>
      </c>
      <c r="B59" s="152" t="s">
        <v>874</v>
      </c>
      <c r="C59" s="138" t="s">
        <v>3653</v>
      </c>
      <c r="D59" s="138" t="s">
        <v>3653</v>
      </c>
      <c r="E59" s="152" t="s">
        <v>3654</v>
      </c>
      <c r="F59" s="138" t="s">
        <v>3653</v>
      </c>
      <c r="G59" s="138" t="s">
        <v>3658</v>
      </c>
      <c r="H59" s="152" t="s">
        <v>1890</v>
      </c>
      <c r="I59" s="152" t="s">
        <v>60</v>
      </c>
      <c r="J59" s="142" t="s">
        <v>3659</v>
      </c>
      <c r="K59" s="90"/>
      <c r="L59" s="137"/>
      <c r="M59" s="137"/>
      <c r="N59" s="137"/>
      <c r="O59" s="137"/>
      <c r="P59" s="137"/>
      <c r="Q59" s="152" t="s">
        <v>93</v>
      </c>
      <c r="R59" s="152" t="s">
        <v>94</v>
      </c>
      <c r="S59" s="152" t="s">
        <v>94</v>
      </c>
      <c r="T59" s="207">
        <v>46246.0</v>
      </c>
      <c r="U59" s="143"/>
      <c r="V59" s="143"/>
      <c r="W59" s="143"/>
      <c r="X59" s="143"/>
      <c r="Y59" s="143"/>
      <c r="Z59" s="143"/>
    </row>
    <row r="60" ht="13.5" customHeight="1">
      <c r="A60" s="49"/>
      <c r="B60" s="49"/>
      <c r="C60" s="49"/>
      <c r="D60" s="49"/>
      <c r="E60" s="49"/>
      <c r="F60" s="49"/>
      <c r="G60" s="49"/>
      <c r="H60" s="49"/>
      <c r="I60" s="49"/>
      <c r="J60" s="49"/>
      <c r="K60" s="49"/>
      <c r="L60" s="49"/>
      <c r="M60" s="49"/>
      <c r="N60" s="49"/>
      <c r="O60" s="49"/>
      <c r="P60" s="49"/>
      <c r="Q60" s="49"/>
      <c r="R60" s="49"/>
      <c r="S60" s="49"/>
      <c r="T60" s="49"/>
      <c r="U60" s="143"/>
      <c r="V60" s="143"/>
      <c r="W60" s="143"/>
      <c r="X60" s="143"/>
      <c r="Y60" s="143"/>
      <c r="Z60" s="143"/>
    </row>
    <row r="61" ht="13.5" customHeight="1">
      <c r="A61" s="49"/>
      <c r="B61" s="49"/>
      <c r="C61" s="49"/>
      <c r="D61" s="49"/>
      <c r="E61" s="49"/>
      <c r="F61" s="49"/>
      <c r="G61" s="49"/>
      <c r="H61" s="49"/>
      <c r="I61" s="49"/>
      <c r="J61" s="49"/>
      <c r="K61" s="49"/>
      <c r="L61" s="49"/>
      <c r="M61" s="49"/>
      <c r="N61" s="49"/>
      <c r="O61" s="49"/>
      <c r="P61" s="49"/>
      <c r="Q61" s="49"/>
      <c r="R61" s="49"/>
      <c r="S61" s="49"/>
      <c r="T61" s="49"/>
      <c r="U61" s="143"/>
      <c r="V61" s="143"/>
      <c r="W61" s="143"/>
      <c r="X61" s="143"/>
      <c r="Y61" s="143"/>
      <c r="Z61" s="143"/>
    </row>
    <row r="62" ht="13.5" customHeight="1">
      <c r="A62" s="49"/>
      <c r="B62" s="49"/>
      <c r="C62" s="49"/>
      <c r="D62" s="49"/>
      <c r="E62" s="49"/>
      <c r="F62" s="49"/>
      <c r="G62" s="49"/>
      <c r="H62" s="49"/>
      <c r="I62" s="49"/>
      <c r="J62" s="49"/>
      <c r="K62" s="49"/>
      <c r="L62" s="49"/>
      <c r="M62" s="49"/>
      <c r="N62" s="49"/>
      <c r="O62" s="49"/>
      <c r="P62" s="49"/>
      <c r="Q62" s="49"/>
      <c r="R62" s="208"/>
      <c r="S62" s="49"/>
      <c r="T62" s="49"/>
      <c r="U62" s="143"/>
      <c r="V62" s="143"/>
      <c r="W62" s="143"/>
      <c r="X62" s="143"/>
      <c r="Y62" s="143"/>
      <c r="Z62" s="143"/>
    </row>
    <row r="63" ht="13.5" customHeight="1">
      <c r="A63" s="49"/>
      <c r="B63" s="49"/>
      <c r="C63" s="49"/>
      <c r="D63" s="49"/>
      <c r="E63" s="49"/>
      <c r="F63" s="49"/>
      <c r="G63" s="49"/>
      <c r="H63" s="49"/>
      <c r="I63" s="49"/>
      <c r="J63" s="49"/>
      <c r="K63" s="49"/>
      <c r="L63" s="49"/>
      <c r="M63" s="49"/>
      <c r="N63" s="49"/>
      <c r="O63" s="49"/>
      <c r="P63" s="49"/>
      <c r="Q63" s="49"/>
      <c r="R63" s="49"/>
      <c r="S63" s="49"/>
      <c r="T63" s="49"/>
      <c r="U63" s="143"/>
      <c r="V63" s="143"/>
      <c r="W63" s="143"/>
      <c r="X63" s="143"/>
      <c r="Y63" s="143"/>
      <c r="Z63" s="143"/>
    </row>
    <row r="64" ht="13.5" customHeight="1">
      <c r="A64" s="49"/>
      <c r="B64" s="49"/>
      <c r="C64" s="49"/>
      <c r="D64" s="49"/>
      <c r="E64" s="49"/>
      <c r="F64" s="49"/>
      <c r="G64" s="49"/>
      <c r="H64" s="49"/>
      <c r="I64" s="49"/>
      <c r="J64" s="49"/>
      <c r="K64" s="49"/>
      <c r="L64" s="49"/>
      <c r="M64" s="49"/>
      <c r="N64" s="49"/>
      <c r="O64" s="49"/>
      <c r="P64" s="49"/>
      <c r="Q64" s="49"/>
      <c r="R64" s="49"/>
      <c r="S64" s="49"/>
      <c r="T64" s="49"/>
      <c r="U64" s="143"/>
      <c r="V64" s="143"/>
      <c r="W64" s="143"/>
      <c r="X64" s="143"/>
      <c r="Y64" s="143"/>
      <c r="Z64" s="143"/>
    </row>
    <row r="65" ht="13.5" customHeight="1">
      <c r="A65" s="49"/>
      <c r="B65" s="49"/>
      <c r="C65" s="49"/>
      <c r="D65" s="49"/>
      <c r="E65" s="49"/>
      <c r="F65" s="49"/>
      <c r="G65" s="49"/>
      <c r="H65" s="49"/>
      <c r="I65" s="49"/>
      <c r="J65" s="49"/>
      <c r="K65" s="49"/>
      <c r="L65" s="49"/>
      <c r="M65" s="49"/>
      <c r="N65" s="49"/>
      <c r="O65" s="49"/>
      <c r="P65" s="49"/>
      <c r="Q65" s="49"/>
      <c r="R65" s="49"/>
      <c r="S65" s="49"/>
      <c r="T65" s="49"/>
      <c r="U65" s="143"/>
      <c r="V65" s="143"/>
      <c r="W65" s="143"/>
      <c r="X65" s="143"/>
      <c r="Y65" s="143"/>
      <c r="Z65" s="143"/>
    </row>
    <row r="66" ht="13.5" customHeight="1">
      <c r="A66" s="49"/>
      <c r="B66" s="49"/>
      <c r="C66" s="49"/>
      <c r="D66" s="49"/>
      <c r="E66" s="49"/>
      <c r="F66" s="49"/>
      <c r="G66" s="49"/>
      <c r="H66" s="49"/>
      <c r="I66" s="49"/>
      <c r="J66" s="49"/>
      <c r="K66" s="49"/>
      <c r="L66" s="49"/>
      <c r="M66" s="49"/>
      <c r="N66" s="49"/>
      <c r="O66" s="49"/>
      <c r="P66" s="49"/>
      <c r="Q66" s="49"/>
      <c r="R66" s="49"/>
      <c r="S66" s="49"/>
      <c r="T66" s="49"/>
      <c r="U66" s="143"/>
      <c r="V66" s="143"/>
      <c r="W66" s="143"/>
      <c r="X66" s="143"/>
      <c r="Y66" s="143"/>
      <c r="Z66" s="143"/>
    </row>
    <row r="67" ht="13.5" customHeight="1">
      <c r="A67" s="49"/>
      <c r="B67" s="49"/>
      <c r="C67" s="49"/>
      <c r="D67" s="49"/>
      <c r="E67" s="49"/>
      <c r="F67" s="49"/>
      <c r="G67" s="49"/>
      <c r="H67" s="49"/>
      <c r="I67" s="49"/>
      <c r="J67" s="49"/>
      <c r="K67" s="49"/>
      <c r="L67" s="49"/>
      <c r="M67" s="49"/>
      <c r="N67" s="49"/>
      <c r="O67" s="49"/>
      <c r="P67" s="49"/>
      <c r="Q67" s="49"/>
      <c r="R67" s="49"/>
      <c r="S67" s="49"/>
      <c r="T67" s="49"/>
      <c r="U67" s="143"/>
      <c r="V67" s="143"/>
      <c r="W67" s="143"/>
      <c r="X67" s="143"/>
      <c r="Y67" s="143"/>
      <c r="Z67" s="143"/>
    </row>
    <row r="68" ht="13.5" customHeight="1">
      <c r="A68" s="49"/>
      <c r="B68" s="49"/>
      <c r="C68" s="49"/>
      <c r="D68" s="49"/>
      <c r="E68" s="49"/>
      <c r="F68" s="49"/>
      <c r="G68" s="49"/>
      <c r="H68" s="49"/>
      <c r="I68" s="49"/>
      <c r="J68" s="49"/>
      <c r="K68" s="49"/>
      <c r="L68" s="49"/>
      <c r="M68" s="49"/>
      <c r="N68" s="49"/>
      <c r="O68" s="49"/>
      <c r="P68" s="49"/>
      <c r="Q68" s="49"/>
      <c r="R68" s="49"/>
      <c r="S68" s="49"/>
      <c r="T68" s="49"/>
      <c r="U68" s="143"/>
      <c r="V68" s="143"/>
      <c r="W68" s="143"/>
      <c r="X68" s="143"/>
      <c r="Y68" s="143"/>
      <c r="Z68" s="143"/>
    </row>
    <row r="69" ht="13.5" customHeight="1">
      <c r="A69" s="49"/>
      <c r="B69" s="49"/>
      <c r="C69" s="49"/>
      <c r="D69" s="49"/>
      <c r="E69" s="49"/>
      <c r="F69" s="49"/>
      <c r="G69" s="49"/>
      <c r="H69" s="49"/>
      <c r="I69" s="49"/>
      <c r="J69" s="49"/>
      <c r="K69" s="49"/>
      <c r="L69" s="49"/>
      <c r="M69" s="49"/>
      <c r="N69" s="49"/>
      <c r="O69" s="49"/>
      <c r="P69" s="49"/>
      <c r="Q69" s="49"/>
      <c r="R69" s="49"/>
      <c r="S69" s="49"/>
      <c r="T69" s="49"/>
      <c r="U69" s="143"/>
      <c r="V69" s="143"/>
      <c r="W69" s="143"/>
      <c r="X69" s="143"/>
      <c r="Y69" s="143"/>
      <c r="Z69" s="143"/>
    </row>
    <row r="70" ht="13.5" customHeight="1">
      <c r="A70" s="49"/>
      <c r="B70" s="49"/>
      <c r="C70" s="49"/>
      <c r="D70" s="49"/>
      <c r="E70" s="49"/>
      <c r="F70" s="49"/>
      <c r="G70" s="49"/>
      <c r="H70" s="49"/>
      <c r="I70" s="49"/>
      <c r="J70" s="49"/>
      <c r="K70" s="49"/>
      <c r="L70" s="49"/>
      <c r="M70" s="49"/>
      <c r="N70" s="49"/>
      <c r="O70" s="49"/>
      <c r="P70" s="49"/>
      <c r="Q70" s="49"/>
      <c r="R70" s="49"/>
      <c r="S70" s="49"/>
      <c r="T70" s="49"/>
      <c r="U70" s="143"/>
      <c r="V70" s="143"/>
      <c r="W70" s="143"/>
      <c r="X70" s="143"/>
      <c r="Y70" s="143"/>
      <c r="Z70" s="143"/>
    </row>
    <row r="71" ht="13.5" customHeight="1">
      <c r="A71" s="49"/>
      <c r="B71" s="49"/>
      <c r="C71" s="49"/>
      <c r="D71" s="49"/>
      <c r="E71" s="49"/>
      <c r="F71" s="49"/>
      <c r="G71" s="49"/>
      <c r="H71" s="49"/>
      <c r="I71" s="49"/>
      <c r="J71" s="49"/>
      <c r="K71" s="49"/>
      <c r="L71" s="49"/>
      <c r="M71" s="49"/>
      <c r="N71" s="49"/>
      <c r="O71" s="49"/>
      <c r="P71" s="49"/>
      <c r="Q71" s="49"/>
      <c r="R71" s="49"/>
      <c r="S71" s="49"/>
      <c r="T71" s="49"/>
      <c r="U71" s="143"/>
      <c r="V71" s="143"/>
      <c r="W71" s="143"/>
      <c r="X71" s="143"/>
      <c r="Y71" s="143"/>
      <c r="Z71" s="143"/>
    </row>
    <row r="72" ht="13.5" customHeight="1">
      <c r="A72" s="49"/>
      <c r="B72" s="49"/>
      <c r="C72" s="49"/>
      <c r="D72" s="49"/>
      <c r="E72" s="49"/>
      <c r="F72" s="49"/>
      <c r="G72" s="49"/>
      <c r="H72" s="49"/>
      <c r="I72" s="49"/>
      <c r="J72" s="49"/>
      <c r="K72" s="49"/>
      <c r="L72" s="49"/>
      <c r="M72" s="49"/>
      <c r="N72" s="49"/>
      <c r="O72" s="49"/>
      <c r="P72" s="49"/>
      <c r="Q72" s="49"/>
      <c r="R72" s="49"/>
      <c r="S72" s="49"/>
      <c r="T72" s="49"/>
      <c r="U72" s="143"/>
      <c r="V72" s="143"/>
      <c r="W72" s="143"/>
      <c r="X72" s="143"/>
      <c r="Y72" s="143"/>
      <c r="Z72" s="143"/>
    </row>
    <row r="73" ht="13.5" customHeight="1">
      <c r="A73" s="49"/>
      <c r="B73" s="49"/>
      <c r="C73" s="49"/>
      <c r="D73" s="49"/>
      <c r="E73" s="49"/>
      <c r="F73" s="49"/>
      <c r="G73" s="49"/>
      <c r="H73" s="49"/>
      <c r="I73" s="49"/>
      <c r="J73" s="49"/>
      <c r="K73" s="49"/>
      <c r="L73" s="49"/>
      <c r="M73" s="49"/>
      <c r="N73" s="49"/>
      <c r="O73" s="49"/>
      <c r="P73" s="49"/>
      <c r="Q73" s="49"/>
      <c r="R73" s="49"/>
      <c r="S73" s="49"/>
      <c r="T73" s="49"/>
      <c r="U73" s="143"/>
      <c r="V73" s="143"/>
      <c r="W73" s="143"/>
      <c r="X73" s="143"/>
      <c r="Y73" s="143"/>
      <c r="Z73" s="143"/>
    </row>
    <row r="74" ht="13.5" customHeight="1">
      <c r="A74" s="49"/>
      <c r="B74" s="49"/>
      <c r="C74" s="49"/>
      <c r="D74" s="49"/>
      <c r="E74" s="49"/>
      <c r="F74" s="49"/>
      <c r="G74" s="49"/>
      <c r="H74" s="49"/>
      <c r="I74" s="49"/>
      <c r="J74" s="49"/>
      <c r="K74" s="49"/>
      <c r="L74" s="49"/>
      <c r="M74" s="49"/>
      <c r="N74" s="49"/>
      <c r="O74" s="49"/>
      <c r="P74" s="49"/>
      <c r="Q74" s="49"/>
      <c r="R74" s="49"/>
      <c r="S74" s="49"/>
      <c r="T74" s="49"/>
      <c r="U74" s="143"/>
      <c r="V74" s="143"/>
      <c r="W74" s="143"/>
      <c r="X74" s="143"/>
      <c r="Y74" s="143"/>
      <c r="Z74" s="143"/>
    </row>
    <row r="75" ht="13.5" customHeight="1">
      <c r="A75" s="49"/>
      <c r="B75" s="49"/>
      <c r="C75" s="49"/>
      <c r="D75" s="49"/>
      <c r="E75" s="49"/>
      <c r="F75" s="49"/>
      <c r="G75" s="49"/>
      <c r="H75" s="49"/>
      <c r="I75" s="49"/>
      <c r="J75" s="49"/>
      <c r="K75" s="49"/>
      <c r="L75" s="49"/>
      <c r="M75" s="49"/>
      <c r="N75" s="49"/>
      <c r="O75" s="49"/>
      <c r="P75" s="49"/>
      <c r="Q75" s="49"/>
      <c r="R75" s="49"/>
      <c r="S75" s="49"/>
      <c r="T75" s="49"/>
      <c r="U75" s="143"/>
      <c r="V75" s="143"/>
      <c r="W75" s="143"/>
      <c r="X75" s="143"/>
      <c r="Y75" s="143"/>
      <c r="Z75" s="143"/>
    </row>
    <row r="76" ht="13.5" customHeight="1">
      <c r="A76" s="49"/>
      <c r="B76" s="49"/>
      <c r="C76" s="49"/>
      <c r="D76" s="49"/>
      <c r="E76" s="49"/>
      <c r="F76" s="49"/>
      <c r="G76" s="49"/>
      <c r="H76" s="49"/>
      <c r="I76" s="49"/>
      <c r="J76" s="49"/>
      <c r="K76" s="49"/>
      <c r="L76" s="49"/>
      <c r="M76" s="49"/>
      <c r="N76" s="49"/>
      <c r="O76" s="49"/>
      <c r="P76" s="49"/>
      <c r="Q76" s="49"/>
      <c r="R76" s="49"/>
      <c r="S76" s="49"/>
      <c r="T76" s="49"/>
      <c r="U76" s="143"/>
      <c r="V76" s="143"/>
      <c r="W76" s="143"/>
      <c r="X76" s="143"/>
      <c r="Y76" s="143"/>
      <c r="Z76" s="143"/>
    </row>
    <row r="77" ht="13.5" customHeight="1">
      <c r="A77" s="49"/>
      <c r="B77" s="49"/>
      <c r="C77" s="49"/>
      <c r="D77" s="49"/>
      <c r="E77" s="49"/>
      <c r="F77" s="49"/>
      <c r="G77" s="49"/>
      <c r="H77" s="49"/>
      <c r="I77" s="49"/>
      <c r="J77" s="49"/>
      <c r="K77" s="49"/>
      <c r="L77" s="49"/>
      <c r="M77" s="49"/>
      <c r="N77" s="49"/>
      <c r="O77" s="49"/>
      <c r="P77" s="49"/>
      <c r="Q77" s="49"/>
      <c r="R77" s="49"/>
      <c r="S77" s="49"/>
      <c r="T77" s="49"/>
      <c r="U77" s="143"/>
      <c r="V77" s="143"/>
      <c r="W77" s="143"/>
      <c r="X77" s="143"/>
      <c r="Y77" s="143"/>
      <c r="Z77" s="143"/>
    </row>
    <row r="78" ht="13.5" customHeight="1">
      <c r="A78" s="49"/>
      <c r="B78" s="49"/>
      <c r="C78" s="49"/>
      <c r="D78" s="49"/>
      <c r="E78" s="49"/>
      <c r="F78" s="49"/>
      <c r="G78" s="49"/>
      <c r="H78" s="49"/>
      <c r="I78" s="49"/>
      <c r="J78" s="49"/>
      <c r="K78" s="49"/>
      <c r="L78" s="49"/>
      <c r="M78" s="49"/>
      <c r="N78" s="49"/>
      <c r="O78" s="49"/>
      <c r="P78" s="49"/>
      <c r="Q78" s="49"/>
      <c r="R78" s="49"/>
      <c r="S78" s="49"/>
      <c r="T78" s="49"/>
      <c r="U78" s="143"/>
      <c r="V78" s="143"/>
      <c r="W78" s="143"/>
      <c r="X78" s="143"/>
      <c r="Y78" s="143"/>
      <c r="Z78" s="143"/>
    </row>
    <row r="79" ht="13.5" customHeight="1">
      <c r="A79" s="49"/>
      <c r="B79" s="49"/>
      <c r="C79" s="49"/>
      <c r="D79" s="49"/>
      <c r="E79" s="49"/>
      <c r="F79" s="49"/>
      <c r="G79" s="49"/>
      <c r="H79" s="49"/>
      <c r="I79" s="49"/>
      <c r="J79" s="49"/>
      <c r="K79" s="49"/>
      <c r="L79" s="49"/>
      <c r="M79" s="49"/>
      <c r="N79" s="49"/>
      <c r="O79" s="49"/>
      <c r="P79" s="49"/>
      <c r="Q79" s="49"/>
      <c r="R79" s="49"/>
      <c r="S79" s="49"/>
      <c r="T79" s="49"/>
      <c r="U79" s="143"/>
      <c r="V79" s="143"/>
      <c r="W79" s="143"/>
      <c r="X79" s="143"/>
      <c r="Y79" s="143"/>
      <c r="Z79" s="143"/>
    </row>
    <row r="80" ht="13.5" customHeight="1">
      <c r="A80" s="49"/>
      <c r="B80" s="49"/>
      <c r="C80" s="49"/>
      <c r="D80" s="49"/>
      <c r="E80" s="49"/>
      <c r="F80" s="49"/>
      <c r="G80" s="49"/>
      <c r="H80" s="49"/>
      <c r="I80" s="49"/>
      <c r="J80" s="49"/>
      <c r="K80" s="49"/>
      <c r="L80" s="49"/>
      <c r="M80" s="49"/>
      <c r="N80" s="49"/>
      <c r="O80" s="49"/>
      <c r="P80" s="49"/>
      <c r="Q80" s="49"/>
      <c r="R80" s="49"/>
      <c r="S80" s="49"/>
      <c r="T80" s="49"/>
      <c r="U80" s="143"/>
      <c r="V80" s="143"/>
      <c r="W80" s="143"/>
      <c r="X80" s="143"/>
      <c r="Y80" s="143"/>
      <c r="Z80" s="143"/>
    </row>
    <row r="81" ht="13.5" customHeight="1">
      <c r="A81" s="49"/>
      <c r="B81" s="49"/>
      <c r="C81" s="49"/>
      <c r="D81" s="49"/>
      <c r="E81" s="49"/>
      <c r="F81" s="49"/>
      <c r="G81" s="49"/>
      <c r="H81" s="49"/>
      <c r="I81" s="49"/>
      <c r="J81" s="49"/>
      <c r="K81" s="49"/>
      <c r="L81" s="49"/>
      <c r="M81" s="49"/>
      <c r="N81" s="49"/>
      <c r="O81" s="49"/>
      <c r="P81" s="49"/>
      <c r="Q81" s="49"/>
      <c r="R81" s="49"/>
      <c r="S81" s="49"/>
      <c r="T81" s="49"/>
      <c r="U81" s="143"/>
      <c r="V81" s="143"/>
      <c r="W81" s="143"/>
      <c r="X81" s="143"/>
      <c r="Y81" s="143"/>
      <c r="Z81" s="143"/>
    </row>
    <row r="82" ht="13.5" customHeight="1">
      <c r="A82" s="49"/>
      <c r="B82" s="49"/>
      <c r="C82" s="49"/>
      <c r="D82" s="49"/>
      <c r="E82" s="49"/>
      <c r="F82" s="49"/>
      <c r="G82" s="49"/>
      <c r="H82" s="49"/>
      <c r="I82" s="49"/>
      <c r="J82" s="49"/>
      <c r="K82" s="49"/>
      <c r="L82" s="49"/>
      <c r="M82" s="49"/>
      <c r="N82" s="49"/>
      <c r="O82" s="49"/>
      <c r="P82" s="49"/>
      <c r="Q82" s="49"/>
      <c r="R82" s="49"/>
      <c r="S82" s="49"/>
      <c r="T82" s="49"/>
      <c r="U82" s="143"/>
      <c r="V82" s="143"/>
      <c r="W82" s="143"/>
      <c r="X82" s="143"/>
      <c r="Y82" s="143"/>
      <c r="Z82" s="143"/>
    </row>
    <row r="83" ht="13.5" customHeight="1">
      <c r="A83" s="49"/>
      <c r="B83" s="49"/>
      <c r="C83" s="49"/>
      <c r="D83" s="49"/>
      <c r="E83" s="49"/>
      <c r="F83" s="49"/>
      <c r="G83" s="49"/>
      <c r="H83" s="49"/>
      <c r="I83" s="49"/>
      <c r="J83" s="49"/>
      <c r="K83" s="49"/>
      <c r="L83" s="49"/>
      <c r="M83" s="49"/>
      <c r="N83" s="49"/>
      <c r="O83" s="49"/>
      <c r="P83" s="49"/>
      <c r="Q83" s="49"/>
      <c r="R83" s="49"/>
      <c r="S83" s="49"/>
      <c r="T83" s="49"/>
      <c r="U83" s="143"/>
      <c r="V83" s="143"/>
      <c r="W83" s="143"/>
      <c r="X83" s="143"/>
      <c r="Y83" s="143"/>
      <c r="Z83" s="143"/>
    </row>
    <row r="84" ht="13.5" customHeight="1">
      <c r="A84" s="49"/>
      <c r="B84" s="49"/>
      <c r="C84" s="49"/>
      <c r="D84" s="49"/>
      <c r="E84" s="49"/>
      <c r="F84" s="49"/>
      <c r="G84" s="49"/>
      <c r="H84" s="49"/>
      <c r="I84" s="49"/>
      <c r="J84" s="49"/>
      <c r="K84" s="49"/>
      <c r="L84" s="49"/>
      <c r="M84" s="49"/>
      <c r="N84" s="49"/>
      <c r="O84" s="49"/>
      <c r="P84" s="49"/>
      <c r="Q84" s="49"/>
      <c r="R84" s="49"/>
      <c r="S84" s="49"/>
      <c r="T84" s="49"/>
      <c r="U84" s="143"/>
      <c r="V84" s="143"/>
      <c r="W84" s="143"/>
      <c r="X84" s="143"/>
      <c r="Y84" s="143"/>
      <c r="Z84" s="143"/>
    </row>
    <row r="85" ht="13.5" customHeight="1">
      <c r="A85" s="49"/>
      <c r="B85" s="49"/>
      <c r="C85" s="49"/>
      <c r="D85" s="49"/>
      <c r="E85" s="49"/>
      <c r="F85" s="49"/>
      <c r="G85" s="49"/>
      <c r="H85" s="49"/>
      <c r="I85" s="49"/>
      <c r="J85" s="49"/>
      <c r="K85" s="49"/>
      <c r="L85" s="49"/>
      <c r="M85" s="49"/>
      <c r="N85" s="49"/>
      <c r="O85" s="49"/>
      <c r="P85" s="49"/>
      <c r="Q85" s="49"/>
      <c r="R85" s="49"/>
      <c r="S85" s="49"/>
      <c r="T85" s="49"/>
      <c r="U85" s="143"/>
      <c r="V85" s="143"/>
      <c r="W85" s="143"/>
      <c r="X85" s="143"/>
      <c r="Y85" s="143"/>
      <c r="Z85" s="143"/>
    </row>
    <row r="86" ht="13.5" customHeight="1">
      <c r="A86" s="49"/>
      <c r="B86" s="49"/>
      <c r="C86" s="49"/>
      <c r="D86" s="49"/>
      <c r="E86" s="49"/>
      <c r="F86" s="49"/>
      <c r="G86" s="49"/>
      <c r="H86" s="49"/>
      <c r="I86" s="49"/>
      <c r="J86" s="49"/>
      <c r="K86" s="49"/>
      <c r="L86" s="49"/>
      <c r="M86" s="49"/>
      <c r="N86" s="49"/>
      <c r="O86" s="49"/>
      <c r="P86" s="49"/>
      <c r="Q86" s="49"/>
      <c r="R86" s="49"/>
      <c r="S86" s="49"/>
      <c r="T86" s="49"/>
      <c r="U86" s="143"/>
      <c r="V86" s="143"/>
      <c r="W86" s="143"/>
      <c r="X86" s="143"/>
      <c r="Y86" s="143"/>
      <c r="Z86" s="143"/>
    </row>
    <row r="87" ht="13.5" customHeight="1">
      <c r="A87" s="49"/>
      <c r="B87" s="49"/>
      <c r="C87" s="49"/>
      <c r="D87" s="49"/>
      <c r="E87" s="49"/>
      <c r="F87" s="49"/>
      <c r="G87" s="49"/>
      <c r="H87" s="49"/>
      <c r="I87" s="49"/>
      <c r="J87" s="49"/>
      <c r="K87" s="49"/>
      <c r="L87" s="49"/>
      <c r="M87" s="49"/>
      <c r="N87" s="49"/>
      <c r="O87" s="49"/>
      <c r="P87" s="49"/>
      <c r="Q87" s="49"/>
      <c r="R87" s="49"/>
      <c r="S87" s="49"/>
      <c r="T87" s="49"/>
      <c r="U87" s="143"/>
      <c r="V87" s="143"/>
      <c r="W87" s="143"/>
      <c r="X87" s="143"/>
      <c r="Y87" s="143"/>
      <c r="Z87" s="143"/>
    </row>
    <row r="88" ht="13.5" customHeight="1">
      <c r="A88" s="49"/>
      <c r="B88" s="49"/>
      <c r="C88" s="49"/>
      <c r="D88" s="49"/>
      <c r="E88" s="49"/>
      <c r="F88" s="49"/>
      <c r="G88" s="49"/>
      <c r="H88" s="49"/>
      <c r="I88" s="49"/>
      <c r="J88" s="49"/>
      <c r="K88" s="49"/>
      <c r="L88" s="49"/>
      <c r="M88" s="49"/>
      <c r="N88" s="49"/>
      <c r="O88" s="49"/>
      <c r="P88" s="49"/>
      <c r="Q88" s="49"/>
      <c r="R88" s="49"/>
      <c r="S88" s="49"/>
      <c r="T88" s="49"/>
      <c r="U88" s="143"/>
      <c r="V88" s="143"/>
      <c r="W88" s="143"/>
      <c r="X88" s="143"/>
      <c r="Y88" s="143"/>
      <c r="Z88" s="143"/>
    </row>
    <row r="89" ht="13.5" customHeight="1">
      <c r="A89" s="49"/>
      <c r="B89" s="49"/>
      <c r="C89" s="49"/>
      <c r="D89" s="49"/>
      <c r="E89" s="49"/>
      <c r="F89" s="49"/>
      <c r="G89" s="49"/>
      <c r="H89" s="49"/>
      <c r="I89" s="49"/>
      <c r="J89" s="49"/>
      <c r="K89" s="49"/>
      <c r="L89" s="49"/>
      <c r="M89" s="49"/>
      <c r="N89" s="49"/>
      <c r="O89" s="49"/>
      <c r="P89" s="49"/>
      <c r="Q89" s="49"/>
      <c r="R89" s="49"/>
      <c r="S89" s="49"/>
      <c r="T89" s="49"/>
      <c r="U89" s="143"/>
      <c r="V89" s="143"/>
      <c r="W89" s="143"/>
      <c r="X89" s="143"/>
      <c r="Y89" s="143"/>
      <c r="Z89" s="143"/>
    </row>
    <row r="90" ht="13.5" customHeight="1">
      <c r="A90" s="49"/>
      <c r="B90" s="49"/>
      <c r="C90" s="49"/>
      <c r="D90" s="49"/>
      <c r="E90" s="49"/>
      <c r="F90" s="49"/>
      <c r="G90" s="49"/>
      <c r="H90" s="49"/>
      <c r="I90" s="49"/>
      <c r="J90" s="49"/>
      <c r="K90" s="49"/>
      <c r="L90" s="49"/>
      <c r="M90" s="49"/>
      <c r="N90" s="49"/>
      <c r="O90" s="49"/>
      <c r="P90" s="49"/>
      <c r="Q90" s="49"/>
      <c r="R90" s="49"/>
      <c r="S90" s="49"/>
      <c r="T90" s="49"/>
      <c r="U90" s="143"/>
      <c r="V90" s="143"/>
      <c r="W90" s="143"/>
      <c r="X90" s="143"/>
      <c r="Y90" s="143"/>
      <c r="Z90" s="143"/>
    </row>
    <row r="91" ht="13.5" customHeight="1">
      <c r="A91" s="49"/>
      <c r="B91" s="49"/>
      <c r="C91" s="49"/>
      <c r="D91" s="49"/>
      <c r="E91" s="49"/>
      <c r="F91" s="49"/>
      <c r="G91" s="49"/>
      <c r="H91" s="49"/>
      <c r="I91" s="49"/>
      <c r="J91" s="49"/>
      <c r="K91" s="49"/>
      <c r="L91" s="49"/>
      <c r="M91" s="49"/>
      <c r="N91" s="49"/>
      <c r="O91" s="49"/>
      <c r="P91" s="49"/>
      <c r="Q91" s="49"/>
      <c r="R91" s="49"/>
      <c r="S91" s="49"/>
      <c r="T91" s="49"/>
      <c r="U91" s="143"/>
      <c r="V91" s="143"/>
      <c r="W91" s="143"/>
      <c r="X91" s="143"/>
      <c r="Y91" s="143"/>
      <c r="Z91" s="143"/>
    </row>
    <row r="92" ht="13.5" customHeight="1">
      <c r="A92" s="49"/>
      <c r="B92" s="49"/>
      <c r="C92" s="49"/>
      <c r="D92" s="49"/>
      <c r="E92" s="49"/>
      <c r="F92" s="49"/>
      <c r="G92" s="49"/>
      <c r="H92" s="49"/>
      <c r="I92" s="49"/>
      <c r="J92" s="49"/>
      <c r="K92" s="49"/>
      <c r="L92" s="49"/>
      <c r="M92" s="49"/>
      <c r="N92" s="49"/>
      <c r="O92" s="49"/>
      <c r="P92" s="49"/>
      <c r="Q92" s="49"/>
      <c r="R92" s="49"/>
      <c r="S92" s="49"/>
      <c r="T92" s="49"/>
      <c r="U92" s="143"/>
      <c r="V92" s="143"/>
      <c r="W92" s="143"/>
      <c r="X92" s="143"/>
      <c r="Y92" s="143"/>
      <c r="Z92" s="143"/>
    </row>
    <row r="93" ht="13.5" customHeight="1">
      <c r="A93" s="49"/>
      <c r="B93" s="49"/>
      <c r="C93" s="49"/>
      <c r="D93" s="49"/>
      <c r="E93" s="49"/>
      <c r="F93" s="49"/>
      <c r="G93" s="49"/>
      <c r="H93" s="49"/>
      <c r="I93" s="49"/>
      <c r="J93" s="49"/>
      <c r="K93" s="49"/>
      <c r="L93" s="49"/>
      <c r="M93" s="49"/>
      <c r="N93" s="49"/>
      <c r="O93" s="49"/>
      <c r="P93" s="49"/>
      <c r="Q93" s="49"/>
      <c r="R93" s="49"/>
      <c r="S93" s="49"/>
      <c r="T93" s="49"/>
      <c r="U93" s="143"/>
      <c r="V93" s="143"/>
      <c r="W93" s="143"/>
      <c r="X93" s="143"/>
      <c r="Y93" s="143"/>
      <c r="Z93" s="143"/>
    </row>
    <row r="94" ht="13.5" customHeight="1">
      <c r="A94" s="49"/>
      <c r="B94" s="49"/>
      <c r="C94" s="49"/>
      <c r="D94" s="49"/>
      <c r="E94" s="49"/>
      <c r="F94" s="49"/>
      <c r="G94" s="49"/>
      <c r="H94" s="49"/>
      <c r="I94" s="49"/>
      <c r="J94" s="49"/>
      <c r="K94" s="49"/>
      <c r="L94" s="49"/>
      <c r="M94" s="49"/>
      <c r="N94" s="49"/>
      <c r="O94" s="49"/>
      <c r="P94" s="49"/>
      <c r="Q94" s="49"/>
      <c r="R94" s="49"/>
      <c r="S94" s="49"/>
      <c r="T94" s="49"/>
      <c r="U94" s="143"/>
      <c r="V94" s="143"/>
      <c r="W94" s="143"/>
      <c r="X94" s="143"/>
      <c r="Y94" s="143"/>
      <c r="Z94" s="143"/>
    </row>
    <row r="95" ht="13.5" customHeight="1">
      <c r="A95" s="49"/>
      <c r="B95" s="49"/>
      <c r="C95" s="49"/>
      <c r="D95" s="49"/>
      <c r="E95" s="49"/>
      <c r="F95" s="49"/>
      <c r="G95" s="49"/>
      <c r="H95" s="49"/>
      <c r="I95" s="49"/>
      <c r="J95" s="49"/>
      <c r="K95" s="49"/>
      <c r="L95" s="49"/>
      <c r="M95" s="49"/>
      <c r="N95" s="49"/>
      <c r="O95" s="49"/>
      <c r="P95" s="49"/>
      <c r="Q95" s="49"/>
      <c r="R95" s="49"/>
      <c r="S95" s="49"/>
      <c r="T95" s="49"/>
      <c r="U95" s="143"/>
      <c r="V95" s="143"/>
      <c r="W95" s="143"/>
      <c r="X95" s="143"/>
      <c r="Y95" s="143"/>
      <c r="Z95" s="143"/>
    </row>
    <row r="96" ht="13.5" customHeight="1">
      <c r="A96" s="49"/>
      <c r="B96" s="49"/>
      <c r="C96" s="49"/>
      <c r="D96" s="49"/>
      <c r="E96" s="49"/>
      <c r="F96" s="49"/>
      <c r="G96" s="49"/>
      <c r="H96" s="49"/>
      <c r="I96" s="49"/>
      <c r="J96" s="49"/>
      <c r="K96" s="49"/>
      <c r="L96" s="49"/>
      <c r="M96" s="49"/>
      <c r="N96" s="49"/>
      <c r="O96" s="49"/>
      <c r="P96" s="49"/>
      <c r="Q96" s="49"/>
      <c r="R96" s="49"/>
      <c r="S96" s="49"/>
      <c r="T96" s="49"/>
      <c r="U96" s="143"/>
      <c r="V96" s="143"/>
      <c r="W96" s="143"/>
      <c r="X96" s="143"/>
      <c r="Y96" s="143"/>
      <c r="Z96" s="143"/>
    </row>
    <row r="97" ht="13.5" customHeight="1">
      <c r="A97" s="49"/>
      <c r="B97" s="49"/>
      <c r="C97" s="49"/>
      <c r="D97" s="49"/>
      <c r="E97" s="49"/>
      <c r="F97" s="49"/>
      <c r="G97" s="49"/>
      <c r="H97" s="49"/>
      <c r="I97" s="49"/>
      <c r="J97" s="49"/>
      <c r="K97" s="49"/>
      <c r="L97" s="49"/>
      <c r="M97" s="49"/>
      <c r="N97" s="49"/>
      <c r="O97" s="49"/>
      <c r="P97" s="49"/>
      <c r="Q97" s="49"/>
      <c r="R97" s="49"/>
      <c r="S97" s="49"/>
      <c r="T97" s="49"/>
      <c r="U97" s="143"/>
      <c r="V97" s="143"/>
      <c r="W97" s="143"/>
      <c r="X97" s="143"/>
      <c r="Y97" s="143"/>
      <c r="Z97" s="143"/>
    </row>
    <row r="98" ht="13.5" customHeight="1">
      <c r="A98" s="49"/>
      <c r="B98" s="49"/>
      <c r="C98" s="49"/>
      <c r="D98" s="49"/>
      <c r="E98" s="49"/>
      <c r="F98" s="49"/>
      <c r="G98" s="49"/>
      <c r="H98" s="49"/>
      <c r="I98" s="49"/>
      <c r="J98" s="49"/>
      <c r="K98" s="49"/>
      <c r="L98" s="49"/>
      <c r="M98" s="49"/>
      <c r="N98" s="49"/>
      <c r="O98" s="49"/>
      <c r="P98" s="49"/>
      <c r="Q98" s="49"/>
      <c r="R98" s="49"/>
      <c r="S98" s="49"/>
      <c r="T98" s="49"/>
      <c r="U98" s="143"/>
      <c r="V98" s="143"/>
      <c r="W98" s="143"/>
      <c r="X98" s="143"/>
      <c r="Y98" s="143"/>
      <c r="Z98" s="143"/>
    </row>
    <row r="99" ht="13.5" customHeight="1">
      <c r="A99" s="49"/>
      <c r="B99" s="49"/>
      <c r="C99" s="49"/>
      <c r="D99" s="49"/>
      <c r="E99" s="49"/>
      <c r="F99" s="49"/>
      <c r="G99" s="49"/>
      <c r="H99" s="49"/>
      <c r="I99" s="49"/>
      <c r="J99" s="49"/>
      <c r="K99" s="49"/>
      <c r="L99" s="49"/>
      <c r="M99" s="49"/>
      <c r="N99" s="49"/>
      <c r="O99" s="49"/>
      <c r="P99" s="49"/>
      <c r="Q99" s="49"/>
      <c r="R99" s="49"/>
      <c r="S99" s="49"/>
      <c r="T99" s="49"/>
      <c r="U99" s="143"/>
      <c r="V99" s="143"/>
      <c r="W99" s="143"/>
      <c r="X99" s="143"/>
      <c r="Y99" s="143"/>
      <c r="Z99" s="143"/>
    </row>
    <row r="100" ht="13.5" customHeight="1">
      <c r="A100" s="49"/>
      <c r="B100" s="49"/>
      <c r="C100" s="49"/>
      <c r="D100" s="49"/>
      <c r="E100" s="49"/>
      <c r="F100" s="49"/>
      <c r="G100" s="49"/>
      <c r="H100" s="49"/>
      <c r="I100" s="49"/>
      <c r="J100" s="49"/>
      <c r="K100" s="49"/>
      <c r="L100" s="49"/>
      <c r="M100" s="49"/>
      <c r="N100" s="49"/>
      <c r="O100" s="49"/>
      <c r="P100" s="49"/>
      <c r="Q100" s="49"/>
      <c r="R100" s="49"/>
      <c r="S100" s="49"/>
      <c r="T100" s="49"/>
      <c r="U100" s="143"/>
      <c r="V100" s="143"/>
      <c r="W100" s="143"/>
      <c r="X100" s="143"/>
      <c r="Y100" s="143"/>
      <c r="Z100" s="143"/>
    </row>
    <row r="101" ht="13.5" customHeight="1">
      <c r="A101" s="49"/>
      <c r="B101" s="49"/>
      <c r="C101" s="49"/>
      <c r="D101" s="49"/>
      <c r="E101" s="49"/>
      <c r="F101" s="49"/>
      <c r="G101" s="49"/>
      <c r="H101" s="49"/>
      <c r="I101" s="49"/>
      <c r="J101" s="49"/>
      <c r="K101" s="49"/>
      <c r="L101" s="49"/>
      <c r="M101" s="49"/>
      <c r="N101" s="49"/>
      <c r="O101" s="49"/>
      <c r="P101" s="49"/>
      <c r="Q101" s="49"/>
      <c r="R101" s="49"/>
      <c r="S101" s="49"/>
      <c r="T101" s="49"/>
      <c r="U101" s="143"/>
      <c r="V101" s="143"/>
      <c r="W101" s="143"/>
      <c r="X101" s="143"/>
      <c r="Y101" s="143"/>
      <c r="Z101" s="143"/>
    </row>
    <row r="102" ht="13.5" customHeight="1">
      <c r="A102" s="49"/>
      <c r="B102" s="49"/>
      <c r="C102" s="49"/>
      <c r="D102" s="49"/>
      <c r="E102" s="49"/>
      <c r="F102" s="49"/>
      <c r="G102" s="49"/>
      <c r="H102" s="49"/>
      <c r="I102" s="49"/>
      <c r="J102" s="49"/>
      <c r="K102" s="49"/>
      <c r="L102" s="49"/>
      <c r="M102" s="49"/>
      <c r="N102" s="49"/>
      <c r="O102" s="49"/>
      <c r="P102" s="49"/>
      <c r="Q102" s="49"/>
      <c r="R102" s="49"/>
      <c r="S102" s="49"/>
      <c r="T102" s="49"/>
      <c r="U102" s="143"/>
      <c r="V102" s="143"/>
      <c r="W102" s="143"/>
      <c r="X102" s="143"/>
      <c r="Y102" s="143"/>
      <c r="Z102" s="143"/>
    </row>
    <row r="103" ht="13.5" customHeight="1">
      <c r="A103" s="49"/>
      <c r="B103" s="49"/>
      <c r="C103" s="49"/>
      <c r="D103" s="49"/>
      <c r="E103" s="49"/>
      <c r="F103" s="49"/>
      <c r="G103" s="49"/>
      <c r="H103" s="49"/>
      <c r="I103" s="49"/>
      <c r="J103" s="49"/>
      <c r="K103" s="49"/>
      <c r="L103" s="49"/>
      <c r="M103" s="49"/>
      <c r="N103" s="49"/>
      <c r="O103" s="49"/>
      <c r="P103" s="49"/>
      <c r="Q103" s="49"/>
      <c r="R103" s="49"/>
      <c r="S103" s="49"/>
      <c r="T103" s="49"/>
      <c r="U103" s="143"/>
      <c r="V103" s="143"/>
      <c r="W103" s="143"/>
      <c r="X103" s="143"/>
      <c r="Y103" s="143"/>
      <c r="Z103" s="143"/>
    </row>
    <row r="104" ht="13.5" customHeight="1">
      <c r="A104" s="49"/>
      <c r="B104" s="49"/>
      <c r="C104" s="49"/>
      <c r="D104" s="49"/>
      <c r="E104" s="49"/>
      <c r="F104" s="49"/>
      <c r="G104" s="49"/>
      <c r="H104" s="49"/>
      <c r="I104" s="49"/>
      <c r="J104" s="49"/>
      <c r="K104" s="49"/>
      <c r="L104" s="49"/>
      <c r="M104" s="49"/>
      <c r="N104" s="49"/>
      <c r="O104" s="49"/>
      <c r="P104" s="49"/>
      <c r="Q104" s="49"/>
      <c r="R104" s="49"/>
      <c r="S104" s="49"/>
      <c r="T104" s="49"/>
      <c r="U104" s="143"/>
      <c r="V104" s="143"/>
      <c r="W104" s="143"/>
      <c r="X104" s="143"/>
      <c r="Y104" s="143"/>
      <c r="Z104" s="143"/>
    </row>
    <row r="105" ht="13.5" customHeight="1">
      <c r="A105" s="49"/>
      <c r="B105" s="49"/>
      <c r="C105" s="49"/>
      <c r="D105" s="49"/>
      <c r="E105" s="49"/>
      <c r="F105" s="49"/>
      <c r="G105" s="49"/>
      <c r="H105" s="49"/>
      <c r="I105" s="49"/>
      <c r="J105" s="49"/>
      <c r="K105" s="49"/>
      <c r="L105" s="49"/>
      <c r="M105" s="49"/>
      <c r="N105" s="49"/>
      <c r="O105" s="49"/>
      <c r="P105" s="49"/>
      <c r="Q105" s="49"/>
      <c r="R105" s="49"/>
      <c r="S105" s="49"/>
      <c r="T105" s="49"/>
      <c r="U105" s="143"/>
      <c r="V105" s="143"/>
      <c r="W105" s="143"/>
      <c r="X105" s="143"/>
      <c r="Y105" s="143"/>
      <c r="Z105" s="143"/>
    </row>
    <row r="106" ht="13.5" customHeight="1">
      <c r="A106" s="49"/>
      <c r="B106" s="49"/>
      <c r="C106" s="49"/>
      <c r="D106" s="49"/>
      <c r="E106" s="49"/>
      <c r="F106" s="49"/>
      <c r="G106" s="49"/>
      <c r="H106" s="49"/>
      <c r="I106" s="49"/>
      <c r="J106" s="49"/>
      <c r="K106" s="49"/>
      <c r="L106" s="49"/>
      <c r="M106" s="49"/>
      <c r="N106" s="49"/>
      <c r="O106" s="49"/>
      <c r="P106" s="49"/>
      <c r="Q106" s="49"/>
      <c r="R106" s="49"/>
      <c r="S106" s="49"/>
      <c r="T106" s="49"/>
      <c r="U106" s="143"/>
      <c r="V106" s="143"/>
      <c r="W106" s="143"/>
      <c r="X106" s="143"/>
      <c r="Y106" s="143"/>
      <c r="Z106" s="143"/>
    </row>
    <row r="107" ht="13.5" customHeight="1">
      <c r="A107" s="49"/>
      <c r="B107" s="49"/>
      <c r="C107" s="49"/>
      <c r="D107" s="49"/>
      <c r="E107" s="49"/>
      <c r="F107" s="49"/>
      <c r="G107" s="49"/>
      <c r="H107" s="49"/>
      <c r="I107" s="49"/>
      <c r="J107" s="49"/>
      <c r="K107" s="49"/>
      <c r="L107" s="49"/>
      <c r="M107" s="49"/>
      <c r="N107" s="49"/>
      <c r="O107" s="49"/>
      <c r="P107" s="49"/>
      <c r="Q107" s="49"/>
      <c r="R107" s="49"/>
      <c r="S107" s="49"/>
      <c r="T107" s="49"/>
      <c r="U107" s="143"/>
      <c r="V107" s="143"/>
      <c r="W107" s="143"/>
      <c r="X107" s="143"/>
      <c r="Y107" s="143"/>
      <c r="Z107" s="143"/>
    </row>
    <row r="108" ht="13.5" customHeight="1">
      <c r="A108" s="49"/>
      <c r="B108" s="49"/>
      <c r="C108" s="49"/>
      <c r="D108" s="49"/>
      <c r="E108" s="49"/>
      <c r="F108" s="49"/>
      <c r="G108" s="49"/>
      <c r="H108" s="49"/>
      <c r="I108" s="49"/>
      <c r="J108" s="49"/>
      <c r="K108" s="49"/>
      <c r="L108" s="49"/>
      <c r="M108" s="49"/>
      <c r="N108" s="49"/>
      <c r="O108" s="49"/>
      <c r="P108" s="49"/>
      <c r="Q108" s="49"/>
      <c r="R108" s="49"/>
      <c r="S108" s="49"/>
      <c r="T108" s="49"/>
      <c r="U108" s="143"/>
      <c r="V108" s="143"/>
      <c r="W108" s="143"/>
      <c r="X108" s="143"/>
      <c r="Y108" s="143"/>
      <c r="Z108" s="143"/>
    </row>
    <row r="109" ht="13.5" customHeight="1">
      <c r="A109" s="49"/>
      <c r="B109" s="49"/>
      <c r="C109" s="49"/>
      <c r="D109" s="49"/>
      <c r="E109" s="49"/>
      <c r="F109" s="49"/>
      <c r="G109" s="49"/>
      <c r="H109" s="49"/>
      <c r="I109" s="49"/>
      <c r="J109" s="49"/>
      <c r="K109" s="49"/>
      <c r="L109" s="49"/>
      <c r="M109" s="49"/>
      <c r="N109" s="49"/>
      <c r="O109" s="49"/>
      <c r="P109" s="49"/>
      <c r="Q109" s="49"/>
      <c r="R109" s="49"/>
      <c r="S109" s="49"/>
      <c r="T109" s="49"/>
      <c r="U109" s="143"/>
      <c r="V109" s="143"/>
      <c r="W109" s="143"/>
      <c r="X109" s="143"/>
      <c r="Y109" s="143"/>
      <c r="Z109" s="143"/>
    </row>
    <row r="110" ht="13.5" customHeight="1">
      <c r="A110" s="49"/>
      <c r="B110" s="49"/>
      <c r="C110" s="49"/>
      <c r="D110" s="49"/>
      <c r="E110" s="49"/>
      <c r="F110" s="49"/>
      <c r="G110" s="49"/>
      <c r="H110" s="49"/>
      <c r="I110" s="49"/>
      <c r="J110" s="49"/>
      <c r="K110" s="49"/>
      <c r="L110" s="49"/>
      <c r="M110" s="49"/>
      <c r="N110" s="49"/>
      <c r="O110" s="49"/>
      <c r="P110" s="49"/>
      <c r="Q110" s="49"/>
      <c r="R110" s="49"/>
      <c r="S110" s="49"/>
      <c r="T110" s="49"/>
      <c r="U110" s="143"/>
      <c r="V110" s="143"/>
      <c r="W110" s="143"/>
      <c r="X110" s="143"/>
      <c r="Y110" s="143"/>
      <c r="Z110" s="143"/>
    </row>
    <row r="111" ht="13.5" customHeight="1">
      <c r="A111" s="49"/>
      <c r="B111" s="49"/>
      <c r="C111" s="49"/>
      <c r="D111" s="49"/>
      <c r="E111" s="49"/>
      <c r="F111" s="49"/>
      <c r="G111" s="49"/>
      <c r="H111" s="49"/>
      <c r="I111" s="49"/>
      <c r="J111" s="49"/>
      <c r="K111" s="49"/>
      <c r="L111" s="49"/>
      <c r="M111" s="49"/>
      <c r="N111" s="49"/>
      <c r="O111" s="49"/>
      <c r="P111" s="49"/>
      <c r="Q111" s="49"/>
      <c r="R111" s="49"/>
      <c r="S111" s="49"/>
      <c r="T111" s="49"/>
      <c r="U111" s="143"/>
      <c r="V111" s="143"/>
      <c r="W111" s="143"/>
      <c r="X111" s="143"/>
      <c r="Y111" s="143"/>
      <c r="Z111" s="143"/>
    </row>
    <row r="112" ht="13.5" customHeight="1">
      <c r="A112" s="49"/>
      <c r="B112" s="49"/>
      <c r="C112" s="49"/>
      <c r="D112" s="49"/>
      <c r="E112" s="49"/>
      <c r="F112" s="49"/>
      <c r="G112" s="49"/>
      <c r="H112" s="49"/>
      <c r="I112" s="49"/>
      <c r="J112" s="49"/>
      <c r="K112" s="49"/>
      <c r="L112" s="49"/>
      <c r="M112" s="49"/>
      <c r="N112" s="49"/>
      <c r="O112" s="49"/>
      <c r="P112" s="49"/>
      <c r="Q112" s="49"/>
      <c r="R112" s="49"/>
      <c r="S112" s="49"/>
      <c r="T112" s="49"/>
      <c r="U112" s="143"/>
      <c r="V112" s="143"/>
      <c r="W112" s="143"/>
      <c r="X112" s="143"/>
      <c r="Y112" s="143"/>
      <c r="Z112" s="143"/>
    </row>
    <row r="113" ht="13.5" customHeight="1">
      <c r="A113" s="49"/>
      <c r="B113" s="49"/>
      <c r="C113" s="49"/>
      <c r="D113" s="49"/>
      <c r="E113" s="49"/>
      <c r="F113" s="49"/>
      <c r="G113" s="49"/>
      <c r="H113" s="49"/>
      <c r="I113" s="49"/>
      <c r="J113" s="49"/>
      <c r="K113" s="49"/>
      <c r="L113" s="49"/>
      <c r="M113" s="49"/>
      <c r="N113" s="49"/>
      <c r="O113" s="49"/>
      <c r="P113" s="49"/>
      <c r="Q113" s="49"/>
      <c r="R113" s="49"/>
      <c r="S113" s="49"/>
      <c r="T113" s="49"/>
      <c r="U113" s="143"/>
      <c r="V113" s="143"/>
      <c r="W113" s="143"/>
      <c r="X113" s="143"/>
      <c r="Y113" s="143"/>
      <c r="Z113" s="143"/>
    </row>
    <row r="114" ht="13.5" customHeight="1">
      <c r="A114" s="49"/>
      <c r="B114" s="49"/>
      <c r="C114" s="49"/>
      <c r="D114" s="49"/>
      <c r="E114" s="49"/>
      <c r="F114" s="49"/>
      <c r="G114" s="49"/>
      <c r="H114" s="49"/>
      <c r="I114" s="49"/>
      <c r="J114" s="49"/>
      <c r="K114" s="49"/>
      <c r="L114" s="49"/>
      <c r="M114" s="49"/>
      <c r="N114" s="49"/>
      <c r="O114" s="49"/>
      <c r="P114" s="49"/>
      <c r="Q114" s="49"/>
      <c r="R114" s="49"/>
      <c r="S114" s="49"/>
      <c r="T114" s="49"/>
      <c r="U114" s="143"/>
      <c r="V114" s="143"/>
      <c r="W114" s="143"/>
      <c r="X114" s="143"/>
      <c r="Y114" s="143"/>
      <c r="Z114" s="143"/>
    </row>
    <row r="115" ht="13.5" customHeight="1">
      <c r="A115" s="49"/>
      <c r="B115" s="49"/>
      <c r="C115" s="49"/>
      <c r="D115" s="49"/>
      <c r="E115" s="49"/>
      <c r="F115" s="49"/>
      <c r="G115" s="49"/>
      <c r="H115" s="49"/>
      <c r="I115" s="49"/>
      <c r="J115" s="49"/>
      <c r="K115" s="49"/>
      <c r="L115" s="49"/>
      <c r="M115" s="49"/>
      <c r="N115" s="49"/>
      <c r="O115" s="49"/>
      <c r="P115" s="49"/>
      <c r="Q115" s="49"/>
      <c r="R115" s="49"/>
      <c r="S115" s="49"/>
      <c r="T115" s="49"/>
      <c r="U115" s="143"/>
      <c r="V115" s="143"/>
      <c r="W115" s="143"/>
      <c r="X115" s="143"/>
      <c r="Y115" s="143"/>
      <c r="Z115" s="143"/>
    </row>
    <row r="116" ht="13.5" customHeight="1">
      <c r="A116" s="49"/>
      <c r="B116" s="49"/>
      <c r="C116" s="49"/>
      <c r="D116" s="49"/>
      <c r="E116" s="49"/>
      <c r="F116" s="49"/>
      <c r="G116" s="49"/>
      <c r="H116" s="49"/>
      <c r="I116" s="49"/>
      <c r="J116" s="49"/>
      <c r="K116" s="49"/>
      <c r="L116" s="49"/>
      <c r="M116" s="49"/>
      <c r="N116" s="49"/>
      <c r="O116" s="49"/>
      <c r="P116" s="49"/>
      <c r="Q116" s="49"/>
      <c r="R116" s="49"/>
      <c r="S116" s="49"/>
      <c r="T116" s="49"/>
      <c r="U116" s="143"/>
      <c r="V116" s="143"/>
      <c r="W116" s="143"/>
      <c r="X116" s="143"/>
      <c r="Y116" s="143"/>
      <c r="Z116" s="143"/>
    </row>
    <row r="117" ht="13.5" customHeight="1">
      <c r="A117" s="49"/>
      <c r="B117" s="49"/>
      <c r="C117" s="49"/>
      <c r="D117" s="49"/>
      <c r="E117" s="49"/>
      <c r="F117" s="49"/>
      <c r="G117" s="49"/>
      <c r="H117" s="49"/>
      <c r="I117" s="49"/>
      <c r="J117" s="49"/>
      <c r="K117" s="49"/>
      <c r="L117" s="49"/>
      <c r="M117" s="49"/>
      <c r="N117" s="49"/>
      <c r="O117" s="49"/>
      <c r="P117" s="49"/>
      <c r="Q117" s="49"/>
      <c r="R117" s="49"/>
      <c r="S117" s="49"/>
      <c r="T117" s="49"/>
      <c r="U117" s="143"/>
      <c r="V117" s="143"/>
      <c r="W117" s="143"/>
      <c r="X117" s="143"/>
      <c r="Y117" s="143"/>
      <c r="Z117" s="143"/>
    </row>
    <row r="118" ht="13.5" customHeight="1">
      <c r="A118" s="49"/>
      <c r="B118" s="49"/>
      <c r="C118" s="49"/>
      <c r="D118" s="49"/>
      <c r="E118" s="49"/>
      <c r="F118" s="49"/>
      <c r="G118" s="49"/>
      <c r="H118" s="49"/>
      <c r="I118" s="49"/>
      <c r="J118" s="49"/>
      <c r="K118" s="49"/>
      <c r="L118" s="49"/>
      <c r="M118" s="49"/>
      <c r="N118" s="49"/>
      <c r="O118" s="49"/>
      <c r="P118" s="49"/>
      <c r="Q118" s="49"/>
      <c r="R118" s="49"/>
      <c r="S118" s="49"/>
      <c r="T118" s="49"/>
      <c r="U118" s="143"/>
      <c r="V118" s="143"/>
      <c r="W118" s="143"/>
      <c r="X118" s="143"/>
      <c r="Y118" s="143"/>
      <c r="Z118" s="143"/>
    </row>
    <row r="119" ht="13.5" customHeight="1">
      <c r="A119" s="49"/>
      <c r="B119" s="49"/>
      <c r="C119" s="49"/>
      <c r="D119" s="49"/>
      <c r="E119" s="49"/>
      <c r="F119" s="49"/>
      <c r="G119" s="49"/>
      <c r="H119" s="49"/>
      <c r="I119" s="49"/>
      <c r="J119" s="49"/>
      <c r="K119" s="49"/>
      <c r="L119" s="49"/>
      <c r="M119" s="49"/>
      <c r="N119" s="49"/>
      <c r="O119" s="49"/>
      <c r="P119" s="49"/>
      <c r="Q119" s="49"/>
      <c r="R119" s="49"/>
      <c r="S119" s="49"/>
      <c r="T119" s="49"/>
      <c r="U119" s="143"/>
      <c r="V119" s="143"/>
      <c r="W119" s="143"/>
      <c r="X119" s="143"/>
      <c r="Y119" s="143"/>
      <c r="Z119" s="143"/>
    </row>
    <row r="120" ht="13.5" customHeight="1">
      <c r="A120" s="49"/>
      <c r="B120" s="49"/>
      <c r="C120" s="49"/>
      <c r="D120" s="49"/>
      <c r="E120" s="49"/>
      <c r="F120" s="49"/>
      <c r="G120" s="49"/>
      <c r="H120" s="49"/>
      <c r="I120" s="49"/>
      <c r="J120" s="49"/>
      <c r="K120" s="49"/>
      <c r="L120" s="49"/>
      <c r="M120" s="49"/>
      <c r="N120" s="49"/>
      <c r="O120" s="49"/>
      <c r="P120" s="49"/>
      <c r="Q120" s="49"/>
      <c r="R120" s="49"/>
      <c r="S120" s="49"/>
      <c r="T120" s="49"/>
      <c r="U120" s="143"/>
      <c r="V120" s="143"/>
      <c r="W120" s="143"/>
      <c r="X120" s="143"/>
      <c r="Y120" s="143"/>
      <c r="Z120" s="143"/>
    </row>
    <row r="121" ht="13.5" customHeight="1">
      <c r="A121" s="49"/>
      <c r="B121" s="49"/>
      <c r="C121" s="49"/>
      <c r="D121" s="49"/>
      <c r="E121" s="49"/>
      <c r="F121" s="49"/>
      <c r="G121" s="49"/>
      <c r="H121" s="49"/>
      <c r="I121" s="49"/>
      <c r="J121" s="49"/>
      <c r="K121" s="49"/>
      <c r="L121" s="49"/>
      <c r="M121" s="49"/>
      <c r="N121" s="49"/>
      <c r="O121" s="49"/>
      <c r="P121" s="49"/>
      <c r="Q121" s="49"/>
      <c r="R121" s="49"/>
      <c r="S121" s="49"/>
      <c r="T121" s="49"/>
      <c r="U121" s="143"/>
      <c r="V121" s="143"/>
      <c r="W121" s="143"/>
      <c r="X121" s="143"/>
      <c r="Y121" s="143"/>
      <c r="Z121" s="143"/>
    </row>
    <row r="122" ht="13.5" customHeight="1">
      <c r="A122" s="49"/>
      <c r="B122" s="49"/>
      <c r="C122" s="49"/>
      <c r="D122" s="49"/>
      <c r="E122" s="49"/>
      <c r="F122" s="49"/>
      <c r="G122" s="49"/>
      <c r="H122" s="49"/>
      <c r="I122" s="49"/>
      <c r="J122" s="49"/>
      <c r="K122" s="49"/>
      <c r="L122" s="49"/>
      <c r="M122" s="49"/>
      <c r="N122" s="49"/>
      <c r="O122" s="49"/>
      <c r="P122" s="49"/>
      <c r="Q122" s="49"/>
      <c r="R122" s="49"/>
      <c r="S122" s="49"/>
      <c r="T122" s="49"/>
      <c r="U122" s="143"/>
      <c r="V122" s="143"/>
      <c r="W122" s="143"/>
      <c r="X122" s="143"/>
      <c r="Y122" s="143"/>
      <c r="Z122" s="143"/>
    </row>
    <row r="123" ht="13.5" customHeight="1">
      <c r="A123" s="49"/>
      <c r="B123" s="49"/>
      <c r="C123" s="49"/>
      <c r="D123" s="49"/>
      <c r="E123" s="49"/>
      <c r="F123" s="49"/>
      <c r="G123" s="49"/>
      <c r="H123" s="49"/>
      <c r="I123" s="49"/>
      <c r="J123" s="49"/>
      <c r="K123" s="49"/>
      <c r="L123" s="49"/>
      <c r="M123" s="49"/>
      <c r="N123" s="49"/>
      <c r="O123" s="49"/>
      <c r="P123" s="49"/>
      <c r="Q123" s="49"/>
      <c r="R123" s="49"/>
      <c r="S123" s="49"/>
      <c r="T123" s="49"/>
      <c r="U123" s="143"/>
      <c r="V123" s="143"/>
      <c r="W123" s="143"/>
      <c r="X123" s="143"/>
      <c r="Y123" s="143"/>
      <c r="Z123" s="143"/>
    </row>
    <row r="124" ht="13.5" customHeight="1">
      <c r="A124" s="49"/>
      <c r="B124" s="49"/>
      <c r="C124" s="49"/>
      <c r="D124" s="49"/>
      <c r="E124" s="49"/>
      <c r="F124" s="49"/>
      <c r="G124" s="49"/>
      <c r="H124" s="49"/>
      <c r="I124" s="49"/>
      <c r="J124" s="49"/>
      <c r="K124" s="49"/>
      <c r="L124" s="49"/>
      <c r="M124" s="49"/>
      <c r="N124" s="49"/>
      <c r="O124" s="49"/>
      <c r="P124" s="49"/>
      <c r="Q124" s="49"/>
      <c r="R124" s="49"/>
      <c r="S124" s="49"/>
      <c r="T124" s="49"/>
      <c r="U124" s="143"/>
      <c r="V124" s="143"/>
      <c r="W124" s="143"/>
      <c r="X124" s="143"/>
      <c r="Y124" s="143"/>
      <c r="Z124" s="143"/>
    </row>
    <row r="125" ht="13.5" customHeight="1">
      <c r="A125" s="49"/>
      <c r="B125" s="49"/>
      <c r="C125" s="49"/>
      <c r="D125" s="49"/>
      <c r="E125" s="49"/>
      <c r="F125" s="49"/>
      <c r="G125" s="49"/>
      <c r="H125" s="49"/>
      <c r="I125" s="49"/>
      <c r="J125" s="49"/>
      <c r="K125" s="49"/>
      <c r="L125" s="49"/>
      <c r="M125" s="49"/>
      <c r="N125" s="49"/>
      <c r="O125" s="49"/>
      <c r="P125" s="49"/>
      <c r="Q125" s="49"/>
      <c r="R125" s="49"/>
      <c r="S125" s="49"/>
      <c r="T125" s="49"/>
      <c r="U125" s="143"/>
      <c r="V125" s="143"/>
      <c r="W125" s="143"/>
      <c r="X125" s="143"/>
      <c r="Y125" s="143"/>
      <c r="Z125" s="143"/>
    </row>
    <row r="126" ht="13.5" customHeight="1">
      <c r="A126" s="49"/>
      <c r="B126" s="49"/>
      <c r="C126" s="49"/>
      <c r="D126" s="49"/>
      <c r="E126" s="49"/>
      <c r="F126" s="49"/>
      <c r="G126" s="49"/>
      <c r="H126" s="49"/>
      <c r="I126" s="49"/>
      <c r="J126" s="49"/>
      <c r="K126" s="49"/>
      <c r="L126" s="49"/>
      <c r="M126" s="49"/>
      <c r="N126" s="49"/>
      <c r="O126" s="49"/>
      <c r="P126" s="49"/>
      <c r="Q126" s="49"/>
      <c r="R126" s="49"/>
      <c r="S126" s="49"/>
      <c r="T126" s="49"/>
      <c r="U126" s="143"/>
      <c r="V126" s="143"/>
      <c r="W126" s="143"/>
      <c r="X126" s="143"/>
      <c r="Y126" s="143"/>
      <c r="Z126" s="143"/>
    </row>
    <row r="127" ht="13.5" customHeight="1">
      <c r="A127" s="49"/>
      <c r="B127" s="49"/>
      <c r="C127" s="49"/>
      <c r="D127" s="49"/>
      <c r="E127" s="49"/>
      <c r="F127" s="49"/>
      <c r="G127" s="49"/>
      <c r="H127" s="49"/>
      <c r="I127" s="49"/>
      <c r="J127" s="49"/>
      <c r="K127" s="49"/>
      <c r="L127" s="49"/>
      <c r="M127" s="49"/>
      <c r="N127" s="49"/>
      <c r="O127" s="49"/>
      <c r="P127" s="49"/>
      <c r="Q127" s="49"/>
      <c r="R127" s="49"/>
      <c r="S127" s="49"/>
      <c r="T127" s="49"/>
      <c r="U127" s="143"/>
      <c r="V127" s="143"/>
      <c r="W127" s="143"/>
      <c r="X127" s="143"/>
      <c r="Y127" s="143"/>
      <c r="Z127" s="143"/>
    </row>
    <row r="128" ht="13.5" customHeight="1">
      <c r="A128" s="49"/>
      <c r="B128" s="49"/>
      <c r="C128" s="49"/>
      <c r="D128" s="49"/>
      <c r="E128" s="49"/>
      <c r="F128" s="49"/>
      <c r="G128" s="49"/>
      <c r="H128" s="49"/>
      <c r="I128" s="49"/>
      <c r="J128" s="49"/>
      <c r="K128" s="49"/>
      <c r="L128" s="49"/>
      <c r="M128" s="49"/>
      <c r="N128" s="49"/>
      <c r="O128" s="49"/>
      <c r="P128" s="49"/>
      <c r="Q128" s="49"/>
      <c r="R128" s="49"/>
      <c r="S128" s="49"/>
      <c r="T128" s="49"/>
      <c r="U128" s="143"/>
      <c r="V128" s="143"/>
      <c r="W128" s="143"/>
      <c r="X128" s="143"/>
      <c r="Y128" s="143"/>
      <c r="Z128" s="143"/>
    </row>
    <row r="129" ht="13.5" customHeight="1">
      <c r="A129" s="49"/>
      <c r="B129" s="49"/>
      <c r="C129" s="49"/>
      <c r="D129" s="49"/>
      <c r="E129" s="49"/>
      <c r="F129" s="49"/>
      <c r="G129" s="49"/>
      <c r="H129" s="49"/>
      <c r="I129" s="49"/>
      <c r="J129" s="49"/>
      <c r="K129" s="49"/>
      <c r="L129" s="49"/>
      <c r="M129" s="49"/>
      <c r="N129" s="49"/>
      <c r="O129" s="49"/>
      <c r="P129" s="49"/>
      <c r="Q129" s="49"/>
      <c r="R129" s="49"/>
      <c r="S129" s="49"/>
      <c r="T129" s="49"/>
      <c r="U129" s="143"/>
      <c r="V129" s="143"/>
      <c r="W129" s="143"/>
      <c r="X129" s="143"/>
      <c r="Y129" s="143"/>
      <c r="Z129" s="143"/>
    </row>
    <row r="130" ht="13.5" customHeight="1">
      <c r="A130" s="49"/>
      <c r="B130" s="49"/>
      <c r="C130" s="49"/>
      <c r="D130" s="49"/>
      <c r="E130" s="49"/>
      <c r="F130" s="49"/>
      <c r="G130" s="49"/>
      <c r="H130" s="49"/>
      <c r="I130" s="49"/>
      <c r="J130" s="49"/>
      <c r="K130" s="49"/>
      <c r="L130" s="49"/>
      <c r="M130" s="49"/>
      <c r="N130" s="49"/>
      <c r="O130" s="49"/>
      <c r="P130" s="49"/>
      <c r="Q130" s="49"/>
      <c r="R130" s="49"/>
      <c r="S130" s="49"/>
      <c r="T130" s="49"/>
      <c r="U130" s="143"/>
      <c r="V130" s="143"/>
      <c r="W130" s="143"/>
      <c r="X130" s="143"/>
      <c r="Y130" s="143"/>
      <c r="Z130" s="143"/>
    </row>
    <row r="131" ht="13.5" customHeight="1">
      <c r="A131" s="49"/>
      <c r="B131" s="49"/>
      <c r="C131" s="49"/>
      <c r="D131" s="49"/>
      <c r="E131" s="49"/>
      <c r="F131" s="49"/>
      <c r="G131" s="49"/>
      <c r="H131" s="49"/>
      <c r="I131" s="49"/>
      <c r="J131" s="49"/>
      <c r="K131" s="49"/>
      <c r="L131" s="49"/>
      <c r="M131" s="49"/>
      <c r="N131" s="49"/>
      <c r="O131" s="49"/>
      <c r="P131" s="49"/>
      <c r="Q131" s="49"/>
      <c r="R131" s="49"/>
      <c r="S131" s="49"/>
      <c r="T131" s="49"/>
      <c r="U131" s="143"/>
      <c r="V131" s="143"/>
      <c r="W131" s="143"/>
      <c r="X131" s="143"/>
      <c r="Y131" s="143"/>
      <c r="Z131" s="143"/>
    </row>
    <row r="132" ht="13.5" customHeight="1">
      <c r="A132" s="49"/>
      <c r="B132" s="49"/>
      <c r="C132" s="49"/>
      <c r="D132" s="49"/>
      <c r="E132" s="49"/>
      <c r="F132" s="49"/>
      <c r="G132" s="49"/>
      <c r="H132" s="49"/>
      <c r="I132" s="49"/>
      <c r="J132" s="49"/>
      <c r="K132" s="49"/>
      <c r="L132" s="49"/>
      <c r="M132" s="49"/>
      <c r="N132" s="49"/>
      <c r="O132" s="49"/>
      <c r="P132" s="49"/>
      <c r="Q132" s="49"/>
      <c r="R132" s="49"/>
      <c r="S132" s="49"/>
      <c r="T132" s="49"/>
      <c r="U132" s="143"/>
      <c r="V132" s="143"/>
      <c r="W132" s="143"/>
      <c r="X132" s="143"/>
      <c r="Y132" s="143"/>
      <c r="Z132" s="143"/>
    </row>
    <row r="133" ht="13.5" customHeight="1">
      <c r="A133" s="49"/>
      <c r="B133" s="49"/>
      <c r="C133" s="49"/>
      <c r="D133" s="49"/>
      <c r="E133" s="49"/>
      <c r="F133" s="49"/>
      <c r="G133" s="49"/>
      <c r="H133" s="49"/>
      <c r="I133" s="49"/>
      <c r="J133" s="49"/>
      <c r="K133" s="49"/>
      <c r="L133" s="49"/>
      <c r="M133" s="49"/>
      <c r="N133" s="49"/>
      <c r="O133" s="49"/>
      <c r="P133" s="49"/>
      <c r="Q133" s="49"/>
      <c r="R133" s="49"/>
      <c r="S133" s="49"/>
      <c r="T133" s="49"/>
      <c r="U133" s="143"/>
      <c r="V133" s="143"/>
      <c r="W133" s="143"/>
      <c r="X133" s="143"/>
      <c r="Y133" s="143"/>
      <c r="Z133" s="143"/>
    </row>
    <row r="134" ht="13.5" customHeight="1">
      <c r="A134" s="49"/>
      <c r="B134" s="49"/>
      <c r="C134" s="49"/>
      <c r="D134" s="49"/>
      <c r="E134" s="49"/>
      <c r="F134" s="49"/>
      <c r="G134" s="49"/>
      <c r="H134" s="49"/>
      <c r="I134" s="49"/>
      <c r="J134" s="49"/>
      <c r="K134" s="49"/>
      <c r="L134" s="49"/>
      <c r="M134" s="49"/>
      <c r="N134" s="49"/>
      <c r="O134" s="49"/>
      <c r="P134" s="49"/>
      <c r="Q134" s="49"/>
      <c r="R134" s="49"/>
      <c r="S134" s="49"/>
      <c r="T134" s="49"/>
      <c r="U134" s="143"/>
      <c r="V134" s="143"/>
      <c r="W134" s="143"/>
      <c r="X134" s="143"/>
      <c r="Y134" s="143"/>
      <c r="Z134" s="143"/>
    </row>
    <row r="135" ht="13.5" customHeight="1">
      <c r="A135" s="49"/>
      <c r="B135" s="49"/>
      <c r="C135" s="49"/>
      <c r="D135" s="49"/>
      <c r="E135" s="49"/>
      <c r="F135" s="49"/>
      <c r="G135" s="49"/>
      <c r="H135" s="49"/>
      <c r="I135" s="49"/>
      <c r="J135" s="49"/>
      <c r="K135" s="49"/>
      <c r="L135" s="49"/>
      <c r="M135" s="49"/>
      <c r="N135" s="49"/>
      <c r="O135" s="49"/>
      <c r="P135" s="49"/>
      <c r="Q135" s="49"/>
      <c r="R135" s="49"/>
      <c r="S135" s="49"/>
      <c r="T135" s="49"/>
      <c r="U135" s="143"/>
      <c r="V135" s="143"/>
      <c r="W135" s="143"/>
      <c r="X135" s="143"/>
      <c r="Y135" s="143"/>
      <c r="Z135" s="143"/>
    </row>
    <row r="136" ht="13.5" customHeight="1">
      <c r="A136" s="49"/>
      <c r="B136" s="49"/>
      <c r="C136" s="49"/>
      <c r="D136" s="49"/>
      <c r="E136" s="49"/>
      <c r="F136" s="49"/>
      <c r="G136" s="49"/>
      <c r="H136" s="49"/>
      <c r="I136" s="49"/>
      <c r="J136" s="49"/>
      <c r="K136" s="49"/>
      <c r="L136" s="49"/>
      <c r="M136" s="49"/>
      <c r="N136" s="49"/>
      <c r="O136" s="49"/>
      <c r="P136" s="49"/>
      <c r="Q136" s="49"/>
      <c r="R136" s="49"/>
      <c r="S136" s="49"/>
      <c r="T136" s="49"/>
      <c r="U136" s="143"/>
      <c r="V136" s="143"/>
      <c r="W136" s="143"/>
      <c r="X136" s="143"/>
      <c r="Y136" s="143"/>
      <c r="Z136" s="143"/>
    </row>
    <row r="137" ht="13.5" customHeight="1">
      <c r="A137" s="49"/>
      <c r="B137" s="49"/>
      <c r="C137" s="49"/>
      <c r="D137" s="49"/>
      <c r="E137" s="49"/>
      <c r="F137" s="49"/>
      <c r="G137" s="49"/>
      <c r="H137" s="49"/>
      <c r="I137" s="49"/>
      <c r="J137" s="49"/>
      <c r="K137" s="49"/>
      <c r="L137" s="49"/>
      <c r="M137" s="49"/>
      <c r="N137" s="49"/>
      <c r="O137" s="49"/>
      <c r="P137" s="49"/>
      <c r="Q137" s="49"/>
      <c r="R137" s="49"/>
      <c r="S137" s="49"/>
      <c r="T137" s="49"/>
      <c r="U137" s="143"/>
      <c r="V137" s="143"/>
      <c r="W137" s="143"/>
      <c r="X137" s="143"/>
      <c r="Y137" s="143"/>
      <c r="Z137" s="143"/>
    </row>
    <row r="138" ht="13.5" customHeight="1">
      <c r="A138" s="49"/>
      <c r="B138" s="49"/>
      <c r="C138" s="49"/>
      <c r="D138" s="49"/>
      <c r="E138" s="49"/>
      <c r="F138" s="49"/>
      <c r="G138" s="49"/>
      <c r="H138" s="49"/>
      <c r="I138" s="49"/>
      <c r="J138" s="49"/>
      <c r="K138" s="49"/>
      <c r="L138" s="49"/>
      <c r="M138" s="49"/>
      <c r="N138" s="49"/>
      <c r="O138" s="49"/>
      <c r="P138" s="49"/>
      <c r="Q138" s="49"/>
      <c r="R138" s="49"/>
      <c r="S138" s="49"/>
      <c r="T138" s="49"/>
      <c r="U138" s="143"/>
      <c r="V138" s="143"/>
      <c r="W138" s="143"/>
      <c r="X138" s="143"/>
      <c r="Y138" s="143"/>
      <c r="Z138" s="143"/>
    </row>
    <row r="139" ht="13.5" customHeight="1">
      <c r="A139" s="49"/>
      <c r="B139" s="49"/>
      <c r="C139" s="49"/>
      <c r="D139" s="49"/>
      <c r="E139" s="49"/>
      <c r="F139" s="49"/>
      <c r="G139" s="49"/>
      <c r="H139" s="49"/>
      <c r="I139" s="49"/>
      <c r="J139" s="49"/>
      <c r="K139" s="49"/>
      <c r="L139" s="49"/>
      <c r="M139" s="49"/>
      <c r="N139" s="49"/>
      <c r="O139" s="49"/>
      <c r="P139" s="49"/>
      <c r="Q139" s="49"/>
      <c r="R139" s="49"/>
      <c r="S139" s="49"/>
      <c r="T139" s="49"/>
      <c r="U139" s="143"/>
      <c r="V139" s="143"/>
      <c r="W139" s="143"/>
      <c r="X139" s="143"/>
      <c r="Y139" s="143"/>
      <c r="Z139" s="143"/>
    </row>
    <row r="140" ht="13.5" customHeight="1">
      <c r="A140" s="49"/>
      <c r="B140" s="49"/>
      <c r="C140" s="49"/>
      <c r="D140" s="49"/>
      <c r="E140" s="49"/>
      <c r="F140" s="49"/>
      <c r="G140" s="49"/>
      <c r="H140" s="49"/>
      <c r="I140" s="49"/>
      <c r="J140" s="49"/>
      <c r="K140" s="49"/>
      <c r="L140" s="49"/>
      <c r="M140" s="49"/>
      <c r="N140" s="49"/>
      <c r="O140" s="49"/>
      <c r="P140" s="49"/>
      <c r="Q140" s="49"/>
      <c r="R140" s="49"/>
      <c r="S140" s="49"/>
      <c r="T140" s="49"/>
      <c r="U140" s="143"/>
      <c r="V140" s="143"/>
      <c r="W140" s="143"/>
      <c r="X140" s="143"/>
      <c r="Y140" s="143"/>
      <c r="Z140" s="143"/>
    </row>
    <row r="141" ht="13.5" customHeight="1">
      <c r="A141" s="49"/>
      <c r="B141" s="49"/>
      <c r="C141" s="49"/>
      <c r="D141" s="49"/>
      <c r="E141" s="49"/>
      <c r="F141" s="49"/>
      <c r="G141" s="49"/>
      <c r="H141" s="49"/>
      <c r="I141" s="49"/>
      <c r="J141" s="49"/>
      <c r="K141" s="49"/>
      <c r="L141" s="49"/>
      <c r="M141" s="49"/>
      <c r="N141" s="49"/>
      <c r="O141" s="49"/>
      <c r="P141" s="49"/>
      <c r="Q141" s="49"/>
      <c r="R141" s="49"/>
      <c r="S141" s="49"/>
      <c r="T141" s="49"/>
      <c r="U141" s="143"/>
      <c r="V141" s="143"/>
      <c r="W141" s="143"/>
      <c r="X141" s="143"/>
      <c r="Y141" s="143"/>
      <c r="Z141" s="143"/>
    </row>
    <row r="142" ht="13.5" customHeight="1">
      <c r="A142" s="49"/>
      <c r="B142" s="49"/>
      <c r="C142" s="49"/>
      <c r="D142" s="49"/>
      <c r="E142" s="49"/>
      <c r="F142" s="49"/>
      <c r="G142" s="49"/>
      <c r="H142" s="49"/>
      <c r="I142" s="49"/>
      <c r="J142" s="49"/>
      <c r="K142" s="49"/>
      <c r="L142" s="49"/>
      <c r="M142" s="49"/>
      <c r="N142" s="49"/>
      <c r="O142" s="49"/>
      <c r="P142" s="49"/>
      <c r="Q142" s="49"/>
      <c r="R142" s="49"/>
      <c r="S142" s="49"/>
      <c r="T142" s="49"/>
      <c r="U142" s="143"/>
      <c r="V142" s="143"/>
      <c r="W142" s="143"/>
      <c r="X142" s="143"/>
      <c r="Y142" s="143"/>
      <c r="Z142" s="143"/>
    </row>
    <row r="143" ht="13.5" customHeight="1">
      <c r="A143" s="49"/>
      <c r="B143" s="49"/>
      <c r="C143" s="49"/>
      <c r="D143" s="49"/>
      <c r="E143" s="49"/>
      <c r="F143" s="49"/>
      <c r="G143" s="49"/>
      <c r="H143" s="49"/>
      <c r="I143" s="49"/>
      <c r="J143" s="49"/>
      <c r="K143" s="49"/>
      <c r="L143" s="49"/>
      <c r="M143" s="49"/>
      <c r="N143" s="49"/>
      <c r="O143" s="49"/>
      <c r="P143" s="49"/>
      <c r="Q143" s="49"/>
      <c r="R143" s="49"/>
      <c r="S143" s="49"/>
      <c r="T143" s="49"/>
      <c r="U143" s="143"/>
      <c r="V143" s="143"/>
      <c r="W143" s="143"/>
      <c r="X143" s="143"/>
      <c r="Y143" s="143"/>
      <c r="Z143" s="143"/>
    </row>
    <row r="144" ht="13.5" customHeight="1">
      <c r="A144" s="49"/>
      <c r="B144" s="49"/>
      <c r="C144" s="49"/>
      <c r="D144" s="49"/>
      <c r="E144" s="49"/>
      <c r="F144" s="49"/>
      <c r="G144" s="49"/>
      <c r="H144" s="49"/>
      <c r="I144" s="49"/>
      <c r="J144" s="49"/>
      <c r="K144" s="49"/>
      <c r="L144" s="49"/>
      <c r="M144" s="49"/>
      <c r="N144" s="49"/>
      <c r="O144" s="49"/>
      <c r="P144" s="49"/>
      <c r="Q144" s="49"/>
      <c r="R144" s="49"/>
      <c r="S144" s="49"/>
      <c r="T144" s="49"/>
      <c r="U144" s="143"/>
      <c r="V144" s="143"/>
      <c r="W144" s="143"/>
      <c r="X144" s="143"/>
      <c r="Y144" s="143"/>
      <c r="Z144" s="143"/>
    </row>
    <row r="145" ht="13.5" customHeight="1">
      <c r="A145" s="49"/>
      <c r="B145" s="49"/>
      <c r="C145" s="49"/>
      <c r="D145" s="49"/>
      <c r="E145" s="49"/>
      <c r="F145" s="49"/>
      <c r="G145" s="49"/>
      <c r="H145" s="49"/>
      <c r="I145" s="49"/>
      <c r="J145" s="49"/>
      <c r="K145" s="49"/>
      <c r="L145" s="49"/>
      <c r="M145" s="49"/>
      <c r="N145" s="49"/>
      <c r="O145" s="49"/>
      <c r="P145" s="49"/>
      <c r="Q145" s="49"/>
      <c r="R145" s="49"/>
      <c r="S145" s="49"/>
      <c r="T145" s="49"/>
      <c r="U145" s="143"/>
      <c r="V145" s="143"/>
      <c r="W145" s="143"/>
      <c r="X145" s="143"/>
      <c r="Y145" s="143"/>
      <c r="Z145" s="143"/>
    </row>
    <row r="146" ht="13.5" customHeight="1">
      <c r="A146" s="49"/>
      <c r="B146" s="49"/>
      <c r="C146" s="49"/>
      <c r="D146" s="49"/>
      <c r="E146" s="49"/>
      <c r="F146" s="49"/>
      <c r="G146" s="49"/>
      <c r="H146" s="49"/>
      <c r="I146" s="49"/>
      <c r="J146" s="49"/>
      <c r="K146" s="49"/>
      <c r="L146" s="49"/>
      <c r="M146" s="49"/>
      <c r="N146" s="49"/>
      <c r="O146" s="49"/>
      <c r="P146" s="49"/>
      <c r="Q146" s="49"/>
      <c r="R146" s="49"/>
      <c r="S146" s="49"/>
      <c r="T146" s="49"/>
      <c r="U146" s="143"/>
      <c r="V146" s="143"/>
      <c r="W146" s="143"/>
      <c r="X146" s="143"/>
      <c r="Y146" s="143"/>
      <c r="Z146" s="143"/>
    </row>
    <row r="147" ht="13.5" customHeight="1">
      <c r="A147" s="49"/>
      <c r="B147" s="49"/>
      <c r="C147" s="49"/>
      <c r="D147" s="49"/>
      <c r="E147" s="49"/>
      <c r="F147" s="49"/>
      <c r="G147" s="49"/>
      <c r="H147" s="49"/>
      <c r="I147" s="49"/>
      <c r="J147" s="49"/>
      <c r="K147" s="49"/>
      <c r="L147" s="49"/>
      <c r="M147" s="49"/>
      <c r="N147" s="49"/>
      <c r="O147" s="49"/>
      <c r="P147" s="49"/>
      <c r="Q147" s="49"/>
      <c r="R147" s="49"/>
      <c r="S147" s="49"/>
      <c r="T147" s="49"/>
      <c r="U147" s="143"/>
      <c r="V147" s="143"/>
      <c r="W147" s="143"/>
      <c r="X147" s="143"/>
      <c r="Y147" s="143"/>
      <c r="Z147" s="143"/>
    </row>
    <row r="148" ht="13.5" customHeight="1">
      <c r="A148" s="49"/>
      <c r="B148" s="49"/>
      <c r="C148" s="49"/>
      <c r="D148" s="49"/>
      <c r="E148" s="49"/>
      <c r="F148" s="49"/>
      <c r="G148" s="49"/>
      <c r="H148" s="49"/>
      <c r="I148" s="49"/>
      <c r="J148" s="49"/>
      <c r="K148" s="49"/>
      <c r="L148" s="49"/>
      <c r="M148" s="49"/>
      <c r="N148" s="49"/>
      <c r="O148" s="49"/>
      <c r="P148" s="49"/>
      <c r="Q148" s="49"/>
      <c r="R148" s="49"/>
      <c r="S148" s="49"/>
      <c r="T148" s="49"/>
      <c r="U148" s="143"/>
      <c r="V148" s="143"/>
      <c r="W148" s="143"/>
      <c r="X148" s="143"/>
      <c r="Y148" s="143"/>
      <c r="Z148" s="143"/>
    </row>
    <row r="149" ht="13.5" customHeight="1">
      <c r="A149" s="49"/>
      <c r="B149" s="49"/>
      <c r="C149" s="49"/>
      <c r="D149" s="49"/>
      <c r="E149" s="49"/>
      <c r="F149" s="49"/>
      <c r="G149" s="49"/>
      <c r="H149" s="49"/>
      <c r="I149" s="49"/>
      <c r="J149" s="49"/>
      <c r="K149" s="49"/>
      <c r="L149" s="49"/>
      <c r="M149" s="49"/>
      <c r="N149" s="49"/>
      <c r="O149" s="49"/>
      <c r="P149" s="49"/>
      <c r="Q149" s="49"/>
      <c r="R149" s="49"/>
      <c r="S149" s="49"/>
      <c r="T149" s="49"/>
      <c r="U149" s="143"/>
      <c r="V149" s="143"/>
      <c r="W149" s="143"/>
      <c r="X149" s="143"/>
      <c r="Y149" s="143"/>
      <c r="Z149" s="143"/>
    </row>
    <row r="150" ht="13.5" customHeight="1">
      <c r="A150" s="49"/>
      <c r="B150" s="49"/>
      <c r="C150" s="49"/>
      <c r="D150" s="49"/>
      <c r="E150" s="49"/>
      <c r="F150" s="49"/>
      <c r="G150" s="49"/>
      <c r="H150" s="49"/>
      <c r="I150" s="49"/>
      <c r="J150" s="49"/>
      <c r="K150" s="49"/>
      <c r="L150" s="49"/>
      <c r="M150" s="49"/>
      <c r="N150" s="49"/>
      <c r="O150" s="49"/>
      <c r="P150" s="49"/>
      <c r="Q150" s="49"/>
      <c r="R150" s="49"/>
      <c r="S150" s="49"/>
      <c r="T150" s="49"/>
      <c r="U150" s="143"/>
      <c r="V150" s="143"/>
      <c r="W150" s="143"/>
      <c r="X150" s="143"/>
      <c r="Y150" s="143"/>
      <c r="Z150" s="143"/>
    </row>
    <row r="151" ht="13.5" customHeight="1">
      <c r="A151" s="49"/>
      <c r="B151" s="49"/>
      <c r="C151" s="49"/>
      <c r="D151" s="49"/>
      <c r="E151" s="49"/>
      <c r="F151" s="49"/>
      <c r="G151" s="49"/>
      <c r="H151" s="49"/>
      <c r="I151" s="49"/>
      <c r="J151" s="49"/>
      <c r="K151" s="49"/>
      <c r="L151" s="49"/>
      <c r="M151" s="49"/>
      <c r="N151" s="49"/>
      <c r="O151" s="49"/>
      <c r="P151" s="49"/>
      <c r="Q151" s="49"/>
      <c r="R151" s="49"/>
      <c r="S151" s="49"/>
      <c r="T151" s="49"/>
      <c r="U151" s="143"/>
      <c r="V151" s="143"/>
      <c r="W151" s="143"/>
      <c r="X151" s="143"/>
      <c r="Y151" s="143"/>
      <c r="Z151" s="143"/>
    </row>
    <row r="152" ht="13.5" customHeight="1">
      <c r="A152" s="49"/>
      <c r="B152" s="49"/>
      <c r="C152" s="49"/>
      <c r="D152" s="49"/>
      <c r="E152" s="49"/>
      <c r="F152" s="49"/>
      <c r="G152" s="49"/>
      <c r="H152" s="49"/>
      <c r="I152" s="49"/>
      <c r="J152" s="49"/>
      <c r="K152" s="49"/>
      <c r="L152" s="49"/>
      <c r="M152" s="49"/>
      <c r="N152" s="49"/>
      <c r="O152" s="49"/>
      <c r="P152" s="49"/>
      <c r="Q152" s="49"/>
      <c r="R152" s="49"/>
      <c r="S152" s="49"/>
      <c r="T152" s="49"/>
      <c r="U152" s="143"/>
      <c r="V152" s="143"/>
      <c r="W152" s="143"/>
      <c r="X152" s="143"/>
      <c r="Y152" s="143"/>
      <c r="Z152" s="143"/>
    </row>
    <row r="153" ht="13.5" customHeight="1">
      <c r="A153" s="49"/>
      <c r="B153" s="49"/>
      <c r="C153" s="49"/>
      <c r="D153" s="49"/>
      <c r="E153" s="49"/>
      <c r="F153" s="49"/>
      <c r="G153" s="49"/>
      <c r="H153" s="49"/>
      <c r="I153" s="49"/>
      <c r="J153" s="49"/>
      <c r="K153" s="49"/>
      <c r="L153" s="49"/>
      <c r="M153" s="49"/>
      <c r="N153" s="49"/>
      <c r="O153" s="49"/>
      <c r="P153" s="49"/>
      <c r="Q153" s="49"/>
      <c r="R153" s="49"/>
      <c r="S153" s="49"/>
      <c r="T153" s="49"/>
      <c r="U153" s="143"/>
      <c r="V153" s="143"/>
      <c r="W153" s="143"/>
      <c r="X153" s="143"/>
      <c r="Y153" s="143"/>
      <c r="Z153" s="143"/>
    </row>
    <row r="154" ht="13.5" customHeight="1">
      <c r="A154" s="49"/>
      <c r="B154" s="49"/>
      <c r="C154" s="49"/>
      <c r="D154" s="49"/>
      <c r="E154" s="49"/>
      <c r="F154" s="49"/>
      <c r="G154" s="49"/>
      <c r="H154" s="49"/>
      <c r="I154" s="49"/>
      <c r="J154" s="49"/>
      <c r="K154" s="49"/>
      <c r="L154" s="49"/>
      <c r="M154" s="49"/>
      <c r="N154" s="49"/>
      <c r="O154" s="49"/>
      <c r="P154" s="49"/>
      <c r="Q154" s="49"/>
      <c r="R154" s="49"/>
      <c r="S154" s="49"/>
      <c r="T154" s="49"/>
      <c r="U154" s="143"/>
      <c r="V154" s="143"/>
      <c r="W154" s="143"/>
      <c r="X154" s="143"/>
      <c r="Y154" s="143"/>
      <c r="Z154" s="143"/>
    </row>
    <row r="155" ht="13.5" customHeight="1">
      <c r="A155" s="49"/>
      <c r="B155" s="49"/>
      <c r="C155" s="49"/>
      <c r="D155" s="49"/>
      <c r="E155" s="49"/>
      <c r="F155" s="49"/>
      <c r="G155" s="49"/>
      <c r="H155" s="49"/>
      <c r="I155" s="49"/>
      <c r="J155" s="49"/>
      <c r="K155" s="49"/>
      <c r="L155" s="49"/>
      <c r="M155" s="49"/>
      <c r="N155" s="49"/>
      <c r="O155" s="49"/>
      <c r="P155" s="49"/>
      <c r="Q155" s="49"/>
      <c r="R155" s="49"/>
      <c r="S155" s="49"/>
      <c r="T155" s="49"/>
      <c r="U155" s="143"/>
      <c r="V155" s="143"/>
      <c r="W155" s="143"/>
      <c r="X155" s="143"/>
      <c r="Y155" s="143"/>
      <c r="Z155" s="143"/>
    </row>
    <row r="156" ht="13.5" customHeight="1">
      <c r="A156" s="49"/>
      <c r="B156" s="49"/>
      <c r="C156" s="49"/>
      <c r="D156" s="49"/>
      <c r="E156" s="49"/>
      <c r="F156" s="49"/>
      <c r="G156" s="49"/>
      <c r="H156" s="49"/>
      <c r="I156" s="49"/>
      <c r="J156" s="49"/>
      <c r="K156" s="49"/>
      <c r="L156" s="49"/>
      <c r="M156" s="49"/>
      <c r="N156" s="49"/>
      <c r="O156" s="49"/>
      <c r="P156" s="49"/>
      <c r="Q156" s="49"/>
      <c r="R156" s="49"/>
      <c r="S156" s="49"/>
      <c r="T156" s="49"/>
      <c r="U156" s="143"/>
      <c r="V156" s="143"/>
      <c r="W156" s="143"/>
      <c r="X156" s="143"/>
      <c r="Y156" s="143"/>
      <c r="Z156" s="143"/>
    </row>
    <row r="157" ht="13.5" customHeight="1">
      <c r="A157" s="49"/>
      <c r="B157" s="49"/>
      <c r="C157" s="49"/>
      <c r="D157" s="49"/>
      <c r="E157" s="49"/>
      <c r="F157" s="49"/>
      <c r="G157" s="49"/>
      <c r="H157" s="49"/>
      <c r="I157" s="49"/>
      <c r="J157" s="49"/>
      <c r="K157" s="49"/>
      <c r="L157" s="49"/>
      <c r="M157" s="49"/>
      <c r="N157" s="49"/>
      <c r="O157" s="49"/>
      <c r="P157" s="49"/>
      <c r="Q157" s="49"/>
      <c r="R157" s="49"/>
      <c r="S157" s="49"/>
      <c r="T157" s="49"/>
      <c r="U157" s="143"/>
      <c r="V157" s="143"/>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row>
    <row r="224" ht="13.5" customHeight="1">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row>
    <row r="225" ht="13.5" customHeight="1">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row>
    <row r="226" ht="13.5" customHeight="1">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row>
    <row r="227" ht="13.5" customHeight="1">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row>
    <row r="228" ht="13.5" customHeight="1">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row>
    <row r="229" ht="13.5" customHeight="1">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row>
    <row r="230" ht="13.5" customHeight="1">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row>
    <row r="231" ht="13.5" customHeight="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row>
    <row r="232" ht="13.5" customHeight="1">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row>
    <row r="233" ht="13.5" customHeight="1">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row>
    <row r="234" ht="13.5" customHeight="1">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row>
    <row r="235" ht="13.5" customHeight="1">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row>
    <row r="236" ht="13.5" customHeight="1">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row>
    <row r="237" ht="13.5" customHeight="1">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row>
    <row r="238" ht="13.5" customHeight="1">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row>
    <row r="239" ht="13.5" customHeight="1">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row>
    <row r="240" ht="13.5" customHeight="1">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row>
    <row r="241" ht="13.5" customHeight="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row>
    <row r="242" ht="13.5" customHeight="1">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row>
    <row r="243" ht="13.5" customHeight="1">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row>
    <row r="244" ht="13.5" customHeight="1">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row>
    <row r="245" ht="13.5" customHeight="1">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row>
    <row r="246" ht="13.5" customHeight="1">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row>
    <row r="247" ht="13.5" customHeight="1">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row>
    <row r="248" ht="13.5" customHeight="1">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row>
    <row r="249" ht="13.5" customHeight="1">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row>
    <row r="250" ht="13.5" customHeight="1">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row>
    <row r="251" ht="13.5" customHeight="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row>
    <row r="252" ht="13.5" customHeight="1">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row>
    <row r="253" ht="13.5" customHeight="1">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row>
    <row r="254" ht="13.5" customHeight="1">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row>
    <row r="255" ht="13.5" customHeight="1">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row>
    <row r="256" ht="13.5" customHeight="1">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row>
    <row r="257" ht="13.5" customHeight="1">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row>
    <row r="258" ht="13.5" customHeight="1">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row>
    <row r="259" ht="13.5" customHeight="1">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row>
    <row r="260" ht="13.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8">
    <mergeCell ref="A1:T1"/>
    <mergeCell ref="A2:C2"/>
    <mergeCell ref="D2:G2"/>
    <mergeCell ref="H2:J2"/>
    <mergeCell ref="K2:O2"/>
    <mergeCell ref="P2:R2"/>
    <mergeCell ref="S2:T2"/>
    <mergeCell ref="K3:O3"/>
    <mergeCell ref="L6:L13"/>
    <mergeCell ref="L14:L22"/>
    <mergeCell ref="L23:L40"/>
    <mergeCell ref="L41:L52"/>
    <mergeCell ref="L53:L57"/>
    <mergeCell ref="A3:C3"/>
    <mergeCell ref="D3:G3"/>
    <mergeCell ref="H3:J3"/>
    <mergeCell ref="P3:R3"/>
    <mergeCell ref="S3:T3"/>
    <mergeCell ref="A6:A13"/>
    <mergeCell ref="D6:D13"/>
    <mergeCell ref="B23:B40"/>
    <mergeCell ref="C23:C40"/>
    <mergeCell ref="B41:B52"/>
    <mergeCell ref="C41:C52"/>
    <mergeCell ref="D41:D52"/>
    <mergeCell ref="B53:B57"/>
    <mergeCell ref="C53:C57"/>
    <mergeCell ref="D53:D57"/>
    <mergeCell ref="A23:A40"/>
    <mergeCell ref="A41:A52"/>
    <mergeCell ref="A53:A57"/>
    <mergeCell ref="B6:B13"/>
    <mergeCell ref="C6:C13"/>
    <mergeCell ref="A14:A22"/>
    <mergeCell ref="B14:B22"/>
    <mergeCell ref="C14:C22"/>
    <mergeCell ref="D14:D22"/>
    <mergeCell ref="D23:D40"/>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46.75"/>
    <col customWidth="1" min="11" max="11" width="43.38"/>
    <col customWidth="1" hidden="1" min="12" max="12" width="18.88"/>
    <col customWidth="1" hidden="1" min="13" max="13" width="30.75"/>
    <col hidden="1" min="14" max="16" width="12.63"/>
    <col customWidth="1" min="17" max="17" width="12.63"/>
    <col customWidth="1" min="18" max="19" width="15.75"/>
    <col customWidth="1" min="20" max="20" width="20.75"/>
    <col customWidth="1" min="21" max="26" width="12.63"/>
  </cols>
  <sheetData>
    <row r="1" ht="30.0" customHeight="1">
      <c r="A1" s="21" t="s">
        <v>1909</v>
      </c>
      <c r="B1" s="24"/>
      <c r="C1" s="24"/>
      <c r="D1" s="24"/>
      <c r="E1" s="24"/>
      <c r="F1" s="24"/>
      <c r="G1" s="24"/>
      <c r="H1" s="24"/>
      <c r="I1" s="24"/>
      <c r="J1" s="24"/>
      <c r="K1" s="24"/>
      <c r="L1" s="24"/>
      <c r="M1" s="24"/>
      <c r="N1" s="24"/>
      <c r="O1" s="24"/>
      <c r="P1" s="24"/>
      <c r="Q1" s="24"/>
      <c r="R1" s="24"/>
      <c r="S1" s="24"/>
      <c r="T1" s="27"/>
      <c r="U1" s="143"/>
      <c r="V1" s="143"/>
      <c r="W1" s="143"/>
      <c r="X1" s="143"/>
      <c r="Y1" s="143"/>
      <c r="Z1" s="143"/>
    </row>
    <row r="2" ht="19.5" customHeight="1">
      <c r="A2" s="35" t="s">
        <v>38</v>
      </c>
      <c r="B2" s="37"/>
      <c r="C2" s="39"/>
      <c r="D2" s="40" t="s">
        <v>47</v>
      </c>
      <c r="E2" s="37"/>
      <c r="F2" s="37"/>
      <c r="G2" s="39"/>
      <c r="H2" s="35" t="s">
        <v>50</v>
      </c>
      <c r="I2" s="37"/>
      <c r="J2" s="39"/>
      <c r="K2" s="40" t="s">
        <v>3495</v>
      </c>
      <c r="L2" s="37"/>
      <c r="M2" s="37"/>
      <c r="N2" s="37"/>
      <c r="O2" s="39"/>
      <c r="P2" s="35" t="s">
        <v>6</v>
      </c>
      <c r="Q2" s="37"/>
      <c r="R2" s="39"/>
      <c r="S2" s="40" t="s">
        <v>33</v>
      </c>
      <c r="T2" s="39"/>
      <c r="U2" s="143"/>
      <c r="V2" s="143"/>
      <c r="W2" s="143"/>
      <c r="X2" s="143"/>
      <c r="Y2" s="143"/>
      <c r="Z2" s="143"/>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143"/>
      <c r="W3" s="143"/>
      <c r="X3" s="143"/>
      <c r="Y3" s="143"/>
      <c r="Z3" s="143"/>
    </row>
    <row r="4" ht="13.5" customHeight="1">
      <c r="A4" s="49"/>
      <c r="B4" s="49"/>
      <c r="C4" s="49"/>
      <c r="D4" s="49"/>
      <c r="E4" s="49"/>
      <c r="F4" s="49"/>
      <c r="G4" s="49"/>
      <c r="H4" s="49"/>
      <c r="I4" s="49"/>
      <c r="J4" s="49"/>
      <c r="K4" s="49"/>
      <c r="L4" s="49"/>
      <c r="M4" s="49"/>
      <c r="N4" s="49"/>
      <c r="O4" s="49"/>
      <c r="P4" s="49"/>
      <c r="Q4" s="49"/>
      <c r="R4" s="49"/>
      <c r="S4" s="49"/>
      <c r="T4" s="52"/>
      <c r="U4" s="143"/>
      <c r="V4" s="143"/>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8" t="s">
        <v>82</v>
      </c>
      <c r="U5" s="143"/>
      <c r="V5" s="143"/>
      <c r="W5" s="143"/>
      <c r="X5" s="143"/>
      <c r="Y5" s="143"/>
      <c r="Z5" s="143"/>
    </row>
    <row r="6" ht="13.5" customHeight="1">
      <c r="A6" s="59" t="s">
        <v>3495</v>
      </c>
      <c r="B6" s="59" t="s">
        <v>887</v>
      </c>
      <c r="C6" s="60" t="s">
        <v>888</v>
      </c>
      <c r="D6" s="60" t="s">
        <v>3513</v>
      </c>
      <c r="E6" s="61" t="s">
        <v>3516</v>
      </c>
      <c r="F6" s="62" t="s">
        <v>3518</v>
      </c>
      <c r="G6" s="63" t="s">
        <v>3519</v>
      </c>
      <c r="H6" s="61" t="s">
        <v>88</v>
      </c>
      <c r="I6" s="61" t="s">
        <v>60</v>
      </c>
      <c r="J6" s="63" t="s">
        <v>3520</v>
      </c>
      <c r="K6" s="90"/>
      <c r="L6" s="60" t="s">
        <v>3521</v>
      </c>
      <c r="M6" s="61"/>
      <c r="N6" s="61"/>
      <c r="O6" s="61"/>
      <c r="P6" s="61"/>
      <c r="Q6" s="61" t="s">
        <v>93</v>
      </c>
      <c r="R6" s="61" t="s">
        <v>94</v>
      </c>
      <c r="S6" s="61" t="s">
        <v>94</v>
      </c>
      <c r="T6" s="66">
        <v>46246.0</v>
      </c>
      <c r="U6" s="143"/>
      <c r="V6" s="143"/>
      <c r="W6" s="143"/>
      <c r="X6" s="143"/>
      <c r="Y6" s="143"/>
      <c r="Z6" s="143"/>
    </row>
    <row r="7" ht="13.5" customHeight="1">
      <c r="A7" s="67"/>
      <c r="B7" s="67"/>
      <c r="C7" s="67"/>
      <c r="D7" s="67"/>
      <c r="E7" s="61" t="s">
        <v>3526</v>
      </c>
      <c r="F7" s="68"/>
      <c r="G7" s="63" t="s">
        <v>3527</v>
      </c>
      <c r="H7" s="61" t="s">
        <v>88</v>
      </c>
      <c r="I7" s="61" t="s">
        <v>60</v>
      </c>
      <c r="J7" s="63" t="s">
        <v>3531</v>
      </c>
      <c r="K7" s="90"/>
      <c r="L7" s="67"/>
      <c r="M7" s="61"/>
      <c r="N7" s="61"/>
      <c r="O7" s="61"/>
      <c r="P7" s="61"/>
      <c r="Q7" s="61" t="s">
        <v>93</v>
      </c>
      <c r="R7" s="61" t="s">
        <v>94</v>
      </c>
      <c r="S7" s="61" t="s">
        <v>94</v>
      </c>
      <c r="T7" s="66">
        <v>46246.0</v>
      </c>
      <c r="U7" s="143"/>
      <c r="V7" s="143"/>
      <c r="W7" s="143"/>
      <c r="X7" s="143"/>
      <c r="Y7" s="143"/>
      <c r="Z7" s="143"/>
    </row>
    <row r="8" ht="13.5" customHeight="1">
      <c r="A8" s="67"/>
      <c r="B8" s="67"/>
      <c r="C8" s="67"/>
      <c r="D8" s="67"/>
      <c r="E8" s="61" t="s">
        <v>3535</v>
      </c>
      <c r="F8" s="62" t="s">
        <v>3537</v>
      </c>
      <c r="G8" s="63" t="s">
        <v>3539</v>
      </c>
      <c r="H8" s="61" t="s">
        <v>88</v>
      </c>
      <c r="I8" s="61" t="s">
        <v>60</v>
      </c>
      <c r="J8" s="63" t="s">
        <v>3541</v>
      </c>
      <c r="K8" s="90"/>
      <c r="L8" s="67"/>
      <c r="M8" s="61"/>
      <c r="N8" s="61"/>
      <c r="O8" s="61"/>
      <c r="P8" s="61"/>
      <c r="Q8" s="61" t="s">
        <v>93</v>
      </c>
      <c r="R8" s="61" t="s">
        <v>94</v>
      </c>
      <c r="S8" s="61" t="s">
        <v>94</v>
      </c>
      <c r="T8" s="66">
        <v>46246.0</v>
      </c>
      <c r="U8" s="143"/>
      <c r="V8" s="143"/>
      <c r="W8" s="143"/>
      <c r="X8" s="143"/>
      <c r="Y8" s="143"/>
      <c r="Z8" s="143"/>
    </row>
    <row r="9" ht="13.5" customHeight="1">
      <c r="A9" s="67"/>
      <c r="B9" s="67"/>
      <c r="C9" s="67"/>
      <c r="D9" s="67"/>
      <c r="E9" s="61" t="s">
        <v>3545</v>
      </c>
      <c r="F9" s="68"/>
      <c r="G9" s="63" t="s">
        <v>3546</v>
      </c>
      <c r="H9" s="61" t="s">
        <v>88</v>
      </c>
      <c r="I9" s="61" t="s">
        <v>60</v>
      </c>
      <c r="J9" s="63" t="s">
        <v>3547</v>
      </c>
      <c r="K9" s="90"/>
      <c r="L9" s="67"/>
      <c r="M9" s="61"/>
      <c r="N9" s="61"/>
      <c r="O9" s="61"/>
      <c r="P9" s="61"/>
      <c r="Q9" s="61" t="s">
        <v>93</v>
      </c>
      <c r="R9" s="61" t="s">
        <v>94</v>
      </c>
      <c r="S9" s="61" t="s">
        <v>94</v>
      </c>
      <c r="T9" s="66">
        <v>46246.0</v>
      </c>
      <c r="U9" s="143"/>
      <c r="V9" s="143"/>
      <c r="W9" s="143"/>
      <c r="X9" s="143"/>
      <c r="Y9" s="143"/>
      <c r="Z9" s="143"/>
    </row>
    <row r="10" ht="13.5" customHeight="1">
      <c r="A10" s="67"/>
      <c r="B10" s="67"/>
      <c r="C10" s="67"/>
      <c r="D10" s="67"/>
      <c r="E10" s="61" t="s">
        <v>3551</v>
      </c>
      <c r="F10" s="68"/>
      <c r="G10" s="63" t="s">
        <v>3552</v>
      </c>
      <c r="H10" s="61" t="s">
        <v>88</v>
      </c>
      <c r="I10" s="61" t="s">
        <v>60</v>
      </c>
      <c r="J10" s="63" t="s">
        <v>3556</v>
      </c>
      <c r="K10" s="90"/>
      <c r="L10" s="67"/>
      <c r="M10" s="61"/>
      <c r="N10" s="61"/>
      <c r="O10" s="61"/>
      <c r="P10" s="61"/>
      <c r="Q10" s="61" t="s">
        <v>93</v>
      </c>
      <c r="R10" s="61" t="s">
        <v>94</v>
      </c>
      <c r="S10" s="61" t="s">
        <v>94</v>
      </c>
      <c r="T10" s="66">
        <v>46246.0</v>
      </c>
      <c r="U10" s="143"/>
      <c r="V10" s="143"/>
      <c r="W10" s="143"/>
      <c r="X10" s="143"/>
      <c r="Y10" s="143"/>
      <c r="Z10" s="143"/>
    </row>
    <row r="11" ht="13.5" customHeight="1">
      <c r="A11" s="67"/>
      <c r="B11" s="67"/>
      <c r="C11" s="67"/>
      <c r="D11" s="67"/>
      <c r="E11" s="61" t="s">
        <v>3559</v>
      </c>
      <c r="F11" s="68"/>
      <c r="G11" s="63" t="s">
        <v>3561</v>
      </c>
      <c r="H11" s="61" t="s">
        <v>88</v>
      </c>
      <c r="I11" s="61" t="s">
        <v>60</v>
      </c>
      <c r="J11" s="63" t="s">
        <v>3563</v>
      </c>
      <c r="K11" s="90"/>
      <c r="L11" s="67"/>
      <c r="M11" s="61"/>
      <c r="N11" s="61"/>
      <c r="O11" s="61"/>
      <c r="P11" s="61"/>
      <c r="Q11" s="61" t="s">
        <v>93</v>
      </c>
      <c r="R11" s="61" t="s">
        <v>94</v>
      </c>
      <c r="S11" s="61" t="s">
        <v>94</v>
      </c>
      <c r="T11" s="66">
        <v>46246.0</v>
      </c>
      <c r="U11" s="143"/>
      <c r="V11" s="143"/>
      <c r="W11" s="143"/>
      <c r="X11" s="143"/>
      <c r="Y11" s="143"/>
      <c r="Z11" s="143"/>
    </row>
    <row r="12" ht="13.5" customHeight="1">
      <c r="A12" s="67"/>
      <c r="B12" s="67"/>
      <c r="C12" s="67"/>
      <c r="D12" s="67"/>
      <c r="E12" s="61" t="s">
        <v>3567</v>
      </c>
      <c r="F12" s="62" t="s">
        <v>3568</v>
      </c>
      <c r="G12" s="63" t="s">
        <v>3569</v>
      </c>
      <c r="H12" s="61" t="s">
        <v>88</v>
      </c>
      <c r="I12" s="61" t="s">
        <v>60</v>
      </c>
      <c r="J12" s="63" t="s">
        <v>3570</v>
      </c>
      <c r="K12" s="90"/>
      <c r="L12" s="67"/>
      <c r="M12" s="61"/>
      <c r="N12" s="61"/>
      <c r="O12" s="61"/>
      <c r="P12" s="61"/>
      <c r="Q12" s="61" t="s">
        <v>93</v>
      </c>
      <c r="R12" s="61" t="s">
        <v>94</v>
      </c>
      <c r="S12" s="61" t="s">
        <v>94</v>
      </c>
      <c r="T12" s="66">
        <v>46246.0</v>
      </c>
      <c r="U12" s="143"/>
      <c r="V12" s="143"/>
      <c r="W12" s="143"/>
      <c r="X12" s="143"/>
      <c r="Y12" s="143"/>
      <c r="Z12" s="143"/>
    </row>
    <row r="13" ht="13.5" customHeight="1">
      <c r="A13" s="67"/>
      <c r="B13" s="67"/>
      <c r="C13" s="67"/>
      <c r="D13" s="67"/>
      <c r="E13" s="61" t="s">
        <v>3575</v>
      </c>
      <c r="F13" s="68"/>
      <c r="G13" s="63" t="s">
        <v>3576</v>
      </c>
      <c r="H13" s="61" t="s">
        <v>88</v>
      </c>
      <c r="I13" s="61" t="s">
        <v>60</v>
      </c>
      <c r="J13" s="63" t="s">
        <v>3577</v>
      </c>
      <c r="K13" s="90"/>
      <c r="L13" s="67"/>
      <c r="M13" s="61"/>
      <c r="N13" s="61"/>
      <c r="O13" s="61"/>
      <c r="P13" s="61"/>
      <c r="Q13" s="61" t="s">
        <v>93</v>
      </c>
      <c r="R13" s="61" t="s">
        <v>94</v>
      </c>
      <c r="S13" s="61" t="s">
        <v>94</v>
      </c>
      <c r="T13" s="66">
        <v>46246.0</v>
      </c>
      <c r="U13" s="143"/>
      <c r="V13" s="143"/>
      <c r="W13" s="143"/>
      <c r="X13" s="143"/>
      <c r="Y13" s="143"/>
      <c r="Z13" s="143"/>
    </row>
    <row r="14" ht="13.5" customHeight="1">
      <c r="A14" s="67"/>
      <c r="B14" s="67"/>
      <c r="C14" s="67"/>
      <c r="D14" s="67"/>
      <c r="E14" s="61" t="s">
        <v>3581</v>
      </c>
      <c r="F14" s="68"/>
      <c r="G14" s="63" t="s">
        <v>3582</v>
      </c>
      <c r="H14" s="61" t="s">
        <v>88</v>
      </c>
      <c r="I14" s="61" t="s">
        <v>60</v>
      </c>
      <c r="J14" s="63" t="s">
        <v>3583</v>
      </c>
      <c r="K14" s="90"/>
      <c r="L14" s="67"/>
      <c r="M14" s="61"/>
      <c r="N14" s="61"/>
      <c r="O14" s="61"/>
      <c r="P14" s="61"/>
      <c r="Q14" s="61" t="s">
        <v>93</v>
      </c>
      <c r="R14" s="61" t="s">
        <v>94</v>
      </c>
      <c r="S14" s="61" t="s">
        <v>94</v>
      </c>
      <c r="T14" s="66">
        <v>46246.0</v>
      </c>
      <c r="U14" s="143"/>
      <c r="V14" s="143"/>
      <c r="W14" s="143"/>
      <c r="X14" s="143"/>
      <c r="Y14" s="143"/>
      <c r="Z14" s="143"/>
    </row>
    <row r="15" ht="13.5" customHeight="1">
      <c r="A15" s="67"/>
      <c r="B15" s="67"/>
      <c r="C15" s="67"/>
      <c r="D15" s="67"/>
      <c r="E15" s="61" t="s">
        <v>3587</v>
      </c>
      <c r="F15" s="62" t="s">
        <v>3588</v>
      </c>
      <c r="G15" s="63" t="s">
        <v>3590</v>
      </c>
      <c r="H15" s="61" t="s">
        <v>88</v>
      </c>
      <c r="I15" s="61" t="s">
        <v>60</v>
      </c>
      <c r="J15" s="63" t="s">
        <v>3592</v>
      </c>
      <c r="K15" s="90"/>
      <c r="L15" s="67"/>
      <c r="M15" s="61"/>
      <c r="N15" s="61"/>
      <c r="O15" s="61"/>
      <c r="P15" s="61"/>
      <c r="Q15" s="61" t="s">
        <v>93</v>
      </c>
      <c r="R15" s="61" t="s">
        <v>94</v>
      </c>
      <c r="S15" s="61" t="s">
        <v>94</v>
      </c>
      <c r="T15" s="66">
        <v>46246.0</v>
      </c>
      <c r="U15" s="143"/>
      <c r="V15" s="143"/>
      <c r="W15" s="143"/>
      <c r="X15" s="143"/>
      <c r="Y15" s="143"/>
      <c r="Z15" s="143"/>
    </row>
    <row r="16" ht="13.5" customHeight="1">
      <c r="A16" s="67"/>
      <c r="B16" s="67"/>
      <c r="C16" s="67"/>
      <c r="D16" s="67"/>
      <c r="E16" s="61" t="s">
        <v>3596</v>
      </c>
      <c r="F16" s="68"/>
      <c r="G16" s="63" t="s">
        <v>3598</v>
      </c>
      <c r="H16" s="61" t="s">
        <v>88</v>
      </c>
      <c r="I16" s="61" t="s">
        <v>60</v>
      </c>
      <c r="J16" s="63" t="s">
        <v>3600</v>
      </c>
      <c r="K16" s="90"/>
      <c r="L16" s="67"/>
      <c r="M16" s="61"/>
      <c r="N16" s="61"/>
      <c r="O16" s="61"/>
      <c r="P16" s="61"/>
      <c r="Q16" s="61" t="s">
        <v>93</v>
      </c>
      <c r="R16" s="61" t="s">
        <v>94</v>
      </c>
      <c r="S16" s="61" t="s">
        <v>94</v>
      </c>
      <c r="T16" s="66">
        <v>46246.0</v>
      </c>
      <c r="U16" s="143"/>
      <c r="V16" s="143"/>
      <c r="W16" s="143"/>
      <c r="X16" s="143"/>
      <c r="Y16" s="143"/>
      <c r="Z16" s="143"/>
    </row>
    <row r="17" ht="13.5" customHeight="1">
      <c r="A17" s="67"/>
      <c r="B17" s="67"/>
      <c r="C17" s="67"/>
      <c r="D17" s="67"/>
      <c r="E17" s="61" t="s">
        <v>3602</v>
      </c>
      <c r="F17" s="68"/>
      <c r="G17" s="63" t="s">
        <v>3605</v>
      </c>
      <c r="H17" s="61" t="s">
        <v>88</v>
      </c>
      <c r="I17" s="61" t="s">
        <v>60</v>
      </c>
      <c r="J17" s="63" t="s">
        <v>3607</v>
      </c>
      <c r="K17" s="90"/>
      <c r="L17" s="67"/>
      <c r="M17" s="61"/>
      <c r="N17" s="61"/>
      <c r="O17" s="61"/>
      <c r="P17" s="61"/>
      <c r="Q17" s="61" t="s">
        <v>93</v>
      </c>
      <c r="R17" s="61" t="s">
        <v>94</v>
      </c>
      <c r="S17" s="61" t="s">
        <v>94</v>
      </c>
      <c r="T17" s="66">
        <v>46246.0</v>
      </c>
      <c r="U17" s="143"/>
      <c r="V17" s="143"/>
      <c r="W17" s="143"/>
      <c r="X17" s="143"/>
      <c r="Y17" s="143"/>
      <c r="Z17" s="143"/>
    </row>
    <row r="18" ht="13.5" customHeight="1">
      <c r="A18" s="67"/>
      <c r="B18" s="67"/>
      <c r="C18" s="67"/>
      <c r="D18" s="67"/>
      <c r="E18" s="61" t="s">
        <v>3610</v>
      </c>
      <c r="F18" s="68"/>
      <c r="G18" s="63" t="s">
        <v>3611</v>
      </c>
      <c r="H18" s="61" t="s">
        <v>88</v>
      </c>
      <c r="I18" s="61" t="s">
        <v>60</v>
      </c>
      <c r="J18" s="63" t="s">
        <v>3612</v>
      </c>
      <c r="K18" s="90"/>
      <c r="L18" s="67"/>
      <c r="M18" s="61"/>
      <c r="N18" s="61"/>
      <c r="O18" s="61"/>
      <c r="P18" s="61"/>
      <c r="Q18" s="61" t="s">
        <v>93</v>
      </c>
      <c r="R18" s="61" t="s">
        <v>94</v>
      </c>
      <c r="S18" s="61" t="s">
        <v>94</v>
      </c>
      <c r="T18" s="66">
        <v>46246.0</v>
      </c>
      <c r="U18" s="143"/>
      <c r="V18" s="143"/>
      <c r="W18" s="143"/>
      <c r="X18" s="143"/>
      <c r="Y18" s="143"/>
      <c r="Z18" s="143"/>
    </row>
    <row r="19" ht="13.5" customHeight="1">
      <c r="A19" s="67"/>
      <c r="B19" s="67"/>
      <c r="C19" s="67"/>
      <c r="D19" s="67"/>
      <c r="E19" s="61" t="s">
        <v>3616</v>
      </c>
      <c r="F19" s="62" t="s">
        <v>3617</v>
      </c>
      <c r="G19" s="63" t="s">
        <v>3618</v>
      </c>
      <c r="H19" s="61" t="s">
        <v>88</v>
      </c>
      <c r="I19" s="61" t="s">
        <v>60</v>
      </c>
      <c r="J19" s="63" t="s">
        <v>3619</v>
      </c>
      <c r="K19" s="90"/>
      <c r="L19" s="67"/>
      <c r="M19" s="61"/>
      <c r="N19" s="61"/>
      <c r="O19" s="61"/>
      <c r="P19" s="61"/>
      <c r="Q19" s="61" t="s">
        <v>93</v>
      </c>
      <c r="R19" s="61" t="s">
        <v>94</v>
      </c>
      <c r="S19" s="61" t="s">
        <v>94</v>
      </c>
      <c r="T19" s="66">
        <v>46246.0</v>
      </c>
      <c r="U19" s="143"/>
      <c r="V19" s="143"/>
      <c r="W19" s="143"/>
      <c r="X19" s="143"/>
      <c r="Y19" s="143"/>
      <c r="Z19" s="143"/>
    </row>
    <row r="20" ht="13.5" customHeight="1">
      <c r="A20" s="67"/>
      <c r="B20" s="67"/>
      <c r="C20" s="67"/>
      <c r="D20" s="67"/>
      <c r="E20" s="61" t="s">
        <v>3624</v>
      </c>
      <c r="F20" s="68"/>
      <c r="G20" s="63" t="s">
        <v>3625</v>
      </c>
      <c r="H20" s="61" t="s">
        <v>88</v>
      </c>
      <c r="I20" s="61" t="s">
        <v>60</v>
      </c>
      <c r="J20" s="63" t="s">
        <v>3628</v>
      </c>
      <c r="K20" s="90"/>
      <c r="L20" s="67"/>
      <c r="M20" s="61"/>
      <c r="N20" s="61"/>
      <c r="O20" s="61"/>
      <c r="P20" s="61"/>
      <c r="Q20" s="61" t="s">
        <v>93</v>
      </c>
      <c r="R20" s="61" t="s">
        <v>94</v>
      </c>
      <c r="S20" s="61" t="s">
        <v>94</v>
      </c>
      <c r="T20" s="66">
        <v>46246.0</v>
      </c>
      <c r="U20" s="143"/>
      <c r="V20" s="143"/>
      <c r="W20" s="143"/>
      <c r="X20" s="143"/>
      <c r="Y20" s="143"/>
      <c r="Z20" s="143"/>
    </row>
    <row r="21" ht="13.5" customHeight="1">
      <c r="A21" s="67"/>
      <c r="B21" s="67"/>
      <c r="C21" s="67"/>
      <c r="D21" s="67"/>
      <c r="E21" s="61" t="s">
        <v>3630</v>
      </c>
      <c r="F21" s="68"/>
      <c r="G21" s="63" t="s">
        <v>3632</v>
      </c>
      <c r="H21" s="61" t="s">
        <v>88</v>
      </c>
      <c r="I21" s="61" t="s">
        <v>60</v>
      </c>
      <c r="J21" s="63" t="s">
        <v>3635</v>
      </c>
      <c r="K21" s="90"/>
      <c r="L21" s="67"/>
      <c r="M21" s="61"/>
      <c r="N21" s="61"/>
      <c r="O21" s="61"/>
      <c r="P21" s="61"/>
      <c r="Q21" s="61" t="s">
        <v>93</v>
      </c>
      <c r="R21" s="61" t="s">
        <v>94</v>
      </c>
      <c r="S21" s="61" t="s">
        <v>94</v>
      </c>
      <c r="T21" s="66">
        <v>46246.0</v>
      </c>
      <c r="U21" s="143"/>
      <c r="V21" s="143"/>
      <c r="W21" s="143"/>
      <c r="X21" s="143"/>
      <c r="Y21" s="143"/>
      <c r="Z21" s="143"/>
    </row>
    <row r="22" ht="13.5" customHeight="1">
      <c r="A22" s="67"/>
      <c r="B22" s="67"/>
      <c r="C22" s="67"/>
      <c r="D22" s="67"/>
      <c r="E22" s="61" t="s">
        <v>3638</v>
      </c>
      <c r="F22" s="62" t="s">
        <v>3640</v>
      </c>
      <c r="G22" s="63" t="s">
        <v>3641</v>
      </c>
      <c r="H22" s="61" t="s">
        <v>88</v>
      </c>
      <c r="I22" s="61" t="s">
        <v>60</v>
      </c>
      <c r="J22" s="63" t="s">
        <v>3642</v>
      </c>
      <c r="K22" s="90"/>
      <c r="L22" s="67"/>
      <c r="M22" s="61"/>
      <c r="N22" s="61"/>
      <c r="O22" s="61"/>
      <c r="P22" s="61"/>
      <c r="Q22" s="61" t="s">
        <v>93</v>
      </c>
      <c r="R22" s="61" t="s">
        <v>94</v>
      </c>
      <c r="S22" s="61" t="s">
        <v>94</v>
      </c>
      <c r="T22" s="66">
        <v>46246.0</v>
      </c>
      <c r="U22" s="143"/>
      <c r="V22" s="143"/>
      <c r="W22" s="143"/>
      <c r="X22" s="143"/>
      <c r="Y22" s="143"/>
      <c r="Z22" s="143"/>
    </row>
    <row r="23" ht="13.5" customHeight="1">
      <c r="A23" s="67"/>
      <c r="B23" s="67"/>
      <c r="C23" s="67"/>
      <c r="D23" s="67"/>
      <c r="E23" s="61" t="s">
        <v>3643</v>
      </c>
      <c r="F23" s="68"/>
      <c r="G23" s="63" t="s">
        <v>3644</v>
      </c>
      <c r="H23" s="61" t="s">
        <v>88</v>
      </c>
      <c r="I23" s="61" t="s">
        <v>60</v>
      </c>
      <c r="J23" s="63" t="s">
        <v>3645</v>
      </c>
      <c r="K23" s="90"/>
      <c r="L23" s="67"/>
      <c r="M23" s="61"/>
      <c r="N23" s="61"/>
      <c r="O23" s="61"/>
      <c r="P23" s="61"/>
      <c r="Q23" s="61" t="s">
        <v>93</v>
      </c>
      <c r="R23" s="61" t="s">
        <v>94</v>
      </c>
      <c r="S23" s="61" t="s">
        <v>94</v>
      </c>
      <c r="T23" s="66">
        <v>46246.0</v>
      </c>
      <c r="U23" s="143"/>
      <c r="V23" s="143"/>
      <c r="W23" s="143"/>
      <c r="X23" s="143"/>
      <c r="Y23" s="143"/>
      <c r="Z23" s="143"/>
    </row>
    <row r="24" ht="13.5" customHeight="1">
      <c r="A24" s="67"/>
      <c r="B24" s="67"/>
      <c r="C24" s="67"/>
      <c r="D24" s="67"/>
      <c r="E24" s="61" t="s">
        <v>3649</v>
      </c>
      <c r="F24" s="62" t="s">
        <v>3650</v>
      </c>
      <c r="G24" s="63" t="s">
        <v>3651</v>
      </c>
      <c r="H24" s="61" t="s">
        <v>88</v>
      </c>
      <c r="I24" s="61" t="s">
        <v>60</v>
      </c>
      <c r="J24" s="63" t="s">
        <v>3652</v>
      </c>
      <c r="K24" s="90"/>
      <c r="L24" s="67"/>
      <c r="M24" s="61"/>
      <c r="N24" s="61"/>
      <c r="O24" s="61"/>
      <c r="P24" s="61"/>
      <c r="Q24" s="61" t="s">
        <v>93</v>
      </c>
      <c r="R24" s="61" t="s">
        <v>94</v>
      </c>
      <c r="S24" s="61" t="s">
        <v>94</v>
      </c>
      <c r="T24" s="66">
        <v>46246.0</v>
      </c>
      <c r="U24" s="143"/>
      <c r="V24" s="143"/>
      <c r="W24" s="143"/>
      <c r="X24" s="143"/>
      <c r="Y24" s="143"/>
      <c r="Z24" s="143"/>
    </row>
    <row r="25" ht="13.5" customHeight="1">
      <c r="A25" s="67"/>
      <c r="B25" s="67"/>
      <c r="C25" s="67"/>
      <c r="D25" s="67"/>
      <c r="E25" s="61" t="s">
        <v>3655</v>
      </c>
      <c r="F25" s="68"/>
      <c r="G25" s="63" t="s">
        <v>3656</v>
      </c>
      <c r="H25" s="61" t="s">
        <v>88</v>
      </c>
      <c r="I25" s="61" t="s">
        <v>60</v>
      </c>
      <c r="J25" s="63" t="s">
        <v>3657</v>
      </c>
      <c r="K25" s="90"/>
      <c r="L25" s="67"/>
      <c r="M25" s="61"/>
      <c r="N25" s="61"/>
      <c r="O25" s="61"/>
      <c r="P25" s="61"/>
      <c r="Q25" s="61" t="s">
        <v>93</v>
      </c>
      <c r="R25" s="61" t="s">
        <v>94</v>
      </c>
      <c r="S25" s="61" t="s">
        <v>94</v>
      </c>
      <c r="T25" s="66">
        <v>46246.0</v>
      </c>
      <c r="U25" s="143"/>
      <c r="V25" s="143"/>
      <c r="W25" s="143"/>
      <c r="X25" s="143"/>
      <c r="Y25" s="143"/>
      <c r="Z25" s="143"/>
    </row>
    <row r="26" ht="13.5" customHeight="1">
      <c r="A26" s="67"/>
      <c r="B26" s="67"/>
      <c r="C26" s="67"/>
      <c r="D26" s="67"/>
      <c r="E26" s="61" t="s">
        <v>3660</v>
      </c>
      <c r="F26" s="62" t="s">
        <v>3661</v>
      </c>
      <c r="G26" s="63" t="s">
        <v>3662</v>
      </c>
      <c r="H26" s="61" t="s">
        <v>88</v>
      </c>
      <c r="I26" s="61" t="s">
        <v>60</v>
      </c>
      <c r="J26" s="63" t="s">
        <v>3663</v>
      </c>
      <c r="K26" s="90"/>
      <c r="L26" s="67"/>
      <c r="M26" s="61"/>
      <c r="N26" s="61"/>
      <c r="O26" s="61"/>
      <c r="P26" s="61"/>
      <c r="Q26" s="61" t="s">
        <v>93</v>
      </c>
      <c r="R26" s="61" t="s">
        <v>94</v>
      </c>
      <c r="S26" s="61" t="s">
        <v>94</v>
      </c>
      <c r="T26" s="66">
        <v>46246.0</v>
      </c>
      <c r="U26" s="143"/>
      <c r="V26" s="143"/>
      <c r="W26" s="143"/>
      <c r="X26" s="143"/>
      <c r="Y26" s="143"/>
      <c r="Z26" s="143"/>
    </row>
    <row r="27" ht="13.5" customHeight="1">
      <c r="A27" s="77"/>
      <c r="B27" s="77"/>
      <c r="C27" s="77"/>
      <c r="D27" s="77"/>
      <c r="E27" s="61" t="s">
        <v>3664</v>
      </c>
      <c r="F27" s="68"/>
      <c r="G27" s="63" t="s">
        <v>3665</v>
      </c>
      <c r="H27" s="61" t="s">
        <v>88</v>
      </c>
      <c r="I27" s="61" t="s">
        <v>60</v>
      </c>
      <c r="J27" s="63" t="s">
        <v>3666</v>
      </c>
      <c r="K27" s="90"/>
      <c r="L27" s="77"/>
      <c r="M27" s="61"/>
      <c r="N27" s="61"/>
      <c r="O27" s="61"/>
      <c r="P27" s="61"/>
      <c r="Q27" s="61" t="s">
        <v>93</v>
      </c>
      <c r="R27" s="61" t="s">
        <v>94</v>
      </c>
      <c r="S27" s="61" t="s">
        <v>94</v>
      </c>
      <c r="T27" s="66">
        <v>46246.0</v>
      </c>
      <c r="U27" s="143"/>
      <c r="V27" s="143"/>
      <c r="W27" s="143"/>
      <c r="X27" s="143"/>
      <c r="Y27" s="143"/>
      <c r="Z27" s="143"/>
    </row>
    <row r="28" ht="13.5" customHeight="1">
      <c r="A28" s="78" t="s">
        <v>3495</v>
      </c>
      <c r="B28" s="78" t="s">
        <v>897</v>
      </c>
      <c r="C28" s="79" t="s">
        <v>898</v>
      </c>
      <c r="D28" s="79" t="s">
        <v>3667</v>
      </c>
      <c r="E28" s="89" t="s">
        <v>3668</v>
      </c>
      <c r="F28" s="70" t="s">
        <v>3669</v>
      </c>
      <c r="G28" s="83" t="s">
        <v>3670</v>
      </c>
      <c r="H28" s="81" t="s">
        <v>88</v>
      </c>
      <c r="I28" s="81" t="s">
        <v>60</v>
      </c>
      <c r="J28" s="83" t="s">
        <v>3671</v>
      </c>
      <c r="K28" s="90"/>
      <c r="L28" s="79" t="s">
        <v>3672</v>
      </c>
      <c r="M28" s="147"/>
      <c r="N28" s="147"/>
      <c r="O28" s="147"/>
      <c r="P28" s="147"/>
      <c r="Q28" s="89" t="s">
        <v>93</v>
      </c>
      <c r="R28" s="81" t="s">
        <v>94</v>
      </c>
      <c r="S28" s="81" t="s">
        <v>94</v>
      </c>
      <c r="T28" s="84">
        <v>46246.0</v>
      </c>
      <c r="U28" s="143"/>
      <c r="V28" s="143"/>
      <c r="W28" s="143"/>
      <c r="X28" s="143"/>
      <c r="Y28" s="143"/>
      <c r="Z28" s="143"/>
    </row>
    <row r="29" ht="13.5" customHeight="1">
      <c r="A29" s="67"/>
      <c r="B29" s="67"/>
      <c r="C29" s="67"/>
      <c r="D29" s="67"/>
      <c r="E29" s="89" t="s">
        <v>3673</v>
      </c>
      <c r="F29" s="70"/>
      <c r="G29" s="83" t="s">
        <v>3674</v>
      </c>
      <c r="H29" s="81" t="s">
        <v>88</v>
      </c>
      <c r="I29" s="81" t="s">
        <v>60</v>
      </c>
      <c r="J29" s="83" t="s">
        <v>3675</v>
      </c>
      <c r="K29" s="90"/>
      <c r="L29" s="67"/>
      <c r="M29" s="147"/>
      <c r="N29" s="147"/>
      <c r="O29" s="147"/>
      <c r="P29" s="147"/>
      <c r="Q29" s="89" t="s">
        <v>93</v>
      </c>
      <c r="R29" s="81" t="s">
        <v>94</v>
      </c>
      <c r="S29" s="81" t="s">
        <v>94</v>
      </c>
      <c r="T29" s="84">
        <v>46246.0</v>
      </c>
      <c r="U29" s="143"/>
      <c r="V29" s="143"/>
      <c r="W29" s="143"/>
      <c r="X29" s="143"/>
      <c r="Y29" s="143"/>
      <c r="Z29" s="143"/>
    </row>
    <row r="30" ht="13.5" customHeight="1">
      <c r="A30" s="67"/>
      <c r="B30" s="67"/>
      <c r="C30" s="67"/>
      <c r="D30" s="67"/>
      <c r="E30" s="89" t="s">
        <v>3676</v>
      </c>
      <c r="F30" s="70"/>
      <c r="G30" s="83" t="s">
        <v>3677</v>
      </c>
      <c r="H30" s="81" t="s">
        <v>88</v>
      </c>
      <c r="I30" s="81" t="s">
        <v>60</v>
      </c>
      <c r="J30" s="83" t="s">
        <v>3679</v>
      </c>
      <c r="K30" s="90"/>
      <c r="L30" s="67"/>
      <c r="M30" s="147"/>
      <c r="N30" s="147"/>
      <c r="O30" s="147"/>
      <c r="P30" s="147"/>
      <c r="Q30" s="89" t="s">
        <v>93</v>
      </c>
      <c r="R30" s="81" t="s">
        <v>94</v>
      </c>
      <c r="S30" s="81" t="s">
        <v>94</v>
      </c>
      <c r="T30" s="84">
        <v>46246.0</v>
      </c>
      <c r="U30" s="143"/>
      <c r="V30" s="143"/>
      <c r="W30" s="143"/>
      <c r="X30" s="143"/>
      <c r="Y30" s="143"/>
      <c r="Z30" s="143"/>
    </row>
    <row r="31" ht="13.5" customHeight="1">
      <c r="A31" s="67"/>
      <c r="B31" s="67"/>
      <c r="C31" s="67"/>
      <c r="D31" s="67"/>
      <c r="E31" s="89" t="s">
        <v>3680</v>
      </c>
      <c r="F31" s="70" t="s">
        <v>3681</v>
      </c>
      <c r="G31" s="83" t="s">
        <v>3682</v>
      </c>
      <c r="H31" s="81" t="s">
        <v>88</v>
      </c>
      <c r="I31" s="81" t="s">
        <v>60</v>
      </c>
      <c r="J31" s="83" t="s">
        <v>3683</v>
      </c>
      <c r="K31" s="90"/>
      <c r="L31" s="67"/>
      <c r="M31" s="81"/>
      <c r="N31" s="81"/>
      <c r="O31" s="81"/>
      <c r="P31" s="81"/>
      <c r="Q31" s="81" t="s">
        <v>93</v>
      </c>
      <c r="R31" s="81" t="s">
        <v>94</v>
      </c>
      <c r="S31" s="81" t="s">
        <v>94</v>
      </c>
      <c r="T31" s="84">
        <v>46246.0</v>
      </c>
      <c r="U31" s="143"/>
      <c r="V31" s="143"/>
      <c r="W31" s="143"/>
      <c r="X31" s="143"/>
      <c r="Y31" s="143"/>
      <c r="Z31" s="143"/>
    </row>
    <row r="32" ht="13.5" customHeight="1">
      <c r="A32" s="67"/>
      <c r="B32" s="67"/>
      <c r="C32" s="67"/>
      <c r="D32" s="67"/>
      <c r="E32" s="89" t="s">
        <v>3684</v>
      </c>
      <c r="F32" s="70"/>
      <c r="G32" s="83" t="s">
        <v>3685</v>
      </c>
      <c r="H32" s="81" t="s">
        <v>88</v>
      </c>
      <c r="I32" s="81" t="s">
        <v>60</v>
      </c>
      <c r="J32" s="83" t="s">
        <v>3686</v>
      </c>
      <c r="K32" s="90"/>
      <c r="L32" s="67"/>
      <c r="M32" s="147"/>
      <c r="N32" s="147"/>
      <c r="O32" s="147"/>
      <c r="P32" s="147"/>
      <c r="Q32" s="89" t="s">
        <v>93</v>
      </c>
      <c r="R32" s="81" t="s">
        <v>94</v>
      </c>
      <c r="S32" s="81" t="s">
        <v>94</v>
      </c>
      <c r="T32" s="84">
        <v>46246.0</v>
      </c>
      <c r="U32" s="143"/>
      <c r="V32" s="143"/>
      <c r="W32" s="143"/>
      <c r="X32" s="143"/>
      <c r="Y32" s="143"/>
      <c r="Z32" s="143"/>
    </row>
    <row r="33" ht="13.5" customHeight="1">
      <c r="A33" s="67"/>
      <c r="B33" s="67"/>
      <c r="C33" s="67"/>
      <c r="D33" s="67"/>
      <c r="E33" s="89" t="s">
        <v>3687</v>
      </c>
      <c r="F33" s="70" t="s">
        <v>3688</v>
      </c>
      <c r="G33" s="83" t="s">
        <v>3689</v>
      </c>
      <c r="H33" s="81" t="s">
        <v>88</v>
      </c>
      <c r="I33" s="81" t="s">
        <v>60</v>
      </c>
      <c r="J33" s="83" t="s">
        <v>3690</v>
      </c>
      <c r="K33" s="90"/>
      <c r="L33" s="67"/>
      <c r="M33" s="147"/>
      <c r="N33" s="147"/>
      <c r="O33" s="147"/>
      <c r="P33" s="147"/>
      <c r="Q33" s="89" t="s">
        <v>93</v>
      </c>
      <c r="R33" s="81" t="s">
        <v>94</v>
      </c>
      <c r="S33" s="81" t="s">
        <v>94</v>
      </c>
      <c r="T33" s="84">
        <v>46246.0</v>
      </c>
      <c r="U33" s="143"/>
      <c r="V33" s="143"/>
      <c r="W33" s="143"/>
      <c r="X33" s="143"/>
      <c r="Y33" s="143"/>
      <c r="Z33" s="143"/>
    </row>
    <row r="34" ht="13.5" customHeight="1">
      <c r="A34" s="67"/>
      <c r="B34" s="67"/>
      <c r="C34" s="67"/>
      <c r="D34" s="67"/>
      <c r="E34" s="89" t="s">
        <v>3697</v>
      </c>
      <c r="F34" s="70"/>
      <c r="G34" s="83" t="s">
        <v>3698</v>
      </c>
      <c r="H34" s="81" t="s">
        <v>88</v>
      </c>
      <c r="I34" s="81" t="s">
        <v>60</v>
      </c>
      <c r="J34" s="83" t="s">
        <v>3699</v>
      </c>
      <c r="K34" s="90"/>
      <c r="L34" s="67"/>
      <c r="M34" s="147"/>
      <c r="N34" s="147"/>
      <c r="O34" s="147"/>
      <c r="P34" s="147"/>
      <c r="Q34" s="89" t="s">
        <v>93</v>
      </c>
      <c r="R34" s="81" t="s">
        <v>94</v>
      </c>
      <c r="S34" s="81" t="s">
        <v>94</v>
      </c>
      <c r="T34" s="84">
        <v>46246.0</v>
      </c>
      <c r="U34" s="143"/>
      <c r="V34" s="143"/>
      <c r="W34" s="143"/>
      <c r="X34" s="143"/>
      <c r="Y34" s="143"/>
      <c r="Z34" s="143"/>
    </row>
    <row r="35" ht="13.5" customHeight="1">
      <c r="A35" s="67"/>
      <c r="B35" s="67"/>
      <c r="C35" s="67"/>
      <c r="D35" s="67"/>
      <c r="E35" s="89" t="s">
        <v>3703</v>
      </c>
      <c r="F35" s="70"/>
      <c r="G35" s="83" t="s">
        <v>3704</v>
      </c>
      <c r="H35" s="81" t="s">
        <v>88</v>
      </c>
      <c r="I35" s="81" t="s">
        <v>60</v>
      </c>
      <c r="J35" s="83" t="s">
        <v>3708</v>
      </c>
      <c r="K35" s="90"/>
      <c r="L35" s="67"/>
      <c r="M35" s="147"/>
      <c r="N35" s="147"/>
      <c r="O35" s="147"/>
      <c r="P35" s="147"/>
      <c r="Q35" s="89" t="s">
        <v>93</v>
      </c>
      <c r="R35" s="81" t="s">
        <v>94</v>
      </c>
      <c r="S35" s="81" t="s">
        <v>94</v>
      </c>
      <c r="T35" s="84">
        <v>46246.0</v>
      </c>
      <c r="U35" s="143"/>
      <c r="V35" s="143"/>
      <c r="W35" s="143"/>
      <c r="X35" s="143"/>
      <c r="Y35" s="143"/>
      <c r="Z35" s="143"/>
    </row>
    <row r="36" ht="13.5" customHeight="1">
      <c r="A36" s="67"/>
      <c r="B36" s="67"/>
      <c r="C36" s="67"/>
      <c r="D36" s="67"/>
      <c r="E36" s="89" t="s">
        <v>3711</v>
      </c>
      <c r="F36" s="70"/>
      <c r="G36" s="83" t="s">
        <v>3713</v>
      </c>
      <c r="H36" s="81" t="s">
        <v>88</v>
      </c>
      <c r="I36" s="81" t="s">
        <v>60</v>
      </c>
      <c r="J36" s="83" t="s">
        <v>3715</v>
      </c>
      <c r="K36" s="90"/>
      <c r="L36" s="67"/>
      <c r="M36" s="147"/>
      <c r="N36" s="147"/>
      <c r="O36" s="147"/>
      <c r="P36" s="147"/>
      <c r="Q36" s="89" t="s">
        <v>93</v>
      </c>
      <c r="R36" s="81" t="s">
        <v>94</v>
      </c>
      <c r="S36" s="81" t="s">
        <v>94</v>
      </c>
      <c r="T36" s="84">
        <v>46246.0</v>
      </c>
      <c r="U36" s="143"/>
      <c r="V36" s="143"/>
      <c r="W36" s="143"/>
      <c r="X36" s="143"/>
      <c r="Y36" s="143"/>
      <c r="Z36" s="143"/>
    </row>
    <row r="37" ht="13.5" customHeight="1">
      <c r="A37" s="67"/>
      <c r="B37" s="67"/>
      <c r="C37" s="67"/>
      <c r="D37" s="67"/>
      <c r="E37" s="89" t="s">
        <v>3717</v>
      </c>
      <c r="F37" s="70"/>
      <c r="G37" s="83" t="s">
        <v>3719</v>
      </c>
      <c r="H37" s="81" t="s">
        <v>88</v>
      </c>
      <c r="I37" s="81" t="s">
        <v>60</v>
      </c>
      <c r="J37" s="114" t="s">
        <v>3721</v>
      </c>
      <c r="K37" s="162" t="s">
        <v>3722</v>
      </c>
      <c r="L37" s="67"/>
      <c r="M37" s="147"/>
      <c r="N37" s="147"/>
      <c r="O37" s="147"/>
      <c r="P37" s="147"/>
      <c r="Q37" s="89" t="s">
        <v>93</v>
      </c>
      <c r="R37" s="81" t="s">
        <v>94</v>
      </c>
      <c r="S37" s="81" t="s">
        <v>94</v>
      </c>
      <c r="T37" s="84">
        <v>46255.0</v>
      </c>
      <c r="U37" s="143"/>
      <c r="V37" s="143"/>
      <c r="W37" s="143"/>
      <c r="X37" s="143"/>
      <c r="Y37" s="143"/>
      <c r="Z37" s="143"/>
    </row>
    <row r="38" ht="13.5" customHeight="1">
      <c r="A38" s="67"/>
      <c r="B38" s="67"/>
      <c r="C38" s="67"/>
      <c r="D38" s="67"/>
      <c r="E38" s="89" t="s">
        <v>3726</v>
      </c>
      <c r="F38" s="70"/>
      <c r="G38" s="83" t="s">
        <v>3727</v>
      </c>
      <c r="H38" s="81" t="s">
        <v>88</v>
      </c>
      <c r="I38" s="81" t="s">
        <v>60</v>
      </c>
      <c r="J38" s="83" t="s">
        <v>3728</v>
      </c>
      <c r="K38" s="90"/>
      <c r="L38" s="67"/>
      <c r="M38" s="147"/>
      <c r="N38" s="147"/>
      <c r="O38" s="147"/>
      <c r="P38" s="147"/>
      <c r="Q38" s="89" t="s">
        <v>93</v>
      </c>
      <c r="R38" s="81" t="s">
        <v>94</v>
      </c>
      <c r="S38" s="81" t="s">
        <v>94</v>
      </c>
      <c r="T38" s="84">
        <v>46246.0</v>
      </c>
      <c r="U38" s="143"/>
      <c r="V38" s="143"/>
      <c r="W38" s="143"/>
      <c r="X38" s="143"/>
      <c r="Y38" s="143"/>
      <c r="Z38" s="143"/>
    </row>
    <row r="39" ht="13.5" customHeight="1">
      <c r="A39" s="67"/>
      <c r="B39" s="67"/>
      <c r="C39" s="67"/>
      <c r="D39" s="67"/>
      <c r="E39" s="89" t="s">
        <v>3732</v>
      </c>
      <c r="F39" s="70" t="s">
        <v>3733</v>
      </c>
      <c r="G39" s="83" t="s">
        <v>3734</v>
      </c>
      <c r="H39" s="81" t="s">
        <v>88</v>
      </c>
      <c r="I39" s="81" t="s">
        <v>60</v>
      </c>
      <c r="J39" s="114" t="s">
        <v>3735</v>
      </c>
      <c r="K39" s="162" t="s">
        <v>3722</v>
      </c>
      <c r="L39" s="67"/>
      <c r="M39" s="147"/>
      <c r="N39" s="147"/>
      <c r="O39" s="147"/>
      <c r="P39" s="147"/>
      <c r="Q39" s="89" t="s">
        <v>93</v>
      </c>
      <c r="R39" s="81" t="s">
        <v>94</v>
      </c>
      <c r="S39" s="81" t="s">
        <v>94</v>
      </c>
      <c r="T39" s="84">
        <v>46255.0</v>
      </c>
      <c r="U39" s="143"/>
      <c r="V39" s="143"/>
      <c r="W39" s="143"/>
      <c r="X39" s="143"/>
      <c r="Y39" s="143"/>
      <c r="Z39" s="143"/>
    </row>
    <row r="40" ht="13.5" customHeight="1">
      <c r="A40" s="67"/>
      <c r="B40" s="67"/>
      <c r="C40" s="67"/>
      <c r="D40" s="67"/>
      <c r="E40" s="89" t="s">
        <v>3740</v>
      </c>
      <c r="F40" s="70"/>
      <c r="G40" s="83" t="s">
        <v>3742</v>
      </c>
      <c r="H40" s="81" t="s">
        <v>88</v>
      </c>
      <c r="I40" s="81" t="s">
        <v>60</v>
      </c>
      <c r="J40" s="83" t="s">
        <v>3745</v>
      </c>
      <c r="K40" s="90"/>
      <c r="L40" s="67"/>
      <c r="M40" s="147"/>
      <c r="N40" s="147"/>
      <c r="O40" s="147"/>
      <c r="P40" s="147"/>
      <c r="Q40" s="89" t="s">
        <v>93</v>
      </c>
      <c r="R40" s="81" t="s">
        <v>94</v>
      </c>
      <c r="S40" s="81" t="s">
        <v>94</v>
      </c>
      <c r="T40" s="84">
        <v>46246.0</v>
      </c>
      <c r="U40" s="143"/>
      <c r="V40" s="143"/>
      <c r="W40" s="143"/>
      <c r="X40" s="143"/>
      <c r="Y40" s="143"/>
      <c r="Z40" s="143"/>
    </row>
    <row r="41" ht="13.5" customHeight="1">
      <c r="A41" s="67"/>
      <c r="B41" s="67"/>
      <c r="C41" s="67"/>
      <c r="D41" s="67"/>
      <c r="E41" s="89" t="s">
        <v>3749</v>
      </c>
      <c r="F41" s="70"/>
      <c r="G41" s="83" t="s">
        <v>3751</v>
      </c>
      <c r="H41" s="81" t="s">
        <v>88</v>
      </c>
      <c r="I41" s="81" t="s">
        <v>60</v>
      </c>
      <c r="J41" s="83" t="s">
        <v>3752</v>
      </c>
      <c r="K41" s="90"/>
      <c r="L41" s="67"/>
      <c r="M41" s="147"/>
      <c r="N41" s="147"/>
      <c r="O41" s="147"/>
      <c r="P41" s="147"/>
      <c r="Q41" s="89" t="s">
        <v>93</v>
      </c>
      <c r="R41" s="81" t="s">
        <v>94</v>
      </c>
      <c r="S41" s="81" t="s">
        <v>94</v>
      </c>
      <c r="T41" s="84">
        <v>46246.0</v>
      </c>
      <c r="U41" s="143"/>
      <c r="V41" s="143"/>
      <c r="W41" s="143"/>
      <c r="X41" s="143"/>
      <c r="Y41" s="143"/>
      <c r="Z41" s="143"/>
    </row>
    <row r="42" ht="13.5" customHeight="1">
      <c r="A42" s="67"/>
      <c r="B42" s="67"/>
      <c r="C42" s="67"/>
      <c r="D42" s="67"/>
      <c r="E42" s="89" t="s">
        <v>3757</v>
      </c>
      <c r="F42" s="70"/>
      <c r="G42" s="83" t="s">
        <v>3758</v>
      </c>
      <c r="H42" s="81" t="s">
        <v>88</v>
      </c>
      <c r="I42" s="81" t="s">
        <v>60</v>
      </c>
      <c r="J42" s="83" t="s">
        <v>3759</v>
      </c>
      <c r="K42" s="90"/>
      <c r="L42" s="67"/>
      <c r="M42" s="147"/>
      <c r="N42" s="147"/>
      <c r="O42" s="147"/>
      <c r="P42" s="147"/>
      <c r="Q42" s="89" t="s">
        <v>93</v>
      </c>
      <c r="R42" s="81" t="s">
        <v>94</v>
      </c>
      <c r="S42" s="81" t="s">
        <v>94</v>
      </c>
      <c r="T42" s="84">
        <v>46246.0</v>
      </c>
      <c r="U42" s="143"/>
      <c r="V42" s="143"/>
      <c r="W42" s="143"/>
      <c r="X42" s="143"/>
      <c r="Y42" s="143"/>
      <c r="Z42" s="143"/>
    </row>
    <row r="43" ht="13.5" customHeight="1">
      <c r="A43" s="67"/>
      <c r="B43" s="67"/>
      <c r="C43" s="67"/>
      <c r="D43" s="67"/>
      <c r="E43" s="89" t="s">
        <v>3763</v>
      </c>
      <c r="F43" s="70" t="s">
        <v>3764</v>
      </c>
      <c r="G43" s="83" t="s">
        <v>3765</v>
      </c>
      <c r="H43" s="81" t="s">
        <v>88</v>
      </c>
      <c r="I43" s="81" t="s">
        <v>60</v>
      </c>
      <c r="J43" s="83" t="s">
        <v>3766</v>
      </c>
      <c r="K43" s="90"/>
      <c r="L43" s="67"/>
      <c r="M43" s="85"/>
      <c r="N43" s="85"/>
      <c r="O43" s="85"/>
      <c r="P43" s="85"/>
      <c r="Q43" s="89" t="s">
        <v>93</v>
      </c>
      <c r="R43" s="81" t="s">
        <v>94</v>
      </c>
      <c r="S43" s="81" t="s">
        <v>94</v>
      </c>
      <c r="T43" s="84">
        <v>46246.0</v>
      </c>
      <c r="U43" s="143"/>
      <c r="V43" s="143"/>
      <c r="W43" s="143"/>
      <c r="X43" s="143"/>
      <c r="Y43" s="143"/>
      <c r="Z43" s="143"/>
    </row>
    <row r="44" ht="13.5" customHeight="1">
      <c r="A44" s="67"/>
      <c r="B44" s="67"/>
      <c r="C44" s="67"/>
      <c r="D44" s="67"/>
      <c r="E44" s="89" t="s">
        <v>3773</v>
      </c>
      <c r="F44" s="70"/>
      <c r="G44" s="83" t="s">
        <v>3774</v>
      </c>
      <c r="H44" s="81" t="s">
        <v>88</v>
      </c>
      <c r="I44" s="81" t="s">
        <v>60</v>
      </c>
      <c r="J44" s="83" t="s">
        <v>3775</v>
      </c>
      <c r="K44" s="90"/>
      <c r="L44" s="67"/>
      <c r="M44" s="85"/>
      <c r="N44" s="85"/>
      <c r="O44" s="85"/>
      <c r="P44" s="85"/>
      <c r="Q44" s="89" t="s">
        <v>93</v>
      </c>
      <c r="R44" s="81" t="s">
        <v>94</v>
      </c>
      <c r="S44" s="81" t="s">
        <v>94</v>
      </c>
      <c r="T44" s="84">
        <v>46246.0</v>
      </c>
      <c r="U44" s="143"/>
      <c r="V44" s="143"/>
      <c r="W44" s="143"/>
      <c r="X44" s="143"/>
      <c r="Y44" s="143"/>
      <c r="Z44" s="143"/>
    </row>
    <row r="45" ht="13.5" customHeight="1">
      <c r="A45" s="67"/>
      <c r="B45" s="67"/>
      <c r="C45" s="67"/>
      <c r="D45" s="67"/>
      <c r="E45" s="89" t="s">
        <v>3779</v>
      </c>
      <c r="F45" s="70"/>
      <c r="G45" s="83" t="s">
        <v>3781</v>
      </c>
      <c r="H45" s="81" t="s">
        <v>88</v>
      </c>
      <c r="I45" s="81" t="s">
        <v>60</v>
      </c>
      <c r="J45" s="83" t="s">
        <v>3784</v>
      </c>
      <c r="K45" s="90"/>
      <c r="L45" s="67"/>
      <c r="M45" s="85"/>
      <c r="N45" s="85"/>
      <c r="O45" s="85"/>
      <c r="P45" s="85"/>
      <c r="Q45" s="89" t="s">
        <v>93</v>
      </c>
      <c r="R45" s="81" t="s">
        <v>94</v>
      </c>
      <c r="S45" s="81" t="s">
        <v>94</v>
      </c>
      <c r="T45" s="84">
        <v>46246.0</v>
      </c>
      <c r="U45" s="143"/>
      <c r="V45" s="143"/>
      <c r="W45" s="143"/>
      <c r="X45" s="143"/>
      <c r="Y45" s="143"/>
      <c r="Z45" s="143"/>
    </row>
    <row r="46" ht="13.5" customHeight="1">
      <c r="A46" s="67"/>
      <c r="B46" s="67"/>
      <c r="C46" s="67"/>
      <c r="D46" s="67"/>
      <c r="E46" s="89" t="s">
        <v>3788</v>
      </c>
      <c r="F46" s="70" t="s">
        <v>3789</v>
      </c>
      <c r="G46" s="83" t="s">
        <v>3790</v>
      </c>
      <c r="H46" s="81" t="s">
        <v>88</v>
      </c>
      <c r="I46" s="81" t="s">
        <v>60</v>
      </c>
      <c r="J46" s="83" t="s">
        <v>3791</v>
      </c>
      <c r="K46" s="90"/>
      <c r="L46" s="67"/>
      <c r="M46" s="85"/>
      <c r="N46" s="85"/>
      <c r="O46" s="85"/>
      <c r="P46" s="85"/>
      <c r="Q46" s="89" t="s">
        <v>93</v>
      </c>
      <c r="R46" s="81" t="s">
        <v>94</v>
      </c>
      <c r="S46" s="81" t="s">
        <v>94</v>
      </c>
      <c r="T46" s="84">
        <v>46246.0</v>
      </c>
      <c r="U46" s="143"/>
      <c r="V46" s="143"/>
      <c r="W46" s="143"/>
      <c r="X46" s="143"/>
      <c r="Y46" s="143"/>
      <c r="Z46" s="143"/>
    </row>
    <row r="47" ht="13.5" customHeight="1">
      <c r="A47" s="67"/>
      <c r="B47" s="67"/>
      <c r="C47" s="67"/>
      <c r="D47" s="67"/>
      <c r="E47" s="89" t="s">
        <v>3796</v>
      </c>
      <c r="F47" s="70"/>
      <c r="G47" s="83" t="s">
        <v>3797</v>
      </c>
      <c r="H47" s="81" t="s">
        <v>88</v>
      </c>
      <c r="I47" s="81" t="s">
        <v>60</v>
      </c>
      <c r="J47" s="83" t="s">
        <v>3798</v>
      </c>
      <c r="K47" s="90"/>
      <c r="L47" s="67"/>
      <c r="M47" s="85"/>
      <c r="N47" s="85"/>
      <c r="O47" s="85"/>
      <c r="P47" s="85"/>
      <c r="Q47" s="89" t="s">
        <v>93</v>
      </c>
      <c r="R47" s="81" t="s">
        <v>94</v>
      </c>
      <c r="S47" s="81" t="s">
        <v>94</v>
      </c>
      <c r="T47" s="84">
        <v>46246.0</v>
      </c>
      <c r="U47" s="143"/>
      <c r="V47" s="143"/>
      <c r="W47" s="143"/>
      <c r="X47" s="143"/>
      <c r="Y47" s="143"/>
      <c r="Z47" s="143"/>
    </row>
    <row r="48" ht="45.0" customHeight="1">
      <c r="A48" s="67"/>
      <c r="B48" s="67"/>
      <c r="C48" s="67"/>
      <c r="D48" s="67"/>
      <c r="E48" s="89" t="s">
        <v>3802</v>
      </c>
      <c r="F48" s="70"/>
      <c r="G48" s="83" t="s">
        <v>3803</v>
      </c>
      <c r="H48" s="81" t="s">
        <v>88</v>
      </c>
      <c r="I48" s="81" t="s">
        <v>60</v>
      </c>
      <c r="J48" s="117" t="s">
        <v>3804</v>
      </c>
      <c r="K48" s="90"/>
      <c r="L48" s="67"/>
      <c r="M48" s="85"/>
      <c r="N48" s="85"/>
      <c r="O48" s="85"/>
      <c r="P48" s="85"/>
      <c r="Q48" s="89" t="s">
        <v>93</v>
      </c>
      <c r="R48" s="81" t="s">
        <v>94</v>
      </c>
      <c r="S48" s="81" t="s">
        <v>94</v>
      </c>
      <c r="T48" s="84">
        <v>46246.0</v>
      </c>
      <c r="U48" s="143"/>
      <c r="V48" s="143"/>
      <c r="W48" s="143"/>
      <c r="X48" s="143"/>
      <c r="Y48" s="143"/>
      <c r="Z48" s="143"/>
    </row>
    <row r="49" ht="45.0" customHeight="1">
      <c r="A49" s="67"/>
      <c r="B49" s="67"/>
      <c r="C49" s="67"/>
      <c r="D49" s="67"/>
      <c r="E49" s="89" t="s">
        <v>3805</v>
      </c>
      <c r="F49" s="70" t="s">
        <v>3806</v>
      </c>
      <c r="G49" s="83" t="s">
        <v>3807</v>
      </c>
      <c r="H49" s="81" t="s">
        <v>88</v>
      </c>
      <c r="I49" s="81" t="s">
        <v>60</v>
      </c>
      <c r="J49" s="117" t="s">
        <v>3808</v>
      </c>
      <c r="K49" s="90"/>
      <c r="L49" s="67"/>
      <c r="M49" s="85"/>
      <c r="N49" s="85"/>
      <c r="O49" s="85"/>
      <c r="P49" s="85"/>
      <c r="Q49" s="89" t="s">
        <v>93</v>
      </c>
      <c r="R49" s="81" t="s">
        <v>94</v>
      </c>
      <c r="S49" s="81" t="s">
        <v>94</v>
      </c>
      <c r="T49" s="84">
        <v>46246.0</v>
      </c>
      <c r="U49" s="143"/>
      <c r="V49" s="143"/>
      <c r="W49" s="143"/>
      <c r="X49" s="143"/>
      <c r="Y49" s="143"/>
      <c r="Z49" s="143"/>
    </row>
    <row r="50" ht="45.0" customHeight="1">
      <c r="A50" s="67"/>
      <c r="B50" s="67"/>
      <c r="C50" s="67"/>
      <c r="D50" s="67"/>
      <c r="E50" s="89" t="s">
        <v>3809</v>
      </c>
      <c r="F50" s="70"/>
      <c r="G50" s="83" t="s">
        <v>3810</v>
      </c>
      <c r="H50" s="81" t="s">
        <v>88</v>
      </c>
      <c r="I50" s="81" t="s">
        <v>60</v>
      </c>
      <c r="J50" s="117" t="s">
        <v>3811</v>
      </c>
      <c r="K50" s="90"/>
      <c r="L50" s="67"/>
      <c r="M50" s="85"/>
      <c r="N50" s="85"/>
      <c r="O50" s="85"/>
      <c r="P50" s="85"/>
      <c r="Q50" s="89" t="s">
        <v>93</v>
      </c>
      <c r="R50" s="81" t="s">
        <v>94</v>
      </c>
      <c r="S50" s="81" t="s">
        <v>94</v>
      </c>
      <c r="T50" s="84">
        <v>46246.0</v>
      </c>
      <c r="U50" s="143"/>
      <c r="V50" s="143"/>
      <c r="W50" s="143"/>
      <c r="X50" s="143"/>
      <c r="Y50" s="143"/>
      <c r="Z50" s="143"/>
    </row>
    <row r="51" ht="45.0" customHeight="1">
      <c r="A51" s="67"/>
      <c r="B51" s="67"/>
      <c r="C51" s="67"/>
      <c r="D51" s="67"/>
      <c r="E51" s="89" t="s">
        <v>3812</v>
      </c>
      <c r="F51" s="70"/>
      <c r="G51" s="83" t="s">
        <v>3813</v>
      </c>
      <c r="H51" s="81" t="s">
        <v>88</v>
      </c>
      <c r="I51" s="81" t="s">
        <v>60</v>
      </c>
      <c r="J51" s="117" t="s">
        <v>3814</v>
      </c>
      <c r="K51" s="90"/>
      <c r="L51" s="67"/>
      <c r="M51" s="85"/>
      <c r="N51" s="85"/>
      <c r="O51" s="85"/>
      <c r="P51" s="85"/>
      <c r="Q51" s="89" t="s">
        <v>93</v>
      </c>
      <c r="R51" s="81" t="s">
        <v>94</v>
      </c>
      <c r="S51" s="81" t="s">
        <v>94</v>
      </c>
      <c r="T51" s="84">
        <v>46246.0</v>
      </c>
      <c r="U51" s="143"/>
      <c r="V51" s="143"/>
      <c r="W51" s="143"/>
      <c r="X51" s="143"/>
      <c r="Y51" s="143"/>
      <c r="Z51" s="143"/>
    </row>
    <row r="52" ht="13.5" customHeight="1">
      <c r="A52" s="67"/>
      <c r="B52" s="67"/>
      <c r="C52" s="67"/>
      <c r="D52" s="67"/>
      <c r="E52" s="89" t="s">
        <v>3815</v>
      </c>
      <c r="F52" s="70"/>
      <c r="G52" s="83" t="s">
        <v>3816</v>
      </c>
      <c r="H52" s="81" t="s">
        <v>88</v>
      </c>
      <c r="I52" s="81" t="s">
        <v>60</v>
      </c>
      <c r="J52" s="117" t="s">
        <v>3817</v>
      </c>
      <c r="K52" s="90"/>
      <c r="L52" s="67"/>
      <c r="M52" s="85"/>
      <c r="N52" s="85"/>
      <c r="O52" s="85"/>
      <c r="P52" s="85"/>
      <c r="Q52" s="89" t="s">
        <v>93</v>
      </c>
      <c r="R52" s="81" t="s">
        <v>94</v>
      </c>
      <c r="S52" s="81" t="s">
        <v>94</v>
      </c>
      <c r="T52" s="84">
        <v>46246.0</v>
      </c>
      <c r="U52" s="143"/>
      <c r="V52" s="143"/>
      <c r="W52" s="143"/>
      <c r="X52" s="143"/>
      <c r="Y52" s="143"/>
      <c r="Z52" s="143"/>
    </row>
    <row r="53" ht="13.5" customHeight="1">
      <c r="A53" s="67"/>
      <c r="B53" s="67"/>
      <c r="C53" s="67"/>
      <c r="D53" s="67"/>
      <c r="E53" s="89" t="s">
        <v>3818</v>
      </c>
      <c r="F53" s="70" t="s">
        <v>3819</v>
      </c>
      <c r="G53" s="83" t="s">
        <v>3820</v>
      </c>
      <c r="H53" s="81" t="s">
        <v>88</v>
      </c>
      <c r="I53" s="81" t="s">
        <v>60</v>
      </c>
      <c r="J53" s="117" t="s">
        <v>3821</v>
      </c>
      <c r="K53" s="90"/>
      <c r="L53" s="67"/>
      <c r="M53" s="85"/>
      <c r="N53" s="85"/>
      <c r="O53" s="85"/>
      <c r="P53" s="85"/>
      <c r="Q53" s="89" t="s">
        <v>93</v>
      </c>
      <c r="R53" s="81" t="s">
        <v>94</v>
      </c>
      <c r="S53" s="81" t="s">
        <v>94</v>
      </c>
      <c r="T53" s="84">
        <v>46246.0</v>
      </c>
      <c r="U53" s="143"/>
      <c r="V53" s="143"/>
      <c r="W53" s="143"/>
      <c r="X53" s="143"/>
      <c r="Y53" s="143"/>
      <c r="Z53" s="143"/>
    </row>
    <row r="54" ht="45.0" customHeight="1">
      <c r="A54" s="67"/>
      <c r="B54" s="67"/>
      <c r="C54" s="67"/>
      <c r="D54" s="67"/>
      <c r="E54" s="89" t="s">
        <v>3822</v>
      </c>
      <c r="F54" s="70"/>
      <c r="G54" s="83" t="s">
        <v>3823</v>
      </c>
      <c r="H54" s="81" t="s">
        <v>88</v>
      </c>
      <c r="I54" s="81" t="s">
        <v>60</v>
      </c>
      <c r="J54" s="117" t="s">
        <v>3824</v>
      </c>
      <c r="K54" s="90"/>
      <c r="L54" s="67"/>
      <c r="M54" s="85"/>
      <c r="N54" s="85"/>
      <c r="O54" s="85"/>
      <c r="P54" s="85"/>
      <c r="Q54" s="89" t="s">
        <v>93</v>
      </c>
      <c r="R54" s="81" t="s">
        <v>94</v>
      </c>
      <c r="S54" s="81" t="s">
        <v>94</v>
      </c>
      <c r="T54" s="84">
        <v>46246.0</v>
      </c>
      <c r="U54" s="143"/>
      <c r="V54" s="143"/>
      <c r="W54" s="143"/>
      <c r="X54" s="143"/>
      <c r="Y54" s="143"/>
      <c r="Z54" s="143"/>
    </row>
    <row r="55" ht="45.0" customHeight="1">
      <c r="A55" s="67"/>
      <c r="B55" s="67"/>
      <c r="C55" s="67"/>
      <c r="D55" s="67"/>
      <c r="E55" s="89" t="s">
        <v>3825</v>
      </c>
      <c r="F55" s="70"/>
      <c r="G55" s="83" t="s">
        <v>3826</v>
      </c>
      <c r="H55" s="81" t="s">
        <v>88</v>
      </c>
      <c r="I55" s="81" t="s">
        <v>60</v>
      </c>
      <c r="J55" s="117" t="s">
        <v>3827</v>
      </c>
      <c r="K55" s="90"/>
      <c r="L55" s="67"/>
      <c r="M55" s="85"/>
      <c r="N55" s="85"/>
      <c r="O55" s="85"/>
      <c r="P55" s="85"/>
      <c r="Q55" s="89" t="s">
        <v>93</v>
      </c>
      <c r="R55" s="81" t="s">
        <v>94</v>
      </c>
      <c r="S55" s="81" t="s">
        <v>94</v>
      </c>
      <c r="T55" s="84">
        <v>46246.0</v>
      </c>
      <c r="U55" s="143"/>
      <c r="V55" s="143"/>
      <c r="W55" s="143"/>
      <c r="X55" s="143"/>
      <c r="Y55" s="143"/>
      <c r="Z55" s="143"/>
    </row>
    <row r="56" ht="45.0" customHeight="1">
      <c r="A56" s="67"/>
      <c r="B56" s="67"/>
      <c r="C56" s="67"/>
      <c r="D56" s="67"/>
      <c r="E56" s="89" t="s">
        <v>3828</v>
      </c>
      <c r="F56" s="70" t="s">
        <v>3829</v>
      </c>
      <c r="G56" s="83" t="s">
        <v>3830</v>
      </c>
      <c r="H56" s="81" t="s">
        <v>88</v>
      </c>
      <c r="I56" s="81" t="s">
        <v>60</v>
      </c>
      <c r="J56" s="117" t="s">
        <v>3831</v>
      </c>
      <c r="K56" s="90"/>
      <c r="L56" s="67"/>
      <c r="M56" s="85"/>
      <c r="N56" s="85"/>
      <c r="O56" s="85"/>
      <c r="P56" s="85"/>
      <c r="Q56" s="89" t="s">
        <v>93</v>
      </c>
      <c r="R56" s="81" t="s">
        <v>94</v>
      </c>
      <c r="S56" s="81" t="s">
        <v>94</v>
      </c>
      <c r="T56" s="84">
        <v>46246.0</v>
      </c>
      <c r="U56" s="143"/>
      <c r="V56" s="143"/>
      <c r="W56" s="143"/>
      <c r="X56" s="143"/>
      <c r="Y56" s="143"/>
      <c r="Z56" s="143"/>
    </row>
    <row r="57" ht="45.0" customHeight="1">
      <c r="A57" s="67"/>
      <c r="B57" s="67"/>
      <c r="C57" s="67"/>
      <c r="D57" s="67"/>
      <c r="E57" s="89" t="s">
        <v>3832</v>
      </c>
      <c r="F57" s="70"/>
      <c r="G57" s="83" t="s">
        <v>3833</v>
      </c>
      <c r="H57" s="81" t="s">
        <v>88</v>
      </c>
      <c r="I57" s="81" t="s">
        <v>60</v>
      </c>
      <c r="J57" s="117" t="s">
        <v>3834</v>
      </c>
      <c r="K57" s="90"/>
      <c r="L57" s="67"/>
      <c r="M57" s="85"/>
      <c r="N57" s="85"/>
      <c r="O57" s="85"/>
      <c r="P57" s="85"/>
      <c r="Q57" s="89" t="s">
        <v>93</v>
      </c>
      <c r="R57" s="81" t="s">
        <v>94</v>
      </c>
      <c r="S57" s="81" t="s">
        <v>94</v>
      </c>
      <c r="T57" s="84">
        <v>46246.0</v>
      </c>
      <c r="U57" s="143"/>
      <c r="V57" s="143"/>
      <c r="W57" s="143"/>
      <c r="X57" s="143"/>
      <c r="Y57" s="143"/>
      <c r="Z57" s="143"/>
    </row>
    <row r="58" ht="45.0" customHeight="1">
      <c r="A58" s="67"/>
      <c r="B58" s="67"/>
      <c r="C58" s="67"/>
      <c r="D58" s="67"/>
      <c r="E58" s="89" t="s">
        <v>3835</v>
      </c>
      <c r="F58" s="70"/>
      <c r="G58" s="83" t="s">
        <v>3836</v>
      </c>
      <c r="H58" s="81" t="s">
        <v>88</v>
      </c>
      <c r="I58" s="81" t="s">
        <v>60</v>
      </c>
      <c r="J58" s="117" t="s">
        <v>3837</v>
      </c>
      <c r="K58" s="90"/>
      <c r="L58" s="67"/>
      <c r="M58" s="85"/>
      <c r="N58" s="85"/>
      <c r="O58" s="85"/>
      <c r="P58" s="85"/>
      <c r="Q58" s="89" t="s">
        <v>93</v>
      </c>
      <c r="R58" s="81" t="s">
        <v>94</v>
      </c>
      <c r="S58" s="81" t="s">
        <v>94</v>
      </c>
      <c r="T58" s="84">
        <v>46246.0</v>
      </c>
      <c r="U58" s="143"/>
      <c r="V58" s="143"/>
      <c r="W58" s="143"/>
      <c r="X58" s="143"/>
      <c r="Y58" s="143"/>
      <c r="Z58" s="143"/>
    </row>
    <row r="59" ht="45.0" customHeight="1">
      <c r="A59" s="77"/>
      <c r="B59" s="77"/>
      <c r="C59" s="77"/>
      <c r="D59" s="77"/>
      <c r="E59" s="89" t="s">
        <v>3838</v>
      </c>
      <c r="F59" s="70"/>
      <c r="G59" s="83" t="s">
        <v>3839</v>
      </c>
      <c r="H59" s="81" t="s">
        <v>88</v>
      </c>
      <c r="I59" s="81" t="s">
        <v>60</v>
      </c>
      <c r="J59" s="117" t="s">
        <v>3840</v>
      </c>
      <c r="K59" s="90"/>
      <c r="L59" s="77"/>
      <c r="M59" s="85"/>
      <c r="N59" s="85"/>
      <c r="O59" s="85"/>
      <c r="P59" s="85"/>
      <c r="Q59" s="89" t="s">
        <v>93</v>
      </c>
      <c r="R59" s="81" t="s">
        <v>94</v>
      </c>
      <c r="S59" s="81" t="s">
        <v>94</v>
      </c>
      <c r="T59" s="84">
        <v>46246.0</v>
      </c>
      <c r="U59" s="143"/>
      <c r="V59" s="143"/>
      <c r="W59" s="143"/>
      <c r="X59" s="143"/>
      <c r="Y59" s="143"/>
      <c r="Z59" s="143"/>
    </row>
    <row r="60" ht="13.5" customHeight="1">
      <c r="A60" s="59" t="s">
        <v>3495</v>
      </c>
      <c r="B60" s="59" t="s">
        <v>904</v>
      </c>
      <c r="C60" s="60" t="s">
        <v>906</v>
      </c>
      <c r="D60" s="60" t="s">
        <v>3841</v>
      </c>
      <c r="E60" s="61" t="s">
        <v>3842</v>
      </c>
      <c r="F60" s="62" t="s">
        <v>3843</v>
      </c>
      <c r="G60" s="63" t="s">
        <v>3844</v>
      </c>
      <c r="H60" s="61" t="s">
        <v>88</v>
      </c>
      <c r="I60" s="61" t="s">
        <v>60</v>
      </c>
      <c r="J60" s="63" t="s">
        <v>3845</v>
      </c>
      <c r="K60" s="90"/>
      <c r="L60" s="60" t="s">
        <v>3846</v>
      </c>
      <c r="M60" s="61"/>
      <c r="N60" s="61"/>
      <c r="O60" s="61"/>
      <c r="P60" s="61"/>
      <c r="Q60" s="61" t="s">
        <v>93</v>
      </c>
      <c r="R60" s="61" t="s">
        <v>94</v>
      </c>
      <c r="S60" s="61" t="s">
        <v>94</v>
      </c>
      <c r="T60" s="66">
        <v>46246.0</v>
      </c>
      <c r="U60" s="143"/>
      <c r="V60" s="143"/>
      <c r="W60" s="143"/>
      <c r="X60" s="143"/>
      <c r="Y60" s="143"/>
      <c r="Z60" s="143"/>
    </row>
    <row r="61" ht="13.5" customHeight="1">
      <c r="A61" s="67"/>
      <c r="B61" s="67"/>
      <c r="C61" s="67"/>
      <c r="D61" s="67"/>
      <c r="E61" s="61" t="s">
        <v>3847</v>
      </c>
      <c r="F61" s="62"/>
      <c r="G61" s="63" t="s">
        <v>3848</v>
      </c>
      <c r="H61" s="61" t="s">
        <v>88</v>
      </c>
      <c r="I61" s="61" t="s">
        <v>3849</v>
      </c>
      <c r="J61" s="63" t="s">
        <v>3850</v>
      </c>
      <c r="K61" s="90"/>
      <c r="L61" s="67"/>
      <c r="M61" s="61"/>
      <c r="N61" s="61"/>
      <c r="O61" s="61"/>
      <c r="P61" s="61"/>
      <c r="Q61" s="61" t="s">
        <v>93</v>
      </c>
      <c r="R61" s="61" t="s">
        <v>94</v>
      </c>
      <c r="S61" s="61" t="s">
        <v>94</v>
      </c>
      <c r="T61" s="66">
        <v>46246.0</v>
      </c>
      <c r="U61" s="143"/>
      <c r="V61" s="143"/>
      <c r="W61" s="143"/>
      <c r="X61" s="143"/>
      <c r="Y61" s="143"/>
      <c r="Z61" s="143"/>
    </row>
    <row r="62" ht="13.5" customHeight="1">
      <c r="A62" s="67"/>
      <c r="B62" s="67"/>
      <c r="C62" s="67"/>
      <c r="D62" s="67"/>
      <c r="E62" s="61" t="s">
        <v>3851</v>
      </c>
      <c r="F62" s="62" t="s">
        <v>3852</v>
      </c>
      <c r="G62" s="63" t="s">
        <v>3853</v>
      </c>
      <c r="H62" s="61" t="s">
        <v>88</v>
      </c>
      <c r="I62" s="61" t="s">
        <v>3854</v>
      </c>
      <c r="J62" s="63" t="s">
        <v>3855</v>
      </c>
      <c r="K62" s="90"/>
      <c r="L62" s="67"/>
      <c r="M62" s="61"/>
      <c r="N62" s="61"/>
      <c r="O62" s="61"/>
      <c r="P62" s="61"/>
      <c r="Q62" s="61" t="s">
        <v>93</v>
      </c>
      <c r="R62" s="61" t="s">
        <v>94</v>
      </c>
      <c r="S62" s="61" t="s">
        <v>94</v>
      </c>
      <c r="T62" s="66">
        <v>46246.0</v>
      </c>
      <c r="U62" s="143"/>
      <c r="V62" s="143"/>
      <c r="W62" s="143"/>
      <c r="X62" s="143"/>
      <c r="Y62" s="143"/>
      <c r="Z62" s="143"/>
    </row>
    <row r="63" ht="13.5" customHeight="1">
      <c r="A63" s="67"/>
      <c r="B63" s="67"/>
      <c r="C63" s="67"/>
      <c r="D63" s="67"/>
      <c r="E63" s="61" t="s">
        <v>3856</v>
      </c>
      <c r="F63" s="62"/>
      <c r="G63" s="63" t="s">
        <v>3857</v>
      </c>
      <c r="H63" s="61" t="s">
        <v>88</v>
      </c>
      <c r="I63" s="61" t="s">
        <v>3854</v>
      </c>
      <c r="J63" s="63" t="s">
        <v>3858</v>
      </c>
      <c r="K63" s="90"/>
      <c r="L63" s="67"/>
      <c r="M63" s="61"/>
      <c r="N63" s="61"/>
      <c r="O63" s="61"/>
      <c r="P63" s="61"/>
      <c r="Q63" s="61" t="s">
        <v>93</v>
      </c>
      <c r="R63" s="61" t="s">
        <v>94</v>
      </c>
      <c r="S63" s="61" t="s">
        <v>94</v>
      </c>
      <c r="T63" s="66">
        <v>46246.0</v>
      </c>
      <c r="U63" s="143"/>
      <c r="V63" s="143"/>
      <c r="W63" s="143"/>
      <c r="X63" s="143"/>
      <c r="Y63" s="143"/>
      <c r="Z63" s="143"/>
    </row>
    <row r="64" ht="13.5" customHeight="1">
      <c r="A64" s="67"/>
      <c r="B64" s="67"/>
      <c r="C64" s="67"/>
      <c r="D64" s="67"/>
      <c r="E64" s="61" t="s">
        <v>3859</v>
      </c>
      <c r="F64" s="62" t="s">
        <v>3860</v>
      </c>
      <c r="G64" s="63" t="s">
        <v>3861</v>
      </c>
      <c r="H64" s="61" t="s">
        <v>88</v>
      </c>
      <c r="I64" s="61" t="s">
        <v>3854</v>
      </c>
      <c r="J64" s="63" t="s">
        <v>3862</v>
      </c>
      <c r="K64" s="90"/>
      <c r="L64" s="67"/>
      <c r="M64" s="61"/>
      <c r="N64" s="61"/>
      <c r="O64" s="61"/>
      <c r="P64" s="61"/>
      <c r="Q64" s="61" t="s">
        <v>93</v>
      </c>
      <c r="R64" s="61" t="s">
        <v>94</v>
      </c>
      <c r="S64" s="61" t="s">
        <v>94</v>
      </c>
      <c r="T64" s="66">
        <v>46246.0</v>
      </c>
      <c r="U64" s="143"/>
      <c r="V64" s="143"/>
      <c r="W64" s="143"/>
      <c r="X64" s="143"/>
      <c r="Y64" s="143"/>
      <c r="Z64" s="143"/>
    </row>
    <row r="65" ht="13.5" customHeight="1">
      <c r="A65" s="67"/>
      <c r="B65" s="67"/>
      <c r="C65" s="67"/>
      <c r="D65" s="67"/>
      <c r="E65" s="61" t="s">
        <v>3863</v>
      </c>
      <c r="F65" s="62"/>
      <c r="G65" s="63" t="s">
        <v>3864</v>
      </c>
      <c r="H65" s="61" t="s">
        <v>88</v>
      </c>
      <c r="I65" s="61" t="s">
        <v>60</v>
      </c>
      <c r="J65" s="63" t="s">
        <v>3865</v>
      </c>
      <c r="K65" s="90"/>
      <c r="L65" s="67"/>
      <c r="M65" s="61"/>
      <c r="N65" s="61"/>
      <c r="O65" s="61"/>
      <c r="P65" s="61"/>
      <c r="Q65" s="61" t="s">
        <v>93</v>
      </c>
      <c r="R65" s="61" t="s">
        <v>94</v>
      </c>
      <c r="S65" s="61" t="s">
        <v>94</v>
      </c>
      <c r="T65" s="66">
        <v>46246.0</v>
      </c>
      <c r="U65" s="143"/>
      <c r="V65" s="143"/>
      <c r="W65" s="143"/>
      <c r="X65" s="143"/>
      <c r="Y65" s="143"/>
      <c r="Z65" s="143"/>
    </row>
    <row r="66" ht="13.5" customHeight="1">
      <c r="A66" s="67"/>
      <c r="B66" s="67"/>
      <c r="C66" s="67"/>
      <c r="D66" s="67"/>
      <c r="E66" s="61" t="s">
        <v>3866</v>
      </c>
      <c r="F66" s="62"/>
      <c r="G66" s="63" t="s">
        <v>3867</v>
      </c>
      <c r="H66" s="61" t="s">
        <v>88</v>
      </c>
      <c r="I66" s="61" t="s">
        <v>3854</v>
      </c>
      <c r="J66" s="63" t="s">
        <v>3868</v>
      </c>
      <c r="K66" s="90"/>
      <c r="L66" s="67"/>
      <c r="M66" s="61"/>
      <c r="N66" s="61"/>
      <c r="O66" s="61"/>
      <c r="P66" s="61"/>
      <c r="Q66" s="61" t="s">
        <v>93</v>
      </c>
      <c r="R66" s="61" t="s">
        <v>94</v>
      </c>
      <c r="S66" s="61" t="s">
        <v>94</v>
      </c>
      <c r="T66" s="66">
        <v>46246.0</v>
      </c>
      <c r="U66" s="143"/>
      <c r="V66" s="143"/>
      <c r="W66" s="143"/>
      <c r="X66" s="143"/>
      <c r="Y66" s="143"/>
      <c r="Z66" s="143"/>
    </row>
    <row r="67" ht="13.5" customHeight="1">
      <c r="A67" s="67"/>
      <c r="B67" s="67"/>
      <c r="C67" s="67"/>
      <c r="D67" s="67"/>
      <c r="E67" s="61" t="s">
        <v>3869</v>
      </c>
      <c r="F67" s="62" t="s">
        <v>2053</v>
      </c>
      <c r="G67" s="63" t="s">
        <v>3870</v>
      </c>
      <c r="H67" s="61" t="s">
        <v>88</v>
      </c>
      <c r="I67" s="61" t="s">
        <v>3854</v>
      </c>
      <c r="J67" s="63" t="s">
        <v>3871</v>
      </c>
      <c r="K67" s="90"/>
      <c r="L67" s="67"/>
      <c r="M67" s="61"/>
      <c r="N67" s="61"/>
      <c r="O67" s="61"/>
      <c r="P67" s="61"/>
      <c r="Q67" s="61" t="s">
        <v>93</v>
      </c>
      <c r="R67" s="61" t="s">
        <v>94</v>
      </c>
      <c r="S67" s="61" t="s">
        <v>94</v>
      </c>
      <c r="T67" s="66">
        <v>46246.0</v>
      </c>
      <c r="U67" s="143"/>
      <c r="V67" s="143"/>
      <c r="W67" s="143"/>
      <c r="X67" s="143"/>
      <c r="Y67" s="143"/>
      <c r="Z67" s="143"/>
    </row>
    <row r="68" ht="13.5" customHeight="1">
      <c r="A68" s="77"/>
      <c r="B68" s="77"/>
      <c r="C68" s="77"/>
      <c r="D68" s="77"/>
      <c r="E68" s="61" t="s">
        <v>3872</v>
      </c>
      <c r="F68" s="62"/>
      <c r="G68" s="63" t="s">
        <v>3873</v>
      </c>
      <c r="H68" s="61" t="s">
        <v>88</v>
      </c>
      <c r="I68" s="61" t="s">
        <v>60</v>
      </c>
      <c r="J68" s="63" t="s">
        <v>3874</v>
      </c>
      <c r="K68" s="90"/>
      <c r="L68" s="77"/>
      <c r="M68" s="61"/>
      <c r="N68" s="61"/>
      <c r="O68" s="61"/>
      <c r="P68" s="61"/>
      <c r="Q68" s="61" t="s">
        <v>93</v>
      </c>
      <c r="R68" s="61" t="s">
        <v>94</v>
      </c>
      <c r="S68" s="61" t="s">
        <v>94</v>
      </c>
      <c r="T68" s="66">
        <v>46246.0</v>
      </c>
      <c r="U68" s="143"/>
      <c r="V68" s="143"/>
      <c r="W68" s="143"/>
      <c r="X68" s="143"/>
      <c r="Y68" s="143"/>
      <c r="Z68" s="143"/>
    </row>
    <row r="69" ht="13.5" customHeight="1">
      <c r="A69" s="78" t="s">
        <v>3495</v>
      </c>
      <c r="B69" s="78" t="s">
        <v>910</v>
      </c>
      <c r="C69" s="79" t="s">
        <v>3875</v>
      </c>
      <c r="D69" s="79" t="s">
        <v>3876</v>
      </c>
      <c r="E69" s="89" t="s">
        <v>3877</v>
      </c>
      <c r="F69" s="70" t="s">
        <v>3878</v>
      </c>
      <c r="G69" s="83" t="s">
        <v>3879</v>
      </c>
      <c r="H69" s="81" t="s">
        <v>88</v>
      </c>
      <c r="I69" s="81" t="s">
        <v>2899</v>
      </c>
      <c r="J69" s="83" t="s">
        <v>3880</v>
      </c>
      <c r="K69" s="90"/>
      <c r="L69" s="79" t="s">
        <v>3881</v>
      </c>
      <c r="M69" s="85"/>
      <c r="N69" s="85"/>
      <c r="O69" s="85"/>
      <c r="P69" s="85"/>
      <c r="Q69" s="89" t="s">
        <v>93</v>
      </c>
      <c r="R69" s="81" t="s">
        <v>94</v>
      </c>
      <c r="S69" s="81" t="s">
        <v>94</v>
      </c>
      <c r="T69" s="84">
        <v>46246.0</v>
      </c>
      <c r="U69" s="143"/>
      <c r="V69" s="143"/>
      <c r="W69" s="143"/>
      <c r="X69" s="143"/>
      <c r="Y69" s="143"/>
      <c r="Z69" s="143"/>
    </row>
    <row r="70" ht="13.5" customHeight="1">
      <c r="A70" s="67"/>
      <c r="B70" s="67"/>
      <c r="C70" s="67"/>
      <c r="D70" s="67"/>
      <c r="E70" s="89" t="s">
        <v>3882</v>
      </c>
      <c r="F70" s="70"/>
      <c r="G70" s="83" t="s">
        <v>3883</v>
      </c>
      <c r="H70" s="81" t="s">
        <v>88</v>
      </c>
      <c r="I70" s="81" t="s">
        <v>2899</v>
      </c>
      <c r="J70" s="83" t="s">
        <v>3884</v>
      </c>
      <c r="K70" s="90"/>
      <c r="L70" s="67"/>
      <c r="M70" s="85"/>
      <c r="N70" s="85"/>
      <c r="O70" s="85"/>
      <c r="P70" s="85"/>
      <c r="Q70" s="89" t="s">
        <v>93</v>
      </c>
      <c r="R70" s="81" t="s">
        <v>94</v>
      </c>
      <c r="S70" s="81" t="s">
        <v>94</v>
      </c>
      <c r="T70" s="84">
        <v>46246.0</v>
      </c>
      <c r="U70" s="143"/>
      <c r="V70" s="143"/>
      <c r="W70" s="143"/>
      <c r="X70" s="143"/>
      <c r="Y70" s="143"/>
      <c r="Z70" s="143"/>
    </row>
    <row r="71" ht="13.5" customHeight="1">
      <c r="A71" s="67"/>
      <c r="B71" s="67"/>
      <c r="C71" s="67"/>
      <c r="D71" s="67"/>
      <c r="E71" s="89" t="s">
        <v>3885</v>
      </c>
      <c r="F71" s="70" t="s">
        <v>3886</v>
      </c>
      <c r="G71" s="83" t="s">
        <v>3887</v>
      </c>
      <c r="H71" s="81" t="s">
        <v>88</v>
      </c>
      <c r="I71" s="81" t="s">
        <v>2899</v>
      </c>
      <c r="J71" s="83" t="s">
        <v>3888</v>
      </c>
      <c r="K71" s="90"/>
      <c r="L71" s="67"/>
      <c r="M71" s="85"/>
      <c r="N71" s="85"/>
      <c r="O71" s="85"/>
      <c r="P71" s="85"/>
      <c r="Q71" s="89" t="s">
        <v>93</v>
      </c>
      <c r="R71" s="81" t="s">
        <v>94</v>
      </c>
      <c r="S71" s="81" t="s">
        <v>94</v>
      </c>
      <c r="T71" s="84">
        <v>46246.0</v>
      </c>
      <c r="U71" s="143"/>
      <c r="V71" s="143"/>
      <c r="W71" s="143"/>
      <c r="X71" s="143"/>
      <c r="Y71" s="143"/>
      <c r="Z71" s="143"/>
    </row>
    <row r="72" ht="13.5" customHeight="1">
      <c r="A72" s="67"/>
      <c r="B72" s="67"/>
      <c r="C72" s="67"/>
      <c r="D72" s="67"/>
      <c r="E72" s="89" t="s">
        <v>3889</v>
      </c>
      <c r="F72" s="70"/>
      <c r="G72" s="83" t="s">
        <v>3890</v>
      </c>
      <c r="H72" s="81" t="s">
        <v>88</v>
      </c>
      <c r="I72" s="81" t="s">
        <v>2899</v>
      </c>
      <c r="J72" s="83" t="s">
        <v>3891</v>
      </c>
      <c r="K72" s="90"/>
      <c r="L72" s="67"/>
      <c r="M72" s="85"/>
      <c r="N72" s="85"/>
      <c r="O72" s="85"/>
      <c r="P72" s="85"/>
      <c r="Q72" s="89" t="s">
        <v>93</v>
      </c>
      <c r="R72" s="81" t="s">
        <v>94</v>
      </c>
      <c r="S72" s="81" t="s">
        <v>94</v>
      </c>
      <c r="T72" s="84">
        <v>46246.0</v>
      </c>
      <c r="U72" s="143"/>
      <c r="V72" s="143"/>
      <c r="W72" s="143"/>
      <c r="X72" s="143"/>
      <c r="Y72" s="143"/>
      <c r="Z72" s="143"/>
    </row>
    <row r="73" ht="45.0" customHeight="1">
      <c r="A73" s="67"/>
      <c r="B73" s="67"/>
      <c r="C73" s="67"/>
      <c r="D73" s="67"/>
      <c r="E73" s="89" t="s">
        <v>3892</v>
      </c>
      <c r="F73" s="70" t="s">
        <v>3893</v>
      </c>
      <c r="G73" s="83" t="s">
        <v>3894</v>
      </c>
      <c r="H73" s="81" t="s">
        <v>88</v>
      </c>
      <c r="I73" s="81" t="s">
        <v>2899</v>
      </c>
      <c r="J73" s="117" t="s">
        <v>3895</v>
      </c>
      <c r="K73" s="90"/>
      <c r="L73" s="67"/>
      <c r="M73" s="85"/>
      <c r="N73" s="85"/>
      <c r="O73" s="85"/>
      <c r="P73" s="85"/>
      <c r="Q73" s="89" t="s">
        <v>93</v>
      </c>
      <c r="R73" s="81" t="s">
        <v>94</v>
      </c>
      <c r="S73" s="81" t="s">
        <v>94</v>
      </c>
      <c r="T73" s="84">
        <v>46246.0</v>
      </c>
      <c r="U73" s="143"/>
      <c r="V73" s="143"/>
      <c r="W73" s="143"/>
      <c r="X73" s="143"/>
      <c r="Y73" s="143"/>
      <c r="Z73" s="143"/>
    </row>
    <row r="74" ht="45.0" customHeight="1">
      <c r="A74" s="67"/>
      <c r="B74" s="67"/>
      <c r="C74" s="67"/>
      <c r="D74" s="67"/>
      <c r="E74" s="89" t="s">
        <v>3896</v>
      </c>
      <c r="F74" s="70"/>
      <c r="G74" s="83" t="s">
        <v>3897</v>
      </c>
      <c r="H74" s="81" t="s">
        <v>88</v>
      </c>
      <c r="I74" s="81" t="s">
        <v>2899</v>
      </c>
      <c r="J74" s="117" t="s">
        <v>3898</v>
      </c>
      <c r="K74" s="90"/>
      <c r="L74" s="67"/>
      <c r="M74" s="85"/>
      <c r="N74" s="85"/>
      <c r="O74" s="85"/>
      <c r="P74" s="85"/>
      <c r="Q74" s="89" t="s">
        <v>93</v>
      </c>
      <c r="R74" s="81" t="s">
        <v>94</v>
      </c>
      <c r="S74" s="81" t="s">
        <v>94</v>
      </c>
      <c r="T74" s="84">
        <v>46246.0</v>
      </c>
      <c r="U74" s="143"/>
      <c r="V74" s="143"/>
      <c r="W74" s="143"/>
      <c r="X74" s="143"/>
      <c r="Y74" s="143"/>
      <c r="Z74" s="143"/>
    </row>
    <row r="75" ht="45.0" customHeight="1">
      <c r="A75" s="67"/>
      <c r="B75" s="67"/>
      <c r="C75" s="67"/>
      <c r="D75" s="67"/>
      <c r="E75" s="89" t="s">
        <v>3899</v>
      </c>
      <c r="F75" s="70"/>
      <c r="G75" s="83" t="s">
        <v>3900</v>
      </c>
      <c r="H75" s="81" t="s">
        <v>88</v>
      </c>
      <c r="I75" s="81" t="s">
        <v>2899</v>
      </c>
      <c r="J75" s="117" t="s">
        <v>3901</v>
      </c>
      <c r="K75" s="90"/>
      <c r="L75" s="67"/>
      <c r="M75" s="85"/>
      <c r="N75" s="85"/>
      <c r="O75" s="85"/>
      <c r="P75" s="85"/>
      <c r="Q75" s="89" t="s">
        <v>93</v>
      </c>
      <c r="R75" s="81" t="s">
        <v>94</v>
      </c>
      <c r="S75" s="81" t="s">
        <v>94</v>
      </c>
      <c r="T75" s="84">
        <v>46246.0</v>
      </c>
      <c r="U75" s="143"/>
      <c r="V75" s="143"/>
      <c r="W75" s="143"/>
      <c r="X75" s="143"/>
      <c r="Y75" s="143"/>
      <c r="Z75" s="143"/>
    </row>
    <row r="76" ht="45.0" customHeight="1">
      <c r="A76" s="67"/>
      <c r="B76" s="67"/>
      <c r="C76" s="67"/>
      <c r="D76" s="67"/>
      <c r="E76" s="89" t="s">
        <v>3902</v>
      </c>
      <c r="F76" s="70"/>
      <c r="G76" s="83" t="s">
        <v>3903</v>
      </c>
      <c r="H76" s="81" t="s">
        <v>88</v>
      </c>
      <c r="I76" s="81" t="s">
        <v>2899</v>
      </c>
      <c r="J76" s="117" t="s">
        <v>3904</v>
      </c>
      <c r="K76" s="90"/>
      <c r="L76" s="67"/>
      <c r="M76" s="85"/>
      <c r="N76" s="85"/>
      <c r="O76" s="85"/>
      <c r="P76" s="85"/>
      <c r="Q76" s="89" t="s">
        <v>93</v>
      </c>
      <c r="R76" s="81" t="s">
        <v>94</v>
      </c>
      <c r="S76" s="81" t="s">
        <v>94</v>
      </c>
      <c r="T76" s="84">
        <v>46246.0</v>
      </c>
      <c r="U76" s="143"/>
      <c r="V76" s="143"/>
      <c r="W76" s="143"/>
      <c r="X76" s="143"/>
      <c r="Y76" s="143"/>
      <c r="Z76" s="143"/>
    </row>
    <row r="77" ht="13.5" customHeight="1">
      <c r="A77" s="67"/>
      <c r="B77" s="67"/>
      <c r="C77" s="67"/>
      <c r="D77" s="67"/>
      <c r="E77" s="89" t="s">
        <v>3905</v>
      </c>
      <c r="F77" s="70" t="s">
        <v>3906</v>
      </c>
      <c r="G77" s="83" t="s">
        <v>3907</v>
      </c>
      <c r="H77" s="81" t="s">
        <v>88</v>
      </c>
      <c r="I77" s="81" t="s">
        <v>2899</v>
      </c>
      <c r="J77" s="117" t="s">
        <v>3908</v>
      </c>
      <c r="K77" s="90"/>
      <c r="L77" s="67"/>
      <c r="M77" s="85"/>
      <c r="N77" s="85"/>
      <c r="O77" s="85"/>
      <c r="P77" s="85"/>
      <c r="Q77" s="89" t="s">
        <v>93</v>
      </c>
      <c r="R77" s="81" t="s">
        <v>94</v>
      </c>
      <c r="S77" s="81" t="s">
        <v>94</v>
      </c>
      <c r="T77" s="84">
        <v>46246.0</v>
      </c>
      <c r="U77" s="143"/>
      <c r="V77" s="143"/>
      <c r="W77" s="143"/>
      <c r="X77" s="143"/>
      <c r="Y77" s="143"/>
      <c r="Z77" s="143"/>
    </row>
    <row r="78" ht="45.0" customHeight="1">
      <c r="A78" s="67"/>
      <c r="B78" s="67"/>
      <c r="C78" s="67"/>
      <c r="D78" s="67"/>
      <c r="E78" s="89" t="s">
        <v>3909</v>
      </c>
      <c r="F78" s="70"/>
      <c r="G78" s="83" t="s">
        <v>3910</v>
      </c>
      <c r="H78" s="81" t="s">
        <v>88</v>
      </c>
      <c r="I78" s="81" t="s">
        <v>2899</v>
      </c>
      <c r="J78" s="117" t="s">
        <v>3911</v>
      </c>
      <c r="K78" s="90"/>
      <c r="L78" s="67"/>
      <c r="M78" s="85"/>
      <c r="N78" s="85"/>
      <c r="O78" s="85"/>
      <c r="P78" s="85"/>
      <c r="Q78" s="89" t="s">
        <v>93</v>
      </c>
      <c r="R78" s="81" t="s">
        <v>94</v>
      </c>
      <c r="S78" s="81" t="s">
        <v>94</v>
      </c>
      <c r="T78" s="84">
        <v>46246.0</v>
      </c>
      <c r="U78" s="143"/>
      <c r="V78" s="143"/>
      <c r="W78" s="143"/>
      <c r="X78" s="143"/>
      <c r="Y78" s="143"/>
      <c r="Z78" s="143"/>
    </row>
    <row r="79" ht="45.0" customHeight="1">
      <c r="A79" s="67"/>
      <c r="B79" s="67"/>
      <c r="C79" s="67"/>
      <c r="D79" s="67"/>
      <c r="E79" s="89" t="s">
        <v>3912</v>
      </c>
      <c r="F79" s="70"/>
      <c r="G79" s="83" t="s">
        <v>3913</v>
      </c>
      <c r="H79" s="81" t="s">
        <v>88</v>
      </c>
      <c r="I79" s="81" t="s">
        <v>2899</v>
      </c>
      <c r="J79" s="117" t="s">
        <v>3914</v>
      </c>
      <c r="K79" s="90"/>
      <c r="L79" s="67"/>
      <c r="M79" s="85"/>
      <c r="N79" s="85"/>
      <c r="O79" s="85"/>
      <c r="P79" s="85"/>
      <c r="Q79" s="89" t="s">
        <v>93</v>
      </c>
      <c r="R79" s="81" t="s">
        <v>94</v>
      </c>
      <c r="S79" s="81" t="s">
        <v>94</v>
      </c>
      <c r="T79" s="84">
        <v>46246.0</v>
      </c>
      <c r="U79" s="143"/>
      <c r="V79" s="143"/>
      <c r="W79" s="143"/>
      <c r="X79" s="143"/>
      <c r="Y79" s="143"/>
      <c r="Z79" s="143"/>
    </row>
    <row r="80" ht="45.0" customHeight="1">
      <c r="A80" s="77"/>
      <c r="B80" s="77"/>
      <c r="C80" s="77"/>
      <c r="D80" s="77"/>
      <c r="E80" s="89" t="s">
        <v>3915</v>
      </c>
      <c r="F80" s="70"/>
      <c r="G80" s="83" t="s">
        <v>3916</v>
      </c>
      <c r="H80" s="81" t="s">
        <v>88</v>
      </c>
      <c r="I80" s="81" t="s">
        <v>2899</v>
      </c>
      <c r="J80" s="83" t="s">
        <v>3917</v>
      </c>
      <c r="K80" s="90"/>
      <c r="L80" s="77"/>
      <c r="M80" s="85"/>
      <c r="N80" s="85"/>
      <c r="O80" s="85"/>
      <c r="P80" s="85"/>
      <c r="Q80" s="89" t="s">
        <v>93</v>
      </c>
      <c r="R80" s="81" t="s">
        <v>94</v>
      </c>
      <c r="S80" s="81" t="s">
        <v>94</v>
      </c>
      <c r="T80" s="84">
        <v>46246.0</v>
      </c>
      <c r="U80" s="143"/>
      <c r="V80" s="143"/>
      <c r="W80" s="143"/>
      <c r="X80" s="143"/>
      <c r="Y80" s="143"/>
      <c r="Z80" s="143"/>
    </row>
    <row r="81" ht="13.5" customHeight="1">
      <c r="A81" s="49"/>
      <c r="B81" s="49"/>
      <c r="C81" s="49"/>
      <c r="D81" s="49"/>
      <c r="E81" s="49"/>
      <c r="F81" s="49"/>
      <c r="G81" s="49"/>
      <c r="H81" s="49"/>
      <c r="I81" s="49"/>
      <c r="J81" s="49"/>
      <c r="K81" s="49"/>
      <c r="L81" s="49"/>
      <c r="M81" s="49"/>
      <c r="N81" s="49"/>
      <c r="O81" s="49"/>
      <c r="P81" s="49"/>
      <c r="Q81" s="49"/>
      <c r="R81" s="49"/>
      <c r="S81" s="49"/>
      <c r="T81" s="52"/>
      <c r="U81" s="143"/>
      <c r="V81" s="143"/>
      <c r="W81" s="143"/>
      <c r="X81" s="143"/>
      <c r="Y81" s="143"/>
      <c r="Z81" s="143"/>
    </row>
    <row r="82" ht="13.5" customHeight="1">
      <c r="A82" s="49"/>
      <c r="B82" s="49"/>
      <c r="C82" s="49"/>
      <c r="D82" s="49"/>
      <c r="E82" s="49"/>
      <c r="F82" s="49"/>
      <c r="G82" s="49"/>
      <c r="H82" s="49"/>
      <c r="I82" s="49"/>
      <c r="J82" s="49"/>
      <c r="K82" s="49"/>
      <c r="L82" s="49"/>
      <c r="M82" s="49"/>
      <c r="N82" s="49"/>
      <c r="O82" s="49"/>
      <c r="P82" s="49"/>
      <c r="Q82" s="49"/>
      <c r="R82" s="49"/>
      <c r="S82" s="49"/>
      <c r="T82" s="52"/>
      <c r="U82" s="143"/>
      <c r="V82" s="143"/>
      <c r="W82" s="143"/>
      <c r="X82" s="143"/>
      <c r="Y82" s="143"/>
      <c r="Z82" s="143"/>
    </row>
    <row r="83" ht="13.5" customHeight="1">
      <c r="A83" s="49"/>
      <c r="B83" s="49"/>
      <c r="C83" s="49"/>
      <c r="D83" s="49"/>
      <c r="E83" s="49"/>
      <c r="F83" s="49"/>
      <c r="G83" s="49"/>
      <c r="H83" s="49"/>
      <c r="I83" s="49"/>
      <c r="J83" s="49"/>
      <c r="K83" s="49"/>
      <c r="L83" s="49"/>
      <c r="M83" s="49"/>
      <c r="N83" s="49"/>
      <c r="O83" s="49"/>
      <c r="P83" s="49"/>
      <c r="Q83" s="49"/>
      <c r="R83" s="49"/>
      <c r="S83" s="49"/>
      <c r="T83" s="52"/>
      <c r="U83" s="143"/>
      <c r="V83" s="143"/>
      <c r="W83" s="143"/>
      <c r="X83" s="143"/>
      <c r="Y83" s="143"/>
      <c r="Z83" s="143"/>
    </row>
    <row r="84" ht="13.5" customHeight="1">
      <c r="A84" s="49"/>
      <c r="B84" s="49"/>
      <c r="C84" s="49"/>
      <c r="D84" s="49"/>
      <c r="E84" s="49"/>
      <c r="F84" s="49"/>
      <c r="G84" s="49"/>
      <c r="H84" s="49"/>
      <c r="I84" s="49"/>
      <c r="J84" s="49"/>
      <c r="K84" s="49"/>
      <c r="L84" s="49"/>
      <c r="M84" s="49"/>
      <c r="N84" s="49"/>
      <c r="O84" s="49"/>
      <c r="P84" s="49"/>
      <c r="Q84" s="49"/>
      <c r="R84" s="49"/>
      <c r="S84" s="49"/>
      <c r="T84" s="52"/>
      <c r="U84" s="143"/>
      <c r="V84" s="143"/>
      <c r="W84" s="143"/>
      <c r="X84" s="143"/>
      <c r="Y84" s="143"/>
      <c r="Z84" s="143"/>
    </row>
    <row r="85" ht="13.5" customHeight="1">
      <c r="A85" s="49"/>
      <c r="B85" s="49"/>
      <c r="C85" s="49"/>
      <c r="D85" s="49"/>
      <c r="E85" s="49"/>
      <c r="F85" s="49"/>
      <c r="G85" s="49"/>
      <c r="H85" s="49"/>
      <c r="I85" s="49"/>
      <c r="J85" s="49"/>
      <c r="K85" s="49"/>
      <c r="L85" s="49"/>
      <c r="M85" s="49"/>
      <c r="N85" s="49"/>
      <c r="O85" s="49"/>
      <c r="P85" s="49"/>
      <c r="Q85" s="49"/>
      <c r="R85" s="49"/>
      <c r="S85" s="49"/>
      <c r="T85" s="52"/>
      <c r="U85" s="143"/>
      <c r="V85" s="143"/>
      <c r="W85" s="143"/>
      <c r="X85" s="143"/>
      <c r="Y85" s="143"/>
      <c r="Z85" s="143"/>
    </row>
    <row r="86" ht="13.5" customHeight="1">
      <c r="A86" s="49"/>
      <c r="B86" s="49"/>
      <c r="C86" s="49"/>
      <c r="D86" s="49"/>
      <c r="E86" s="49"/>
      <c r="F86" s="49"/>
      <c r="G86" s="49"/>
      <c r="H86" s="49"/>
      <c r="I86" s="49"/>
      <c r="J86" s="49"/>
      <c r="K86" s="49"/>
      <c r="L86" s="49"/>
      <c r="M86" s="49"/>
      <c r="N86" s="49"/>
      <c r="O86" s="49"/>
      <c r="P86" s="49"/>
      <c r="Q86" s="49"/>
      <c r="R86" s="49"/>
      <c r="S86" s="49"/>
      <c r="T86" s="52"/>
      <c r="U86" s="143"/>
      <c r="V86" s="143"/>
      <c r="W86" s="143"/>
      <c r="X86" s="143"/>
      <c r="Y86" s="143"/>
      <c r="Z86" s="143"/>
    </row>
    <row r="87" ht="13.5" customHeight="1">
      <c r="A87" s="49"/>
      <c r="B87" s="49"/>
      <c r="C87" s="49"/>
      <c r="D87" s="49"/>
      <c r="E87" s="49"/>
      <c r="F87" s="49"/>
      <c r="G87" s="49"/>
      <c r="H87" s="49"/>
      <c r="I87" s="49"/>
      <c r="J87" s="49"/>
      <c r="K87" s="49"/>
      <c r="L87" s="49"/>
      <c r="M87" s="49"/>
      <c r="N87" s="49"/>
      <c r="O87" s="49"/>
      <c r="P87" s="49"/>
      <c r="Q87" s="49"/>
      <c r="R87" s="49"/>
      <c r="S87" s="49"/>
      <c r="T87" s="52"/>
      <c r="U87" s="143"/>
      <c r="V87" s="143"/>
      <c r="W87" s="143"/>
      <c r="X87" s="143"/>
      <c r="Y87" s="143"/>
      <c r="Z87" s="143"/>
    </row>
    <row r="88" ht="13.5" customHeight="1">
      <c r="A88" s="49"/>
      <c r="B88" s="49"/>
      <c r="C88" s="49"/>
      <c r="D88" s="49"/>
      <c r="E88" s="49"/>
      <c r="F88" s="49"/>
      <c r="G88" s="49"/>
      <c r="H88" s="49"/>
      <c r="I88" s="49"/>
      <c r="J88" s="49"/>
      <c r="K88" s="49"/>
      <c r="L88" s="49"/>
      <c r="M88" s="49"/>
      <c r="N88" s="49"/>
      <c r="O88" s="49"/>
      <c r="P88" s="49"/>
      <c r="Q88" s="49"/>
      <c r="R88" s="49"/>
      <c r="S88" s="49"/>
      <c r="T88" s="52"/>
      <c r="U88" s="143"/>
      <c r="V88" s="143"/>
      <c r="W88" s="143"/>
      <c r="X88" s="143"/>
      <c r="Y88" s="143"/>
      <c r="Z88" s="143"/>
    </row>
    <row r="89" ht="13.5" customHeight="1">
      <c r="A89" s="49"/>
      <c r="B89" s="49"/>
      <c r="C89" s="49"/>
      <c r="D89" s="49"/>
      <c r="E89" s="49"/>
      <c r="F89" s="49"/>
      <c r="G89" s="49"/>
      <c r="H89" s="49"/>
      <c r="I89" s="49"/>
      <c r="J89" s="49"/>
      <c r="K89" s="49"/>
      <c r="L89" s="49"/>
      <c r="M89" s="49"/>
      <c r="N89" s="49"/>
      <c r="O89" s="49"/>
      <c r="P89" s="49"/>
      <c r="Q89" s="49"/>
      <c r="R89" s="49"/>
      <c r="S89" s="49"/>
      <c r="T89" s="52"/>
      <c r="U89" s="143"/>
      <c r="V89" s="143"/>
      <c r="W89" s="143"/>
      <c r="X89" s="143"/>
      <c r="Y89" s="143"/>
      <c r="Z89" s="143"/>
    </row>
    <row r="90" ht="13.5" customHeight="1">
      <c r="A90" s="49"/>
      <c r="B90" s="49"/>
      <c r="C90" s="49"/>
      <c r="D90" s="49"/>
      <c r="E90" s="49"/>
      <c r="F90" s="49"/>
      <c r="G90" s="49"/>
      <c r="H90" s="49"/>
      <c r="I90" s="49"/>
      <c r="J90" s="49"/>
      <c r="K90" s="49"/>
      <c r="L90" s="49"/>
      <c r="M90" s="49"/>
      <c r="N90" s="49"/>
      <c r="O90" s="49"/>
      <c r="P90" s="49"/>
      <c r="Q90" s="49"/>
      <c r="R90" s="49"/>
      <c r="S90" s="49"/>
      <c r="T90" s="52"/>
      <c r="U90" s="143"/>
      <c r="V90" s="143"/>
      <c r="W90" s="143"/>
      <c r="X90" s="143"/>
      <c r="Y90" s="143"/>
      <c r="Z90" s="143"/>
    </row>
    <row r="91" ht="13.5" customHeight="1">
      <c r="A91" s="49"/>
      <c r="B91" s="49"/>
      <c r="C91" s="49"/>
      <c r="D91" s="49"/>
      <c r="E91" s="49"/>
      <c r="F91" s="49"/>
      <c r="G91" s="49"/>
      <c r="H91" s="49"/>
      <c r="I91" s="49"/>
      <c r="J91" s="49"/>
      <c r="K91" s="49"/>
      <c r="L91" s="49"/>
      <c r="M91" s="49"/>
      <c r="N91" s="49"/>
      <c r="O91" s="49"/>
      <c r="P91" s="49"/>
      <c r="Q91" s="49"/>
      <c r="R91" s="49"/>
      <c r="S91" s="49"/>
      <c r="T91" s="52"/>
      <c r="U91" s="143"/>
      <c r="V91" s="143"/>
      <c r="W91" s="143"/>
      <c r="X91" s="143"/>
      <c r="Y91" s="143"/>
      <c r="Z91" s="143"/>
    </row>
    <row r="92" ht="13.5" customHeight="1">
      <c r="A92" s="49"/>
      <c r="B92" s="49"/>
      <c r="C92" s="49"/>
      <c r="D92" s="49"/>
      <c r="E92" s="49"/>
      <c r="F92" s="49"/>
      <c r="G92" s="49"/>
      <c r="H92" s="49"/>
      <c r="I92" s="49"/>
      <c r="J92" s="49"/>
      <c r="K92" s="49"/>
      <c r="L92" s="49"/>
      <c r="M92" s="49"/>
      <c r="N92" s="49"/>
      <c r="O92" s="49"/>
      <c r="P92" s="49"/>
      <c r="Q92" s="49"/>
      <c r="R92" s="49"/>
      <c r="S92" s="49"/>
      <c r="T92" s="52"/>
      <c r="U92" s="143"/>
      <c r="V92" s="143"/>
      <c r="W92" s="143"/>
      <c r="X92" s="143"/>
      <c r="Y92" s="143"/>
      <c r="Z92" s="143"/>
    </row>
    <row r="93" ht="13.5" customHeight="1">
      <c r="A93" s="49"/>
      <c r="B93" s="49"/>
      <c r="C93" s="49"/>
      <c r="D93" s="49"/>
      <c r="E93" s="49"/>
      <c r="F93" s="49"/>
      <c r="G93" s="49"/>
      <c r="H93" s="49"/>
      <c r="I93" s="49"/>
      <c r="J93" s="49"/>
      <c r="K93" s="49"/>
      <c r="L93" s="49"/>
      <c r="M93" s="49"/>
      <c r="N93" s="49"/>
      <c r="O93" s="49"/>
      <c r="P93" s="49"/>
      <c r="Q93" s="49"/>
      <c r="R93" s="49"/>
      <c r="S93" s="49"/>
      <c r="T93" s="52"/>
      <c r="U93" s="143"/>
      <c r="V93" s="143"/>
      <c r="W93" s="143"/>
      <c r="X93" s="143"/>
      <c r="Y93" s="143"/>
      <c r="Z93" s="143"/>
    </row>
    <row r="94" ht="13.5" customHeight="1">
      <c r="A94" s="49"/>
      <c r="B94" s="49"/>
      <c r="C94" s="49"/>
      <c r="D94" s="49"/>
      <c r="E94" s="49"/>
      <c r="F94" s="49"/>
      <c r="G94" s="49"/>
      <c r="H94" s="49"/>
      <c r="I94" s="49"/>
      <c r="J94" s="49"/>
      <c r="K94" s="49"/>
      <c r="L94" s="49"/>
      <c r="M94" s="49"/>
      <c r="N94" s="49"/>
      <c r="O94" s="49"/>
      <c r="P94" s="49"/>
      <c r="Q94" s="49"/>
      <c r="R94" s="49"/>
      <c r="S94" s="49"/>
      <c r="T94" s="52"/>
      <c r="U94" s="143"/>
      <c r="V94" s="143"/>
      <c r="W94" s="143"/>
      <c r="X94" s="143"/>
      <c r="Y94" s="143"/>
      <c r="Z94" s="143"/>
    </row>
    <row r="95" ht="13.5" customHeight="1">
      <c r="A95" s="49"/>
      <c r="B95" s="49"/>
      <c r="C95" s="49"/>
      <c r="D95" s="49"/>
      <c r="E95" s="49"/>
      <c r="F95" s="49"/>
      <c r="G95" s="49"/>
      <c r="H95" s="49"/>
      <c r="I95" s="49"/>
      <c r="J95" s="49"/>
      <c r="K95" s="49"/>
      <c r="L95" s="49"/>
      <c r="M95" s="49"/>
      <c r="N95" s="49"/>
      <c r="O95" s="49"/>
      <c r="P95" s="49"/>
      <c r="Q95" s="49"/>
      <c r="R95" s="49"/>
      <c r="S95" s="49"/>
      <c r="T95" s="52"/>
      <c r="U95" s="143"/>
      <c r="V95" s="143"/>
      <c r="W95" s="143"/>
      <c r="X95" s="143"/>
      <c r="Y95" s="143"/>
      <c r="Z95" s="143"/>
    </row>
    <row r="96" ht="13.5" customHeight="1">
      <c r="A96" s="49"/>
      <c r="B96" s="49"/>
      <c r="C96" s="49"/>
      <c r="D96" s="49"/>
      <c r="E96" s="49"/>
      <c r="F96" s="49"/>
      <c r="G96" s="49"/>
      <c r="H96" s="49"/>
      <c r="I96" s="49"/>
      <c r="J96" s="49"/>
      <c r="K96" s="49"/>
      <c r="L96" s="49"/>
      <c r="M96" s="49"/>
      <c r="N96" s="49"/>
      <c r="O96" s="49"/>
      <c r="P96" s="49"/>
      <c r="Q96" s="49"/>
      <c r="R96" s="49"/>
      <c r="S96" s="49"/>
      <c r="T96" s="52"/>
      <c r="U96" s="143"/>
      <c r="V96" s="143"/>
      <c r="W96" s="143"/>
      <c r="X96" s="143"/>
      <c r="Y96" s="143"/>
      <c r="Z96" s="143"/>
    </row>
    <row r="97" ht="13.5" customHeight="1">
      <c r="A97" s="49"/>
      <c r="B97" s="49"/>
      <c r="C97" s="49"/>
      <c r="D97" s="49"/>
      <c r="E97" s="49"/>
      <c r="F97" s="49"/>
      <c r="G97" s="49"/>
      <c r="H97" s="49"/>
      <c r="I97" s="49"/>
      <c r="J97" s="49"/>
      <c r="K97" s="49"/>
      <c r="L97" s="49"/>
      <c r="M97" s="49"/>
      <c r="N97" s="49"/>
      <c r="O97" s="49"/>
      <c r="P97" s="49"/>
      <c r="Q97" s="49"/>
      <c r="R97" s="49"/>
      <c r="S97" s="49"/>
      <c r="T97" s="52"/>
      <c r="U97" s="143"/>
      <c r="V97" s="143"/>
      <c r="W97" s="143"/>
      <c r="X97" s="143"/>
      <c r="Y97" s="143"/>
      <c r="Z97" s="143"/>
    </row>
    <row r="98" ht="13.5" customHeight="1">
      <c r="A98" s="49"/>
      <c r="B98" s="49"/>
      <c r="C98" s="49"/>
      <c r="D98" s="49"/>
      <c r="E98" s="49"/>
      <c r="F98" s="49"/>
      <c r="G98" s="49"/>
      <c r="H98" s="49"/>
      <c r="I98" s="49"/>
      <c r="J98" s="49"/>
      <c r="K98" s="49"/>
      <c r="L98" s="49"/>
      <c r="M98" s="49"/>
      <c r="N98" s="49"/>
      <c r="O98" s="49"/>
      <c r="P98" s="49"/>
      <c r="Q98" s="49"/>
      <c r="R98" s="49"/>
      <c r="S98" s="49"/>
      <c r="T98" s="52"/>
      <c r="U98" s="143"/>
      <c r="V98" s="143"/>
      <c r="W98" s="143"/>
      <c r="X98" s="143"/>
      <c r="Y98" s="143"/>
      <c r="Z98" s="143"/>
    </row>
    <row r="99" ht="13.5" customHeight="1">
      <c r="A99" s="49"/>
      <c r="B99" s="49"/>
      <c r="C99" s="49"/>
      <c r="D99" s="49"/>
      <c r="E99" s="49"/>
      <c r="F99" s="49"/>
      <c r="G99" s="49"/>
      <c r="H99" s="49"/>
      <c r="I99" s="49"/>
      <c r="J99" s="49"/>
      <c r="K99" s="49"/>
      <c r="L99" s="49"/>
      <c r="M99" s="49"/>
      <c r="N99" s="49"/>
      <c r="O99" s="49"/>
      <c r="P99" s="49"/>
      <c r="Q99" s="49"/>
      <c r="R99" s="49"/>
      <c r="S99" s="49"/>
      <c r="T99" s="52"/>
      <c r="U99" s="143"/>
      <c r="V99" s="143"/>
      <c r="W99" s="143"/>
      <c r="X99" s="143"/>
      <c r="Y99" s="143"/>
      <c r="Z99" s="143"/>
    </row>
    <row r="100" ht="13.5" customHeight="1">
      <c r="A100" s="49"/>
      <c r="B100" s="49"/>
      <c r="C100" s="49"/>
      <c r="D100" s="49"/>
      <c r="E100" s="49"/>
      <c r="F100" s="49"/>
      <c r="G100" s="49"/>
      <c r="H100" s="49"/>
      <c r="I100" s="49"/>
      <c r="J100" s="49"/>
      <c r="K100" s="49"/>
      <c r="L100" s="49"/>
      <c r="M100" s="49"/>
      <c r="N100" s="49"/>
      <c r="O100" s="49"/>
      <c r="P100" s="49"/>
      <c r="Q100" s="49"/>
      <c r="R100" s="49"/>
      <c r="S100" s="49"/>
      <c r="T100" s="52"/>
      <c r="U100" s="143"/>
      <c r="V100" s="143"/>
      <c r="W100" s="143"/>
      <c r="X100" s="143"/>
      <c r="Y100" s="143"/>
      <c r="Z100" s="143"/>
    </row>
    <row r="101" ht="13.5" customHeight="1">
      <c r="A101" s="49"/>
      <c r="B101" s="49"/>
      <c r="C101" s="49"/>
      <c r="D101" s="49"/>
      <c r="E101" s="49"/>
      <c r="F101" s="49"/>
      <c r="G101" s="49"/>
      <c r="H101" s="49"/>
      <c r="I101" s="49"/>
      <c r="J101" s="49"/>
      <c r="K101" s="49"/>
      <c r="L101" s="49"/>
      <c r="M101" s="49"/>
      <c r="N101" s="49"/>
      <c r="O101" s="49"/>
      <c r="P101" s="49"/>
      <c r="Q101" s="49"/>
      <c r="R101" s="49"/>
      <c r="S101" s="49"/>
      <c r="T101" s="52"/>
      <c r="U101" s="143"/>
      <c r="V101" s="143"/>
      <c r="W101" s="143"/>
      <c r="X101" s="143"/>
      <c r="Y101" s="143"/>
      <c r="Z101" s="143"/>
    </row>
    <row r="102" ht="13.5" customHeight="1">
      <c r="A102" s="49"/>
      <c r="B102" s="49"/>
      <c r="C102" s="49"/>
      <c r="D102" s="49"/>
      <c r="E102" s="49"/>
      <c r="F102" s="49"/>
      <c r="G102" s="49"/>
      <c r="H102" s="49"/>
      <c r="I102" s="49"/>
      <c r="J102" s="49"/>
      <c r="K102" s="49"/>
      <c r="L102" s="49"/>
      <c r="M102" s="49"/>
      <c r="N102" s="49"/>
      <c r="O102" s="49"/>
      <c r="P102" s="49"/>
      <c r="Q102" s="49"/>
      <c r="R102" s="49"/>
      <c r="S102" s="49"/>
      <c r="T102" s="52"/>
      <c r="U102" s="143"/>
      <c r="V102" s="143"/>
      <c r="W102" s="143"/>
      <c r="X102" s="143"/>
      <c r="Y102" s="143"/>
      <c r="Z102" s="143"/>
    </row>
    <row r="103" ht="13.5" customHeight="1">
      <c r="A103" s="49"/>
      <c r="B103" s="49"/>
      <c r="C103" s="49"/>
      <c r="D103" s="49"/>
      <c r="E103" s="49"/>
      <c r="F103" s="49"/>
      <c r="G103" s="49"/>
      <c r="H103" s="49"/>
      <c r="I103" s="49"/>
      <c r="J103" s="49"/>
      <c r="K103" s="49"/>
      <c r="L103" s="49"/>
      <c r="M103" s="49"/>
      <c r="N103" s="49"/>
      <c r="O103" s="49"/>
      <c r="P103" s="49"/>
      <c r="Q103" s="49"/>
      <c r="R103" s="49"/>
      <c r="S103" s="49"/>
      <c r="T103" s="52"/>
      <c r="U103" s="143"/>
      <c r="V103" s="143"/>
      <c r="W103" s="143"/>
      <c r="X103" s="143"/>
      <c r="Y103" s="143"/>
      <c r="Z103" s="143"/>
    </row>
    <row r="104" ht="13.5" customHeight="1">
      <c r="A104" s="49"/>
      <c r="B104" s="49"/>
      <c r="C104" s="49"/>
      <c r="D104" s="49"/>
      <c r="E104" s="49"/>
      <c r="F104" s="49"/>
      <c r="G104" s="49"/>
      <c r="H104" s="49"/>
      <c r="I104" s="49"/>
      <c r="J104" s="49"/>
      <c r="K104" s="49"/>
      <c r="L104" s="49"/>
      <c r="M104" s="49"/>
      <c r="N104" s="49"/>
      <c r="O104" s="49"/>
      <c r="P104" s="49"/>
      <c r="Q104" s="49"/>
      <c r="R104" s="49"/>
      <c r="S104" s="49"/>
      <c r="T104" s="52"/>
      <c r="U104" s="143"/>
      <c r="V104" s="143"/>
      <c r="W104" s="143"/>
      <c r="X104" s="143"/>
      <c r="Y104" s="143"/>
      <c r="Z104" s="143"/>
    </row>
    <row r="105" ht="13.5" customHeight="1">
      <c r="A105" s="49"/>
      <c r="B105" s="49"/>
      <c r="C105" s="49"/>
      <c r="D105" s="49"/>
      <c r="E105" s="49"/>
      <c r="F105" s="49"/>
      <c r="G105" s="49"/>
      <c r="H105" s="49"/>
      <c r="I105" s="49"/>
      <c r="J105" s="49"/>
      <c r="K105" s="49"/>
      <c r="L105" s="49"/>
      <c r="M105" s="49"/>
      <c r="N105" s="49"/>
      <c r="O105" s="49"/>
      <c r="P105" s="49"/>
      <c r="Q105" s="49"/>
      <c r="R105" s="49"/>
      <c r="S105" s="49"/>
      <c r="T105" s="52"/>
      <c r="U105" s="143"/>
      <c r="V105" s="143"/>
      <c r="W105" s="143"/>
      <c r="X105" s="143"/>
      <c r="Y105" s="143"/>
      <c r="Z105" s="143"/>
    </row>
    <row r="106" ht="13.5" customHeight="1">
      <c r="A106" s="49"/>
      <c r="B106" s="49"/>
      <c r="C106" s="49"/>
      <c r="D106" s="49"/>
      <c r="E106" s="49"/>
      <c r="F106" s="49"/>
      <c r="G106" s="49"/>
      <c r="H106" s="49"/>
      <c r="I106" s="49"/>
      <c r="J106" s="49"/>
      <c r="K106" s="49"/>
      <c r="L106" s="49"/>
      <c r="M106" s="49"/>
      <c r="N106" s="49"/>
      <c r="O106" s="49"/>
      <c r="P106" s="49"/>
      <c r="Q106" s="49"/>
      <c r="R106" s="49"/>
      <c r="S106" s="49"/>
      <c r="T106" s="52"/>
      <c r="U106" s="143"/>
      <c r="V106" s="143"/>
      <c r="W106" s="143"/>
      <c r="X106" s="143"/>
      <c r="Y106" s="143"/>
      <c r="Z106" s="143"/>
    </row>
    <row r="107" ht="13.5" customHeight="1">
      <c r="A107" s="49"/>
      <c r="B107" s="49"/>
      <c r="C107" s="49"/>
      <c r="D107" s="49"/>
      <c r="E107" s="49"/>
      <c r="F107" s="49"/>
      <c r="G107" s="49"/>
      <c r="H107" s="49"/>
      <c r="I107" s="49"/>
      <c r="J107" s="49"/>
      <c r="K107" s="49"/>
      <c r="L107" s="49"/>
      <c r="M107" s="49"/>
      <c r="N107" s="49"/>
      <c r="O107" s="49"/>
      <c r="P107" s="49"/>
      <c r="Q107" s="49"/>
      <c r="R107" s="49"/>
      <c r="S107" s="49"/>
      <c r="T107" s="52"/>
      <c r="U107" s="143"/>
      <c r="V107" s="143"/>
      <c r="W107" s="143"/>
      <c r="X107" s="143"/>
      <c r="Y107" s="143"/>
      <c r="Z107" s="143"/>
    </row>
    <row r="108" ht="13.5" customHeight="1">
      <c r="A108" s="49"/>
      <c r="B108" s="49"/>
      <c r="C108" s="49"/>
      <c r="D108" s="49"/>
      <c r="E108" s="49"/>
      <c r="F108" s="49"/>
      <c r="G108" s="49"/>
      <c r="H108" s="49"/>
      <c r="I108" s="49"/>
      <c r="J108" s="49"/>
      <c r="K108" s="49"/>
      <c r="L108" s="49"/>
      <c r="M108" s="49"/>
      <c r="N108" s="49"/>
      <c r="O108" s="49"/>
      <c r="P108" s="49"/>
      <c r="Q108" s="49"/>
      <c r="R108" s="49"/>
      <c r="S108" s="49"/>
      <c r="T108" s="52"/>
      <c r="U108" s="143"/>
      <c r="V108" s="143"/>
      <c r="W108" s="143"/>
      <c r="X108" s="143"/>
      <c r="Y108" s="143"/>
      <c r="Z108" s="143"/>
    </row>
    <row r="109" ht="13.5" customHeight="1">
      <c r="A109" s="49"/>
      <c r="B109" s="49"/>
      <c r="C109" s="49"/>
      <c r="D109" s="49"/>
      <c r="E109" s="49"/>
      <c r="F109" s="49"/>
      <c r="G109" s="49"/>
      <c r="H109" s="49"/>
      <c r="I109" s="49"/>
      <c r="J109" s="49"/>
      <c r="K109" s="49"/>
      <c r="L109" s="49"/>
      <c r="M109" s="49"/>
      <c r="N109" s="49"/>
      <c r="O109" s="49"/>
      <c r="P109" s="49"/>
      <c r="Q109" s="49"/>
      <c r="R109" s="49"/>
      <c r="S109" s="49"/>
      <c r="T109" s="52"/>
      <c r="U109" s="143"/>
      <c r="V109" s="143"/>
      <c r="W109" s="143"/>
      <c r="X109" s="143"/>
      <c r="Y109" s="143"/>
      <c r="Z109" s="143"/>
    </row>
    <row r="110" ht="13.5" customHeight="1">
      <c r="A110" s="49"/>
      <c r="B110" s="49"/>
      <c r="C110" s="49"/>
      <c r="D110" s="49"/>
      <c r="E110" s="49"/>
      <c r="F110" s="49"/>
      <c r="G110" s="49"/>
      <c r="H110" s="49"/>
      <c r="I110" s="49"/>
      <c r="J110" s="49"/>
      <c r="K110" s="49"/>
      <c r="L110" s="49"/>
      <c r="M110" s="49"/>
      <c r="N110" s="49"/>
      <c r="O110" s="49"/>
      <c r="P110" s="49"/>
      <c r="Q110" s="49"/>
      <c r="R110" s="49"/>
      <c r="S110" s="49"/>
      <c r="T110" s="52"/>
      <c r="U110" s="143"/>
      <c r="V110" s="143"/>
      <c r="W110" s="143"/>
      <c r="X110" s="143"/>
      <c r="Y110" s="143"/>
      <c r="Z110" s="143"/>
    </row>
    <row r="111" ht="13.5" customHeight="1">
      <c r="A111" s="49"/>
      <c r="B111" s="49"/>
      <c r="C111" s="49"/>
      <c r="D111" s="49"/>
      <c r="E111" s="49"/>
      <c r="F111" s="49"/>
      <c r="G111" s="49"/>
      <c r="H111" s="49"/>
      <c r="I111" s="49"/>
      <c r="J111" s="49"/>
      <c r="K111" s="49"/>
      <c r="L111" s="49"/>
      <c r="M111" s="49"/>
      <c r="N111" s="49"/>
      <c r="O111" s="49"/>
      <c r="P111" s="49"/>
      <c r="Q111" s="49"/>
      <c r="R111" s="49"/>
      <c r="S111" s="49"/>
      <c r="T111" s="52"/>
      <c r="U111" s="143"/>
      <c r="V111" s="143"/>
      <c r="W111" s="143"/>
      <c r="X111" s="143"/>
      <c r="Y111" s="143"/>
      <c r="Z111" s="143"/>
    </row>
    <row r="112" ht="13.5" customHeight="1">
      <c r="A112" s="49"/>
      <c r="B112" s="49"/>
      <c r="C112" s="49"/>
      <c r="D112" s="49"/>
      <c r="E112" s="49"/>
      <c r="F112" s="49"/>
      <c r="G112" s="49"/>
      <c r="H112" s="49"/>
      <c r="I112" s="49"/>
      <c r="J112" s="49"/>
      <c r="K112" s="49"/>
      <c r="L112" s="49"/>
      <c r="M112" s="49"/>
      <c r="N112" s="49"/>
      <c r="O112" s="49"/>
      <c r="P112" s="49"/>
      <c r="Q112" s="49"/>
      <c r="R112" s="49"/>
      <c r="S112" s="49"/>
      <c r="T112" s="52"/>
      <c r="U112" s="143"/>
      <c r="V112" s="143"/>
      <c r="W112" s="143"/>
      <c r="X112" s="143"/>
      <c r="Y112" s="143"/>
      <c r="Z112" s="143"/>
    </row>
    <row r="113" ht="13.5" customHeight="1">
      <c r="A113" s="49"/>
      <c r="B113" s="49"/>
      <c r="C113" s="49"/>
      <c r="D113" s="49"/>
      <c r="E113" s="49"/>
      <c r="F113" s="49"/>
      <c r="G113" s="49"/>
      <c r="H113" s="49"/>
      <c r="I113" s="49"/>
      <c r="J113" s="49"/>
      <c r="K113" s="49"/>
      <c r="L113" s="49"/>
      <c r="M113" s="49"/>
      <c r="N113" s="49"/>
      <c r="O113" s="49"/>
      <c r="P113" s="49"/>
      <c r="Q113" s="49"/>
      <c r="R113" s="49"/>
      <c r="S113" s="49"/>
      <c r="T113" s="52"/>
      <c r="U113" s="143"/>
      <c r="V113" s="143"/>
      <c r="W113" s="143"/>
      <c r="X113" s="143"/>
      <c r="Y113" s="143"/>
      <c r="Z113" s="143"/>
    </row>
    <row r="114" ht="13.5" customHeight="1">
      <c r="A114" s="49"/>
      <c r="B114" s="49"/>
      <c r="C114" s="49"/>
      <c r="D114" s="49"/>
      <c r="E114" s="49"/>
      <c r="F114" s="49"/>
      <c r="G114" s="49"/>
      <c r="H114" s="49"/>
      <c r="I114" s="49"/>
      <c r="J114" s="49"/>
      <c r="K114" s="49"/>
      <c r="L114" s="49"/>
      <c r="M114" s="49"/>
      <c r="N114" s="49"/>
      <c r="O114" s="49"/>
      <c r="P114" s="49"/>
      <c r="Q114" s="49"/>
      <c r="R114" s="49"/>
      <c r="S114" s="49"/>
      <c r="T114" s="52"/>
      <c r="U114" s="143"/>
      <c r="V114" s="143"/>
      <c r="W114" s="143"/>
      <c r="X114" s="143"/>
      <c r="Y114" s="143"/>
      <c r="Z114" s="143"/>
    </row>
    <row r="115" ht="13.5" customHeight="1">
      <c r="A115" s="49"/>
      <c r="B115" s="49"/>
      <c r="C115" s="49"/>
      <c r="D115" s="49"/>
      <c r="E115" s="49"/>
      <c r="F115" s="49"/>
      <c r="G115" s="49"/>
      <c r="H115" s="49"/>
      <c r="I115" s="49"/>
      <c r="J115" s="49"/>
      <c r="K115" s="49"/>
      <c r="L115" s="49"/>
      <c r="M115" s="49"/>
      <c r="N115" s="49"/>
      <c r="O115" s="49"/>
      <c r="P115" s="49"/>
      <c r="Q115" s="49"/>
      <c r="R115" s="49"/>
      <c r="S115" s="49"/>
      <c r="T115" s="52"/>
      <c r="U115" s="143"/>
      <c r="V115" s="143"/>
      <c r="W115" s="143"/>
      <c r="X115" s="143"/>
      <c r="Y115" s="143"/>
      <c r="Z115" s="143"/>
    </row>
    <row r="116" ht="13.5" customHeight="1">
      <c r="A116" s="49"/>
      <c r="B116" s="49"/>
      <c r="C116" s="49"/>
      <c r="D116" s="49"/>
      <c r="E116" s="49"/>
      <c r="F116" s="49"/>
      <c r="G116" s="49"/>
      <c r="H116" s="49"/>
      <c r="I116" s="49"/>
      <c r="J116" s="49"/>
      <c r="K116" s="49"/>
      <c r="L116" s="49"/>
      <c r="M116" s="49"/>
      <c r="N116" s="49"/>
      <c r="O116" s="49"/>
      <c r="P116" s="49"/>
      <c r="Q116" s="49"/>
      <c r="R116" s="49"/>
      <c r="S116" s="49"/>
      <c r="T116" s="52"/>
      <c r="U116" s="143"/>
      <c r="V116" s="143"/>
      <c r="W116" s="143"/>
      <c r="X116" s="143"/>
      <c r="Y116" s="143"/>
      <c r="Z116" s="143"/>
    </row>
    <row r="117" ht="13.5" customHeight="1">
      <c r="A117" s="49"/>
      <c r="B117" s="49"/>
      <c r="C117" s="49"/>
      <c r="D117" s="49"/>
      <c r="E117" s="49"/>
      <c r="F117" s="49"/>
      <c r="G117" s="49"/>
      <c r="H117" s="49"/>
      <c r="I117" s="49"/>
      <c r="J117" s="49"/>
      <c r="K117" s="49"/>
      <c r="L117" s="49"/>
      <c r="M117" s="49"/>
      <c r="N117" s="49"/>
      <c r="O117" s="49"/>
      <c r="P117" s="49"/>
      <c r="Q117" s="49"/>
      <c r="R117" s="49"/>
      <c r="S117" s="49"/>
      <c r="T117" s="52"/>
      <c r="U117" s="143"/>
      <c r="V117" s="143"/>
      <c r="W117" s="143"/>
      <c r="X117" s="143"/>
      <c r="Y117" s="143"/>
      <c r="Z117" s="143"/>
    </row>
    <row r="118" ht="13.5" customHeight="1">
      <c r="A118" s="49"/>
      <c r="B118" s="49"/>
      <c r="C118" s="49"/>
      <c r="D118" s="49"/>
      <c r="E118" s="49"/>
      <c r="F118" s="49"/>
      <c r="G118" s="49"/>
      <c r="H118" s="49"/>
      <c r="I118" s="49"/>
      <c r="J118" s="49"/>
      <c r="K118" s="49"/>
      <c r="L118" s="49"/>
      <c r="M118" s="49"/>
      <c r="N118" s="49"/>
      <c r="O118" s="49"/>
      <c r="P118" s="49"/>
      <c r="Q118" s="49"/>
      <c r="R118" s="49"/>
      <c r="S118" s="49"/>
      <c r="T118" s="52"/>
      <c r="U118" s="143"/>
      <c r="V118" s="143"/>
      <c r="W118" s="143"/>
      <c r="X118" s="143"/>
      <c r="Y118" s="143"/>
      <c r="Z118" s="143"/>
    </row>
    <row r="119" ht="13.5" customHeight="1">
      <c r="A119" s="49"/>
      <c r="B119" s="49"/>
      <c r="C119" s="49"/>
      <c r="D119" s="49"/>
      <c r="E119" s="49"/>
      <c r="F119" s="49"/>
      <c r="G119" s="49"/>
      <c r="H119" s="49"/>
      <c r="I119" s="49"/>
      <c r="J119" s="49"/>
      <c r="K119" s="49"/>
      <c r="L119" s="49"/>
      <c r="M119" s="49"/>
      <c r="N119" s="49"/>
      <c r="O119" s="49"/>
      <c r="P119" s="49"/>
      <c r="Q119" s="49"/>
      <c r="R119" s="49"/>
      <c r="S119" s="49"/>
      <c r="T119" s="52"/>
      <c r="U119" s="143"/>
      <c r="V119" s="143"/>
      <c r="W119" s="143"/>
      <c r="X119" s="143"/>
      <c r="Y119" s="143"/>
      <c r="Z119" s="143"/>
    </row>
    <row r="120" ht="13.5" customHeight="1">
      <c r="A120" s="49"/>
      <c r="B120" s="49"/>
      <c r="C120" s="49"/>
      <c r="D120" s="49"/>
      <c r="E120" s="49"/>
      <c r="F120" s="49"/>
      <c r="G120" s="49"/>
      <c r="H120" s="49"/>
      <c r="I120" s="49"/>
      <c r="J120" s="49"/>
      <c r="K120" s="49"/>
      <c r="L120" s="49"/>
      <c r="M120" s="49"/>
      <c r="N120" s="49"/>
      <c r="O120" s="49"/>
      <c r="P120" s="49"/>
      <c r="Q120" s="49"/>
      <c r="R120" s="49"/>
      <c r="S120" s="49"/>
      <c r="T120" s="52"/>
      <c r="U120" s="143"/>
      <c r="V120" s="143"/>
      <c r="W120" s="143"/>
      <c r="X120" s="143"/>
      <c r="Y120" s="143"/>
      <c r="Z120" s="143"/>
    </row>
    <row r="121" ht="13.5" customHeight="1">
      <c r="A121" s="49"/>
      <c r="B121" s="49"/>
      <c r="C121" s="49"/>
      <c r="D121" s="49"/>
      <c r="E121" s="49"/>
      <c r="F121" s="49"/>
      <c r="G121" s="49"/>
      <c r="H121" s="49"/>
      <c r="I121" s="49"/>
      <c r="J121" s="49"/>
      <c r="K121" s="49"/>
      <c r="L121" s="49"/>
      <c r="M121" s="49"/>
      <c r="N121" s="49"/>
      <c r="O121" s="49"/>
      <c r="P121" s="49"/>
      <c r="Q121" s="49"/>
      <c r="R121" s="49"/>
      <c r="S121" s="49"/>
      <c r="T121" s="52"/>
      <c r="U121" s="143"/>
      <c r="V121" s="143"/>
      <c r="W121" s="143"/>
      <c r="X121" s="143"/>
      <c r="Y121" s="143"/>
      <c r="Z121" s="143"/>
    </row>
    <row r="122" ht="13.5" customHeight="1">
      <c r="A122" s="49"/>
      <c r="B122" s="49"/>
      <c r="C122" s="49"/>
      <c r="D122" s="49"/>
      <c r="E122" s="49"/>
      <c r="F122" s="49"/>
      <c r="G122" s="49"/>
      <c r="H122" s="49"/>
      <c r="I122" s="49"/>
      <c r="J122" s="49"/>
      <c r="K122" s="49"/>
      <c r="L122" s="49"/>
      <c r="M122" s="49"/>
      <c r="N122" s="49"/>
      <c r="O122" s="49"/>
      <c r="P122" s="49"/>
      <c r="Q122" s="49"/>
      <c r="R122" s="49"/>
      <c r="S122" s="49"/>
      <c r="T122" s="52"/>
      <c r="U122" s="143"/>
      <c r="V122" s="143"/>
      <c r="W122" s="143"/>
      <c r="X122" s="143"/>
      <c r="Y122" s="143"/>
      <c r="Z122" s="143"/>
    </row>
    <row r="123" ht="13.5" customHeight="1">
      <c r="A123" s="49"/>
      <c r="B123" s="49"/>
      <c r="C123" s="49"/>
      <c r="D123" s="49"/>
      <c r="E123" s="49"/>
      <c r="F123" s="49"/>
      <c r="G123" s="49"/>
      <c r="H123" s="49"/>
      <c r="I123" s="49"/>
      <c r="J123" s="49"/>
      <c r="K123" s="49"/>
      <c r="L123" s="49"/>
      <c r="M123" s="49"/>
      <c r="N123" s="49"/>
      <c r="O123" s="49"/>
      <c r="P123" s="49"/>
      <c r="Q123" s="49"/>
      <c r="R123" s="49"/>
      <c r="S123" s="49"/>
      <c r="T123" s="52"/>
      <c r="U123" s="143"/>
      <c r="V123" s="143"/>
      <c r="W123" s="143"/>
      <c r="X123" s="143"/>
      <c r="Y123" s="143"/>
      <c r="Z123" s="143"/>
    </row>
    <row r="124" ht="13.5" customHeight="1">
      <c r="A124" s="49"/>
      <c r="B124" s="49"/>
      <c r="C124" s="49"/>
      <c r="D124" s="49"/>
      <c r="E124" s="49"/>
      <c r="F124" s="49"/>
      <c r="G124" s="49"/>
      <c r="H124" s="49"/>
      <c r="I124" s="49"/>
      <c r="J124" s="49"/>
      <c r="K124" s="49"/>
      <c r="L124" s="49"/>
      <c r="M124" s="49"/>
      <c r="N124" s="49"/>
      <c r="O124" s="49"/>
      <c r="P124" s="49"/>
      <c r="Q124" s="49"/>
      <c r="R124" s="49"/>
      <c r="S124" s="49"/>
      <c r="T124" s="52"/>
      <c r="U124" s="143"/>
      <c r="V124" s="143"/>
      <c r="W124" s="143"/>
      <c r="X124" s="143"/>
      <c r="Y124" s="143"/>
      <c r="Z124" s="143"/>
    </row>
    <row r="125" ht="13.5" customHeight="1">
      <c r="A125" s="49"/>
      <c r="B125" s="49"/>
      <c r="C125" s="49"/>
      <c r="D125" s="49"/>
      <c r="E125" s="49"/>
      <c r="F125" s="49"/>
      <c r="G125" s="49"/>
      <c r="H125" s="49"/>
      <c r="I125" s="49"/>
      <c r="J125" s="49"/>
      <c r="K125" s="49"/>
      <c r="L125" s="49"/>
      <c r="M125" s="49"/>
      <c r="N125" s="49"/>
      <c r="O125" s="49"/>
      <c r="P125" s="49"/>
      <c r="Q125" s="49"/>
      <c r="R125" s="49"/>
      <c r="S125" s="49"/>
      <c r="T125" s="52"/>
      <c r="U125" s="143"/>
      <c r="V125" s="143"/>
      <c r="W125" s="143"/>
      <c r="X125" s="143"/>
      <c r="Y125" s="143"/>
      <c r="Z125" s="143"/>
    </row>
    <row r="126" ht="13.5" customHeight="1">
      <c r="A126" s="49"/>
      <c r="B126" s="49"/>
      <c r="C126" s="49"/>
      <c r="D126" s="49"/>
      <c r="E126" s="49"/>
      <c r="F126" s="49"/>
      <c r="G126" s="49"/>
      <c r="H126" s="49"/>
      <c r="I126" s="49"/>
      <c r="J126" s="49"/>
      <c r="K126" s="49"/>
      <c r="L126" s="49"/>
      <c r="M126" s="49"/>
      <c r="N126" s="49"/>
      <c r="O126" s="49"/>
      <c r="P126" s="49"/>
      <c r="Q126" s="49"/>
      <c r="R126" s="49"/>
      <c r="S126" s="49"/>
      <c r="T126" s="52"/>
      <c r="U126" s="143"/>
      <c r="V126" s="143"/>
      <c r="W126" s="143"/>
      <c r="X126" s="143"/>
      <c r="Y126" s="143"/>
      <c r="Z126" s="143"/>
    </row>
    <row r="127" ht="13.5" customHeight="1">
      <c r="A127" s="49"/>
      <c r="B127" s="49"/>
      <c r="C127" s="49"/>
      <c r="D127" s="49"/>
      <c r="E127" s="49"/>
      <c r="F127" s="49"/>
      <c r="G127" s="49"/>
      <c r="H127" s="49"/>
      <c r="I127" s="49"/>
      <c r="J127" s="49"/>
      <c r="K127" s="49"/>
      <c r="L127" s="49"/>
      <c r="M127" s="49"/>
      <c r="N127" s="49"/>
      <c r="O127" s="49"/>
      <c r="P127" s="49"/>
      <c r="Q127" s="49"/>
      <c r="R127" s="49"/>
      <c r="S127" s="49"/>
      <c r="T127" s="52"/>
      <c r="U127" s="143"/>
      <c r="V127" s="143"/>
      <c r="W127" s="143"/>
      <c r="X127" s="143"/>
      <c r="Y127" s="143"/>
      <c r="Z127" s="143"/>
    </row>
    <row r="128" ht="13.5" customHeight="1">
      <c r="A128" s="49"/>
      <c r="B128" s="49"/>
      <c r="C128" s="49"/>
      <c r="D128" s="49"/>
      <c r="E128" s="49"/>
      <c r="F128" s="49"/>
      <c r="G128" s="49"/>
      <c r="H128" s="49"/>
      <c r="I128" s="49"/>
      <c r="J128" s="49"/>
      <c r="K128" s="49"/>
      <c r="L128" s="49"/>
      <c r="M128" s="49"/>
      <c r="N128" s="49"/>
      <c r="O128" s="49"/>
      <c r="P128" s="49"/>
      <c r="Q128" s="49"/>
      <c r="R128" s="49"/>
      <c r="S128" s="49"/>
      <c r="T128" s="52"/>
      <c r="U128" s="143"/>
      <c r="V128" s="143"/>
      <c r="W128" s="143"/>
      <c r="X128" s="143"/>
      <c r="Y128" s="143"/>
      <c r="Z128" s="143"/>
    </row>
    <row r="129" ht="13.5" customHeight="1">
      <c r="A129" s="49"/>
      <c r="B129" s="49"/>
      <c r="C129" s="49"/>
      <c r="D129" s="49"/>
      <c r="E129" s="49"/>
      <c r="F129" s="49"/>
      <c r="G129" s="49"/>
      <c r="H129" s="49"/>
      <c r="I129" s="49"/>
      <c r="J129" s="49"/>
      <c r="K129" s="49"/>
      <c r="L129" s="49"/>
      <c r="M129" s="49"/>
      <c r="N129" s="49"/>
      <c r="O129" s="49"/>
      <c r="P129" s="49"/>
      <c r="Q129" s="49"/>
      <c r="R129" s="49"/>
      <c r="S129" s="49"/>
      <c r="T129" s="52"/>
      <c r="U129" s="143"/>
      <c r="V129" s="143"/>
      <c r="W129" s="143"/>
      <c r="X129" s="143"/>
      <c r="Y129" s="143"/>
      <c r="Z129" s="143"/>
    </row>
    <row r="130" ht="13.5" customHeight="1">
      <c r="A130" s="49"/>
      <c r="B130" s="49"/>
      <c r="C130" s="49"/>
      <c r="D130" s="49"/>
      <c r="E130" s="49"/>
      <c r="F130" s="49"/>
      <c r="G130" s="49"/>
      <c r="H130" s="49"/>
      <c r="I130" s="49"/>
      <c r="J130" s="49"/>
      <c r="K130" s="49"/>
      <c r="L130" s="49"/>
      <c r="M130" s="49"/>
      <c r="N130" s="49"/>
      <c r="O130" s="49"/>
      <c r="P130" s="49"/>
      <c r="Q130" s="49"/>
      <c r="R130" s="49"/>
      <c r="S130" s="49"/>
      <c r="T130" s="52"/>
      <c r="U130" s="143"/>
      <c r="V130" s="143"/>
      <c r="W130" s="143"/>
      <c r="X130" s="143"/>
      <c r="Y130" s="143"/>
      <c r="Z130" s="143"/>
    </row>
    <row r="131" ht="13.5" customHeight="1">
      <c r="A131" s="49"/>
      <c r="B131" s="49"/>
      <c r="C131" s="49"/>
      <c r="D131" s="49"/>
      <c r="E131" s="49"/>
      <c r="F131" s="49"/>
      <c r="G131" s="49"/>
      <c r="H131" s="49"/>
      <c r="I131" s="49"/>
      <c r="J131" s="49"/>
      <c r="K131" s="49"/>
      <c r="L131" s="49"/>
      <c r="M131" s="49"/>
      <c r="N131" s="49"/>
      <c r="O131" s="49"/>
      <c r="P131" s="49"/>
      <c r="Q131" s="49"/>
      <c r="R131" s="49"/>
      <c r="S131" s="49"/>
      <c r="T131" s="52"/>
      <c r="U131" s="143"/>
      <c r="V131" s="143"/>
      <c r="W131" s="143"/>
      <c r="X131" s="143"/>
      <c r="Y131" s="143"/>
      <c r="Z131" s="143"/>
    </row>
    <row r="132" ht="13.5" customHeight="1">
      <c r="A132" s="49"/>
      <c r="B132" s="49"/>
      <c r="C132" s="49"/>
      <c r="D132" s="49"/>
      <c r="E132" s="49"/>
      <c r="F132" s="49"/>
      <c r="G132" s="49"/>
      <c r="H132" s="49"/>
      <c r="I132" s="49"/>
      <c r="J132" s="49"/>
      <c r="K132" s="49"/>
      <c r="L132" s="49"/>
      <c r="M132" s="49"/>
      <c r="N132" s="49"/>
      <c r="O132" s="49"/>
      <c r="P132" s="49"/>
      <c r="Q132" s="49"/>
      <c r="R132" s="49"/>
      <c r="S132" s="49"/>
      <c r="T132" s="52"/>
      <c r="U132" s="143"/>
      <c r="V132" s="143"/>
      <c r="W132" s="143"/>
      <c r="X132" s="143"/>
      <c r="Y132" s="143"/>
      <c r="Z132" s="143"/>
    </row>
    <row r="133" ht="13.5" customHeight="1">
      <c r="A133" s="49"/>
      <c r="B133" s="49"/>
      <c r="C133" s="49"/>
      <c r="D133" s="49"/>
      <c r="E133" s="49"/>
      <c r="F133" s="49"/>
      <c r="G133" s="49"/>
      <c r="H133" s="49"/>
      <c r="I133" s="49"/>
      <c r="J133" s="49"/>
      <c r="K133" s="49"/>
      <c r="L133" s="49"/>
      <c r="M133" s="49"/>
      <c r="N133" s="49"/>
      <c r="O133" s="49"/>
      <c r="P133" s="49"/>
      <c r="Q133" s="49"/>
      <c r="R133" s="49"/>
      <c r="S133" s="49"/>
      <c r="T133" s="52"/>
      <c r="U133" s="143"/>
      <c r="V133" s="143"/>
      <c r="W133" s="143"/>
      <c r="X133" s="143"/>
      <c r="Y133" s="143"/>
      <c r="Z133" s="143"/>
    </row>
    <row r="134" ht="13.5" customHeight="1">
      <c r="A134" s="49"/>
      <c r="B134" s="49"/>
      <c r="C134" s="49"/>
      <c r="D134" s="49"/>
      <c r="E134" s="49"/>
      <c r="F134" s="49"/>
      <c r="G134" s="49"/>
      <c r="H134" s="49"/>
      <c r="I134" s="49"/>
      <c r="J134" s="49"/>
      <c r="K134" s="49"/>
      <c r="L134" s="49"/>
      <c r="M134" s="49"/>
      <c r="N134" s="49"/>
      <c r="O134" s="49"/>
      <c r="P134" s="49"/>
      <c r="Q134" s="49"/>
      <c r="R134" s="49"/>
      <c r="S134" s="49"/>
      <c r="T134" s="52"/>
      <c r="U134" s="143"/>
      <c r="V134" s="143"/>
      <c r="W134" s="143"/>
      <c r="X134" s="143"/>
      <c r="Y134" s="143"/>
      <c r="Z134" s="143"/>
    </row>
    <row r="135" ht="13.5" customHeight="1">
      <c r="A135" s="49"/>
      <c r="B135" s="49"/>
      <c r="C135" s="49"/>
      <c r="D135" s="49"/>
      <c r="E135" s="49"/>
      <c r="F135" s="49"/>
      <c r="G135" s="49"/>
      <c r="H135" s="49"/>
      <c r="I135" s="49"/>
      <c r="J135" s="49"/>
      <c r="K135" s="49"/>
      <c r="L135" s="49"/>
      <c r="M135" s="49"/>
      <c r="N135" s="49"/>
      <c r="O135" s="49"/>
      <c r="P135" s="49"/>
      <c r="Q135" s="49"/>
      <c r="R135" s="49"/>
      <c r="S135" s="49"/>
      <c r="T135" s="52"/>
      <c r="U135" s="143"/>
      <c r="V135" s="143"/>
      <c r="W135" s="143"/>
      <c r="X135" s="143"/>
      <c r="Y135" s="143"/>
      <c r="Z135" s="143"/>
    </row>
    <row r="136" ht="13.5" customHeight="1">
      <c r="A136" s="49"/>
      <c r="B136" s="49"/>
      <c r="C136" s="49"/>
      <c r="D136" s="49"/>
      <c r="E136" s="49"/>
      <c r="F136" s="49"/>
      <c r="G136" s="49"/>
      <c r="H136" s="49"/>
      <c r="I136" s="49"/>
      <c r="J136" s="49"/>
      <c r="K136" s="49"/>
      <c r="L136" s="49"/>
      <c r="M136" s="49"/>
      <c r="N136" s="49"/>
      <c r="O136" s="49"/>
      <c r="P136" s="49"/>
      <c r="Q136" s="49"/>
      <c r="R136" s="49"/>
      <c r="S136" s="49"/>
      <c r="T136" s="52"/>
      <c r="U136" s="143"/>
      <c r="V136" s="143"/>
      <c r="W136" s="143"/>
      <c r="X136" s="143"/>
      <c r="Y136" s="143"/>
      <c r="Z136" s="143"/>
    </row>
    <row r="137" ht="13.5" customHeight="1">
      <c r="A137" s="49"/>
      <c r="B137" s="49"/>
      <c r="C137" s="49"/>
      <c r="D137" s="49"/>
      <c r="E137" s="49"/>
      <c r="F137" s="49"/>
      <c r="G137" s="49"/>
      <c r="H137" s="49"/>
      <c r="I137" s="49"/>
      <c r="J137" s="49"/>
      <c r="K137" s="49"/>
      <c r="L137" s="49"/>
      <c r="M137" s="49"/>
      <c r="N137" s="49"/>
      <c r="O137" s="49"/>
      <c r="P137" s="49"/>
      <c r="Q137" s="49"/>
      <c r="R137" s="49"/>
      <c r="S137" s="49"/>
      <c r="T137" s="52"/>
      <c r="U137" s="143"/>
      <c r="V137" s="143"/>
      <c r="W137" s="143"/>
      <c r="X137" s="143"/>
      <c r="Y137" s="143"/>
      <c r="Z137" s="143"/>
    </row>
    <row r="138" ht="13.5" customHeight="1">
      <c r="A138" s="49"/>
      <c r="B138" s="49"/>
      <c r="C138" s="49"/>
      <c r="D138" s="49"/>
      <c r="E138" s="49"/>
      <c r="F138" s="49"/>
      <c r="G138" s="49"/>
      <c r="H138" s="49"/>
      <c r="I138" s="49"/>
      <c r="J138" s="49"/>
      <c r="K138" s="49"/>
      <c r="L138" s="49"/>
      <c r="M138" s="49"/>
      <c r="N138" s="49"/>
      <c r="O138" s="49"/>
      <c r="P138" s="49"/>
      <c r="Q138" s="49"/>
      <c r="R138" s="49"/>
      <c r="S138" s="49"/>
      <c r="T138" s="52"/>
      <c r="U138" s="143"/>
      <c r="V138" s="143"/>
      <c r="W138" s="143"/>
      <c r="X138" s="143"/>
      <c r="Y138" s="143"/>
      <c r="Z138" s="143"/>
    </row>
    <row r="139" ht="13.5" customHeight="1">
      <c r="A139" s="49"/>
      <c r="B139" s="49"/>
      <c r="C139" s="49"/>
      <c r="D139" s="49"/>
      <c r="E139" s="49"/>
      <c r="F139" s="49"/>
      <c r="G139" s="49"/>
      <c r="H139" s="49"/>
      <c r="I139" s="49"/>
      <c r="J139" s="49"/>
      <c r="K139" s="49"/>
      <c r="L139" s="49"/>
      <c r="M139" s="49"/>
      <c r="N139" s="49"/>
      <c r="O139" s="49"/>
      <c r="P139" s="49"/>
      <c r="Q139" s="49"/>
      <c r="R139" s="49"/>
      <c r="S139" s="49"/>
      <c r="T139" s="52"/>
      <c r="U139" s="143"/>
      <c r="V139" s="143"/>
      <c r="W139" s="143"/>
      <c r="X139" s="143"/>
      <c r="Y139" s="143"/>
      <c r="Z139" s="143"/>
    </row>
    <row r="140" ht="13.5" customHeight="1">
      <c r="A140" s="49"/>
      <c r="B140" s="49"/>
      <c r="C140" s="49"/>
      <c r="D140" s="49"/>
      <c r="E140" s="49"/>
      <c r="F140" s="49"/>
      <c r="G140" s="49"/>
      <c r="H140" s="49"/>
      <c r="I140" s="49"/>
      <c r="J140" s="49"/>
      <c r="K140" s="49"/>
      <c r="L140" s="49"/>
      <c r="M140" s="49"/>
      <c r="N140" s="49"/>
      <c r="O140" s="49"/>
      <c r="P140" s="49"/>
      <c r="Q140" s="49"/>
      <c r="R140" s="49"/>
      <c r="S140" s="49"/>
      <c r="T140" s="52"/>
      <c r="U140" s="143"/>
      <c r="V140" s="143"/>
      <c r="W140" s="143"/>
      <c r="X140" s="143"/>
      <c r="Y140" s="143"/>
      <c r="Z140" s="143"/>
    </row>
    <row r="141" ht="13.5" customHeight="1">
      <c r="A141" s="49"/>
      <c r="B141" s="49"/>
      <c r="C141" s="49"/>
      <c r="D141" s="49"/>
      <c r="E141" s="49"/>
      <c r="F141" s="49"/>
      <c r="G141" s="49"/>
      <c r="H141" s="49"/>
      <c r="I141" s="49"/>
      <c r="J141" s="49"/>
      <c r="K141" s="49"/>
      <c r="L141" s="49"/>
      <c r="M141" s="49"/>
      <c r="N141" s="49"/>
      <c r="O141" s="49"/>
      <c r="P141" s="49"/>
      <c r="Q141" s="49"/>
      <c r="R141" s="49"/>
      <c r="S141" s="49"/>
      <c r="T141" s="52"/>
      <c r="U141" s="143"/>
      <c r="V141" s="143"/>
      <c r="W141" s="143"/>
      <c r="X141" s="143"/>
      <c r="Y141" s="143"/>
      <c r="Z141" s="143"/>
    </row>
    <row r="142" ht="13.5" customHeight="1">
      <c r="A142" s="49"/>
      <c r="B142" s="49"/>
      <c r="C142" s="49"/>
      <c r="D142" s="49"/>
      <c r="E142" s="49"/>
      <c r="F142" s="49"/>
      <c r="G142" s="49"/>
      <c r="H142" s="49"/>
      <c r="I142" s="49"/>
      <c r="J142" s="49"/>
      <c r="K142" s="49"/>
      <c r="L142" s="49"/>
      <c r="M142" s="49"/>
      <c r="N142" s="49"/>
      <c r="O142" s="49"/>
      <c r="P142" s="49"/>
      <c r="Q142" s="49"/>
      <c r="R142" s="49"/>
      <c r="S142" s="49"/>
      <c r="T142" s="52"/>
      <c r="U142" s="143"/>
      <c r="V142" s="143"/>
      <c r="W142" s="143"/>
      <c r="X142" s="143"/>
      <c r="Y142" s="143"/>
      <c r="Z142" s="143"/>
    </row>
    <row r="143" ht="13.5" customHeight="1">
      <c r="A143" s="49"/>
      <c r="B143" s="49"/>
      <c r="C143" s="49"/>
      <c r="D143" s="49"/>
      <c r="E143" s="49"/>
      <c r="F143" s="49"/>
      <c r="G143" s="49"/>
      <c r="H143" s="49"/>
      <c r="I143" s="49"/>
      <c r="J143" s="49"/>
      <c r="K143" s="49"/>
      <c r="L143" s="49"/>
      <c r="M143" s="49"/>
      <c r="N143" s="49"/>
      <c r="O143" s="49"/>
      <c r="P143" s="49"/>
      <c r="Q143" s="49"/>
      <c r="R143" s="49"/>
      <c r="S143" s="49"/>
      <c r="T143" s="52"/>
      <c r="U143" s="143"/>
      <c r="V143" s="143"/>
      <c r="W143" s="143"/>
      <c r="X143" s="143"/>
      <c r="Y143" s="143"/>
      <c r="Z143" s="143"/>
    </row>
    <row r="144" ht="13.5" customHeight="1">
      <c r="A144" s="49"/>
      <c r="B144" s="49"/>
      <c r="C144" s="49"/>
      <c r="D144" s="49"/>
      <c r="E144" s="49"/>
      <c r="F144" s="49"/>
      <c r="G144" s="49"/>
      <c r="H144" s="49"/>
      <c r="I144" s="49"/>
      <c r="J144" s="49"/>
      <c r="K144" s="49"/>
      <c r="L144" s="49"/>
      <c r="M144" s="49"/>
      <c r="N144" s="49"/>
      <c r="O144" s="49"/>
      <c r="P144" s="49"/>
      <c r="Q144" s="49"/>
      <c r="R144" s="49"/>
      <c r="S144" s="49"/>
      <c r="T144" s="52"/>
      <c r="U144" s="143"/>
      <c r="V144" s="143"/>
      <c r="W144" s="143"/>
      <c r="X144" s="143"/>
      <c r="Y144" s="143"/>
      <c r="Z144" s="143"/>
    </row>
    <row r="145" ht="13.5" customHeight="1">
      <c r="A145" s="49"/>
      <c r="B145" s="49"/>
      <c r="C145" s="49"/>
      <c r="D145" s="49"/>
      <c r="E145" s="49"/>
      <c r="F145" s="49"/>
      <c r="G145" s="49"/>
      <c r="H145" s="49"/>
      <c r="I145" s="49"/>
      <c r="J145" s="49"/>
      <c r="K145" s="49"/>
      <c r="L145" s="49"/>
      <c r="M145" s="49"/>
      <c r="N145" s="49"/>
      <c r="O145" s="49"/>
      <c r="P145" s="49"/>
      <c r="Q145" s="49"/>
      <c r="R145" s="49"/>
      <c r="S145" s="49"/>
      <c r="T145" s="52"/>
      <c r="U145" s="143"/>
      <c r="V145" s="143"/>
      <c r="W145" s="143"/>
      <c r="X145" s="143"/>
      <c r="Y145" s="143"/>
      <c r="Z145" s="143"/>
    </row>
    <row r="146" ht="13.5" customHeight="1">
      <c r="A146" s="49"/>
      <c r="B146" s="49"/>
      <c r="C146" s="49"/>
      <c r="D146" s="49"/>
      <c r="E146" s="49"/>
      <c r="F146" s="49"/>
      <c r="G146" s="49"/>
      <c r="H146" s="49"/>
      <c r="I146" s="49"/>
      <c r="J146" s="49"/>
      <c r="K146" s="49"/>
      <c r="L146" s="49"/>
      <c r="M146" s="49"/>
      <c r="N146" s="49"/>
      <c r="O146" s="49"/>
      <c r="P146" s="49"/>
      <c r="Q146" s="49"/>
      <c r="R146" s="49"/>
      <c r="S146" s="49"/>
      <c r="T146" s="52"/>
      <c r="U146" s="143"/>
      <c r="V146" s="143"/>
      <c r="W146" s="143"/>
      <c r="X146" s="143"/>
      <c r="Y146" s="143"/>
      <c r="Z146" s="143"/>
    </row>
    <row r="147" ht="13.5" customHeight="1">
      <c r="A147" s="49"/>
      <c r="B147" s="49"/>
      <c r="C147" s="49"/>
      <c r="D147" s="49"/>
      <c r="E147" s="49"/>
      <c r="F147" s="49"/>
      <c r="G147" s="49"/>
      <c r="H147" s="49"/>
      <c r="I147" s="49"/>
      <c r="J147" s="49"/>
      <c r="K147" s="49"/>
      <c r="L147" s="49"/>
      <c r="M147" s="49"/>
      <c r="N147" s="49"/>
      <c r="O147" s="49"/>
      <c r="P147" s="49"/>
      <c r="Q147" s="49"/>
      <c r="R147" s="49"/>
      <c r="S147" s="49"/>
      <c r="T147" s="52"/>
      <c r="U147" s="143"/>
      <c r="V147" s="143"/>
      <c r="W147" s="143"/>
      <c r="X147" s="143"/>
      <c r="Y147" s="143"/>
      <c r="Z147" s="143"/>
    </row>
    <row r="148" ht="13.5" customHeight="1">
      <c r="A148" s="49"/>
      <c r="B148" s="49"/>
      <c r="C148" s="49"/>
      <c r="D148" s="49"/>
      <c r="E148" s="49"/>
      <c r="F148" s="49"/>
      <c r="G148" s="49"/>
      <c r="H148" s="49"/>
      <c r="I148" s="49"/>
      <c r="J148" s="49"/>
      <c r="K148" s="49"/>
      <c r="L148" s="49"/>
      <c r="M148" s="49"/>
      <c r="N148" s="49"/>
      <c r="O148" s="49"/>
      <c r="P148" s="49"/>
      <c r="Q148" s="49"/>
      <c r="R148" s="49"/>
      <c r="S148" s="49"/>
      <c r="T148" s="52"/>
      <c r="U148" s="143"/>
      <c r="V148" s="143"/>
      <c r="W148" s="143"/>
      <c r="X148" s="143"/>
      <c r="Y148" s="143"/>
      <c r="Z148" s="143"/>
    </row>
    <row r="149" ht="13.5" customHeight="1">
      <c r="A149" s="49"/>
      <c r="B149" s="49"/>
      <c r="C149" s="49"/>
      <c r="D149" s="49"/>
      <c r="E149" s="49"/>
      <c r="F149" s="49"/>
      <c r="G149" s="49"/>
      <c r="H149" s="49"/>
      <c r="I149" s="49"/>
      <c r="J149" s="49"/>
      <c r="K149" s="49"/>
      <c r="L149" s="49"/>
      <c r="M149" s="49"/>
      <c r="N149" s="49"/>
      <c r="O149" s="49"/>
      <c r="P149" s="49"/>
      <c r="Q149" s="49"/>
      <c r="R149" s="49"/>
      <c r="S149" s="49"/>
      <c r="T149" s="52"/>
      <c r="U149" s="143"/>
      <c r="V149" s="143"/>
      <c r="W149" s="143"/>
      <c r="X149" s="143"/>
      <c r="Y149" s="143"/>
      <c r="Z149" s="143"/>
    </row>
    <row r="150" ht="13.5" customHeight="1">
      <c r="A150" s="49"/>
      <c r="B150" s="49"/>
      <c r="C150" s="49"/>
      <c r="D150" s="49"/>
      <c r="E150" s="49"/>
      <c r="F150" s="49"/>
      <c r="G150" s="49"/>
      <c r="H150" s="49"/>
      <c r="I150" s="49"/>
      <c r="J150" s="49"/>
      <c r="K150" s="49"/>
      <c r="L150" s="49"/>
      <c r="M150" s="49"/>
      <c r="N150" s="49"/>
      <c r="O150" s="49"/>
      <c r="P150" s="49"/>
      <c r="Q150" s="49"/>
      <c r="R150" s="49"/>
      <c r="S150" s="49"/>
      <c r="T150" s="52"/>
      <c r="U150" s="143"/>
      <c r="V150" s="143"/>
      <c r="W150" s="143"/>
      <c r="X150" s="143"/>
      <c r="Y150" s="143"/>
      <c r="Z150" s="143"/>
    </row>
    <row r="151" ht="13.5" customHeight="1">
      <c r="A151" s="49"/>
      <c r="B151" s="49"/>
      <c r="C151" s="49"/>
      <c r="D151" s="49"/>
      <c r="E151" s="49"/>
      <c r="F151" s="49"/>
      <c r="G151" s="49"/>
      <c r="H151" s="49"/>
      <c r="I151" s="49"/>
      <c r="J151" s="49"/>
      <c r="K151" s="49"/>
      <c r="L151" s="49"/>
      <c r="M151" s="49"/>
      <c r="N151" s="49"/>
      <c r="O151" s="49"/>
      <c r="P151" s="49"/>
      <c r="Q151" s="49"/>
      <c r="R151" s="49"/>
      <c r="S151" s="49"/>
      <c r="T151" s="52"/>
      <c r="U151" s="143"/>
      <c r="V151" s="143"/>
      <c r="W151" s="143"/>
      <c r="X151" s="143"/>
      <c r="Y151" s="143"/>
      <c r="Z151" s="143"/>
    </row>
    <row r="152" ht="13.5" customHeight="1">
      <c r="A152" s="143"/>
      <c r="B152" s="143"/>
      <c r="C152" s="143"/>
      <c r="D152" s="143"/>
      <c r="E152" s="143"/>
      <c r="F152" s="143"/>
      <c r="G152" s="143"/>
      <c r="H152" s="143"/>
      <c r="I152" s="143"/>
      <c r="J152" s="143"/>
      <c r="K152" s="143"/>
      <c r="L152" s="143"/>
      <c r="M152" s="143"/>
      <c r="N152" s="143"/>
      <c r="O152" s="143"/>
      <c r="P152" s="143"/>
      <c r="Q152" s="143"/>
      <c r="R152" s="143"/>
      <c r="S152" s="143"/>
      <c r="T152" s="160"/>
      <c r="U152" s="143"/>
      <c r="V152" s="143"/>
      <c r="W152" s="143"/>
      <c r="X152" s="143"/>
      <c r="Y152" s="143"/>
      <c r="Z152" s="143"/>
    </row>
    <row r="153" ht="13.5" customHeight="1">
      <c r="A153" s="143"/>
      <c r="B153" s="143"/>
      <c r="C153" s="143"/>
      <c r="D153" s="143"/>
      <c r="E153" s="143"/>
      <c r="F153" s="143"/>
      <c r="G153" s="143"/>
      <c r="H153" s="143"/>
      <c r="I153" s="143"/>
      <c r="J153" s="143"/>
      <c r="K153" s="143"/>
      <c r="L153" s="143"/>
      <c r="M153" s="143"/>
      <c r="N153" s="143"/>
      <c r="O153" s="143"/>
      <c r="P153" s="143"/>
      <c r="Q153" s="143"/>
      <c r="R153" s="143"/>
      <c r="S153" s="143"/>
      <c r="T153" s="160"/>
      <c r="U153" s="143"/>
      <c r="V153" s="143"/>
      <c r="W153" s="143"/>
      <c r="X153" s="143"/>
      <c r="Y153" s="143"/>
      <c r="Z153" s="143"/>
    </row>
    <row r="154" ht="13.5" customHeight="1">
      <c r="A154" s="143"/>
      <c r="B154" s="143"/>
      <c r="C154" s="143"/>
      <c r="D154" s="143"/>
      <c r="E154" s="143"/>
      <c r="F154" s="143"/>
      <c r="G154" s="143"/>
      <c r="H154" s="143"/>
      <c r="I154" s="143"/>
      <c r="J154" s="143"/>
      <c r="K154" s="143"/>
      <c r="L154" s="143"/>
      <c r="M154" s="143"/>
      <c r="N154" s="143"/>
      <c r="O154" s="143"/>
      <c r="P154" s="143"/>
      <c r="Q154" s="143"/>
      <c r="R154" s="143"/>
      <c r="S154" s="143"/>
      <c r="T154" s="160"/>
      <c r="U154" s="143"/>
      <c r="V154" s="143"/>
      <c r="W154" s="143"/>
      <c r="X154" s="143"/>
      <c r="Y154" s="143"/>
      <c r="Z154" s="143"/>
    </row>
    <row r="155" ht="13.5" customHeight="1">
      <c r="A155" s="143"/>
      <c r="B155" s="143"/>
      <c r="C155" s="143"/>
      <c r="D155" s="143"/>
      <c r="E155" s="143"/>
      <c r="F155" s="143"/>
      <c r="G155" s="143"/>
      <c r="H155" s="143"/>
      <c r="I155" s="143"/>
      <c r="J155" s="143"/>
      <c r="K155" s="143"/>
      <c r="L155" s="143"/>
      <c r="M155" s="143"/>
      <c r="N155" s="143"/>
      <c r="O155" s="143"/>
      <c r="P155" s="143"/>
      <c r="Q155" s="143"/>
      <c r="R155" s="143"/>
      <c r="S155" s="143"/>
      <c r="T155" s="160"/>
      <c r="U155" s="143"/>
      <c r="V155" s="143"/>
      <c r="W155" s="143"/>
      <c r="X155" s="143"/>
      <c r="Y155" s="143"/>
      <c r="Z155" s="143"/>
    </row>
    <row r="156" ht="13.5" customHeight="1">
      <c r="A156" s="143"/>
      <c r="B156" s="143"/>
      <c r="C156" s="143"/>
      <c r="D156" s="143"/>
      <c r="E156" s="143"/>
      <c r="F156" s="143"/>
      <c r="G156" s="143"/>
      <c r="H156" s="143"/>
      <c r="I156" s="143"/>
      <c r="J156" s="143"/>
      <c r="K156" s="143"/>
      <c r="L156" s="143"/>
      <c r="M156" s="143"/>
      <c r="N156" s="143"/>
      <c r="O156" s="143"/>
      <c r="P156" s="143"/>
      <c r="Q156" s="143"/>
      <c r="R156" s="143"/>
      <c r="S156" s="143"/>
      <c r="T156" s="160"/>
      <c r="U156" s="143"/>
      <c r="V156" s="143"/>
      <c r="W156" s="143"/>
      <c r="X156" s="143"/>
      <c r="Y156" s="143"/>
      <c r="Z156" s="143"/>
    </row>
    <row r="157" ht="13.5" customHeight="1">
      <c r="A157" s="143"/>
      <c r="B157" s="143"/>
      <c r="C157" s="143"/>
      <c r="D157" s="143"/>
      <c r="E157" s="143"/>
      <c r="F157" s="143"/>
      <c r="G157" s="143"/>
      <c r="H157" s="143"/>
      <c r="I157" s="143"/>
      <c r="J157" s="143"/>
      <c r="K157" s="143"/>
      <c r="L157" s="143"/>
      <c r="M157" s="143"/>
      <c r="N157" s="143"/>
      <c r="O157" s="143"/>
      <c r="P157" s="143"/>
      <c r="Q157" s="143"/>
      <c r="R157" s="143"/>
      <c r="S157" s="143"/>
      <c r="T157" s="160"/>
      <c r="U157" s="143"/>
      <c r="V157" s="143"/>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43"/>
      <c r="R158" s="143"/>
      <c r="S158" s="143"/>
      <c r="T158" s="160"/>
      <c r="U158" s="143"/>
      <c r="V158" s="143"/>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43"/>
      <c r="R159" s="143"/>
      <c r="S159" s="143"/>
      <c r="T159" s="160"/>
      <c r="U159" s="143"/>
      <c r="V159" s="143"/>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43"/>
      <c r="R160" s="143"/>
      <c r="S160" s="143"/>
      <c r="T160" s="160"/>
      <c r="U160" s="143"/>
      <c r="V160" s="143"/>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43"/>
      <c r="R161" s="143"/>
      <c r="S161" s="143"/>
      <c r="T161" s="160"/>
      <c r="U161" s="143"/>
      <c r="V161" s="143"/>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43"/>
      <c r="R162" s="143"/>
      <c r="S162" s="143"/>
      <c r="T162" s="160"/>
      <c r="U162" s="143"/>
      <c r="V162" s="143"/>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43"/>
      <c r="R163" s="143"/>
      <c r="S163" s="143"/>
      <c r="T163" s="160"/>
      <c r="U163" s="143"/>
      <c r="V163" s="143"/>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43"/>
      <c r="R164" s="143"/>
      <c r="S164" s="143"/>
      <c r="T164" s="160"/>
      <c r="U164" s="143"/>
      <c r="V164" s="143"/>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43"/>
      <c r="R165" s="143"/>
      <c r="S165" s="143"/>
      <c r="T165" s="160"/>
      <c r="U165" s="143"/>
      <c r="V165" s="143"/>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43"/>
      <c r="R166" s="143"/>
      <c r="S166" s="143"/>
      <c r="T166" s="160"/>
      <c r="U166" s="143"/>
      <c r="V166" s="143"/>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43"/>
      <c r="R167" s="143"/>
      <c r="S167" s="143"/>
      <c r="T167" s="160"/>
      <c r="U167" s="143"/>
      <c r="V167" s="143"/>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43"/>
      <c r="R168" s="143"/>
      <c r="S168" s="143"/>
      <c r="T168" s="160"/>
      <c r="U168" s="143"/>
      <c r="V168" s="143"/>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43"/>
      <c r="R169" s="143"/>
      <c r="S169" s="143"/>
      <c r="T169" s="160"/>
      <c r="U169" s="143"/>
      <c r="V169" s="143"/>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43"/>
      <c r="R170" s="143"/>
      <c r="S170" s="143"/>
      <c r="T170" s="160"/>
      <c r="U170" s="143"/>
      <c r="V170" s="143"/>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43"/>
      <c r="R171" s="143"/>
      <c r="S171" s="143"/>
      <c r="T171" s="160"/>
      <c r="U171" s="143"/>
      <c r="V171" s="143"/>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43"/>
      <c r="R172" s="143"/>
      <c r="S172" s="143"/>
      <c r="T172" s="160"/>
      <c r="U172" s="143"/>
      <c r="V172" s="143"/>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43"/>
      <c r="R173" s="143"/>
      <c r="S173" s="143"/>
      <c r="T173" s="160"/>
      <c r="U173" s="143"/>
      <c r="V173" s="143"/>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43"/>
      <c r="R174" s="143"/>
      <c r="S174" s="143"/>
      <c r="T174" s="160"/>
      <c r="U174" s="143"/>
      <c r="V174" s="143"/>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43"/>
      <c r="R175" s="143"/>
      <c r="S175" s="143"/>
      <c r="T175" s="160"/>
      <c r="U175" s="143"/>
      <c r="V175" s="143"/>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43"/>
      <c r="R176" s="143"/>
      <c r="S176" s="143"/>
      <c r="T176" s="160"/>
      <c r="U176" s="143"/>
      <c r="V176" s="143"/>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43"/>
      <c r="R177" s="143"/>
      <c r="S177" s="143"/>
      <c r="T177" s="160"/>
      <c r="U177" s="143"/>
      <c r="V177" s="143"/>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43"/>
      <c r="R178" s="143"/>
      <c r="S178" s="143"/>
      <c r="T178" s="160"/>
      <c r="U178" s="143"/>
      <c r="V178" s="143"/>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43"/>
      <c r="R179" s="143"/>
      <c r="S179" s="143"/>
      <c r="T179" s="160"/>
      <c r="U179" s="143"/>
      <c r="V179" s="143"/>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43"/>
      <c r="R180" s="143"/>
      <c r="S180" s="143"/>
      <c r="T180" s="160"/>
      <c r="U180" s="143"/>
      <c r="V180" s="143"/>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43"/>
      <c r="R181" s="143"/>
      <c r="S181" s="143"/>
      <c r="T181" s="160"/>
      <c r="U181" s="143"/>
      <c r="V181" s="143"/>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43"/>
      <c r="R182" s="143"/>
      <c r="S182" s="143"/>
      <c r="T182" s="160"/>
      <c r="U182" s="143"/>
      <c r="V182" s="143"/>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43"/>
      <c r="R183" s="143"/>
      <c r="S183" s="143"/>
      <c r="T183" s="160"/>
      <c r="U183" s="143"/>
      <c r="V183" s="143"/>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43"/>
      <c r="R184" s="143"/>
      <c r="S184" s="143"/>
      <c r="T184" s="160"/>
      <c r="U184" s="143"/>
      <c r="V184" s="143"/>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43"/>
      <c r="R185" s="143"/>
      <c r="S185" s="143"/>
      <c r="T185" s="160"/>
      <c r="U185" s="143"/>
      <c r="V185" s="143"/>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43"/>
      <c r="R186" s="143"/>
      <c r="S186" s="143"/>
      <c r="T186" s="160"/>
      <c r="U186" s="143"/>
      <c r="V186" s="143"/>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43"/>
      <c r="R187" s="143"/>
      <c r="S187" s="143"/>
      <c r="T187" s="160"/>
      <c r="U187" s="143"/>
      <c r="V187" s="143"/>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43"/>
      <c r="R188" s="143"/>
      <c r="S188" s="143"/>
      <c r="T188" s="160"/>
      <c r="U188" s="143"/>
      <c r="V188" s="143"/>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43"/>
      <c r="R189" s="143"/>
      <c r="S189" s="143"/>
      <c r="T189" s="160"/>
      <c r="U189" s="143"/>
      <c r="V189" s="143"/>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43"/>
      <c r="R190" s="143"/>
      <c r="S190" s="143"/>
      <c r="T190" s="160"/>
      <c r="U190" s="143"/>
      <c r="V190" s="143"/>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43"/>
      <c r="R191" s="143"/>
      <c r="S191" s="143"/>
      <c r="T191" s="160"/>
      <c r="U191" s="143"/>
      <c r="V191" s="143"/>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43"/>
      <c r="R192" s="143"/>
      <c r="S192" s="143"/>
      <c r="T192" s="160"/>
      <c r="U192" s="143"/>
      <c r="V192" s="143"/>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43"/>
      <c r="R193" s="143"/>
      <c r="S193" s="143"/>
      <c r="T193" s="160"/>
      <c r="U193" s="143"/>
      <c r="V193" s="143"/>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43"/>
      <c r="R194" s="143"/>
      <c r="S194" s="143"/>
      <c r="T194" s="160"/>
      <c r="U194" s="143"/>
      <c r="V194" s="143"/>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43"/>
      <c r="R195" s="143"/>
      <c r="S195" s="143"/>
      <c r="T195" s="160"/>
      <c r="U195" s="143"/>
      <c r="V195" s="143"/>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43"/>
      <c r="R196" s="143"/>
      <c r="S196" s="143"/>
      <c r="T196" s="160"/>
      <c r="U196" s="143"/>
      <c r="V196" s="143"/>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43"/>
      <c r="R197" s="143"/>
      <c r="S197" s="143"/>
      <c r="T197" s="160"/>
      <c r="U197" s="143"/>
      <c r="V197" s="143"/>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43"/>
      <c r="R198" s="143"/>
      <c r="S198" s="143"/>
      <c r="T198" s="160"/>
      <c r="U198" s="143"/>
      <c r="V198" s="143"/>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43"/>
      <c r="R199" s="143"/>
      <c r="S199" s="143"/>
      <c r="T199" s="160"/>
      <c r="U199" s="143"/>
      <c r="V199" s="143"/>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43"/>
      <c r="R200" s="143"/>
      <c r="S200" s="143"/>
      <c r="T200" s="160"/>
      <c r="U200" s="143"/>
      <c r="V200" s="143"/>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43"/>
      <c r="R201" s="143"/>
      <c r="S201" s="143"/>
      <c r="T201" s="160"/>
      <c r="U201" s="143"/>
      <c r="V201" s="143"/>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43"/>
      <c r="R202" s="143"/>
      <c r="S202" s="143"/>
      <c r="T202" s="160"/>
      <c r="U202" s="143"/>
      <c r="V202" s="143"/>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43"/>
      <c r="R203" s="143"/>
      <c r="S203" s="143"/>
      <c r="T203" s="160"/>
      <c r="U203" s="143"/>
      <c r="V203" s="143"/>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43"/>
      <c r="R204" s="143"/>
      <c r="S204" s="143"/>
      <c r="T204" s="160"/>
      <c r="U204" s="143"/>
      <c r="V204" s="143"/>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43"/>
      <c r="R205" s="143"/>
      <c r="S205" s="143"/>
      <c r="T205" s="160"/>
      <c r="U205" s="143"/>
      <c r="V205" s="143"/>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43"/>
      <c r="R206" s="143"/>
      <c r="S206" s="143"/>
      <c r="T206" s="160"/>
      <c r="U206" s="143"/>
      <c r="V206" s="143"/>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43"/>
      <c r="R207" s="143"/>
      <c r="S207" s="143"/>
      <c r="T207" s="160"/>
      <c r="U207" s="143"/>
      <c r="V207" s="143"/>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43"/>
      <c r="R208" s="143"/>
      <c r="S208" s="143"/>
      <c r="T208" s="160"/>
      <c r="U208" s="143"/>
      <c r="V208" s="143"/>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43"/>
      <c r="R209" s="143"/>
      <c r="S209" s="143"/>
      <c r="T209" s="160"/>
      <c r="U209" s="143"/>
      <c r="V209" s="143"/>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43"/>
      <c r="R210" s="143"/>
      <c r="S210" s="143"/>
      <c r="T210" s="160"/>
      <c r="U210" s="143"/>
      <c r="V210" s="143"/>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43"/>
      <c r="R211" s="143"/>
      <c r="S211" s="143"/>
      <c r="T211" s="160"/>
      <c r="U211" s="143"/>
      <c r="V211" s="143"/>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43"/>
      <c r="R212" s="143"/>
      <c r="S212" s="143"/>
      <c r="T212" s="160"/>
      <c r="U212" s="143"/>
      <c r="V212" s="143"/>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43"/>
      <c r="R213" s="143"/>
      <c r="S213" s="143"/>
      <c r="T213" s="160"/>
      <c r="U213" s="143"/>
      <c r="V213" s="143"/>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43"/>
      <c r="R214" s="143"/>
      <c r="S214" s="143"/>
      <c r="T214" s="160"/>
      <c r="U214" s="143"/>
      <c r="V214" s="143"/>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43"/>
      <c r="R215" s="143"/>
      <c r="S215" s="143"/>
      <c r="T215" s="160"/>
      <c r="U215" s="143"/>
      <c r="V215" s="143"/>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43"/>
      <c r="R216" s="143"/>
      <c r="S216" s="143"/>
      <c r="T216" s="160"/>
      <c r="U216" s="143"/>
      <c r="V216" s="143"/>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43"/>
      <c r="R217" s="143"/>
      <c r="S217" s="143"/>
      <c r="T217" s="160"/>
      <c r="U217" s="143"/>
      <c r="V217" s="143"/>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43"/>
      <c r="R218" s="143"/>
      <c r="S218" s="143"/>
      <c r="T218" s="160"/>
      <c r="U218" s="143"/>
      <c r="V218" s="143"/>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43"/>
      <c r="R219" s="143"/>
      <c r="S219" s="143"/>
      <c r="T219" s="160"/>
      <c r="U219" s="143"/>
      <c r="V219" s="143"/>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43"/>
      <c r="R220" s="143"/>
      <c r="S220" s="143"/>
      <c r="T220" s="160"/>
      <c r="U220" s="143"/>
      <c r="V220" s="143"/>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43"/>
      <c r="R221" s="143"/>
      <c r="S221" s="143"/>
      <c r="T221" s="160"/>
      <c r="U221" s="143"/>
      <c r="V221" s="143"/>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43"/>
      <c r="R222" s="143"/>
      <c r="S222" s="143"/>
      <c r="T222" s="160"/>
      <c r="U222" s="143"/>
      <c r="V222" s="143"/>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43"/>
      <c r="R223" s="143"/>
      <c r="S223" s="143"/>
      <c r="T223" s="160"/>
      <c r="U223" s="143"/>
      <c r="V223" s="143"/>
      <c r="W223" s="143"/>
      <c r="X223" s="143"/>
      <c r="Y223" s="143"/>
      <c r="Z223" s="143"/>
    </row>
    <row r="224" ht="13.5" customHeight="1">
      <c r="A224" s="143"/>
      <c r="B224" s="143"/>
      <c r="C224" s="143"/>
      <c r="D224" s="143"/>
      <c r="E224" s="143"/>
      <c r="F224" s="143"/>
      <c r="G224" s="143"/>
      <c r="H224" s="143"/>
      <c r="I224" s="143"/>
      <c r="J224" s="143"/>
      <c r="K224" s="143"/>
      <c r="L224" s="143"/>
      <c r="M224" s="143"/>
      <c r="N224" s="143"/>
      <c r="O224" s="143"/>
      <c r="P224" s="143"/>
      <c r="Q224" s="143"/>
      <c r="R224" s="143"/>
      <c r="S224" s="143"/>
      <c r="T224" s="160"/>
      <c r="U224" s="143"/>
      <c r="V224" s="143"/>
      <c r="W224" s="143"/>
      <c r="X224" s="143"/>
      <c r="Y224" s="143"/>
      <c r="Z224" s="143"/>
    </row>
    <row r="225" ht="13.5" customHeight="1">
      <c r="A225" s="143"/>
      <c r="B225" s="143"/>
      <c r="C225" s="143"/>
      <c r="D225" s="143"/>
      <c r="E225" s="143"/>
      <c r="F225" s="143"/>
      <c r="G225" s="143"/>
      <c r="H225" s="143"/>
      <c r="I225" s="143"/>
      <c r="J225" s="143"/>
      <c r="K225" s="143"/>
      <c r="L225" s="143"/>
      <c r="M225" s="143"/>
      <c r="N225" s="143"/>
      <c r="O225" s="143"/>
      <c r="P225" s="143"/>
      <c r="Q225" s="143"/>
      <c r="R225" s="143"/>
      <c r="S225" s="143"/>
      <c r="T225" s="160"/>
      <c r="U225" s="143"/>
      <c r="V225" s="143"/>
      <c r="W225" s="143"/>
      <c r="X225" s="143"/>
      <c r="Y225" s="143"/>
      <c r="Z225" s="143"/>
    </row>
    <row r="226" ht="13.5" customHeight="1">
      <c r="A226" s="143"/>
      <c r="B226" s="143"/>
      <c r="C226" s="143"/>
      <c r="D226" s="143"/>
      <c r="E226" s="143"/>
      <c r="F226" s="143"/>
      <c r="G226" s="143"/>
      <c r="H226" s="143"/>
      <c r="I226" s="143"/>
      <c r="J226" s="143"/>
      <c r="K226" s="143"/>
      <c r="L226" s="143"/>
      <c r="M226" s="143"/>
      <c r="N226" s="143"/>
      <c r="O226" s="143"/>
      <c r="P226" s="143"/>
      <c r="Q226" s="143"/>
      <c r="R226" s="143"/>
      <c r="S226" s="143"/>
      <c r="T226" s="160"/>
      <c r="U226" s="143"/>
      <c r="V226" s="143"/>
      <c r="W226" s="143"/>
      <c r="X226" s="143"/>
      <c r="Y226" s="143"/>
      <c r="Z226" s="143"/>
    </row>
    <row r="227" ht="13.5" customHeight="1">
      <c r="A227" s="143"/>
      <c r="B227" s="143"/>
      <c r="C227" s="143"/>
      <c r="D227" s="143"/>
      <c r="E227" s="143"/>
      <c r="F227" s="143"/>
      <c r="G227" s="143"/>
      <c r="H227" s="143"/>
      <c r="I227" s="143"/>
      <c r="J227" s="143"/>
      <c r="K227" s="143"/>
      <c r="L227" s="143"/>
      <c r="M227" s="143"/>
      <c r="N227" s="143"/>
      <c r="O227" s="143"/>
      <c r="P227" s="143"/>
      <c r="Q227" s="143"/>
      <c r="R227" s="143"/>
      <c r="S227" s="143"/>
      <c r="T227" s="160"/>
      <c r="U227" s="143"/>
      <c r="V227" s="143"/>
      <c r="W227" s="143"/>
      <c r="X227" s="143"/>
      <c r="Y227" s="143"/>
      <c r="Z227" s="143"/>
    </row>
    <row r="228" ht="13.5" customHeight="1">
      <c r="A228" s="143"/>
      <c r="B228" s="143"/>
      <c r="C228" s="143"/>
      <c r="D228" s="143"/>
      <c r="E228" s="143"/>
      <c r="F228" s="143"/>
      <c r="G228" s="143"/>
      <c r="H228" s="143"/>
      <c r="I228" s="143"/>
      <c r="J228" s="143"/>
      <c r="K228" s="143"/>
      <c r="L228" s="143"/>
      <c r="M228" s="143"/>
      <c r="N228" s="143"/>
      <c r="O228" s="143"/>
      <c r="P228" s="143"/>
      <c r="Q228" s="143"/>
      <c r="R228" s="143"/>
      <c r="S228" s="143"/>
      <c r="T228" s="160"/>
      <c r="U228" s="143"/>
      <c r="V228" s="143"/>
      <c r="W228" s="143"/>
      <c r="X228" s="143"/>
      <c r="Y228" s="143"/>
      <c r="Z228" s="143"/>
    </row>
    <row r="229" ht="13.5" customHeight="1">
      <c r="A229" s="143"/>
      <c r="B229" s="143"/>
      <c r="C229" s="143"/>
      <c r="D229" s="143"/>
      <c r="E229" s="143"/>
      <c r="F229" s="143"/>
      <c r="G229" s="143"/>
      <c r="H229" s="143"/>
      <c r="I229" s="143"/>
      <c r="J229" s="143"/>
      <c r="K229" s="143"/>
      <c r="L229" s="143"/>
      <c r="M229" s="143"/>
      <c r="N229" s="143"/>
      <c r="O229" s="143"/>
      <c r="P229" s="143"/>
      <c r="Q229" s="143"/>
      <c r="R229" s="143"/>
      <c r="S229" s="143"/>
      <c r="T229" s="160"/>
      <c r="U229" s="143"/>
      <c r="V229" s="143"/>
      <c r="W229" s="143"/>
      <c r="X229" s="143"/>
      <c r="Y229" s="143"/>
      <c r="Z229" s="143"/>
    </row>
    <row r="230" ht="13.5" customHeight="1">
      <c r="A230" s="143"/>
      <c r="B230" s="143"/>
      <c r="C230" s="143"/>
      <c r="D230" s="143"/>
      <c r="E230" s="143"/>
      <c r="F230" s="143"/>
      <c r="G230" s="143"/>
      <c r="H230" s="143"/>
      <c r="I230" s="143"/>
      <c r="J230" s="143"/>
      <c r="K230" s="143"/>
      <c r="L230" s="143"/>
      <c r="M230" s="143"/>
      <c r="N230" s="143"/>
      <c r="O230" s="143"/>
      <c r="P230" s="143"/>
      <c r="Q230" s="143"/>
      <c r="R230" s="143"/>
      <c r="S230" s="143"/>
      <c r="T230" s="160"/>
      <c r="U230" s="143"/>
      <c r="V230" s="143"/>
      <c r="W230" s="143"/>
      <c r="X230" s="143"/>
      <c r="Y230" s="143"/>
      <c r="Z230" s="143"/>
    </row>
    <row r="231" ht="13.5" customHeight="1">
      <c r="A231" s="143"/>
      <c r="B231" s="143"/>
      <c r="C231" s="143"/>
      <c r="D231" s="143"/>
      <c r="E231" s="143"/>
      <c r="F231" s="143"/>
      <c r="G231" s="143"/>
      <c r="H231" s="143"/>
      <c r="I231" s="143"/>
      <c r="J231" s="143"/>
      <c r="K231" s="143"/>
      <c r="L231" s="143"/>
      <c r="M231" s="143"/>
      <c r="N231" s="143"/>
      <c r="O231" s="143"/>
      <c r="P231" s="143"/>
      <c r="Q231" s="143"/>
      <c r="R231" s="143"/>
      <c r="S231" s="143"/>
      <c r="T231" s="160"/>
      <c r="U231" s="143"/>
      <c r="V231" s="143"/>
      <c r="W231" s="143"/>
      <c r="X231" s="143"/>
      <c r="Y231" s="143"/>
      <c r="Z231" s="143"/>
    </row>
    <row r="232" ht="13.5" customHeight="1">
      <c r="A232" s="143"/>
      <c r="B232" s="143"/>
      <c r="C232" s="143"/>
      <c r="D232" s="143"/>
      <c r="E232" s="143"/>
      <c r="F232" s="143"/>
      <c r="G232" s="143"/>
      <c r="H232" s="143"/>
      <c r="I232" s="143"/>
      <c r="J232" s="143"/>
      <c r="K232" s="143"/>
      <c r="L232" s="143"/>
      <c r="M232" s="143"/>
      <c r="N232" s="143"/>
      <c r="O232" s="143"/>
      <c r="P232" s="143"/>
      <c r="Q232" s="143"/>
      <c r="R232" s="143"/>
      <c r="S232" s="143"/>
      <c r="T232" s="160"/>
      <c r="U232" s="143"/>
      <c r="V232" s="143"/>
      <c r="W232" s="143"/>
      <c r="X232" s="143"/>
      <c r="Y232" s="143"/>
      <c r="Z232" s="143"/>
    </row>
    <row r="233" ht="13.5" customHeight="1">
      <c r="A233" s="143"/>
      <c r="B233" s="143"/>
      <c r="C233" s="143"/>
      <c r="D233" s="143"/>
      <c r="E233" s="143"/>
      <c r="F233" s="143"/>
      <c r="G233" s="143"/>
      <c r="H233" s="143"/>
      <c r="I233" s="143"/>
      <c r="J233" s="143"/>
      <c r="K233" s="143"/>
      <c r="L233" s="143"/>
      <c r="M233" s="143"/>
      <c r="N233" s="143"/>
      <c r="O233" s="143"/>
      <c r="P233" s="143"/>
      <c r="Q233" s="143"/>
      <c r="R233" s="143"/>
      <c r="S233" s="143"/>
      <c r="T233" s="160"/>
      <c r="U233" s="143"/>
      <c r="V233" s="143"/>
      <c r="W233" s="143"/>
      <c r="X233" s="143"/>
      <c r="Y233" s="143"/>
      <c r="Z233" s="143"/>
    </row>
    <row r="234" ht="13.5" customHeight="1">
      <c r="A234" s="143"/>
      <c r="B234" s="143"/>
      <c r="C234" s="143"/>
      <c r="D234" s="143"/>
      <c r="E234" s="143"/>
      <c r="F234" s="143"/>
      <c r="G234" s="143"/>
      <c r="H234" s="143"/>
      <c r="I234" s="143"/>
      <c r="J234" s="143"/>
      <c r="K234" s="143"/>
      <c r="L234" s="143"/>
      <c r="M234" s="143"/>
      <c r="N234" s="143"/>
      <c r="O234" s="143"/>
      <c r="P234" s="143"/>
      <c r="Q234" s="143"/>
      <c r="R234" s="143"/>
      <c r="S234" s="143"/>
      <c r="T234" s="160"/>
      <c r="U234" s="143"/>
      <c r="V234" s="143"/>
      <c r="W234" s="143"/>
      <c r="X234" s="143"/>
      <c r="Y234" s="143"/>
      <c r="Z234" s="143"/>
    </row>
    <row r="235" ht="13.5" customHeight="1">
      <c r="A235" s="143"/>
      <c r="B235" s="143"/>
      <c r="C235" s="143"/>
      <c r="D235" s="143"/>
      <c r="E235" s="143"/>
      <c r="F235" s="143"/>
      <c r="G235" s="143"/>
      <c r="H235" s="143"/>
      <c r="I235" s="143"/>
      <c r="J235" s="143"/>
      <c r="K235" s="143"/>
      <c r="L235" s="143"/>
      <c r="M235" s="143"/>
      <c r="N235" s="143"/>
      <c r="O235" s="143"/>
      <c r="P235" s="143"/>
      <c r="Q235" s="143"/>
      <c r="R235" s="143"/>
      <c r="S235" s="143"/>
      <c r="T235" s="160"/>
      <c r="U235" s="143"/>
      <c r="V235" s="143"/>
      <c r="W235" s="143"/>
      <c r="X235" s="143"/>
      <c r="Y235" s="143"/>
      <c r="Z235" s="143"/>
    </row>
    <row r="236" ht="13.5" customHeight="1">
      <c r="A236" s="143"/>
      <c r="B236" s="143"/>
      <c r="C236" s="143"/>
      <c r="D236" s="143"/>
      <c r="E236" s="143"/>
      <c r="F236" s="143"/>
      <c r="G236" s="143"/>
      <c r="H236" s="143"/>
      <c r="I236" s="143"/>
      <c r="J236" s="143"/>
      <c r="K236" s="143"/>
      <c r="L236" s="143"/>
      <c r="M236" s="143"/>
      <c r="N236" s="143"/>
      <c r="O236" s="143"/>
      <c r="P236" s="143"/>
      <c r="Q236" s="143"/>
      <c r="R236" s="143"/>
      <c r="S236" s="143"/>
      <c r="T236" s="160"/>
      <c r="U236" s="143"/>
      <c r="V236" s="143"/>
      <c r="W236" s="143"/>
      <c r="X236" s="143"/>
      <c r="Y236" s="143"/>
      <c r="Z236" s="143"/>
    </row>
    <row r="237" ht="13.5" customHeight="1">
      <c r="A237" s="143"/>
      <c r="B237" s="143"/>
      <c r="C237" s="143"/>
      <c r="D237" s="143"/>
      <c r="E237" s="143"/>
      <c r="F237" s="143"/>
      <c r="G237" s="143"/>
      <c r="H237" s="143"/>
      <c r="I237" s="143"/>
      <c r="J237" s="143"/>
      <c r="K237" s="143"/>
      <c r="L237" s="143"/>
      <c r="M237" s="143"/>
      <c r="N237" s="143"/>
      <c r="O237" s="143"/>
      <c r="P237" s="143"/>
      <c r="Q237" s="143"/>
      <c r="R237" s="143"/>
      <c r="S237" s="143"/>
      <c r="T237" s="160"/>
      <c r="U237" s="143"/>
      <c r="V237" s="143"/>
      <c r="W237" s="143"/>
      <c r="X237" s="143"/>
      <c r="Y237" s="143"/>
      <c r="Z237" s="143"/>
    </row>
    <row r="238" ht="13.5" customHeight="1">
      <c r="A238" s="143"/>
      <c r="B238" s="143"/>
      <c r="C238" s="143"/>
      <c r="D238" s="143"/>
      <c r="E238" s="143"/>
      <c r="F238" s="143"/>
      <c r="G238" s="143"/>
      <c r="H238" s="143"/>
      <c r="I238" s="143"/>
      <c r="J238" s="143"/>
      <c r="K238" s="143"/>
      <c r="L238" s="143"/>
      <c r="M238" s="143"/>
      <c r="N238" s="143"/>
      <c r="O238" s="143"/>
      <c r="P238" s="143"/>
      <c r="Q238" s="143"/>
      <c r="R238" s="143"/>
      <c r="S238" s="143"/>
      <c r="T238" s="160"/>
      <c r="U238" s="143"/>
      <c r="V238" s="143"/>
      <c r="W238" s="143"/>
      <c r="X238" s="143"/>
      <c r="Y238" s="143"/>
      <c r="Z238" s="143"/>
    </row>
    <row r="239" ht="13.5" customHeight="1">
      <c r="A239" s="143"/>
      <c r="B239" s="143"/>
      <c r="C239" s="143"/>
      <c r="D239" s="143"/>
      <c r="E239" s="143"/>
      <c r="F239" s="143"/>
      <c r="G239" s="143"/>
      <c r="H239" s="143"/>
      <c r="I239" s="143"/>
      <c r="J239" s="143"/>
      <c r="K239" s="143"/>
      <c r="L239" s="143"/>
      <c r="M239" s="143"/>
      <c r="N239" s="143"/>
      <c r="O239" s="143"/>
      <c r="P239" s="143"/>
      <c r="Q239" s="143"/>
      <c r="R239" s="143"/>
      <c r="S239" s="143"/>
      <c r="T239" s="160"/>
      <c r="U239" s="143"/>
      <c r="V239" s="143"/>
      <c r="W239" s="143"/>
      <c r="X239" s="143"/>
      <c r="Y239" s="143"/>
      <c r="Z239" s="143"/>
    </row>
    <row r="240" ht="13.5" customHeight="1">
      <c r="A240" s="143"/>
      <c r="B240" s="143"/>
      <c r="C240" s="143"/>
      <c r="D240" s="143"/>
      <c r="E240" s="143"/>
      <c r="F240" s="143"/>
      <c r="G240" s="143"/>
      <c r="H240" s="143"/>
      <c r="I240" s="143"/>
      <c r="J240" s="143"/>
      <c r="K240" s="143"/>
      <c r="L240" s="143"/>
      <c r="M240" s="143"/>
      <c r="N240" s="143"/>
      <c r="O240" s="143"/>
      <c r="P240" s="143"/>
      <c r="Q240" s="143"/>
      <c r="R240" s="143"/>
      <c r="S240" s="143"/>
      <c r="T240" s="160"/>
      <c r="U240" s="143"/>
      <c r="V240" s="143"/>
      <c r="W240" s="143"/>
      <c r="X240" s="143"/>
      <c r="Y240" s="143"/>
      <c r="Z240" s="143"/>
    </row>
    <row r="241" ht="13.5" customHeight="1">
      <c r="A241" s="143"/>
      <c r="B241" s="143"/>
      <c r="C241" s="143"/>
      <c r="D241" s="143"/>
      <c r="E241" s="143"/>
      <c r="F241" s="143"/>
      <c r="G241" s="143"/>
      <c r="H241" s="143"/>
      <c r="I241" s="143"/>
      <c r="J241" s="143"/>
      <c r="K241" s="143"/>
      <c r="L241" s="143"/>
      <c r="M241" s="143"/>
      <c r="N241" s="143"/>
      <c r="O241" s="143"/>
      <c r="P241" s="143"/>
      <c r="Q241" s="143"/>
      <c r="R241" s="143"/>
      <c r="S241" s="143"/>
      <c r="T241" s="160"/>
      <c r="U241" s="143"/>
      <c r="V241" s="143"/>
      <c r="W241" s="143"/>
      <c r="X241" s="143"/>
      <c r="Y241" s="143"/>
      <c r="Z241" s="143"/>
    </row>
    <row r="242" ht="13.5" customHeight="1">
      <c r="A242" s="143"/>
      <c r="B242" s="143"/>
      <c r="C242" s="143"/>
      <c r="D242" s="143"/>
      <c r="E242" s="143"/>
      <c r="F242" s="143"/>
      <c r="G242" s="143"/>
      <c r="H242" s="143"/>
      <c r="I242" s="143"/>
      <c r="J242" s="143"/>
      <c r="K242" s="143"/>
      <c r="L242" s="143"/>
      <c r="M242" s="143"/>
      <c r="N242" s="143"/>
      <c r="O242" s="143"/>
      <c r="P242" s="143"/>
      <c r="Q242" s="143"/>
      <c r="R242" s="143"/>
      <c r="S242" s="143"/>
      <c r="T242" s="160"/>
      <c r="U242" s="143"/>
      <c r="V242" s="143"/>
      <c r="W242" s="143"/>
      <c r="X242" s="143"/>
      <c r="Y242" s="143"/>
      <c r="Z242" s="143"/>
    </row>
    <row r="243" ht="13.5" customHeight="1">
      <c r="A243" s="143"/>
      <c r="B243" s="143"/>
      <c r="C243" s="143"/>
      <c r="D243" s="143"/>
      <c r="E243" s="143"/>
      <c r="F243" s="143"/>
      <c r="G243" s="143"/>
      <c r="H243" s="143"/>
      <c r="I243" s="143"/>
      <c r="J243" s="143"/>
      <c r="K243" s="143"/>
      <c r="L243" s="143"/>
      <c r="M243" s="143"/>
      <c r="N243" s="143"/>
      <c r="O243" s="143"/>
      <c r="P243" s="143"/>
      <c r="Q243" s="143"/>
      <c r="R243" s="143"/>
      <c r="S243" s="143"/>
      <c r="T243" s="160"/>
      <c r="U243" s="143"/>
      <c r="V243" s="143"/>
      <c r="W243" s="143"/>
      <c r="X243" s="143"/>
      <c r="Y243" s="143"/>
      <c r="Z243" s="143"/>
    </row>
    <row r="244" ht="13.5" customHeight="1">
      <c r="A244" s="143"/>
      <c r="B244" s="143"/>
      <c r="C244" s="143"/>
      <c r="D244" s="143"/>
      <c r="E244" s="143"/>
      <c r="F244" s="143"/>
      <c r="G244" s="143"/>
      <c r="H244" s="143"/>
      <c r="I244" s="143"/>
      <c r="J244" s="143"/>
      <c r="K244" s="143"/>
      <c r="L244" s="143"/>
      <c r="M244" s="143"/>
      <c r="N244" s="143"/>
      <c r="O244" s="143"/>
      <c r="P244" s="143"/>
      <c r="Q244" s="143"/>
      <c r="R244" s="143"/>
      <c r="S244" s="143"/>
      <c r="T244" s="160"/>
      <c r="U244" s="143"/>
      <c r="V244" s="143"/>
      <c r="W244" s="143"/>
      <c r="X244" s="143"/>
      <c r="Y244" s="143"/>
      <c r="Z244" s="143"/>
    </row>
    <row r="245" ht="13.5" customHeight="1">
      <c r="A245" s="143"/>
      <c r="B245" s="143"/>
      <c r="C245" s="143"/>
      <c r="D245" s="143"/>
      <c r="E245" s="143"/>
      <c r="F245" s="143"/>
      <c r="G245" s="143"/>
      <c r="H245" s="143"/>
      <c r="I245" s="143"/>
      <c r="J245" s="143"/>
      <c r="K245" s="143"/>
      <c r="L245" s="143"/>
      <c r="M245" s="143"/>
      <c r="N245" s="143"/>
      <c r="O245" s="143"/>
      <c r="P245" s="143"/>
      <c r="Q245" s="143"/>
      <c r="R245" s="143"/>
      <c r="S245" s="143"/>
      <c r="T245" s="160"/>
      <c r="U245" s="143"/>
      <c r="V245" s="143"/>
      <c r="W245" s="143"/>
      <c r="X245" s="143"/>
      <c r="Y245" s="143"/>
      <c r="Z245" s="143"/>
    </row>
    <row r="246" ht="13.5" customHeight="1">
      <c r="A246" s="143"/>
      <c r="B246" s="143"/>
      <c r="C246" s="143"/>
      <c r="D246" s="143"/>
      <c r="E246" s="143"/>
      <c r="F246" s="143"/>
      <c r="G246" s="143"/>
      <c r="H246" s="143"/>
      <c r="I246" s="143"/>
      <c r="J246" s="143"/>
      <c r="K246" s="143"/>
      <c r="L246" s="143"/>
      <c r="M246" s="143"/>
      <c r="N246" s="143"/>
      <c r="O246" s="143"/>
      <c r="P246" s="143"/>
      <c r="Q246" s="143"/>
      <c r="R246" s="143"/>
      <c r="S246" s="143"/>
      <c r="T246" s="160"/>
      <c r="U246" s="143"/>
      <c r="V246" s="143"/>
      <c r="W246" s="143"/>
      <c r="X246" s="143"/>
      <c r="Y246" s="143"/>
      <c r="Z246" s="143"/>
    </row>
    <row r="247" ht="13.5" customHeight="1">
      <c r="A247" s="143"/>
      <c r="B247" s="143"/>
      <c r="C247" s="143"/>
      <c r="D247" s="143"/>
      <c r="E247" s="143"/>
      <c r="F247" s="143"/>
      <c r="G247" s="143"/>
      <c r="H247" s="143"/>
      <c r="I247" s="143"/>
      <c r="J247" s="143"/>
      <c r="K247" s="143"/>
      <c r="L247" s="143"/>
      <c r="M247" s="143"/>
      <c r="N247" s="143"/>
      <c r="O247" s="143"/>
      <c r="P247" s="143"/>
      <c r="Q247" s="143"/>
      <c r="R247" s="143"/>
      <c r="S247" s="143"/>
      <c r="T247" s="160"/>
      <c r="U247" s="143"/>
      <c r="V247" s="143"/>
      <c r="W247" s="143"/>
      <c r="X247" s="143"/>
      <c r="Y247" s="143"/>
      <c r="Z247" s="143"/>
    </row>
    <row r="248" ht="13.5" customHeight="1">
      <c r="A248" s="143"/>
      <c r="B248" s="143"/>
      <c r="C248" s="143"/>
      <c r="D248" s="143"/>
      <c r="E248" s="143"/>
      <c r="F248" s="143"/>
      <c r="G248" s="143"/>
      <c r="H248" s="143"/>
      <c r="I248" s="143"/>
      <c r="J248" s="143"/>
      <c r="K248" s="143"/>
      <c r="L248" s="143"/>
      <c r="M248" s="143"/>
      <c r="N248" s="143"/>
      <c r="O248" s="143"/>
      <c r="P248" s="143"/>
      <c r="Q248" s="143"/>
      <c r="R248" s="143"/>
      <c r="S248" s="143"/>
      <c r="T248" s="160"/>
      <c r="U248" s="143"/>
      <c r="V248" s="143"/>
      <c r="W248" s="143"/>
      <c r="X248" s="143"/>
      <c r="Y248" s="143"/>
      <c r="Z248" s="143"/>
    </row>
    <row r="249" ht="13.5" customHeight="1">
      <c r="A249" s="143"/>
      <c r="B249" s="143"/>
      <c r="C249" s="143"/>
      <c r="D249" s="143"/>
      <c r="E249" s="143"/>
      <c r="F249" s="143"/>
      <c r="G249" s="143"/>
      <c r="H249" s="143"/>
      <c r="I249" s="143"/>
      <c r="J249" s="143"/>
      <c r="K249" s="143"/>
      <c r="L249" s="143"/>
      <c r="M249" s="143"/>
      <c r="N249" s="143"/>
      <c r="O249" s="143"/>
      <c r="P249" s="143"/>
      <c r="Q249" s="143"/>
      <c r="R249" s="143"/>
      <c r="S249" s="143"/>
      <c r="T249" s="160"/>
      <c r="U249" s="143"/>
      <c r="V249" s="143"/>
      <c r="W249" s="143"/>
      <c r="X249" s="143"/>
      <c r="Y249" s="143"/>
      <c r="Z249" s="143"/>
    </row>
    <row r="250" ht="13.5" customHeight="1">
      <c r="A250" s="143"/>
      <c r="B250" s="143"/>
      <c r="C250" s="143"/>
      <c r="D250" s="143"/>
      <c r="E250" s="143"/>
      <c r="F250" s="143"/>
      <c r="G250" s="143"/>
      <c r="H250" s="143"/>
      <c r="I250" s="143"/>
      <c r="J250" s="143"/>
      <c r="K250" s="143"/>
      <c r="L250" s="143"/>
      <c r="M250" s="143"/>
      <c r="N250" s="143"/>
      <c r="O250" s="143"/>
      <c r="P250" s="143"/>
      <c r="Q250" s="143"/>
      <c r="R250" s="143"/>
      <c r="S250" s="143"/>
      <c r="T250" s="160"/>
      <c r="U250" s="143"/>
      <c r="V250" s="143"/>
      <c r="W250" s="143"/>
      <c r="X250" s="143"/>
      <c r="Y250" s="143"/>
      <c r="Z250" s="143"/>
    </row>
    <row r="251" ht="13.5" customHeight="1">
      <c r="A251" s="143"/>
      <c r="B251" s="143"/>
      <c r="C251" s="143"/>
      <c r="D251" s="143"/>
      <c r="E251" s="143"/>
      <c r="F251" s="143"/>
      <c r="G251" s="143"/>
      <c r="H251" s="143"/>
      <c r="I251" s="143"/>
      <c r="J251" s="143"/>
      <c r="K251" s="143"/>
      <c r="L251" s="143"/>
      <c r="M251" s="143"/>
      <c r="N251" s="143"/>
      <c r="O251" s="143"/>
      <c r="P251" s="143"/>
      <c r="Q251" s="143"/>
      <c r="R251" s="143"/>
      <c r="S251" s="143"/>
      <c r="T251" s="160"/>
      <c r="U251" s="143"/>
      <c r="V251" s="143"/>
      <c r="W251" s="143"/>
      <c r="X251" s="143"/>
      <c r="Y251" s="143"/>
      <c r="Z251" s="143"/>
    </row>
    <row r="252" ht="13.5" customHeight="1">
      <c r="A252" s="143"/>
      <c r="B252" s="143"/>
      <c r="C252" s="143"/>
      <c r="D252" s="143"/>
      <c r="E252" s="143"/>
      <c r="F252" s="143"/>
      <c r="G252" s="143"/>
      <c r="H252" s="143"/>
      <c r="I252" s="143"/>
      <c r="J252" s="143"/>
      <c r="K252" s="143"/>
      <c r="L252" s="143"/>
      <c r="M252" s="143"/>
      <c r="N252" s="143"/>
      <c r="O252" s="143"/>
      <c r="P252" s="143"/>
      <c r="Q252" s="143"/>
      <c r="R252" s="143"/>
      <c r="S252" s="143"/>
      <c r="T252" s="160"/>
      <c r="U252" s="143"/>
      <c r="V252" s="143"/>
      <c r="W252" s="143"/>
      <c r="X252" s="143"/>
      <c r="Y252" s="143"/>
      <c r="Z252" s="143"/>
    </row>
    <row r="253" ht="13.5" customHeight="1">
      <c r="A253" s="143"/>
      <c r="B253" s="143"/>
      <c r="C253" s="143"/>
      <c r="D253" s="143"/>
      <c r="E253" s="143"/>
      <c r="F253" s="143"/>
      <c r="G253" s="143"/>
      <c r="H253" s="143"/>
      <c r="I253" s="143"/>
      <c r="J253" s="143"/>
      <c r="K253" s="143"/>
      <c r="L253" s="143"/>
      <c r="M253" s="143"/>
      <c r="N253" s="143"/>
      <c r="O253" s="143"/>
      <c r="P253" s="143"/>
      <c r="Q253" s="143"/>
      <c r="R253" s="143"/>
      <c r="S253" s="143"/>
      <c r="T253" s="160"/>
      <c r="U253" s="143"/>
      <c r="V253" s="143"/>
      <c r="W253" s="143"/>
      <c r="X253" s="143"/>
      <c r="Y253" s="143"/>
      <c r="Z253" s="143"/>
    </row>
    <row r="254" ht="13.5" customHeight="1">
      <c r="A254" s="143"/>
      <c r="B254" s="143"/>
      <c r="C254" s="143"/>
      <c r="D254" s="143"/>
      <c r="E254" s="143"/>
      <c r="F254" s="143"/>
      <c r="G254" s="143"/>
      <c r="H254" s="143"/>
      <c r="I254" s="143"/>
      <c r="J254" s="143"/>
      <c r="K254" s="143"/>
      <c r="L254" s="143"/>
      <c r="M254" s="143"/>
      <c r="N254" s="143"/>
      <c r="O254" s="143"/>
      <c r="P254" s="143"/>
      <c r="Q254" s="143"/>
      <c r="R254" s="143"/>
      <c r="S254" s="143"/>
      <c r="T254" s="160"/>
      <c r="U254" s="143"/>
      <c r="V254" s="143"/>
      <c r="W254" s="143"/>
      <c r="X254" s="143"/>
      <c r="Y254" s="143"/>
      <c r="Z254" s="143"/>
    </row>
    <row r="255" ht="13.5" customHeight="1">
      <c r="A255" s="143"/>
      <c r="B255" s="143"/>
      <c r="C255" s="143"/>
      <c r="D255" s="143"/>
      <c r="E255" s="143"/>
      <c r="F255" s="143"/>
      <c r="G255" s="143"/>
      <c r="H255" s="143"/>
      <c r="I255" s="143"/>
      <c r="J255" s="143"/>
      <c r="K255" s="143"/>
      <c r="L255" s="143"/>
      <c r="M255" s="143"/>
      <c r="N255" s="143"/>
      <c r="O255" s="143"/>
      <c r="P255" s="143"/>
      <c r="Q255" s="143"/>
      <c r="R255" s="143"/>
      <c r="S255" s="143"/>
      <c r="T255" s="160"/>
      <c r="U255" s="143"/>
      <c r="V255" s="143"/>
      <c r="W255" s="143"/>
      <c r="X255" s="143"/>
      <c r="Y255" s="143"/>
      <c r="Z255" s="143"/>
    </row>
    <row r="256" ht="13.5" customHeight="1">
      <c r="A256" s="143"/>
      <c r="B256" s="143"/>
      <c r="C256" s="143"/>
      <c r="D256" s="143"/>
      <c r="E256" s="143"/>
      <c r="F256" s="143"/>
      <c r="G256" s="143"/>
      <c r="H256" s="143"/>
      <c r="I256" s="143"/>
      <c r="J256" s="143"/>
      <c r="K256" s="143"/>
      <c r="L256" s="143"/>
      <c r="M256" s="143"/>
      <c r="N256" s="143"/>
      <c r="O256" s="143"/>
      <c r="P256" s="143"/>
      <c r="Q256" s="143"/>
      <c r="R256" s="143"/>
      <c r="S256" s="143"/>
      <c r="T256" s="160"/>
      <c r="U256" s="143"/>
      <c r="V256" s="143"/>
      <c r="W256" s="143"/>
      <c r="X256" s="143"/>
      <c r="Y256" s="143"/>
      <c r="Z256" s="143"/>
    </row>
    <row r="257" ht="13.5" customHeight="1">
      <c r="A257" s="143"/>
      <c r="B257" s="143"/>
      <c r="C257" s="143"/>
      <c r="D257" s="143"/>
      <c r="E257" s="143"/>
      <c r="F257" s="143"/>
      <c r="G257" s="143"/>
      <c r="H257" s="143"/>
      <c r="I257" s="143"/>
      <c r="J257" s="143"/>
      <c r="K257" s="143"/>
      <c r="L257" s="143"/>
      <c r="M257" s="143"/>
      <c r="N257" s="143"/>
      <c r="O257" s="143"/>
      <c r="P257" s="143"/>
      <c r="Q257" s="143"/>
      <c r="R257" s="143"/>
      <c r="S257" s="143"/>
      <c r="T257" s="160"/>
      <c r="U257" s="143"/>
      <c r="V257" s="143"/>
      <c r="W257" s="143"/>
      <c r="X257" s="143"/>
      <c r="Y257" s="143"/>
      <c r="Z257" s="143"/>
    </row>
    <row r="258" ht="13.5" customHeight="1">
      <c r="A258" s="143"/>
      <c r="B258" s="143"/>
      <c r="C258" s="143"/>
      <c r="D258" s="143"/>
      <c r="E258" s="143"/>
      <c r="F258" s="143"/>
      <c r="G258" s="143"/>
      <c r="H258" s="143"/>
      <c r="I258" s="143"/>
      <c r="J258" s="143"/>
      <c r="K258" s="143"/>
      <c r="L258" s="143"/>
      <c r="M258" s="143"/>
      <c r="N258" s="143"/>
      <c r="O258" s="143"/>
      <c r="P258" s="143"/>
      <c r="Q258" s="143"/>
      <c r="R258" s="143"/>
      <c r="S258" s="143"/>
      <c r="T258" s="160"/>
      <c r="U258" s="143"/>
      <c r="V258" s="143"/>
      <c r="W258" s="143"/>
      <c r="X258" s="143"/>
      <c r="Y258" s="143"/>
      <c r="Z258" s="143"/>
    </row>
    <row r="259" ht="13.5" customHeight="1">
      <c r="A259" s="143"/>
      <c r="B259" s="143"/>
      <c r="C259" s="143"/>
      <c r="D259" s="143"/>
      <c r="E259" s="143"/>
      <c r="F259" s="143"/>
      <c r="G259" s="143"/>
      <c r="H259" s="143"/>
      <c r="I259" s="143"/>
      <c r="J259" s="143"/>
      <c r="K259" s="143"/>
      <c r="L259" s="143"/>
      <c r="M259" s="143"/>
      <c r="N259" s="143"/>
      <c r="O259" s="143"/>
      <c r="P259" s="143"/>
      <c r="Q259" s="143"/>
      <c r="R259" s="143"/>
      <c r="S259" s="143"/>
      <c r="T259" s="160"/>
      <c r="U259" s="143"/>
      <c r="V259" s="143"/>
      <c r="W259" s="143"/>
      <c r="X259" s="143"/>
      <c r="Y259" s="143"/>
      <c r="Z259" s="143"/>
    </row>
    <row r="260" ht="13.5" customHeight="1">
      <c r="A260" s="143"/>
      <c r="B260" s="143"/>
      <c r="C260" s="143"/>
      <c r="D260" s="143"/>
      <c r="E260" s="143"/>
      <c r="F260" s="143"/>
      <c r="G260" s="143"/>
      <c r="H260" s="143"/>
      <c r="I260" s="143"/>
      <c r="J260" s="143"/>
      <c r="K260" s="143"/>
      <c r="L260" s="143"/>
      <c r="M260" s="143"/>
      <c r="N260" s="143"/>
      <c r="O260" s="143"/>
      <c r="P260" s="143"/>
      <c r="Q260" s="143"/>
      <c r="R260" s="143"/>
      <c r="S260" s="143"/>
      <c r="T260" s="160"/>
      <c r="U260" s="143"/>
      <c r="V260" s="143"/>
      <c r="W260" s="143"/>
      <c r="X260" s="143"/>
      <c r="Y260" s="143"/>
      <c r="Z260" s="143"/>
    </row>
    <row r="261" ht="13.5" customHeight="1">
      <c r="A261" s="143"/>
      <c r="B261" s="143"/>
      <c r="C261" s="143"/>
      <c r="D261" s="143"/>
      <c r="E261" s="143"/>
      <c r="F261" s="143"/>
      <c r="G261" s="143"/>
      <c r="H261" s="143"/>
      <c r="I261" s="143"/>
      <c r="J261" s="143"/>
      <c r="K261" s="143"/>
      <c r="L261" s="143"/>
      <c r="M261" s="143"/>
      <c r="N261" s="143"/>
      <c r="O261" s="143"/>
      <c r="P261" s="143"/>
      <c r="Q261" s="143"/>
      <c r="R261" s="143"/>
      <c r="S261" s="143"/>
      <c r="T261" s="160"/>
      <c r="U261" s="143"/>
      <c r="V261" s="143"/>
      <c r="W261" s="143"/>
      <c r="X261" s="143"/>
      <c r="Y261" s="143"/>
      <c r="Z261" s="143"/>
    </row>
    <row r="262" ht="13.5" customHeight="1">
      <c r="A262" s="143"/>
      <c r="B262" s="143"/>
      <c r="C262" s="143"/>
      <c r="D262" s="143"/>
      <c r="E262" s="143"/>
      <c r="F262" s="143"/>
      <c r="G262" s="143"/>
      <c r="H262" s="143"/>
      <c r="I262" s="143"/>
      <c r="J262" s="143"/>
      <c r="K262" s="143"/>
      <c r="L262" s="143"/>
      <c r="M262" s="143"/>
      <c r="N262" s="143"/>
      <c r="O262" s="143"/>
      <c r="P262" s="143"/>
      <c r="Q262" s="143"/>
      <c r="R262" s="143"/>
      <c r="S262" s="143"/>
      <c r="T262" s="160"/>
      <c r="U262" s="143"/>
      <c r="V262" s="143"/>
      <c r="W262" s="143"/>
      <c r="X262" s="143"/>
      <c r="Y262" s="143"/>
      <c r="Z262" s="143"/>
    </row>
    <row r="263" ht="13.5" customHeight="1">
      <c r="A263" s="143"/>
      <c r="B263" s="143"/>
      <c r="C263" s="143"/>
      <c r="D263" s="143"/>
      <c r="E263" s="143"/>
      <c r="F263" s="143"/>
      <c r="G263" s="143"/>
      <c r="H263" s="143"/>
      <c r="I263" s="143"/>
      <c r="J263" s="143"/>
      <c r="K263" s="143"/>
      <c r="L263" s="143"/>
      <c r="M263" s="143"/>
      <c r="N263" s="143"/>
      <c r="O263" s="143"/>
      <c r="P263" s="143"/>
      <c r="Q263" s="143"/>
      <c r="R263" s="143"/>
      <c r="S263" s="143"/>
      <c r="T263" s="160"/>
      <c r="U263" s="143"/>
      <c r="V263" s="143"/>
      <c r="W263" s="143"/>
      <c r="X263" s="143"/>
      <c r="Y263" s="143"/>
      <c r="Z263" s="143"/>
    </row>
    <row r="264" ht="13.5" customHeight="1">
      <c r="A264" s="143"/>
      <c r="B264" s="143"/>
      <c r="C264" s="143"/>
      <c r="D264" s="143"/>
      <c r="E264" s="143"/>
      <c r="F264" s="143"/>
      <c r="G264" s="143"/>
      <c r="H264" s="143"/>
      <c r="I264" s="143"/>
      <c r="J264" s="143"/>
      <c r="K264" s="143"/>
      <c r="L264" s="143"/>
      <c r="M264" s="143"/>
      <c r="N264" s="143"/>
      <c r="O264" s="143"/>
      <c r="P264" s="143"/>
      <c r="Q264" s="143"/>
      <c r="R264" s="143"/>
      <c r="S264" s="143"/>
      <c r="T264" s="160"/>
      <c r="U264" s="143"/>
      <c r="V264" s="143"/>
      <c r="W264" s="143"/>
      <c r="X264" s="143"/>
      <c r="Y264" s="143"/>
      <c r="Z264" s="143"/>
    </row>
    <row r="265" ht="13.5" customHeight="1">
      <c r="A265" s="143"/>
      <c r="B265" s="143"/>
      <c r="C265" s="143"/>
      <c r="D265" s="143"/>
      <c r="E265" s="143"/>
      <c r="F265" s="143"/>
      <c r="G265" s="143"/>
      <c r="H265" s="143"/>
      <c r="I265" s="143"/>
      <c r="J265" s="143"/>
      <c r="K265" s="143"/>
      <c r="L265" s="143"/>
      <c r="M265" s="143"/>
      <c r="N265" s="143"/>
      <c r="O265" s="143"/>
      <c r="P265" s="143"/>
      <c r="Q265" s="143"/>
      <c r="R265" s="143"/>
      <c r="S265" s="143"/>
      <c r="T265" s="160"/>
      <c r="U265" s="143"/>
      <c r="V265" s="143"/>
      <c r="W265" s="143"/>
      <c r="X265" s="143"/>
      <c r="Y265" s="143"/>
      <c r="Z265" s="143"/>
    </row>
    <row r="266" ht="13.5" customHeight="1">
      <c r="A266" s="143"/>
      <c r="B266" s="143"/>
      <c r="C266" s="143"/>
      <c r="D266" s="143"/>
      <c r="E266" s="143"/>
      <c r="F266" s="143"/>
      <c r="G266" s="143"/>
      <c r="H266" s="143"/>
      <c r="I266" s="143"/>
      <c r="J266" s="143"/>
      <c r="K266" s="143"/>
      <c r="L266" s="143"/>
      <c r="M266" s="143"/>
      <c r="N266" s="143"/>
      <c r="O266" s="143"/>
      <c r="P266" s="143"/>
      <c r="Q266" s="143"/>
      <c r="R266" s="143"/>
      <c r="S266" s="143"/>
      <c r="T266" s="160"/>
      <c r="U266" s="143"/>
      <c r="V266" s="143"/>
      <c r="W266" s="143"/>
      <c r="X266" s="143"/>
      <c r="Y266" s="143"/>
      <c r="Z266" s="143"/>
    </row>
    <row r="267" ht="13.5" customHeight="1">
      <c r="A267" s="143"/>
      <c r="B267" s="143"/>
      <c r="C267" s="143"/>
      <c r="D267" s="143"/>
      <c r="E267" s="143"/>
      <c r="F267" s="143"/>
      <c r="G267" s="143"/>
      <c r="H267" s="143"/>
      <c r="I267" s="143"/>
      <c r="J267" s="143"/>
      <c r="K267" s="143"/>
      <c r="L267" s="143"/>
      <c r="M267" s="143"/>
      <c r="N267" s="143"/>
      <c r="O267" s="143"/>
      <c r="P267" s="143"/>
      <c r="Q267" s="143"/>
      <c r="R267" s="143"/>
      <c r="S267" s="143"/>
      <c r="T267" s="160"/>
      <c r="U267" s="143"/>
      <c r="V267" s="143"/>
      <c r="W267" s="143"/>
      <c r="X267" s="143"/>
      <c r="Y267" s="143"/>
      <c r="Z267" s="143"/>
    </row>
    <row r="268" ht="13.5" customHeight="1">
      <c r="A268" s="143"/>
      <c r="B268" s="143"/>
      <c r="C268" s="143"/>
      <c r="D268" s="143"/>
      <c r="E268" s="143"/>
      <c r="F268" s="143"/>
      <c r="G268" s="143"/>
      <c r="H268" s="143"/>
      <c r="I268" s="143"/>
      <c r="J268" s="143"/>
      <c r="K268" s="143"/>
      <c r="L268" s="143"/>
      <c r="M268" s="143"/>
      <c r="N268" s="143"/>
      <c r="O268" s="143"/>
      <c r="P268" s="143"/>
      <c r="Q268" s="143"/>
      <c r="R268" s="143"/>
      <c r="S268" s="143"/>
      <c r="T268" s="160"/>
      <c r="U268" s="143"/>
      <c r="V268" s="143"/>
      <c r="W268" s="143"/>
      <c r="X268" s="143"/>
      <c r="Y268" s="143"/>
      <c r="Z268" s="143"/>
    </row>
    <row r="269" ht="13.5" customHeight="1">
      <c r="A269" s="143"/>
      <c r="B269" s="143"/>
      <c r="C269" s="143"/>
      <c r="D269" s="143"/>
      <c r="E269" s="143"/>
      <c r="F269" s="143"/>
      <c r="G269" s="143"/>
      <c r="H269" s="143"/>
      <c r="I269" s="143"/>
      <c r="J269" s="143"/>
      <c r="K269" s="143"/>
      <c r="L269" s="143"/>
      <c r="M269" s="143"/>
      <c r="N269" s="143"/>
      <c r="O269" s="143"/>
      <c r="P269" s="143"/>
      <c r="Q269" s="143"/>
      <c r="R269" s="143"/>
      <c r="S269" s="143"/>
      <c r="T269" s="160"/>
      <c r="U269" s="143"/>
      <c r="V269" s="143"/>
      <c r="W269" s="143"/>
      <c r="X269" s="143"/>
      <c r="Y269" s="143"/>
      <c r="Z269" s="143"/>
    </row>
    <row r="270" ht="13.5" customHeight="1">
      <c r="A270" s="143"/>
      <c r="B270" s="143"/>
      <c r="C270" s="143"/>
      <c r="D270" s="143"/>
      <c r="E270" s="143"/>
      <c r="F270" s="143"/>
      <c r="G270" s="143"/>
      <c r="H270" s="143"/>
      <c r="I270" s="143"/>
      <c r="J270" s="143"/>
      <c r="K270" s="143"/>
      <c r="L270" s="143"/>
      <c r="M270" s="143"/>
      <c r="N270" s="143"/>
      <c r="O270" s="143"/>
      <c r="P270" s="143"/>
      <c r="Q270" s="143"/>
      <c r="R270" s="143"/>
      <c r="S270" s="143"/>
      <c r="T270" s="160"/>
      <c r="U270" s="143"/>
      <c r="V270" s="143"/>
      <c r="W270" s="143"/>
      <c r="X270" s="143"/>
      <c r="Y270" s="143"/>
      <c r="Z270" s="143"/>
    </row>
    <row r="271" ht="13.5" customHeight="1">
      <c r="A271" s="143"/>
      <c r="B271" s="143"/>
      <c r="C271" s="143"/>
      <c r="D271" s="143"/>
      <c r="E271" s="143"/>
      <c r="F271" s="143"/>
      <c r="G271" s="143"/>
      <c r="H271" s="143"/>
      <c r="I271" s="143"/>
      <c r="J271" s="143"/>
      <c r="K271" s="143"/>
      <c r="L271" s="143"/>
      <c r="M271" s="143"/>
      <c r="N271" s="143"/>
      <c r="O271" s="143"/>
      <c r="P271" s="143"/>
      <c r="Q271" s="143"/>
      <c r="R271" s="143"/>
      <c r="S271" s="143"/>
      <c r="T271" s="160"/>
      <c r="U271" s="143"/>
      <c r="V271" s="143"/>
      <c r="W271" s="143"/>
      <c r="X271" s="143"/>
      <c r="Y271" s="143"/>
      <c r="Z271" s="143"/>
    </row>
    <row r="272" ht="13.5" customHeight="1">
      <c r="A272" s="143"/>
      <c r="B272" s="143"/>
      <c r="C272" s="143"/>
      <c r="D272" s="143"/>
      <c r="E272" s="143"/>
      <c r="F272" s="143"/>
      <c r="G272" s="143"/>
      <c r="H272" s="143"/>
      <c r="I272" s="143"/>
      <c r="J272" s="143"/>
      <c r="K272" s="143"/>
      <c r="L272" s="143"/>
      <c r="M272" s="143"/>
      <c r="N272" s="143"/>
      <c r="O272" s="143"/>
      <c r="P272" s="143"/>
      <c r="Q272" s="143"/>
      <c r="R272" s="143"/>
      <c r="S272" s="143"/>
      <c r="T272" s="160"/>
      <c r="U272" s="143"/>
      <c r="V272" s="143"/>
      <c r="W272" s="143"/>
      <c r="X272" s="143"/>
      <c r="Y272" s="143"/>
      <c r="Z272" s="143"/>
    </row>
    <row r="273" ht="13.5" customHeight="1">
      <c r="A273" s="143"/>
      <c r="B273" s="143"/>
      <c r="C273" s="143"/>
      <c r="D273" s="143"/>
      <c r="E273" s="143"/>
      <c r="F273" s="143"/>
      <c r="G273" s="143"/>
      <c r="H273" s="143"/>
      <c r="I273" s="143"/>
      <c r="J273" s="143"/>
      <c r="K273" s="143"/>
      <c r="L273" s="143"/>
      <c r="M273" s="143"/>
      <c r="N273" s="143"/>
      <c r="O273" s="143"/>
      <c r="P273" s="143"/>
      <c r="Q273" s="143"/>
      <c r="R273" s="143"/>
      <c r="S273" s="143"/>
      <c r="T273" s="160"/>
      <c r="U273" s="143"/>
      <c r="V273" s="143"/>
      <c r="W273" s="143"/>
      <c r="X273" s="143"/>
      <c r="Y273" s="143"/>
      <c r="Z273" s="143"/>
    </row>
    <row r="274" ht="13.5" customHeight="1">
      <c r="A274" s="143"/>
      <c r="B274" s="143"/>
      <c r="C274" s="143"/>
      <c r="D274" s="143"/>
      <c r="E274" s="143"/>
      <c r="F274" s="143"/>
      <c r="G274" s="143"/>
      <c r="H274" s="143"/>
      <c r="I274" s="143"/>
      <c r="J274" s="143"/>
      <c r="K274" s="143"/>
      <c r="L274" s="143"/>
      <c r="M274" s="143"/>
      <c r="N274" s="143"/>
      <c r="O274" s="143"/>
      <c r="P274" s="143"/>
      <c r="Q274" s="143"/>
      <c r="R274" s="143"/>
      <c r="S274" s="143"/>
      <c r="T274" s="160"/>
      <c r="U274" s="143"/>
      <c r="V274" s="143"/>
      <c r="W274" s="143"/>
      <c r="X274" s="143"/>
      <c r="Y274" s="143"/>
      <c r="Z274" s="143"/>
    </row>
    <row r="275" ht="13.5" customHeight="1">
      <c r="A275" s="143"/>
      <c r="B275" s="143"/>
      <c r="C275" s="143"/>
      <c r="D275" s="143"/>
      <c r="E275" s="143"/>
      <c r="F275" s="143"/>
      <c r="G275" s="143"/>
      <c r="H275" s="143"/>
      <c r="I275" s="143"/>
      <c r="J275" s="143"/>
      <c r="K275" s="143"/>
      <c r="L275" s="143"/>
      <c r="M275" s="143"/>
      <c r="N275" s="143"/>
      <c r="O275" s="143"/>
      <c r="P275" s="143"/>
      <c r="Q275" s="143"/>
      <c r="R275" s="143"/>
      <c r="S275" s="143"/>
      <c r="T275" s="160"/>
      <c r="U275" s="143"/>
      <c r="V275" s="143"/>
      <c r="W275" s="143"/>
      <c r="X275" s="143"/>
      <c r="Y275" s="143"/>
      <c r="Z275" s="143"/>
    </row>
    <row r="276" ht="13.5" customHeight="1">
      <c r="A276" s="143"/>
      <c r="B276" s="143"/>
      <c r="C276" s="143"/>
      <c r="D276" s="143"/>
      <c r="E276" s="143"/>
      <c r="F276" s="143"/>
      <c r="G276" s="143"/>
      <c r="H276" s="143"/>
      <c r="I276" s="143"/>
      <c r="J276" s="143"/>
      <c r="K276" s="143"/>
      <c r="L276" s="143"/>
      <c r="M276" s="143"/>
      <c r="N276" s="143"/>
      <c r="O276" s="143"/>
      <c r="P276" s="143"/>
      <c r="Q276" s="143"/>
      <c r="R276" s="143"/>
      <c r="S276" s="143"/>
      <c r="T276" s="160"/>
      <c r="U276" s="143"/>
      <c r="V276" s="143"/>
      <c r="W276" s="143"/>
      <c r="X276" s="143"/>
      <c r="Y276" s="143"/>
      <c r="Z276" s="143"/>
    </row>
    <row r="277" ht="13.5" customHeight="1">
      <c r="A277" s="143"/>
      <c r="B277" s="143"/>
      <c r="C277" s="143"/>
      <c r="D277" s="143"/>
      <c r="E277" s="143"/>
      <c r="F277" s="143"/>
      <c r="G277" s="143"/>
      <c r="H277" s="143"/>
      <c r="I277" s="143"/>
      <c r="J277" s="143"/>
      <c r="K277" s="143"/>
      <c r="L277" s="143"/>
      <c r="M277" s="143"/>
      <c r="N277" s="143"/>
      <c r="O277" s="143"/>
      <c r="P277" s="143"/>
      <c r="Q277" s="143"/>
      <c r="R277" s="143"/>
      <c r="S277" s="143"/>
      <c r="T277" s="160"/>
      <c r="U277" s="143"/>
      <c r="V277" s="143"/>
      <c r="W277" s="143"/>
      <c r="X277" s="143"/>
      <c r="Y277" s="143"/>
      <c r="Z277" s="143"/>
    </row>
    <row r="278" ht="13.5" customHeight="1">
      <c r="A278" s="143"/>
      <c r="B278" s="143"/>
      <c r="C278" s="143"/>
      <c r="D278" s="143"/>
      <c r="E278" s="143"/>
      <c r="F278" s="143"/>
      <c r="G278" s="143"/>
      <c r="H278" s="143"/>
      <c r="I278" s="143"/>
      <c r="J278" s="143"/>
      <c r="K278" s="143"/>
      <c r="L278" s="143"/>
      <c r="M278" s="143"/>
      <c r="N278" s="143"/>
      <c r="O278" s="143"/>
      <c r="P278" s="143"/>
      <c r="Q278" s="143"/>
      <c r="R278" s="143"/>
      <c r="S278" s="143"/>
      <c r="T278" s="160"/>
      <c r="U278" s="143"/>
      <c r="V278" s="143"/>
      <c r="W278" s="143"/>
      <c r="X278" s="143"/>
      <c r="Y278" s="143"/>
      <c r="Z278" s="143"/>
    </row>
    <row r="279" ht="13.5" customHeight="1">
      <c r="A279" s="143"/>
      <c r="B279" s="143"/>
      <c r="C279" s="143"/>
      <c r="D279" s="143"/>
      <c r="E279" s="143"/>
      <c r="F279" s="143"/>
      <c r="G279" s="143"/>
      <c r="H279" s="143"/>
      <c r="I279" s="143"/>
      <c r="J279" s="143"/>
      <c r="K279" s="143"/>
      <c r="L279" s="143"/>
      <c r="M279" s="143"/>
      <c r="N279" s="143"/>
      <c r="O279" s="143"/>
      <c r="P279" s="143"/>
      <c r="Q279" s="143"/>
      <c r="R279" s="143"/>
      <c r="S279" s="143"/>
      <c r="T279" s="160"/>
      <c r="U279" s="143"/>
      <c r="V279" s="143"/>
      <c r="W279" s="143"/>
      <c r="X279" s="143"/>
      <c r="Y279" s="143"/>
      <c r="Z279" s="143"/>
    </row>
    <row r="280" ht="13.5" customHeight="1">
      <c r="A280" s="143"/>
      <c r="B280" s="143"/>
      <c r="C280" s="143"/>
      <c r="D280" s="143"/>
      <c r="E280" s="143"/>
      <c r="F280" s="143"/>
      <c r="G280" s="143"/>
      <c r="H280" s="143"/>
      <c r="I280" s="143"/>
      <c r="J280" s="143"/>
      <c r="K280" s="143"/>
      <c r="L280" s="143"/>
      <c r="M280" s="143"/>
      <c r="N280" s="143"/>
      <c r="O280" s="143"/>
      <c r="P280" s="143"/>
      <c r="Q280" s="143"/>
      <c r="R280" s="143"/>
      <c r="S280" s="143"/>
      <c r="T280" s="160"/>
      <c r="U280" s="143"/>
      <c r="V280" s="143"/>
      <c r="W280" s="143"/>
      <c r="X280" s="143"/>
      <c r="Y280" s="143"/>
      <c r="Z280" s="143"/>
    </row>
    <row r="281" ht="13.5" customHeight="1">
      <c r="A281" s="2"/>
      <c r="B281" s="2"/>
      <c r="C281" s="2"/>
      <c r="D281" s="2"/>
      <c r="E281" s="2"/>
      <c r="F281" s="2"/>
      <c r="G281" s="2"/>
      <c r="H281" s="2"/>
      <c r="I281" s="2"/>
      <c r="J281" s="2"/>
      <c r="K281" s="2"/>
      <c r="L281" s="2"/>
      <c r="M281" s="2"/>
      <c r="N281" s="2"/>
      <c r="O281" s="2"/>
      <c r="P281" s="2"/>
      <c r="Q281" s="2"/>
      <c r="R281" s="2"/>
      <c r="S281" s="2"/>
      <c r="T281" s="158"/>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2"/>
      <c r="R282" s="2"/>
      <c r="S282" s="2"/>
      <c r="T282" s="158"/>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2"/>
      <c r="R283" s="2"/>
      <c r="S283" s="2"/>
      <c r="T283" s="158"/>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2"/>
      <c r="R284" s="2"/>
      <c r="S284" s="2"/>
      <c r="T284" s="158"/>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2"/>
      <c r="R285" s="2"/>
      <c r="S285" s="2"/>
      <c r="T285" s="158"/>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2"/>
      <c r="R286" s="2"/>
      <c r="S286" s="2"/>
      <c r="T286" s="158"/>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2"/>
      <c r="R287" s="2"/>
      <c r="S287" s="2"/>
      <c r="T287" s="158"/>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2"/>
      <c r="R288" s="2"/>
      <c r="S288" s="2"/>
      <c r="T288" s="158"/>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2"/>
      <c r="R289" s="2"/>
      <c r="S289" s="2"/>
      <c r="T289" s="158"/>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2"/>
      <c r="R290" s="2"/>
      <c r="S290" s="2"/>
      <c r="T290" s="158"/>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2"/>
      <c r="R291" s="2"/>
      <c r="S291" s="2"/>
      <c r="T291" s="158"/>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2"/>
      <c r="R292" s="2"/>
      <c r="S292" s="2"/>
      <c r="T292" s="158"/>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2"/>
      <c r="R293" s="2"/>
      <c r="S293" s="2"/>
      <c r="T293" s="158"/>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2"/>
      <c r="R294" s="2"/>
      <c r="S294" s="2"/>
      <c r="T294" s="158"/>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2"/>
      <c r="R295" s="2"/>
      <c r="S295" s="2"/>
      <c r="T295" s="158"/>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2"/>
      <c r="R296" s="2"/>
      <c r="S296" s="2"/>
      <c r="T296" s="158"/>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2"/>
      <c r="R297" s="2"/>
      <c r="S297" s="2"/>
      <c r="T297" s="158"/>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2"/>
      <c r="R298" s="2"/>
      <c r="S298" s="2"/>
      <c r="T298" s="158"/>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2"/>
      <c r="R299" s="2"/>
      <c r="S299" s="2"/>
      <c r="T299" s="158"/>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2"/>
      <c r="R300" s="2"/>
      <c r="S300" s="2"/>
      <c r="T300" s="158"/>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2"/>
      <c r="R301" s="2"/>
      <c r="S301" s="2"/>
      <c r="T301" s="158"/>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2"/>
      <c r="R302" s="2"/>
      <c r="S302" s="2"/>
      <c r="T302" s="158"/>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2"/>
      <c r="R303" s="2"/>
      <c r="S303" s="2"/>
      <c r="T303" s="158"/>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2"/>
      <c r="R304" s="2"/>
      <c r="S304" s="2"/>
      <c r="T304" s="158"/>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2"/>
      <c r="R305" s="2"/>
      <c r="S305" s="2"/>
      <c r="T305" s="158"/>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2"/>
      <c r="R306" s="2"/>
      <c r="S306" s="2"/>
      <c r="T306" s="158"/>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2"/>
      <c r="R307" s="2"/>
      <c r="S307" s="2"/>
      <c r="T307" s="158"/>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2"/>
      <c r="R308" s="2"/>
      <c r="S308" s="2"/>
      <c r="T308" s="158"/>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2"/>
      <c r="R309" s="2"/>
      <c r="S309" s="2"/>
      <c r="T309" s="158"/>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2"/>
      <c r="R310" s="2"/>
      <c r="S310" s="2"/>
      <c r="T310" s="158"/>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2"/>
      <c r="R311" s="2"/>
      <c r="S311" s="2"/>
      <c r="T311" s="158"/>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2"/>
      <c r="R312" s="2"/>
      <c r="S312" s="2"/>
      <c r="T312" s="158"/>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2"/>
      <c r="R313" s="2"/>
      <c r="S313" s="2"/>
      <c r="T313" s="158"/>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2"/>
      <c r="R314" s="2"/>
      <c r="S314" s="2"/>
      <c r="T314" s="158"/>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2"/>
      <c r="R315" s="2"/>
      <c r="S315" s="2"/>
      <c r="T315" s="158"/>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2"/>
      <c r="R316" s="2"/>
      <c r="S316" s="2"/>
      <c r="T316" s="158"/>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2"/>
      <c r="R317" s="2"/>
      <c r="S317" s="2"/>
      <c r="T317" s="158"/>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2"/>
      <c r="R318" s="2"/>
      <c r="S318" s="2"/>
      <c r="T318" s="158"/>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2"/>
      <c r="R319" s="2"/>
      <c r="S319" s="2"/>
      <c r="T319" s="158"/>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2"/>
      <c r="R320" s="2"/>
      <c r="S320" s="2"/>
      <c r="T320" s="158"/>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2"/>
      <c r="R321" s="2"/>
      <c r="S321" s="2"/>
      <c r="T321" s="158"/>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2"/>
      <c r="R322" s="2"/>
      <c r="S322" s="2"/>
      <c r="T322" s="158"/>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2"/>
      <c r="R323" s="2"/>
      <c r="S323" s="2"/>
      <c r="T323" s="158"/>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2"/>
      <c r="R324" s="2"/>
      <c r="S324" s="2"/>
      <c r="T324" s="158"/>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2"/>
      <c r="R325" s="2"/>
      <c r="S325" s="2"/>
      <c r="T325" s="158"/>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2"/>
      <c r="R326" s="2"/>
      <c r="S326" s="2"/>
      <c r="T326" s="158"/>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2"/>
      <c r="R327" s="2"/>
      <c r="S327" s="2"/>
      <c r="T327" s="158"/>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2"/>
      <c r="R328" s="2"/>
      <c r="S328" s="2"/>
      <c r="T328" s="158"/>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2"/>
      <c r="R329" s="2"/>
      <c r="S329" s="2"/>
      <c r="T329" s="158"/>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2"/>
      <c r="R330" s="2"/>
      <c r="S330" s="2"/>
      <c r="T330" s="158"/>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2"/>
      <c r="R331" s="2"/>
      <c r="S331" s="2"/>
      <c r="T331" s="158"/>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2"/>
      <c r="R332" s="2"/>
      <c r="S332" s="2"/>
      <c r="T332" s="158"/>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2"/>
      <c r="R333" s="2"/>
      <c r="S333" s="2"/>
      <c r="T333" s="158"/>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2"/>
      <c r="R334" s="2"/>
      <c r="S334" s="2"/>
      <c r="T334" s="158"/>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2"/>
      <c r="R335" s="2"/>
      <c r="S335" s="2"/>
      <c r="T335" s="158"/>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2"/>
      <c r="R336" s="2"/>
      <c r="S336" s="2"/>
      <c r="T336" s="158"/>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2"/>
      <c r="R337" s="2"/>
      <c r="S337" s="2"/>
      <c r="T337" s="158"/>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2"/>
      <c r="R338" s="2"/>
      <c r="S338" s="2"/>
      <c r="T338" s="158"/>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2"/>
      <c r="R339" s="2"/>
      <c r="S339" s="2"/>
      <c r="T339" s="158"/>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2"/>
      <c r="R340" s="2"/>
      <c r="S340" s="2"/>
      <c r="T340" s="158"/>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2"/>
      <c r="R341" s="2"/>
      <c r="S341" s="2"/>
      <c r="T341" s="158"/>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2"/>
      <c r="R342" s="2"/>
      <c r="S342" s="2"/>
      <c r="T342" s="158"/>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2"/>
      <c r="R343" s="2"/>
      <c r="S343" s="2"/>
      <c r="T343" s="158"/>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2"/>
      <c r="R344" s="2"/>
      <c r="S344" s="2"/>
      <c r="T344" s="158"/>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2"/>
      <c r="R345" s="2"/>
      <c r="S345" s="2"/>
      <c r="T345" s="158"/>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2"/>
      <c r="R346" s="2"/>
      <c r="S346" s="2"/>
      <c r="T346" s="158"/>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2"/>
      <c r="R347" s="2"/>
      <c r="S347" s="2"/>
      <c r="T347" s="158"/>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2"/>
      <c r="R348" s="2"/>
      <c r="S348" s="2"/>
      <c r="T348" s="158"/>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2"/>
      <c r="R349" s="2"/>
      <c r="S349" s="2"/>
      <c r="T349" s="158"/>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2"/>
      <c r="R350" s="2"/>
      <c r="S350" s="2"/>
      <c r="T350" s="158"/>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2"/>
      <c r="R351" s="2"/>
      <c r="S351" s="2"/>
      <c r="T351" s="158"/>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2"/>
      <c r="R352" s="2"/>
      <c r="S352" s="2"/>
      <c r="T352" s="158"/>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2"/>
      <c r="R353" s="2"/>
      <c r="S353" s="2"/>
      <c r="T353" s="158"/>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2"/>
      <c r="R354" s="2"/>
      <c r="S354" s="2"/>
      <c r="T354" s="158"/>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2"/>
      <c r="R355" s="2"/>
      <c r="S355" s="2"/>
      <c r="T355" s="158"/>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2"/>
      <c r="R356" s="2"/>
      <c r="S356" s="2"/>
      <c r="T356" s="158"/>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2"/>
      <c r="R357" s="2"/>
      <c r="S357" s="2"/>
      <c r="T357" s="158"/>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2"/>
      <c r="R358" s="2"/>
      <c r="S358" s="2"/>
      <c r="T358" s="158"/>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2"/>
      <c r="R359" s="2"/>
      <c r="S359" s="2"/>
      <c r="T359" s="158"/>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2"/>
      <c r="R360" s="2"/>
      <c r="S360" s="2"/>
      <c r="T360" s="158"/>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2"/>
      <c r="R361" s="2"/>
      <c r="S361" s="2"/>
      <c r="T361" s="158"/>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2"/>
      <c r="R362" s="2"/>
      <c r="S362" s="2"/>
      <c r="T362" s="158"/>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2"/>
      <c r="R363" s="2"/>
      <c r="S363" s="2"/>
      <c r="T363" s="158"/>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2"/>
      <c r="R364" s="2"/>
      <c r="S364" s="2"/>
      <c r="T364" s="158"/>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2"/>
      <c r="R365" s="2"/>
      <c r="S365" s="2"/>
      <c r="T365" s="158"/>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2"/>
      <c r="R366" s="2"/>
      <c r="S366" s="2"/>
      <c r="T366" s="158"/>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2"/>
      <c r="R367" s="2"/>
      <c r="S367" s="2"/>
      <c r="T367" s="158"/>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2"/>
      <c r="R368" s="2"/>
      <c r="S368" s="2"/>
      <c r="T368" s="158"/>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2"/>
      <c r="R369" s="2"/>
      <c r="S369" s="2"/>
      <c r="T369" s="158"/>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2"/>
      <c r="R370" s="2"/>
      <c r="S370" s="2"/>
      <c r="T370" s="158"/>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2"/>
      <c r="R371" s="2"/>
      <c r="S371" s="2"/>
      <c r="T371" s="158"/>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2"/>
      <c r="R372" s="2"/>
      <c r="S372" s="2"/>
      <c r="T372" s="158"/>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2"/>
      <c r="R373" s="2"/>
      <c r="S373" s="2"/>
      <c r="T373" s="158"/>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2"/>
      <c r="R374" s="2"/>
      <c r="S374" s="2"/>
      <c r="T374" s="158"/>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2"/>
      <c r="R375" s="2"/>
      <c r="S375" s="2"/>
      <c r="T375" s="158"/>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2"/>
      <c r="R376" s="2"/>
      <c r="S376" s="2"/>
      <c r="T376" s="158"/>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2"/>
      <c r="R377" s="2"/>
      <c r="S377" s="2"/>
      <c r="T377" s="158"/>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2"/>
      <c r="R378" s="2"/>
      <c r="S378" s="2"/>
      <c r="T378" s="158"/>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2"/>
      <c r="R379" s="2"/>
      <c r="S379" s="2"/>
      <c r="T379" s="158"/>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2"/>
      <c r="R380" s="2"/>
      <c r="S380" s="2"/>
      <c r="T380" s="158"/>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2"/>
      <c r="R381" s="2"/>
      <c r="S381" s="2"/>
      <c r="T381" s="158"/>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2"/>
      <c r="R382" s="2"/>
      <c r="S382" s="2"/>
      <c r="T382" s="158"/>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2"/>
      <c r="R383" s="2"/>
      <c r="S383" s="2"/>
      <c r="T383" s="158"/>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2"/>
      <c r="R384" s="2"/>
      <c r="S384" s="2"/>
      <c r="T384" s="158"/>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2"/>
      <c r="R385" s="2"/>
      <c r="S385" s="2"/>
      <c r="T385" s="158"/>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2"/>
      <c r="R386" s="2"/>
      <c r="S386" s="2"/>
      <c r="T386" s="158"/>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2"/>
      <c r="R387" s="2"/>
      <c r="S387" s="2"/>
      <c r="T387" s="158"/>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2"/>
      <c r="R388" s="2"/>
      <c r="S388" s="2"/>
      <c r="T388" s="158"/>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2"/>
      <c r="R389" s="2"/>
      <c r="S389" s="2"/>
      <c r="T389" s="158"/>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2"/>
      <c r="R390" s="2"/>
      <c r="S390" s="2"/>
      <c r="T390" s="158"/>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2"/>
      <c r="R391" s="2"/>
      <c r="S391" s="2"/>
      <c r="T391" s="158"/>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2"/>
      <c r="R392" s="2"/>
      <c r="S392" s="2"/>
      <c r="T392" s="158"/>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2"/>
      <c r="R393" s="2"/>
      <c r="S393" s="2"/>
      <c r="T393" s="158"/>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2"/>
      <c r="R394" s="2"/>
      <c r="S394" s="2"/>
      <c r="T394" s="158"/>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2"/>
      <c r="R395" s="2"/>
      <c r="S395" s="2"/>
      <c r="T395" s="158"/>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2"/>
      <c r="R396" s="2"/>
      <c r="S396" s="2"/>
      <c r="T396" s="158"/>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2"/>
      <c r="R397" s="2"/>
      <c r="S397" s="2"/>
      <c r="T397" s="158"/>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2"/>
      <c r="R398" s="2"/>
      <c r="S398" s="2"/>
      <c r="T398" s="158"/>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2"/>
      <c r="R399" s="2"/>
      <c r="S399" s="2"/>
      <c r="T399" s="158"/>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2"/>
      <c r="R400" s="2"/>
      <c r="S400" s="2"/>
      <c r="T400" s="158"/>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2"/>
      <c r="R401" s="2"/>
      <c r="S401" s="2"/>
      <c r="T401" s="158"/>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2"/>
      <c r="R402" s="2"/>
      <c r="S402" s="2"/>
      <c r="T402" s="158"/>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2"/>
      <c r="R403" s="2"/>
      <c r="S403" s="2"/>
      <c r="T403" s="158"/>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2"/>
      <c r="R404" s="2"/>
      <c r="S404" s="2"/>
      <c r="T404" s="158"/>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2"/>
      <c r="R405" s="2"/>
      <c r="S405" s="2"/>
      <c r="T405" s="158"/>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2"/>
      <c r="R406" s="2"/>
      <c r="S406" s="2"/>
      <c r="T406" s="158"/>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2"/>
      <c r="R407" s="2"/>
      <c r="S407" s="2"/>
      <c r="T407" s="158"/>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2"/>
      <c r="R408" s="2"/>
      <c r="S408" s="2"/>
      <c r="T408" s="158"/>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2"/>
      <c r="R409" s="2"/>
      <c r="S409" s="2"/>
      <c r="T409" s="158"/>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2"/>
      <c r="R410" s="2"/>
      <c r="S410" s="2"/>
      <c r="T410" s="158"/>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2"/>
      <c r="R411" s="2"/>
      <c r="S411" s="2"/>
      <c r="T411" s="158"/>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2"/>
      <c r="R412" s="2"/>
      <c r="S412" s="2"/>
      <c r="T412" s="158"/>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2"/>
      <c r="R413" s="2"/>
      <c r="S413" s="2"/>
      <c r="T413" s="158"/>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2"/>
      <c r="R414" s="2"/>
      <c r="S414" s="2"/>
      <c r="T414" s="158"/>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2"/>
      <c r="R415" s="2"/>
      <c r="S415" s="2"/>
      <c r="T415" s="158"/>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2"/>
      <c r="R416" s="2"/>
      <c r="S416" s="2"/>
      <c r="T416" s="158"/>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2"/>
      <c r="R417" s="2"/>
      <c r="S417" s="2"/>
      <c r="T417" s="158"/>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2"/>
      <c r="R418" s="2"/>
      <c r="S418" s="2"/>
      <c r="T418" s="158"/>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2"/>
      <c r="R419" s="2"/>
      <c r="S419" s="2"/>
      <c r="T419" s="158"/>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2"/>
      <c r="R420" s="2"/>
      <c r="S420" s="2"/>
      <c r="T420" s="158"/>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2"/>
      <c r="R421" s="2"/>
      <c r="S421" s="2"/>
      <c r="T421" s="158"/>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2"/>
      <c r="R422" s="2"/>
      <c r="S422" s="2"/>
      <c r="T422" s="158"/>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2"/>
      <c r="R423" s="2"/>
      <c r="S423" s="2"/>
      <c r="T423" s="158"/>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2"/>
      <c r="R424" s="2"/>
      <c r="S424" s="2"/>
      <c r="T424" s="158"/>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2"/>
      <c r="R425" s="2"/>
      <c r="S425" s="2"/>
      <c r="T425" s="158"/>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2"/>
      <c r="R426" s="2"/>
      <c r="S426" s="2"/>
      <c r="T426" s="158"/>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2"/>
      <c r="R427" s="2"/>
      <c r="S427" s="2"/>
      <c r="T427" s="158"/>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2"/>
      <c r="R428" s="2"/>
      <c r="S428" s="2"/>
      <c r="T428" s="158"/>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2"/>
      <c r="R429" s="2"/>
      <c r="S429" s="2"/>
      <c r="T429" s="158"/>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2"/>
      <c r="R430" s="2"/>
      <c r="S430" s="2"/>
      <c r="T430" s="158"/>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2"/>
      <c r="R431" s="2"/>
      <c r="S431" s="2"/>
      <c r="T431" s="158"/>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2"/>
      <c r="R432" s="2"/>
      <c r="S432" s="2"/>
      <c r="T432" s="158"/>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2"/>
      <c r="R433" s="2"/>
      <c r="S433" s="2"/>
      <c r="T433" s="158"/>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2"/>
      <c r="R434" s="2"/>
      <c r="S434" s="2"/>
      <c r="T434" s="158"/>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2"/>
      <c r="R435" s="2"/>
      <c r="S435" s="2"/>
      <c r="T435" s="158"/>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2"/>
      <c r="R436" s="2"/>
      <c r="S436" s="2"/>
      <c r="T436" s="158"/>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2"/>
      <c r="R437" s="2"/>
      <c r="S437" s="2"/>
      <c r="T437" s="158"/>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2"/>
      <c r="R438" s="2"/>
      <c r="S438" s="2"/>
      <c r="T438" s="158"/>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2"/>
      <c r="R439" s="2"/>
      <c r="S439" s="2"/>
      <c r="T439" s="158"/>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2"/>
      <c r="R440" s="2"/>
      <c r="S440" s="2"/>
      <c r="T440" s="158"/>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2"/>
      <c r="R441" s="2"/>
      <c r="S441" s="2"/>
      <c r="T441" s="158"/>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2"/>
      <c r="R442" s="2"/>
      <c r="S442" s="2"/>
      <c r="T442" s="158"/>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2"/>
      <c r="R443" s="2"/>
      <c r="S443" s="2"/>
      <c r="T443" s="158"/>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2"/>
      <c r="R444" s="2"/>
      <c r="S444" s="2"/>
      <c r="T444" s="158"/>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2"/>
      <c r="R445" s="2"/>
      <c r="S445" s="2"/>
      <c r="T445" s="158"/>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2"/>
      <c r="R446" s="2"/>
      <c r="S446" s="2"/>
      <c r="T446" s="158"/>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2"/>
      <c r="R447" s="2"/>
      <c r="S447" s="2"/>
      <c r="T447" s="158"/>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2"/>
      <c r="R448" s="2"/>
      <c r="S448" s="2"/>
      <c r="T448" s="158"/>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2"/>
      <c r="R449" s="2"/>
      <c r="S449" s="2"/>
      <c r="T449" s="158"/>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2"/>
      <c r="R450" s="2"/>
      <c r="S450" s="2"/>
      <c r="T450" s="158"/>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2"/>
      <c r="R451" s="2"/>
      <c r="S451" s="2"/>
      <c r="T451" s="158"/>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2"/>
      <c r="R452" s="2"/>
      <c r="S452" s="2"/>
      <c r="T452" s="158"/>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2"/>
      <c r="R453" s="2"/>
      <c r="S453" s="2"/>
      <c r="T453" s="158"/>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2"/>
      <c r="R454" s="2"/>
      <c r="S454" s="2"/>
      <c r="T454" s="158"/>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2"/>
      <c r="R455" s="2"/>
      <c r="S455" s="2"/>
      <c r="T455" s="158"/>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2"/>
      <c r="R456" s="2"/>
      <c r="S456" s="2"/>
      <c r="T456" s="158"/>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2"/>
      <c r="R457" s="2"/>
      <c r="S457" s="2"/>
      <c r="T457" s="158"/>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2"/>
      <c r="R458" s="2"/>
      <c r="S458" s="2"/>
      <c r="T458" s="158"/>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2"/>
      <c r="R459" s="2"/>
      <c r="S459" s="2"/>
      <c r="T459" s="158"/>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2"/>
      <c r="R460" s="2"/>
      <c r="S460" s="2"/>
      <c r="T460" s="158"/>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2"/>
      <c r="R461" s="2"/>
      <c r="S461" s="2"/>
      <c r="T461" s="158"/>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2"/>
      <c r="R462" s="2"/>
      <c r="S462" s="2"/>
      <c r="T462" s="158"/>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2"/>
      <c r="R463" s="2"/>
      <c r="S463" s="2"/>
      <c r="T463" s="158"/>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2"/>
      <c r="R464" s="2"/>
      <c r="S464" s="2"/>
      <c r="T464" s="158"/>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2"/>
      <c r="R465" s="2"/>
      <c r="S465" s="2"/>
      <c r="T465" s="158"/>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2"/>
      <c r="R466" s="2"/>
      <c r="S466" s="2"/>
      <c r="T466" s="158"/>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2"/>
      <c r="R467" s="2"/>
      <c r="S467" s="2"/>
      <c r="T467" s="158"/>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2"/>
      <c r="R468" s="2"/>
      <c r="S468" s="2"/>
      <c r="T468" s="158"/>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2"/>
      <c r="R469" s="2"/>
      <c r="S469" s="2"/>
      <c r="T469" s="158"/>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2"/>
      <c r="R470" s="2"/>
      <c r="S470" s="2"/>
      <c r="T470" s="158"/>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2"/>
      <c r="R471" s="2"/>
      <c r="S471" s="2"/>
      <c r="T471" s="158"/>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2"/>
      <c r="R472" s="2"/>
      <c r="S472" s="2"/>
      <c r="T472" s="158"/>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2"/>
      <c r="R473" s="2"/>
      <c r="S473" s="2"/>
      <c r="T473" s="158"/>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2"/>
      <c r="R474" s="2"/>
      <c r="S474" s="2"/>
      <c r="T474" s="158"/>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2"/>
      <c r="R475" s="2"/>
      <c r="S475" s="2"/>
      <c r="T475" s="158"/>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2"/>
      <c r="R476" s="2"/>
      <c r="S476" s="2"/>
      <c r="T476" s="158"/>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2"/>
      <c r="R477" s="2"/>
      <c r="S477" s="2"/>
      <c r="T477" s="158"/>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2"/>
      <c r="R478" s="2"/>
      <c r="S478" s="2"/>
      <c r="T478" s="158"/>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2"/>
      <c r="R479" s="2"/>
      <c r="S479" s="2"/>
      <c r="T479" s="158"/>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2"/>
      <c r="R480" s="2"/>
      <c r="S480" s="2"/>
      <c r="T480" s="158"/>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2"/>
      <c r="R481" s="2"/>
      <c r="S481" s="2"/>
      <c r="T481" s="158"/>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2"/>
      <c r="R482" s="2"/>
      <c r="S482" s="2"/>
      <c r="T482" s="158"/>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2"/>
      <c r="R483" s="2"/>
      <c r="S483" s="2"/>
      <c r="T483" s="158"/>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2"/>
      <c r="R484" s="2"/>
      <c r="S484" s="2"/>
      <c r="T484" s="158"/>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2"/>
      <c r="R485" s="2"/>
      <c r="S485" s="2"/>
      <c r="T485" s="158"/>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2"/>
      <c r="R486" s="2"/>
      <c r="S486" s="2"/>
      <c r="T486" s="158"/>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2"/>
      <c r="R487" s="2"/>
      <c r="S487" s="2"/>
      <c r="T487" s="158"/>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2"/>
      <c r="R488" s="2"/>
      <c r="S488" s="2"/>
      <c r="T488" s="158"/>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2"/>
      <c r="R489" s="2"/>
      <c r="S489" s="2"/>
      <c r="T489" s="158"/>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2"/>
      <c r="R490" s="2"/>
      <c r="S490" s="2"/>
      <c r="T490" s="158"/>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2"/>
      <c r="R491" s="2"/>
      <c r="S491" s="2"/>
      <c r="T491" s="158"/>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2"/>
      <c r="R492" s="2"/>
      <c r="S492" s="2"/>
      <c r="T492" s="158"/>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2"/>
      <c r="R493" s="2"/>
      <c r="S493" s="2"/>
      <c r="T493" s="158"/>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2"/>
      <c r="R494" s="2"/>
      <c r="S494" s="2"/>
      <c r="T494" s="158"/>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2"/>
      <c r="R495" s="2"/>
      <c r="S495" s="2"/>
      <c r="T495" s="158"/>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2"/>
      <c r="R496" s="2"/>
      <c r="S496" s="2"/>
      <c r="T496" s="158"/>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2"/>
      <c r="R497" s="2"/>
      <c r="S497" s="2"/>
      <c r="T497" s="158"/>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2"/>
      <c r="R498" s="2"/>
      <c r="S498" s="2"/>
      <c r="T498" s="158"/>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2"/>
      <c r="R499" s="2"/>
      <c r="S499" s="2"/>
      <c r="T499" s="158"/>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2"/>
      <c r="R500" s="2"/>
      <c r="S500" s="2"/>
      <c r="T500" s="158"/>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2"/>
      <c r="R501" s="2"/>
      <c r="S501" s="2"/>
      <c r="T501" s="158"/>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2"/>
      <c r="R502" s="2"/>
      <c r="S502" s="2"/>
      <c r="T502" s="158"/>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2"/>
      <c r="R503" s="2"/>
      <c r="S503" s="2"/>
      <c r="T503" s="158"/>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2"/>
      <c r="R504" s="2"/>
      <c r="S504" s="2"/>
      <c r="T504" s="158"/>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2"/>
      <c r="R505" s="2"/>
      <c r="S505" s="2"/>
      <c r="T505" s="158"/>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2"/>
      <c r="R506" s="2"/>
      <c r="S506" s="2"/>
      <c r="T506" s="158"/>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2"/>
      <c r="R507" s="2"/>
      <c r="S507" s="2"/>
      <c r="T507" s="158"/>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2"/>
      <c r="R508" s="2"/>
      <c r="S508" s="2"/>
      <c r="T508" s="158"/>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2"/>
      <c r="R509" s="2"/>
      <c r="S509" s="2"/>
      <c r="T509" s="158"/>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2"/>
      <c r="R510" s="2"/>
      <c r="S510" s="2"/>
      <c r="T510" s="158"/>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2"/>
      <c r="R511" s="2"/>
      <c r="S511" s="2"/>
      <c r="T511" s="158"/>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2"/>
      <c r="R512" s="2"/>
      <c r="S512" s="2"/>
      <c r="T512" s="158"/>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2"/>
      <c r="R513" s="2"/>
      <c r="S513" s="2"/>
      <c r="T513" s="158"/>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2"/>
      <c r="R514" s="2"/>
      <c r="S514" s="2"/>
      <c r="T514" s="158"/>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2"/>
      <c r="R515" s="2"/>
      <c r="S515" s="2"/>
      <c r="T515" s="158"/>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2"/>
      <c r="R516" s="2"/>
      <c r="S516" s="2"/>
      <c r="T516" s="158"/>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2"/>
      <c r="R517" s="2"/>
      <c r="S517" s="2"/>
      <c r="T517" s="158"/>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2"/>
      <c r="R518" s="2"/>
      <c r="S518" s="2"/>
      <c r="T518" s="158"/>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2"/>
      <c r="R519" s="2"/>
      <c r="S519" s="2"/>
      <c r="T519" s="158"/>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2"/>
      <c r="R520" s="2"/>
      <c r="S520" s="2"/>
      <c r="T520" s="158"/>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2"/>
      <c r="R521" s="2"/>
      <c r="S521" s="2"/>
      <c r="T521" s="158"/>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2"/>
      <c r="R522" s="2"/>
      <c r="S522" s="2"/>
      <c r="T522" s="158"/>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2"/>
      <c r="R523" s="2"/>
      <c r="S523" s="2"/>
      <c r="T523" s="158"/>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2"/>
      <c r="R524" s="2"/>
      <c r="S524" s="2"/>
      <c r="T524" s="158"/>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2"/>
      <c r="R525" s="2"/>
      <c r="S525" s="2"/>
      <c r="T525" s="158"/>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2"/>
      <c r="R526" s="2"/>
      <c r="S526" s="2"/>
      <c r="T526" s="158"/>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2"/>
      <c r="R527" s="2"/>
      <c r="S527" s="2"/>
      <c r="T527" s="158"/>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2"/>
      <c r="R528" s="2"/>
      <c r="S528" s="2"/>
      <c r="T528" s="158"/>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2"/>
      <c r="R529" s="2"/>
      <c r="S529" s="2"/>
      <c r="T529" s="158"/>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2"/>
      <c r="R530" s="2"/>
      <c r="S530" s="2"/>
      <c r="T530" s="158"/>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2"/>
      <c r="R531" s="2"/>
      <c r="S531" s="2"/>
      <c r="T531" s="158"/>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2"/>
      <c r="R532" s="2"/>
      <c r="S532" s="2"/>
      <c r="T532" s="158"/>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2"/>
      <c r="R533" s="2"/>
      <c r="S533" s="2"/>
      <c r="T533" s="158"/>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2"/>
      <c r="R534" s="2"/>
      <c r="S534" s="2"/>
      <c r="T534" s="158"/>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2"/>
      <c r="R535" s="2"/>
      <c r="S535" s="2"/>
      <c r="T535" s="158"/>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2"/>
      <c r="R536" s="2"/>
      <c r="S536" s="2"/>
      <c r="T536" s="158"/>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2"/>
      <c r="R537" s="2"/>
      <c r="S537" s="2"/>
      <c r="T537" s="158"/>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2"/>
      <c r="R538" s="2"/>
      <c r="S538" s="2"/>
      <c r="T538" s="158"/>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2"/>
      <c r="R539" s="2"/>
      <c r="S539" s="2"/>
      <c r="T539" s="158"/>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2"/>
      <c r="R540" s="2"/>
      <c r="S540" s="2"/>
      <c r="T540" s="158"/>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2"/>
      <c r="R541" s="2"/>
      <c r="S541" s="2"/>
      <c r="T541" s="158"/>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2"/>
      <c r="R542" s="2"/>
      <c r="S542" s="2"/>
      <c r="T542" s="158"/>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2"/>
      <c r="R543" s="2"/>
      <c r="S543" s="2"/>
      <c r="T543" s="158"/>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2"/>
      <c r="R544" s="2"/>
      <c r="S544" s="2"/>
      <c r="T544" s="158"/>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2"/>
      <c r="R545" s="2"/>
      <c r="S545" s="2"/>
      <c r="T545" s="158"/>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2"/>
      <c r="R546" s="2"/>
      <c r="S546" s="2"/>
      <c r="T546" s="158"/>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2"/>
      <c r="R547" s="2"/>
      <c r="S547" s="2"/>
      <c r="T547" s="158"/>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2"/>
      <c r="R548" s="2"/>
      <c r="S548" s="2"/>
      <c r="T548" s="158"/>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2"/>
      <c r="R549" s="2"/>
      <c r="S549" s="2"/>
      <c r="T549" s="158"/>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2"/>
      <c r="R550" s="2"/>
      <c r="S550" s="2"/>
      <c r="T550" s="158"/>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2"/>
      <c r="R551" s="2"/>
      <c r="S551" s="2"/>
      <c r="T551" s="158"/>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2"/>
      <c r="R552" s="2"/>
      <c r="S552" s="2"/>
      <c r="T552" s="158"/>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2"/>
      <c r="R553" s="2"/>
      <c r="S553" s="2"/>
      <c r="T553" s="158"/>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2"/>
      <c r="R554" s="2"/>
      <c r="S554" s="2"/>
      <c r="T554" s="158"/>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2"/>
      <c r="R555" s="2"/>
      <c r="S555" s="2"/>
      <c r="T555" s="158"/>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2"/>
      <c r="R556" s="2"/>
      <c r="S556" s="2"/>
      <c r="T556" s="158"/>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2"/>
      <c r="R557" s="2"/>
      <c r="S557" s="2"/>
      <c r="T557" s="158"/>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2"/>
      <c r="R558" s="2"/>
      <c r="S558" s="2"/>
      <c r="T558" s="158"/>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2"/>
      <c r="R559" s="2"/>
      <c r="S559" s="2"/>
      <c r="T559" s="158"/>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2"/>
      <c r="R560" s="2"/>
      <c r="S560" s="2"/>
      <c r="T560" s="158"/>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2"/>
      <c r="R561" s="2"/>
      <c r="S561" s="2"/>
      <c r="T561" s="158"/>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2"/>
      <c r="R562" s="2"/>
      <c r="S562" s="2"/>
      <c r="T562" s="158"/>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2"/>
      <c r="R563" s="2"/>
      <c r="S563" s="2"/>
      <c r="T563" s="158"/>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2"/>
      <c r="R564" s="2"/>
      <c r="S564" s="2"/>
      <c r="T564" s="158"/>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2"/>
      <c r="R565" s="2"/>
      <c r="S565" s="2"/>
      <c r="T565" s="158"/>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2"/>
      <c r="R566" s="2"/>
      <c r="S566" s="2"/>
      <c r="T566" s="158"/>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2"/>
      <c r="R567" s="2"/>
      <c r="S567" s="2"/>
      <c r="T567" s="158"/>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2"/>
      <c r="R568" s="2"/>
      <c r="S568" s="2"/>
      <c r="T568" s="158"/>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2"/>
      <c r="R569" s="2"/>
      <c r="S569" s="2"/>
      <c r="T569" s="158"/>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2"/>
      <c r="R570" s="2"/>
      <c r="S570" s="2"/>
      <c r="T570" s="158"/>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2"/>
      <c r="R571" s="2"/>
      <c r="S571" s="2"/>
      <c r="T571" s="158"/>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2"/>
      <c r="R572" s="2"/>
      <c r="S572" s="2"/>
      <c r="T572" s="158"/>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2"/>
      <c r="R573" s="2"/>
      <c r="S573" s="2"/>
      <c r="T573" s="158"/>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2"/>
      <c r="R574" s="2"/>
      <c r="S574" s="2"/>
      <c r="T574" s="158"/>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2"/>
      <c r="R575" s="2"/>
      <c r="S575" s="2"/>
      <c r="T575" s="158"/>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2"/>
      <c r="R576" s="2"/>
      <c r="S576" s="2"/>
      <c r="T576" s="158"/>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2"/>
      <c r="R577" s="2"/>
      <c r="S577" s="2"/>
      <c r="T577" s="158"/>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2"/>
      <c r="R578" s="2"/>
      <c r="S578" s="2"/>
      <c r="T578" s="158"/>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2"/>
      <c r="R579" s="2"/>
      <c r="S579" s="2"/>
      <c r="T579" s="158"/>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2"/>
      <c r="R580" s="2"/>
      <c r="S580" s="2"/>
      <c r="T580" s="158"/>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2"/>
      <c r="R581" s="2"/>
      <c r="S581" s="2"/>
      <c r="T581" s="158"/>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2"/>
      <c r="R582" s="2"/>
      <c r="S582" s="2"/>
      <c r="T582" s="158"/>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2"/>
      <c r="R583" s="2"/>
      <c r="S583" s="2"/>
      <c r="T583" s="158"/>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2"/>
      <c r="R584" s="2"/>
      <c r="S584" s="2"/>
      <c r="T584" s="158"/>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2"/>
      <c r="R585" s="2"/>
      <c r="S585" s="2"/>
      <c r="T585" s="158"/>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2"/>
      <c r="R586" s="2"/>
      <c r="S586" s="2"/>
      <c r="T586" s="158"/>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2"/>
      <c r="R587" s="2"/>
      <c r="S587" s="2"/>
      <c r="T587" s="158"/>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2"/>
      <c r="R588" s="2"/>
      <c r="S588" s="2"/>
      <c r="T588" s="158"/>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2"/>
      <c r="R589" s="2"/>
      <c r="S589" s="2"/>
      <c r="T589" s="158"/>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2"/>
      <c r="R590" s="2"/>
      <c r="S590" s="2"/>
      <c r="T590" s="158"/>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2"/>
      <c r="R591" s="2"/>
      <c r="S591" s="2"/>
      <c r="T591" s="158"/>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2"/>
      <c r="R592" s="2"/>
      <c r="S592" s="2"/>
      <c r="T592" s="158"/>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2"/>
      <c r="R593" s="2"/>
      <c r="S593" s="2"/>
      <c r="T593" s="158"/>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2"/>
      <c r="R594" s="2"/>
      <c r="S594" s="2"/>
      <c r="T594" s="158"/>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2"/>
      <c r="R595" s="2"/>
      <c r="S595" s="2"/>
      <c r="T595" s="158"/>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2"/>
      <c r="R596" s="2"/>
      <c r="S596" s="2"/>
      <c r="T596" s="158"/>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2"/>
      <c r="R597" s="2"/>
      <c r="S597" s="2"/>
      <c r="T597" s="158"/>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2"/>
      <c r="R598" s="2"/>
      <c r="S598" s="2"/>
      <c r="T598" s="158"/>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2"/>
      <c r="R599" s="2"/>
      <c r="S599" s="2"/>
      <c r="T599" s="158"/>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2"/>
      <c r="R600" s="2"/>
      <c r="S600" s="2"/>
      <c r="T600" s="158"/>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2"/>
      <c r="R601" s="2"/>
      <c r="S601" s="2"/>
      <c r="T601" s="158"/>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2"/>
      <c r="R602" s="2"/>
      <c r="S602" s="2"/>
      <c r="T602" s="158"/>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2"/>
      <c r="R603" s="2"/>
      <c r="S603" s="2"/>
      <c r="T603" s="158"/>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2"/>
      <c r="R604" s="2"/>
      <c r="S604" s="2"/>
      <c r="T604" s="158"/>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2"/>
      <c r="R605" s="2"/>
      <c r="S605" s="2"/>
      <c r="T605" s="158"/>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2"/>
      <c r="R606" s="2"/>
      <c r="S606" s="2"/>
      <c r="T606" s="158"/>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2"/>
      <c r="R607" s="2"/>
      <c r="S607" s="2"/>
      <c r="T607" s="158"/>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2"/>
      <c r="R608" s="2"/>
      <c r="S608" s="2"/>
      <c r="T608" s="158"/>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2"/>
      <c r="R609" s="2"/>
      <c r="S609" s="2"/>
      <c r="T609" s="158"/>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2"/>
      <c r="R610" s="2"/>
      <c r="S610" s="2"/>
      <c r="T610" s="158"/>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2"/>
      <c r="R611" s="2"/>
      <c r="S611" s="2"/>
      <c r="T611" s="158"/>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2"/>
      <c r="R612" s="2"/>
      <c r="S612" s="2"/>
      <c r="T612" s="158"/>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2"/>
      <c r="R613" s="2"/>
      <c r="S613" s="2"/>
      <c r="T613" s="158"/>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2"/>
      <c r="R614" s="2"/>
      <c r="S614" s="2"/>
      <c r="T614" s="158"/>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2"/>
      <c r="R615" s="2"/>
      <c r="S615" s="2"/>
      <c r="T615" s="158"/>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2"/>
      <c r="R616" s="2"/>
      <c r="S616" s="2"/>
      <c r="T616" s="158"/>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2"/>
      <c r="R617" s="2"/>
      <c r="S617" s="2"/>
      <c r="T617" s="158"/>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2"/>
      <c r="R618" s="2"/>
      <c r="S618" s="2"/>
      <c r="T618" s="158"/>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2"/>
      <c r="R619" s="2"/>
      <c r="S619" s="2"/>
      <c r="T619" s="158"/>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2"/>
      <c r="R620" s="2"/>
      <c r="S620" s="2"/>
      <c r="T620" s="158"/>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2"/>
      <c r="R621" s="2"/>
      <c r="S621" s="2"/>
      <c r="T621" s="158"/>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2"/>
      <c r="R622" s="2"/>
      <c r="S622" s="2"/>
      <c r="T622" s="158"/>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2"/>
      <c r="R623" s="2"/>
      <c r="S623" s="2"/>
      <c r="T623" s="158"/>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2"/>
      <c r="R624" s="2"/>
      <c r="S624" s="2"/>
      <c r="T624" s="158"/>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2"/>
      <c r="R625" s="2"/>
      <c r="S625" s="2"/>
      <c r="T625" s="158"/>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2"/>
      <c r="R626" s="2"/>
      <c r="S626" s="2"/>
      <c r="T626" s="158"/>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2"/>
      <c r="R627" s="2"/>
      <c r="S627" s="2"/>
      <c r="T627" s="158"/>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2"/>
      <c r="R628" s="2"/>
      <c r="S628" s="2"/>
      <c r="T628" s="158"/>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2"/>
      <c r="R629" s="2"/>
      <c r="S629" s="2"/>
      <c r="T629" s="158"/>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2"/>
      <c r="R630" s="2"/>
      <c r="S630" s="2"/>
      <c r="T630" s="158"/>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2"/>
      <c r="R631" s="2"/>
      <c r="S631" s="2"/>
      <c r="T631" s="158"/>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2"/>
      <c r="R632" s="2"/>
      <c r="S632" s="2"/>
      <c r="T632" s="158"/>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2"/>
      <c r="R633" s="2"/>
      <c r="S633" s="2"/>
      <c r="T633" s="158"/>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2"/>
      <c r="R634" s="2"/>
      <c r="S634" s="2"/>
      <c r="T634" s="158"/>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2"/>
      <c r="R635" s="2"/>
      <c r="S635" s="2"/>
      <c r="T635" s="158"/>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2"/>
      <c r="R636" s="2"/>
      <c r="S636" s="2"/>
      <c r="T636" s="158"/>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2"/>
      <c r="R637" s="2"/>
      <c r="S637" s="2"/>
      <c r="T637" s="158"/>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2"/>
      <c r="R638" s="2"/>
      <c r="S638" s="2"/>
      <c r="T638" s="158"/>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2"/>
      <c r="R639" s="2"/>
      <c r="S639" s="2"/>
      <c r="T639" s="158"/>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2"/>
      <c r="R640" s="2"/>
      <c r="S640" s="2"/>
      <c r="T640" s="158"/>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2"/>
      <c r="R641" s="2"/>
      <c r="S641" s="2"/>
      <c r="T641" s="158"/>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2"/>
      <c r="R642" s="2"/>
      <c r="S642" s="2"/>
      <c r="T642" s="158"/>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2"/>
      <c r="R643" s="2"/>
      <c r="S643" s="2"/>
      <c r="T643" s="158"/>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2"/>
      <c r="R644" s="2"/>
      <c r="S644" s="2"/>
      <c r="T644" s="158"/>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2"/>
      <c r="R645" s="2"/>
      <c r="S645" s="2"/>
      <c r="T645" s="158"/>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2"/>
      <c r="R646" s="2"/>
      <c r="S646" s="2"/>
      <c r="T646" s="158"/>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2"/>
      <c r="R647" s="2"/>
      <c r="S647" s="2"/>
      <c r="T647" s="158"/>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2"/>
      <c r="R648" s="2"/>
      <c r="S648" s="2"/>
      <c r="T648" s="158"/>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2"/>
      <c r="R649" s="2"/>
      <c r="S649" s="2"/>
      <c r="T649" s="158"/>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2"/>
      <c r="R650" s="2"/>
      <c r="S650" s="2"/>
      <c r="T650" s="158"/>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2"/>
      <c r="R651" s="2"/>
      <c r="S651" s="2"/>
      <c r="T651" s="158"/>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2"/>
      <c r="R652" s="2"/>
      <c r="S652" s="2"/>
      <c r="T652" s="158"/>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2"/>
      <c r="R653" s="2"/>
      <c r="S653" s="2"/>
      <c r="T653" s="158"/>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2"/>
      <c r="R654" s="2"/>
      <c r="S654" s="2"/>
      <c r="T654" s="158"/>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2"/>
      <c r="R655" s="2"/>
      <c r="S655" s="2"/>
      <c r="T655" s="158"/>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2"/>
      <c r="R656" s="2"/>
      <c r="S656" s="2"/>
      <c r="T656" s="158"/>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2"/>
      <c r="R657" s="2"/>
      <c r="S657" s="2"/>
      <c r="T657" s="158"/>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2"/>
      <c r="R658" s="2"/>
      <c r="S658" s="2"/>
      <c r="T658" s="158"/>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2"/>
      <c r="R659" s="2"/>
      <c r="S659" s="2"/>
      <c r="T659" s="158"/>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2"/>
      <c r="R660" s="2"/>
      <c r="S660" s="2"/>
      <c r="T660" s="158"/>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2"/>
      <c r="R661" s="2"/>
      <c r="S661" s="2"/>
      <c r="T661" s="158"/>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2"/>
      <c r="R662" s="2"/>
      <c r="S662" s="2"/>
      <c r="T662" s="158"/>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2"/>
      <c r="R663" s="2"/>
      <c r="S663" s="2"/>
      <c r="T663" s="158"/>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2"/>
      <c r="R664" s="2"/>
      <c r="S664" s="2"/>
      <c r="T664" s="158"/>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2"/>
      <c r="R665" s="2"/>
      <c r="S665" s="2"/>
      <c r="T665" s="158"/>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2"/>
      <c r="R666" s="2"/>
      <c r="S666" s="2"/>
      <c r="T666" s="158"/>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2"/>
      <c r="R667" s="2"/>
      <c r="S667" s="2"/>
      <c r="T667" s="158"/>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2"/>
      <c r="R668" s="2"/>
      <c r="S668" s="2"/>
      <c r="T668" s="158"/>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2"/>
      <c r="R669" s="2"/>
      <c r="S669" s="2"/>
      <c r="T669" s="158"/>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2"/>
      <c r="R670" s="2"/>
      <c r="S670" s="2"/>
      <c r="T670" s="158"/>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2"/>
      <c r="R671" s="2"/>
      <c r="S671" s="2"/>
      <c r="T671" s="158"/>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2"/>
      <c r="R672" s="2"/>
      <c r="S672" s="2"/>
      <c r="T672" s="158"/>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2"/>
      <c r="R673" s="2"/>
      <c r="S673" s="2"/>
      <c r="T673" s="158"/>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2"/>
      <c r="R674" s="2"/>
      <c r="S674" s="2"/>
      <c r="T674" s="158"/>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2"/>
      <c r="R675" s="2"/>
      <c r="S675" s="2"/>
      <c r="T675" s="158"/>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2"/>
      <c r="R676" s="2"/>
      <c r="S676" s="2"/>
      <c r="T676" s="158"/>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2"/>
      <c r="R677" s="2"/>
      <c r="S677" s="2"/>
      <c r="T677" s="158"/>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2"/>
      <c r="R678" s="2"/>
      <c r="S678" s="2"/>
      <c r="T678" s="158"/>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2"/>
      <c r="R679" s="2"/>
      <c r="S679" s="2"/>
      <c r="T679" s="158"/>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2"/>
      <c r="R680" s="2"/>
      <c r="S680" s="2"/>
      <c r="T680" s="158"/>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2"/>
      <c r="R681" s="2"/>
      <c r="S681" s="2"/>
      <c r="T681" s="158"/>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2"/>
      <c r="R682" s="2"/>
      <c r="S682" s="2"/>
      <c r="T682" s="158"/>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2"/>
      <c r="R683" s="2"/>
      <c r="S683" s="2"/>
      <c r="T683" s="158"/>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2"/>
      <c r="R684" s="2"/>
      <c r="S684" s="2"/>
      <c r="T684" s="158"/>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2"/>
      <c r="R685" s="2"/>
      <c r="S685" s="2"/>
      <c r="T685" s="158"/>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2"/>
      <c r="R686" s="2"/>
      <c r="S686" s="2"/>
      <c r="T686" s="158"/>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2"/>
      <c r="R687" s="2"/>
      <c r="S687" s="2"/>
      <c r="T687" s="158"/>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2"/>
      <c r="R688" s="2"/>
      <c r="S688" s="2"/>
      <c r="T688" s="158"/>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2"/>
      <c r="R689" s="2"/>
      <c r="S689" s="2"/>
      <c r="T689" s="158"/>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2"/>
      <c r="R690" s="2"/>
      <c r="S690" s="2"/>
      <c r="T690" s="158"/>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2"/>
      <c r="R691" s="2"/>
      <c r="S691" s="2"/>
      <c r="T691" s="158"/>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2"/>
      <c r="R692" s="2"/>
      <c r="S692" s="2"/>
      <c r="T692" s="158"/>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2"/>
      <c r="R693" s="2"/>
      <c r="S693" s="2"/>
      <c r="T693" s="158"/>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2"/>
      <c r="R694" s="2"/>
      <c r="S694" s="2"/>
      <c r="T694" s="158"/>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2"/>
      <c r="R695" s="2"/>
      <c r="S695" s="2"/>
      <c r="T695" s="158"/>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2"/>
      <c r="R696" s="2"/>
      <c r="S696" s="2"/>
      <c r="T696" s="158"/>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2"/>
      <c r="R697" s="2"/>
      <c r="S697" s="2"/>
      <c r="T697" s="158"/>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2"/>
      <c r="R698" s="2"/>
      <c r="S698" s="2"/>
      <c r="T698" s="158"/>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2"/>
      <c r="R699" s="2"/>
      <c r="S699" s="2"/>
      <c r="T699" s="158"/>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2"/>
      <c r="R700" s="2"/>
      <c r="S700" s="2"/>
      <c r="T700" s="158"/>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2"/>
      <c r="R701" s="2"/>
      <c r="S701" s="2"/>
      <c r="T701" s="158"/>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2"/>
      <c r="R702" s="2"/>
      <c r="S702" s="2"/>
      <c r="T702" s="158"/>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2"/>
      <c r="R703" s="2"/>
      <c r="S703" s="2"/>
      <c r="T703" s="158"/>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2"/>
      <c r="R704" s="2"/>
      <c r="S704" s="2"/>
      <c r="T704" s="158"/>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2"/>
      <c r="R705" s="2"/>
      <c r="S705" s="2"/>
      <c r="T705" s="158"/>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2"/>
      <c r="R706" s="2"/>
      <c r="S706" s="2"/>
      <c r="T706" s="158"/>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2"/>
      <c r="R707" s="2"/>
      <c r="S707" s="2"/>
      <c r="T707" s="158"/>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2"/>
      <c r="R708" s="2"/>
      <c r="S708" s="2"/>
      <c r="T708" s="158"/>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2"/>
      <c r="R709" s="2"/>
      <c r="S709" s="2"/>
      <c r="T709" s="158"/>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2"/>
      <c r="R710" s="2"/>
      <c r="S710" s="2"/>
      <c r="T710" s="158"/>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2"/>
      <c r="R711" s="2"/>
      <c r="S711" s="2"/>
      <c r="T711" s="158"/>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2"/>
      <c r="R712" s="2"/>
      <c r="S712" s="2"/>
      <c r="T712" s="158"/>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2"/>
      <c r="R713" s="2"/>
      <c r="S713" s="2"/>
      <c r="T713" s="158"/>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2"/>
      <c r="R714" s="2"/>
      <c r="S714" s="2"/>
      <c r="T714" s="158"/>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2"/>
      <c r="R715" s="2"/>
      <c r="S715" s="2"/>
      <c r="T715" s="158"/>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2"/>
      <c r="R716" s="2"/>
      <c r="S716" s="2"/>
      <c r="T716" s="158"/>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2"/>
      <c r="R717" s="2"/>
      <c r="S717" s="2"/>
      <c r="T717" s="158"/>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2"/>
      <c r="R718" s="2"/>
      <c r="S718" s="2"/>
      <c r="T718" s="158"/>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2"/>
      <c r="R719" s="2"/>
      <c r="S719" s="2"/>
      <c r="T719" s="158"/>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2"/>
      <c r="R720" s="2"/>
      <c r="S720" s="2"/>
      <c r="T720" s="158"/>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2"/>
      <c r="R721" s="2"/>
      <c r="S721" s="2"/>
      <c r="T721" s="158"/>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2"/>
      <c r="R722" s="2"/>
      <c r="S722" s="2"/>
      <c r="T722" s="158"/>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2"/>
      <c r="R723" s="2"/>
      <c r="S723" s="2"/>
      <c r="T723" s="158"/>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2"/>
      <c r="R724" s="2"/>
      <c r="S724" s="2"/>
      <c r="T724" s="158"/>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2"/>
      <c r="R725" s="2"/>
      <c r="S725" s="2"/>
      <c r="T725" s="158"/>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2"/>
      <c r="R726" s="2"/>
      <c r="S726" s="2"/>
      <c r="T726" s="158"/>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2"/>
      <c r="R727" s="2"/>
      <c r="S727" s="2"/>
      <c r="T727" s="158"/>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2"/>
      <c r="R728" s="2"/>
      <c r="S728" s="2"/>
      <c r="T728" s="158"/>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2"/>
      <c r="R729" s="2"/>
      <c r="S729" s="2"/>
      <c r="T729" s="158"/>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2"/>
      <c r="R730" s="2"/>
      <c r="S730" s="2"/>
      <c r="T730" s="158"/>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2"/>
      <c r="R731" s="2"/>
      <c r="S731" s="2"/>
      <c r="T731" s="158"/>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2"/>
      <c r="R732" s="2"/>
      <c r="S732" s="2"/>
      <c r="T732" s="158"/>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2"/>
      <c r="R733" s="2"/>
      <c r="S733" s="2"/>
      <c r="T733" s="158"/>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2"/>
      <c r="R734" s="2"/>
      <c r="S734" s="2"/>
      <c r="T734" s="158"/>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2"/>
      <c r="R735" s="2"/>
      <c r="S735" s="2"/>
      <c r="T735" s="158"/>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2"/>
      <c r="R736" s="2"/>
      <c r="S736" s="2"/>
      <c r="T736" s="158"/>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2"/>
      <c r="R737" s="2"/>
      <c r="S737" s="2"/>
      <c r="T737" s="158"/>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2"/>
      <c r="R738" s="2"/>
      <c r="S738" s="2"/>
      <c r="T738" s="158"/>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2"/>
      <c r="R739" s="2"/>
      <c r="S739" s="2"/>
      <c r="T739" s="158"/>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2"/>
      <c r="R740" s="2"/>
      <c r="S740" s="2"/>
      <c r="T740" s="158"/>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2"/>
      <c r="R741" s="2"/>
      <c r="S741" s="2"/>
      <c r="T741" s="158"/>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2"/>
      <c r="R742" s="2"/>
      <c r="S742" s="2"/>
      <c r="T742" s="158"/>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2"/>
      <c r="R743" s="2"/>
      <c r="S743" s="2"/>
      <c r="T743" s="158"/>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2"/>
      <c r="R744" s="2"/>
      <c r="S744" s="2"/>
      <c r="T744" s="158"/>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2"/>
      <c r="R745" s="2"/>
      <c r="S745" s="2"/>
      <c r="T745" s="158"/>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2"/>
      <c r="R746" s="2"/>
      <c r="S746" s="2"/>
      <c r="T746" s="158"/>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2"/>
      <c r="R747" s="2"/>
      <c r="S747" s="2"/>
      <c r="T747" s="158"/>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2"/>
      <c r="R748" s="2"/>
      <c r="S748" s="2"/>
      <c r="T748" s="158"/>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2"/>
      <c r="R749" s="2"/>
      <c r="S749" s="2"/>
      <c r="T749" s="158"/>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2"/>
      <c r="R750" s="2"/>
      <c r="S750" s="2"/>
      <c r="T750" s="158"/>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2"/>
      <c r="R751" s="2"/>
      <c r="S751" s="2"/>
      <c r="T751" s="158"/>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2"/>
      <c r="R752" s="2"/>
      <c r="S752" s="2"/>
      <c r="T752" s="158"/>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2"/>
      <c r="R753" s="2"/>
      <c r="S753" s="2"/>
      <c r="T753" s="158"/>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2"/>
      <c r="R754" s="2"/>
      <c r="S754" s="2"/>
      <c r="T754" s="158"/>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2"/>
      <c r="R755" s="2"/>
      <c r="S755" s="2"/>
      <c r="T755" s="158"/>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2"/>
      <c r="R756" s="2"/>
      <c r="S756" s="2"/>
      <c r="T756" s="158"/>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2"/>
      <c r="R757" s="2"/>
      <c r="S757" s="2"/>
      <c r="T757" s="158"/>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2"/>
      <c r="R758" s="2"/>
      <c r="S758" s="2"/>
      <c r="T758" s="158"/>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2"/>
      <c r="R759" s="2"/>
      <c r="S759" s="2"/>
      <c r="T759" s="158"/>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2"/>
      <c r="R760" s="2"/>
      <c r="S760" s="2"/>
      <c r="T760" s="158"/>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2"/>
      <c r="R761" s="2"/>
      <c r="S761" s="2"/>
      <c r="T761" s="158"/>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2"/>
      <c r="R762" s="2"/>
      <c r="S762" s="2"/>
      <c r="T762" s="158"/>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2"/>
      <c r="R763" s="2"/>
      <c r="S763" s="2"/>
      <c r="T763" s="158"/>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2"/>
      <c r="R764" s="2"/>
      <c r="S764" s="2"/>
      <c r="T764" s="158"/>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2"/>
      <c r="R765" s="2"/>
      <c r="S765" s="2"/>
      <c r="T765" s="158"/>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2"/>
      <c r="R766" s="2"/>
      <c r="S766" s="2"/>
      <c r="T766" s="158"/>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2"/>
      <c r="R767" s="2"/>
      <c r="S767" s="2"/>
      <c r="T767" s="158"/>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2"/>
      <c r="R768" s="2"/>
      <c r="S768" s="2"/>
      <c r="T768" s="158"/>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2"/>
      <c r="R769" s="2"/>
      <c r="S769" s="2"/>
      <c r="T769" s="158"/>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2"/>
      <c r="R770" s="2"/>
      <c r="S770" s="2"/>
      <c r="T770" s="158"/>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2"/>
      <c r="R771" s="2"/>
      <c r="S771" s="2"/>
      <c r="T771" s="158"/>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2"/>
      <c r="R772" s="2"/>
      <c r="S772" s="2"/>
      <c r="T772" s="158"/>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2"/>
      <c r="R773" s="2"/>
      <c r="S773" s="2"/>
      <c r="T773" s="158"/>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2"/>
      <c r="R774" s="2"/>
      <c r="S774" s="2"/>
      <c r="T774" s="158"/>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2"/>
      <c r="R775" s="2"/>
      <c r="S775" s="2"/>
      <c r="T775" s="158"/>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2"/>
      <c r="R776" s="2"/>
      <c r="S776" s="2"/>
      <c r="T776" s="158"/>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2"/>
      <c r="R777" s="2"/>
      <c r="S777" s="2"/>
      <c r="T777" s="158"/>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2"/>
      <c r="R778" s="2"/>
      <c r="S778" s="2"/>
      <c r="T778" s="158"/>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2"/>
      <c r="R779" s="2"/>
      <c r="S779" s="2"/>
      <c r="T779" s="158"/>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2"/>
      <c r="R780" s="2"/>
      <c r="S780" s="2"/>
      <c r="T780" s="158"/>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2"/>
      <c r="R781" s="2"/>
      <c r="S781" s="2"/>
      <c r="T781" s="158"/>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2"/>
      <c r="R782" s="2"/>
      <c r="S782" s="2"/>
      <c r="T782" s="158"/>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2"/>
      <c r="R783" s="2"/>
      <c r="S783" s="2"/>
      <c r="T783" s="158"/>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2"/>
      <c r="R784" s="2"/>
      <c r="S784" s="2"/>
      <c r="T784" s="158"/>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2"/>
      <c r="R785" s="2"/>
      <c r="S785" s="2"/>
      <c r="T785" s="158"/>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2"/>
      <c r="R786" s="2"/>
      <c r="S786" s="2"/>
      <c r="T786" s="158"/>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2"/>
      <c r="R787" s="2"/>
      <c r="S787" s="2"/>
      <c r="T787" s="158"/>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2"/>
      <c r="R788" s="2"/>
      <c r="S788" s="2"/>
      <c r="T788" s="158"/>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2"/>
      <c r="R789" s="2"/>
      <c r="S789" s="2"/>
      <c r="T789" s="158"/>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2"/>
      <c r="R790" s="2"/>
      <c r="S790" s="2"/>
      <c r="T790" s="158"/>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2"/>
      <c r="R791" s="2"/>
      <c r="S791" s="2"/>
      <c r="T791" s="158"/>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2"/>
      <c r="R792" s="2"/>
      <c r="S792" s="2"/>
      <c r="T792" s="158"/>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2"/>
      <c r="R793" s="2"/>
      <c r="S793" s="2"/>
      <c r="T793" s="158"/>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2"/>
      <c r="R794" s="2"/>
      <c r="S794" s="2"/>
      <c r="T794" s="158"/>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2"/>
      <c r="R795" s="2"/>
      <c r="S795" s="2"/>
      <c r="T795" s="158"/>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2"/>
      <c r="R796" s="2"/>
      <c r="S796" s="2"/>
      <c r="T796" s="158"/>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2"/>
      <c r="R797" s="2"/>
      <c r="S797" s="2"/>
      <c r="T797" s="158"/>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2"/>
      <c r="R798" s="2"/>
      <c r="S798" s="2"/>
      <c r="T798" s="158"/>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2"/>
      <c r="R799" s="2"/>
      <c r="S799" s="2"/>
      <c r="T799" s="158"/>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2"/>
      <c r="R800" s="2"/>
      <c r="S800" s="2"/>
      <c r="T800" s="158"/>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2"/>
      <c r="R801" s="2"/>
      <c r="S801" s="2"/>
      <c r="T801" s="158"/>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2"/>
      <c r="R802" s="2"/>
      <c r="S802" s="2"/>
      <c r="T802" s="158"/>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2"/>
      <c r="R803" s="2"/>
      <c r="S803" s="2"/>
      <c r="T803" s="158"/>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2"/>
      <c r="R804" s="2"/>
      <c r="S804" s="2"/>
      <c r="T804" s="158"/>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2"/>
      <c r="R805" s="2"/>
      <c r="S805" s="2"/>
      <c r="T805" s="158"/>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2"/>
      <c r="R806" s="2"/>
      <c r="S806" s="2"/>
      <c r="T806" s="158"/>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2"/>
      <c r="R807" s="2"/>
      <c r="S807" s="2"/>
      <c r="T807" s="158"/>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2"/>
      <c r="R808" s="2"/>
      <c r="S808" s="2"/>
      <c r="T808" s="158"/>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2"/>
      <c r="R809" s="2"/>
      <c r="S809" s="2"/>
      <c r="T809" s="158"/>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2"/>
      <c r="R810" s="2"/>
      <c r="S810" s="2"/>
      <c r="T810" s="158"/>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2"/>
      <c r="R811" s="2"/>
      <c r="S811" s="2"/>
      <c r="T811" s="158"/>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2"/>
      <c r="R812" s="2"/>
      <c r="S812" s="2"/>
      <c r="T812" s="158"/>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2"/>
      <c r="R813" s="2"/>
      <c r="S813" s="2"/>
      <c r="T813" s="158"/>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2"/>
      <c r="R814" s="2"/>
      <c r="S814" s="2"/>
      <c r="T814" s="158"/>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2"/>
      <c r="R815" s="2"/>
      <c r="S815" s="2"/>
      <c r="T815" s="158"/>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2"/>
      <c r="R816" s="2"/>
      <c r="S816" s="2"/>
      <c r="T816" s="158"/>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2"/>
      <c r="R817" s="2"/>
      <c r="S817" s="2"/>
      <c r="T817" s="158"/>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2"/>
      <c r="R818" s="2"/>
      <c r="S818" s="2"/>
      <c r="T818" s="158"/>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2"/>
      <c r="R819" s="2"/>
      <c r="S819" s="2"/>
      <c r="T819" s="158"/>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2"/>
      <c r="R820" s="2"/>
      <c r="S820" s="2"/>
      <c r="T820" s="158"/>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2"/>
      <c r="R821" s="2"/>
      <c r="S821" s="2"/>
      <c r="T821" s="158"/>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2"/>
      <c r="R822" s="2"/>
      <c r="S822" s="2"/>
      <c r="T822" s="158"/>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2"/>
      <c r="R823" s="2"/>
      <c r="S823" s="2"/>
      <c r="T823" s="158"/>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2"/>
      <c r="R824" s="2"/>
      <c r="S824" s="2"/>
      <c r="T824" s="158"/>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2"/>
      <c r="R825" s="2"/>
      <c r="S825" s="2"/>
      <c r="T825" s="158"/>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2"/>
      <c r="R826" s="2"/>
      <c r="S826" s="2"/>
      <c r="T826" s="158"/>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2"/>
      <c r="R827" s="2"/>
      <c r="S827" s="2"/>
      <c r="T827" s="158"/>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2"/>
      <c r="R828" s="2"/>
      <c r="S828" s="2"/>
      <c r="T828" s="158"/>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2"/>
      <c r="R829" s="2"/>
      <c r="S829" s="2"/>
      <c r="T829" s="158"/>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2"/>
      <c r="R830" s="2"/>
      <c r="S830" s="2"/>
      <c r="T830" s="158"/>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2"/>
      <c r="R831" s="2"/>
      <c r="S831" s="2"/>
      <c r="T831" s="158"/>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2"/>
      <c r="R832" s="2"/>
      <c r="S832" s="2"/>
      <c r="T832" s="158"/>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2"/>
      <c r="R833" s="2"/>
      <c r="S833" s="2"/>
      <c r="T833" s="158"/>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2"/>
      <c r="R834" s="2"/>
      <c r="S834" s="2"/>
      <c r="T834" s="158"/>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2"/>
      <c r="R835" s="2"/>
      <c r="S835" s="2"/>
      <c r="T835" s="158"/>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2"/>
      <c r="R836" s="2"/>
      <c r="S836" s="2"/>
      <c r="T836" s="158"/>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2"/>
      <c r="R837" s="2"/>
      <c r="S837" s="2"/>
      <c r="T837" s="158"/>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2"/>
      <c r="R838" s="2"/>
      <c r="S838" s="2"/>
      <c r="T838" s="158"/>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2"/>
      <c r="R839" s="2"/>
      <c r="S839" s="2"/>
      <c r="T839" s="158"/>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2"/>
      <c r="R840" s="2"/>
      <c r="S840" s="2"/>
      <c r="T840" s="158"/>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2"/>
      <c r="R841" s="2"/>
      <c r="S841" s="2"/>
      <c r="T841" s="158"/>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2"/>
      <c r="R842" s="2"/>
      <c r="S842" s="2"/>
      <c r="T842" s="158"/>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2"/>
      <c r="R843" s="2"/>
      <c r="S843" s="2"/>
      <c r="T843" s="158"/>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2"/>
      <c r="R844" s="2"/>
      <c r="S844" s="2"/>
      <c r="T844" s="158"/>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2"/>
      <c r="R845" s="2"/>
      <c r="S845" s="2"/>
      <c r="T845" s="158"/>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2"/>
      <c r="R846" s="2"/>
      <c r="S846" s="2"/>
      <c r="T846" s="158"/>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2"/>
      <c r="R847" s="2"/>
      <c r="S847" s="2"/>
      <c r="T847" s="158"/>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2"/>
      <c r="R848" s="2"/>
      <c r="S848" s="2"/>
      <c r="T848" s="158"/>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2"/>
      <c r="R849" s="2"/>
      <c r="S849" s="2"/>
      <c r="T849" s="158"/>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2"/>
      <c r="R850" s="2"/>
      <c r="S850" s="2"/>
      <c r="T850" s="158"/>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2"/>
      <c r="R851" s="2"/>
      <c r="S851" s="2"/>
      <c r="T851" s="158"/>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2"/>
      <c r="R852" s="2"/>
      <c r="S852" s="2"/>
      <c r="T852" s="158"/>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2"/>
      <c r="R853" s="2"/>
      <c r="S853" s="2"/>
      <c r="T853" s="158"/>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2"/>
      <c r="R854" s="2"/>
      <c r="S854" s="2"/>
      <c r="T854" s="158"/>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2"/>
      <c r="R855" s="2"/>
      <c r="S855" s="2"/>
      <c r="T855" s="158"/>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2"/>
      <c r="R856" s="2"/>
      <c r="S856" s="2"/>
      <c r="T856" s="158"/>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2"/>
      <c r="R857" s="2"/>
      <c r="S857" s="2"/>
      <c r="T857" s="158"/>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2"/>
      <c r="R858" s="2"/>
      <c r="S858" s="2"/>
      <c r="T858" s="158"/>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2"/>
      <c r="R859" s="2"/>
      <c r="S859" s="2"/>
      <c r="T859" s="158"/>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2"/>
      <c r="R860" s="2"/>
      <c r="S860" s="2"/>
      <c r="T860" s="158"/>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2"/>
      <c r="R861" s="2"/>
      <c r="S861" s="2"/>
      <c r="T861" s="158"/>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2"/>
      <c r="R862" s="2"/>
      <c r="S862" s="2"/>
      <c r="T862" s="158"/>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2"/>
      <c r="R863" s="2"/>
      <c r="S863" s="2"/>
      <c r="T863" s="158"/>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2"/>
      <c r="R864" s="2"/>
      <c r="S864" s="2"/>
      <c r="T864" s="158"/>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2"/>
      <c r="R865" s="2"/>
      <c r="S865" s="2"/>
      <c r="T865" s="158"/>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2"/>
      <c r="R866" s="2"/>
      <c r="S866" s="2"/>
      <c r="T866" s="158"/>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2"/>
      <c r="R867" s="2"/>
      <c r="S867" s="2"/>
      <c r="T867" s="158"/>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2"/>
      <c r="R868" s="2"/>
      <c r="S868" s="2"/>
      <c r="T868" s="158"/>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2"/>
      <c r="R869" s="2"/>
      <c r="S869" s="2"/>
      <c r="T869" s="158"/>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2"/>
      <c r="R870" s="2"/>
      <c r="S870" s="2"/>
      <c r="T870" s="158"/>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2"/>
      <c r="R871" s="2"/>
      <c r="S871" s="2"/>
      <c r="T871" s="158"/>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2"/>
      <c r="R872" s="2"/>
      <c r="S872" s="2"/>
      <c r="T872" s="158"/>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2"/>
      <c r="R873" s="2"/>
      <c r="S873" s="2"/>
      <c r="T873" s="158"/>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2"/>
      <c r="R874" s="2"/>
      <c r="S874" s="2"/>
      <c r="T874" s="158"/>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2"/>
      <c r="R875" s="2"/>
      <c r="S875" s="2"/>
      <c r="T875" s="158"/>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2"/>
      <c r="R876" s="2"/>
      <c r="S876" s="2"/>
      <c r="T876" s="158"/>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2"/>
      <c r="R877" s="2"/>
      <c r="S877" s="2"/>
      <c r="T877" s="158"/>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2"/>
      <c r="R878" s="2"/>
      <c r="S878" s="2"/>
      <c r="T878" s="158"/>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2"/>
      <c r="R879" s="2"/>
      <c r="S879" s="2"/>
      <c r="T879" s="158"/>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2"/>
      <c r="R880" s="2"/>
      <c r="S880" s="2"/>
      <c r="T880" s="158"/>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2"/>
      <c r="R881" s="2"/>
      <c r="S881" s="2"/>
      <c r="T881" s="158"/>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2"/>
      <c r="R882" s="2"/>
      <c r="S882" s="2"/>
      <c r="T882" s="158"/>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2"/>
      <c r="R883" s="2"/>
      <c r="S883" s="2"/>
      <c r="T883" s="158"/>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2"/>
      <c r="R884" s="2"/>
      <c r="S884" s="2"/>
      <c r="T884" s="158"/>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2"/>
      <c r="R885" s="2"/>
      <c r="S885" s="2"/>
      <c r="T885" s="158"/>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2"/>
      <c r="R886" s="2"/>
      <c r="S886" s="2"/>
      <c r="T886" s="158"/>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2"/>
      <c r="R887" s="2"/>
      <c r="S887" s="2"/>
      <c r="T887" s="158"/>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2"/>
      <c r="R888" s="2"/>
      <c r="S888" s="2"/>
      <c r="T888" s="158"/>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2"/>
      <c r="R889" s="2"/>
      <c r="S889" s="2"/>
      <c r="T889" s="158"/>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2"/>
      <c r="R890" s="2"/>
      <c r="S890" s="2"/>
      <c r="T890" s="158"/>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2"/>
      <c r="R891" s="2"/>
      <c r="S891" s="2"/>
      <c r="T891" s="158"/>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2"/>
      <c r="R892" s="2"/>
      <c r="S892" s="2"/>
      <c r="T892" s="158"/>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2"/>
      <c r="R893" s="2"/>
      <c r="S893" s="2"/>
      <c r="T893" s="158"/>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2"/>
      <c r="R894" s="2"/>
      <c r="S894" s="2"/>
      <c r="T894" s="158"/>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2"/>
      <c r="R895" s="2"/>
      <c r="S895" s="2"/>
      <c r="T895" s="158"/>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2"/>
      <c r="R896" s="2"/>
      <c r="S896" s="2"/>
      <c r="T896" s="158"/>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2"/>
      <c r="R897" s="2"/>
      <c r="S897" s="2"/>
      <c r="T897" s="158"/>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2"/>
      <c r="R898" s="2"/>
      <c r="S898" s="2"/>
      <c r="T898" s="158"/>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2"/>
      <c r="R899" s="2"/>
      <c r="S899" s="2"/>
      <c r="T899" s="158"/>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2"/>
      <c r="R900" s="2"/>
      <c r="S900" s="2"/>
      <c r="T900" s="158"/>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2"/>
      <c r="R901" s="2"/>
      <c r="S901" s="2"/>
      <c r="T901" s="158"/>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2"/>
      <c r="R902" s="2"/>
      <c r="S902" s="2"/>
      <c r="T902" s="158"/>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2"/>
      <c r="R903" s="2"/>
      <c r="S903" s="2"/>
      <c r="T903" s="158"/>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2"/>
      <c r="R904" s="2"/>
      <c r="S904" s="2"/>
      <c r="T904" s="158"/>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2"/>
      <c r="R905" s="2"/>
      <c r="S905" s="2"/>
      <c r="T905" s="158"/>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2"/>
      <c r="R906" s="2"/>
      <c r="S906" s="2"/>
      <c r="T906" s="158"/>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2"/>
      <c r="R907" s="2"/>
      <c r="S907" s="2"/>
      <c r="T907" s="158"/>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2"/>
      <c r="R908" s="2"/>
      <c r="S908" s="2"/>
      <c r="T908" s="158"/>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2"/>
      <c r="R909" s="2"/>
      <c r="S909" s="2"/>
      <c r="T909" s="158"/>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2"/>
      <c r="R910" s="2"/>
      <c r="S910" s="2"/>
      <c r="T910" s="158"/>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2"/>
      <c r="R911" s="2"/>
      <c r="S911" s="2"/>
      <c r="T911" s="158"/>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2"/>
      <c r="R912" s="2"/>
      <c r="S912" s="2"/>
      <c r="T912" s="158"/>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2"/>
      <c r="R913" s="2"/>
      <c r="S913" s="2"/>
      <c r="T913" s="158"/>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2"/>
      <c r="R914" s="2"/>
      <c r="S914" s="2"/>
      <c r="T914" s="158"/>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2"/>
      <c r="R915" s="2"/>
      <c r="S915" s="2"/>
      <c r="T915" s="158"/>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2"/>
      <c r="R916" s="2"/>
      <c r="S916" s="2"/>
      <c r="T916" s="158"/>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2"/>
      <c r="R917" s="2"/>
      <c r="S917" s="2"/>
      <c r="T917" s="158"/>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2"/>
      <c r="R918" s="2"/>
      <c r="S918" s="2"/>
      <c r="T918" s="158"/>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2"/>
      <c r="R919" s="2"/>
      <c r="S919" s="2"/>
      <c r="T919" s="158"/>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2"/>
      <c r="R920" s="2"/>
      <c r="S920" s="2"/>
      <c r="T920" s="158"/>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2"/>
      <c r="R921" s="2"/>
      <c r="S921" s="2"/>
      <c r="T921" s="158"/>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2"/>
      <c r="R922" s="2"/>
      <c r="S922" s="2"/>
      <c r="T922" s="158"/>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2"/>
      <c r="R923" s="2"/>
      <c r="S923" s="2"/>
      <c r="T923" s="158"/>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2"/>
      <c r="R924" s="2"/>
      <c r="S924" s="2"/>
      <c r="T924" s="158"/>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2"/>
      <c r="R925" s="2"/>
      <c r="S925" s="2"/>
      <c r="T925" s="158"/>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2"/>
      <c r="R926" s="2"/>
      <c r="S926" s="2"/>
      <c r="T926" s="158"/>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2"/>
      <c r="R927" s="2"/>
      <c r="S927" s="2"/>
      <c r="T927" s="158"/>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2"/>
      <c r="R928" s="2"/>
      <c r="S928" s="2"/>
      <c r="T928" s="158"/>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2"/>
      <c r="R929" s="2"/>
      <c r="S929" s="2"/>
      <c r="T929" s="158"/>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2"/>
      <c r="R930" s="2"/>
      <c r="S930" s="2"/>
      <c r="T930" s="158"/>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2"/>
      <c r="R931" s="2"/>
      <c r="S931" s="2"/>
      <c r="T931" s="158"/>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2"/>
      <c r="R932" s="2"/>
      <c r="S932" s="2"/>
      <c r="T932" s="158"/>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2"/>
      <c r="R933" s="2"/>
      <c r="S933" s="2"/>
      <c r="T933" s="158"/>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2"/>
      <c r="R934" s="2"/>
      <c r="S934" s="2"/>
      <c r="T934" s="158"/>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2"/>
      <c r="R935" s="2"/>
      <c r="S935" s="2"/>
      <c r="T935" s="158"/>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2"/>
      <c r="R936" s="2"/>
      <c r="S936" s="2"/>
      <c r="T936" s="158"/>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2"/>
      <c r="R937" s="2"/>
      <c r="S937" s="2"/>
      <c r="T937" s="158"/>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2"/>
      <c r="R938" s="2"/>
      <c r="S938" s="2"/>
      <c r="T938" s="158"/>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2"/>
      <c r="R939" s="2"/>
      <c r="S939" s="2"/>
      <c r="T939" s="158"/>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2"/>
      <c r="R940" s="2"/>
      <c r="S940" s="2"/>
      <c r="T940" s="158"/>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2"/>
      <c r="R941" s="2"/>
      <c r="S941" s="2"/>
      <c r="T941" s="158"/>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2"/>
      <c r="R942" s="2"/>
      <c r="S942" s="2"/>
      <c r="T942" s="158"/>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2"/>
      <c r="R943" s="2"/>
      <c r="S943" s="2"/>
      <c r="T943" s="158"/>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2"/>
      <c r="R944" s="2"/>
      <c r="S944" s="2"/>
      <c r="T944" s="158"/>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2"/>
      <c r="R945" s="2"/>
      <c r="S945" s="2"/>
      <c r="T945" s="158"/>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2"/>
      <c r="R946" s="2"/>
      <c r="S946" s="2"/>
      <c r="T946" s="158"/>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2"/>
      <c r="R947" s="2"/>
      <c r="S947" s="2"/>
      <c r="T947" s="158"/>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2"/>
      <c r="R948" s="2"/>
      <c r="S948" s="2"/>
      <c r="T948" s="158"/>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2"/>
      <c r="R949" s="2"/>
      <c r="S949" s="2"/>
      <c r="T949" s="158"/>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2"/>
      <c r="R950" s="2"/>
      <c r="S950" s="2"/>
      <c r="T950" s="158"/>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2"/>
      <c r="R951" s="2"/>
      <c r="S951" s="2"/>
      <c r="T951" s="158"/>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2"/>
      <c r="R952" s="2"/>
      <c r="S952" s="2"/>
      <c r="T952" s="158"/>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2"/>
      <c r="R953" s="2"/>
      <c r="S953" s="2"/>
      <c r="T953" s="158"/>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2"/>
      <c r="R954" s="2"/>
      <c r="S954" s="2"/>
      <c r="T954" s="158"/>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2"/>
      <c r="R955" s="2"/>
      <c r="S955" s="2"/>
      <c r="T955" s="158"/>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2"/>
      <c r="R956" s="2"/>
      <c r="S956" s="2"/>
      <c r="T956" s="158"/>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2"/>
      <c r="R957" s="2"/>
      <c r="S957" s="2"/>
      <c r="T957" s="158"/>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2"/>
      <c r="R958" s="2"/>
      <c r="S958" s="2"/>
      <c r="T958" s="158"/>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2"/>
      <c r="R959" s="2"/>
      <c r="S959" s="2"/>
      <c r="T959" s="158"/>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2"/>
      <c r="R960" s="2"/>
      <c r="S960" s="2"/>
      <c r="T960" s="158"/>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2"/>
      <c r="R961" s="2"/>
      <c r="S961" s="2"/>
      <c r="T961" s="158"/>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2"/>
      <c r="R962" s="2"/>
      <c r="S962" s="2"/>
      <c r="T962" s="158"/>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2"/>
      <c r="R963" s="2"/>
      <c r="S963" s="2"/>
      <c r="T963" s="158"/>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2"/>
      <c r="R964" s="2"/>
      <c r="S964" s="2"/>
      <c r="T964" s="158"/>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2"/>
      <c r="R965" s="2"/>
      <c r="S965" s="2"/>
      <c r="T965" s="158"/>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2"/>
      <c r="R966" s="2"/>
      <c r="S966" s="2"/>
      <c r="T966" s="158"/>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2"/>
      <c r="R967" s="2"/>
      <c r="S967" s="2"/>
      <c r="T967" s="158"/>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2"/>
      <c r="R968" s="2"/>
      <c r="S968" s="2"/>
      <c r="T968" s="158"/>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2"/>
      <c r="R969" s="2"/>
      <c r="S969" s="2"/>
      <c r="T969" s="158"/>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2"/>
      <c r="R970" s="2"/>
      <c r="S970" s="2"/>
      <c r="T970" s="158"/>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2"/>
      <c r="R971" s="2"/>
      <c r="S971" s="2"/>
      <c r="T971" s="158"/>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2"/>
      <c r="R972" s="2"/>
      <c r="S972" s="2"/>
      <c r="T972" s="158"/>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2"/>
      <c r="R973" s="2"/>
      <c r="S973" s="2"/>
      <c r="T973" s="158"/>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2"/>
      <c r="R974" s="2"/>
      <c r="S974" s="2"/>
      <c r="T974" s="158"/>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2"/>
      <c r="R975" s="2"/>
      <c r="S975" s="2"/>
      <c r="T975" s="158"/>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2"/>
      <c r="R976" s="2"/>
      <c r="S976" s="2"/>
      <c r="T976" s="158"/>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2"/>
      <c r="R977" s="2"/>
      <c r="S977" s="2"/>
      <c r="T977" s="158"/>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2"/>
      <c r="R978" s="2"/>
      <c r="S978" s="2"/>
      <c r="T978" s="158"/>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2"/>
      <c r="R979" s="2"/>
      <c r="S979" s="2"/>
      <c r="T979" s="158"/>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2"/>
      <c r="R980" s="2"/>
      <c r="S980" s="2"/>
      <c r="T980" s="158"/>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2"/>
      <c r="R981" s="2"/>
      <c r="S981" s="2"/>
      <c r="T981" s="158"/>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2"/>
      <c r="R982" s="2"/>
      <c r="S982" s="2"/>
      <c r="T982" s="158"/>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2"/>
      <c r="R983" s="2"/>
      <c r="S983" s="2"/>
      <c r="T983" s="158"/>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2"/>
      <c r="R984" s="2"/>
      <c r="S984" s="2"/>
      <c r="T984" s="158"/>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2"/>
      <c r="R985" s="2"/>
      <c r="S985" s="2"/>
      <c r="T985" s="158"/>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2"/>
      <c r="R986" s="2"/>
      <c r="S986" s="2"/>
      <c r="T986" s="158"/>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2"/>
      <c r="R987" s="2"/>
      <c r="S987" s="2"/>
      <c r="T987" s="158"/>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2"/>
      <c r="R988" s="2"/>
      <c r="S988" s="2"/>
      <c r="T988" s="158"/>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2"/>
      <c r="R989" s="2"/>
      <c r="S989" s="2"/>
      <c r="T989" s="158"/>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2"/>
      <c r="R990" s="2"/>
      <c r="S990" s="2"/>
      <c r="T990" s="158"/>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2"/>
      <c r="R991" s="2"/>
      <c r="S991" s="2"/>
      <c r="T991" s="158"/>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2"/>
      <c r="R992" s="2"/>
      <c r="S992" s="2"/>
      <c r="T992" s="158"/>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2"/>
      <c r="R993" s="2"/>
      <c r="S993" s="2"/>
      <c r="T993" s="158"/>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2"/>
      <c r="R994" s="2"/>
      <c r="S994" s="2"/>
      <c r="T994" s="158"/>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2"/>
      <c r="R995" s="2"/>
      <c r="S995" s="2"/>
      <c r="T995" s="158"/>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2"/>
      <c r="R996" s="2"/>
      <c r="S996" s="2"/>
      <c r="T996" s="158"/>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2"/>
      <c r="R997" s="2"/>
      <c r="S997" s="2"/>
      <c r="T997" s="158"/>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2"/>
      <c r="R998" s="2"/>
      <c r="S998" s="2"/>
      <c r="T998" s="158"/>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2"/>
      <c r="R999" s="2"/>
      <c r="S999" s="2"/>
      <c r="T999" s="158"/>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2"/>
      <c r="R1000" s="2"/>
      <c r="S1000" s="2"/>
      <c r="T1000" s="158"/>
      <c r="U1000" s="2"/>
      <c r="V1000" s="2"/>
      <c r="W1000" s="2"/>
      <c r="X1000" s="2"/>
      <c r="Y1000" s="2"/>
      <c r="Z1000" s="2"/>
    </row>
  </sheetData>
  <mergeCells count="33">
    <mergeCell ref="A1:T1"/>
    <mergeCell ref="A2:C2"/>
    <mergeCell ref="D2:G2"/>
    <mergeCell ref="H2:J2"/>
    <mergeCell ref="K2:O2"/>
    <mergeCell ref="P2:R2"/>
    <mergeCell ref="S2:T2"/>
    <mergeCell ref="K3:O3"/>
    <mergeCell ref="L6:L27"/>
    <mergeCell ref="L28:L59"/>
    <mergeCell ref="L60:L68"/>
    <mergeCell ref="L69:L80"/>
    <mergeCell ref="A3:C3"/>
    <mergeCell ref="D3:G3"/>
    <mergeCell ref="H3:J3"/>
    <mergeCell ref="P3:R3"/>
    <mergeCell ref="S3:T3"/>
    <mergeCell ref="A6:A27"/>
    <mergeCell ref="D6:D27"/>
    <mergeCell ref="B60:B68"/>
    <mergeCell ref="C60:C68"/>
    <mergeCell ref="A69:A80"/>
    <mergeCell ref="B69:B80"/>
    <mergeCell ref="C69:C80"/>
    <mergeCell ref="D69:D80"/>
    <mergeCell ref="B6:B27"/>
    <mergeCell ref="C6:C27"/>
    <mergeCell ref="A28:A59"/>
    <mergeCell ref="B28:B59"/>
    <mergeCell ref="C28:C59"/>
    <mergeCell ref="D28:D59"/>
    <mergeCell ref="A60:A68"/>
    <mergeCell ref="D60:D68"/>
  </mergeCell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2.63" defaultRowHeight="15.0"/>
  <cols>
    <col customWidth="1" min="1" max="1" width="12.63"/>
    <col customWidth="1" min="2" max="2" width="18.75"/>
    <col customWidth="1" min="3" max="4" width="12.63"/>
    <col customWidth="1" min="5" max="6" width="15.75"/>
    <col customWidth="1" min="7" max="7" width="62.63"/>
    <col customWidth="1" min="8" max="9" width="12.63"/>
    <col customWidth="1" min="10" max="10" width="56.38"/>
    <col customWidth="1" min="11" max="11" width="58.63"/>
    <col customWidth="1" hidden="1" min="12" max="12" width="18.88"/>
    <col customWidth="1" hidden="1" min="13" max="13" width="30.75"/>
    <col hidden="1" min="14" max="16" width="12.63"/>
    <col customWidth="1" min="17" max="17" width="12.63"/>
    <col customWidth="1" min="18" max="19" width="15.75"/>
    <col customWidth="1" min="20" max="20" width="20.75"/>
    <col customWidth="1" min="21" max="26" width="12.63"/>
  </cols>
  <sheetData>
    <row r="1" ht="30.0" customHeight="1">
      <c r="A1" s="21" t="s">
        <v>1909</v>
      </c>
      <c r="B1" s="24"/>
      <c r="C1" s="24"/>
      <c r="D1" s="24"/>
      <c r="E1" s="24"/>
      <c r="F1" s="24"/>
      <c r="G1" s="24"/>
      <c r="H1" s="24"/>
      <c r="I1" s="24"/>
      <c r="J1" s="24"/>
      <c r="K1" s="24"/>
      <c r="L1" s="24"/>
      <c r="M1" s="24"/>
      <c r="N1" s="24"/>
      <c r="O1" s="24"/>
      <c r="P1" s="24"/>
      <c r="Q1" s="24"/>
      <c r="R1" s="24"/>
      <c r="S1" s="24"/>
      <c r="T1" s="27"/>
      <c r="U1" s="143"/>
      <c r="V1" s="143"/>
      <c r="W1" s="143"/>
      <c r="X1" s="143"/>
      <c r="Y1" s="143"/>
      <c r="Z1" s="143"/>
    </row>
    <row r="2" ht="19.5" customHeight="1">
      <c r="A2" s="35" t="s">
        <v>38</v>
      </c>
      <c r="B2" s="37"/>
      <c r="C2" s="39"/>
      <c r="D2" s="40" t="s">
        <v>47</v>
      </c>
      <c r="E2" s="37"/>
      <c r="F2" s="37"/>
      <c r="G2" s="39"/>
      <c r="H2" s="35" t="s">
        <v>50</v>
      </c>
      <c r="I2" s="37"/>
      <c r="J2" s="39"/>
      <c r="K2" s="40" t="s">
        <v>3678</v>
      </c>
      <c r="L2" s="37"/>
      <c r="M2" s="37"/>
      <c r="N2" s="37"/>
      <c r="O2" s="39"/>
      <c r="P2" s="35" t="s">
        <v>6</v>
      </c>
      <c r="Q2" s="37"/>
      <c r="R2" s="39"/>
      <c r="S2" s="40" t="s">
        <v>33</v>
      </c>
      <c r="T2" s="39"/>
      <c r="U2" s="143"/>
      <c r="V2" s="143"/>
      <c r="W2" s="143"/>
      <c r="X2" s="143"/>
      <c r="Y2" s="143"/>
      <c r="Z2" s="143"/>
    </row>
    <row r="3" ht="19.5" customHeight="1">
      <c r="A3" s="35" t="s">
        <v>54</v>
      </c>
      <c r="B3" s="37"/>
      <c r="C3" s="39"/>
      <c r="D3" s="40" t="s">
        <v>55</v>
      </c>
      <c r="E3" s="37"/>
      <c r="F3" s="37"/>
      <c r="G3" s="39"/>
      <c r="H3" s="35" t="s">
        <v>56</v>
      </c>
      <c r="I3" s="37"/>
      <c r="J3" s="39"/>
      <c r="K3" s="40" t="s">
        <v>44</v>
      </c>
      <c r="L3" s="37"/>
      <c r="M3" s="37"/>
      <c r="N3" s="37"/>
      <c r="O3" s="39"/>
      <c r="P3" s="35" t="s">
        <v>3</v>
      </c>
      <c r="Q3" s="37"/>
      <c r="R3" s="39"/>
      <c r="S3" s="40" t="s">
        <v>43</v>
      </c>
      <c r="T3" s="39"/>
      <c r="U3" s="143"/>
      <c r="V3" s="143"/>
      <c r="W3" s="143"/>
      <c r="X3" s="143"/>
      <c r="Y3" s="143"/>
      <c r="Z3" s="143"/>
    </row>
    <row r="4" ht="13.5" customHeight="1">
      <c r="A4" s="49"/>
      <c r="B4" s="49"/>
      <c r="C4" s="49"/>
      <c r="D4" s="49"/>
      <c r="E4" s="49"/>
      <c r="F4" s="49"/>
      <c r="G4" s="49"/>
      <c r="H4" s="49"/>
      <c r="I4" s="49"/>
      <c r="J4" s="49"/>
      <c r="K4" s="49"/>
      <c r="L4" s="49"/>
      <c r="M4" s="49"/>
      <c r="N4" s="49"/>
      <c r="O4" s="49"/>
      <c r="P4" s="49"/>
      <c r="Q4" s="51"/>
      <c r="R4" s="51"/>
      <c r="S4" s="51"/>
      <c r="T4" s="209"/>
      <c r="U4" s="143"/>
      <c r="V4" s="143"/>
      <c r="W4" s="143"/>
      <c r="X4" s="143"/>
      <c r="Y4" s="143"/>
      <c r="Z4" s="143"/>
    </row>
    <row r="5" ht="13.5" customHeight="1">
      <c r="A5" s="53" t="s">
        <v>61</v>
      </c>
      <c r="B5" s="53" t="s">
        <v>62</v>
      </c>
      <c r="C5" s="53" t="s">
        <v>63</v>
      </c>
      <c r="D5" s="53" t="s">
        <v>64</v>
      </c>
      <c r="E5" s="53" t="s">
        <v>65</v>
      </c>
      <c r="F5" s="53" t="s">
        <v>66</v>
      </c>
      <c r="G5" s="53" t="s">
        <v>67</v>
      </c>
      <c r="H5" s="53" t="s">
        <v>68</v>
      </c>
      <c r="I5" s="53" t="s">
        <v>69</v>
      </c>
      <c r="J5" s="55" t="s">
        <v>70</v>
      </c>
      <c r="K5" s="146" t="s">
        <v>1911</v>
      </c>
      <c r="L5" s="53" t="s">
        <v>72</v>
      </c>
      <c r="M5" s="53" t="s">
        <v>73</v>
      </c>
      <c r="N5" s="53" t="s">
        <v>74</v>
      </c>
      <c r="O5" s="53" t="s">
        <v>75</v>
      </c>
      <c r="P5" s="53" t="s">
        <v>77</v>
      </c>
      <c r="Q5" s="53" t="s">
        <v>79</v>
      </c>
      <c r="R5" s="53" t="s">
        <v>80</v>
      </c>
      <c r="S5" s="53" t="s">
        <v>81</v>
      </c>
      <c r="T5" s="58" t="s">
        <v>82</v>
      </c>
      <c r="U5" s="143"/>
      <c r="V5" s="143"/>
      <c r="W5" s="143"/>
      <c r="X5" s="143"/>
      <c r="Y5" s="143"/>
      <c r="Z5" s="143"/>
    </row>
    <row r="6" ht="13.5" customHeight="1">
      <c r="A6" s="59" t="s">
        <v>3678</v>
      </c>
      <c r="B6" s="59" t="s">
        <v>926</v>
      </c>
      <c r="C6" s="59" t="s">
        <v>927</v>
      </c>
      <c r="D6" s="59" t="s">
        <v>3691</v>
      </c>
      <c r="E6" s="61" t="s">
        <v>3692</v>
      </c>
      <c r="F6" s="62" t="s">
        <v>3693</v>
      </c>
      <c r="G6" s="63" t="s">
        <v>3694</v>
      </c>
      <c r="H6" s="61" t="s">
        <v>88</v>
      </c>
      <c r="I6" s="61" t="s">
        <v>2742</v>
      </c>
      <c r="J6" s="63" t="s">
        <v>3695</v>
      </c>
      <c r="K6" s="90"/>
      <c r="L6" s="60" t="s">
        <v>3696</v>
      </c>
      <c r="M6" s="61"/>
      <c r="N6" s="61"/>
      <c r="O6" s="61"/>
      <c r="P6" s="61"/>
      <c r="Q6" s="61" t="s">
        <v>93</v>
      </c>
      <c r="R6" s="61" t="s">
        <v>94</v>
      </c>
      <c r="S6" s="61" t="s">
        <v>94</v>
      </c>
      <c r="T6" s="66">
        <v>46246.0</v>
      </c>
      <c r="U6" s="143"/>
      <c r="V6" s="143"/>
      <c r="W6" s="143"/>
      <c r="X6" s="143"/>
      <c r="Y6" s="143"/>
      <c r="Z6" s="143"/>
    </row>
    <row r="7" ht="13.5" customHeight="1">
      <c r="A7" s="67"/>
      <c r="B7" s="67"/>
      <c r="C7" s="67"/>
      <c r="D7" s="67"/>
      <c r="E7" s="61" t="s">
        <v>3700</v>
      </c>
      <c r="F7" s="63"/>
      <c r="G7" s="63" t="s">
        <v>3701</v>
      </c>
      <c r="H7" s="61" t="s">
        <v>88</v>
      </c>
      <c r="I7" s="61" t="s">
        <v>2742</v>
      </c>
      <c r="J7" s="63" t="s">
        <v>3702</v>
      </c>
      <c r="K7" s="90"/>
      <c r="L7" s="67"/>
      <c r="M7" s="61"/>
      <c r="N7" s="61"/>
      <c r="O7" s="61"/>
      <c r="P7" s="61"/>
      <c r="Q7" s="61" t="s">
        <v>93</v>
      </c>
      <c r="R7" s="61" t="s">
        <v>94</v>
      </c>
      <c r="S7" s="61" t="s">
        <v>94</v>
      </c>
      <c r="T7" s="66">
        <v>46246.0</v>
      </c>
      <c r="U7" s="143"/>
      <c r="V7" s="143"/>
      <c r="W7" s="143"/>
      <c r="X7" s="143"/>
      <c r="Y7" s="143"/>
      <c r="Z7" s="143"/>
    </row>
    <row r="8" ht="13.5" customHeight="1">
      <c r="A8" s="67"/>
      <c r="B8" s="67"/>
      <c r="C8" s="67"/>
      <c r="D8" s="67"/>
      <c r="E8" s="61" t="s">
        <v>3705</v>
      </c>
      <c r="F8" s="62" t="s">
        <v>3706</v>
      </c>
      <c r="G8" s="63" t="s">
        <v>3707</v>
      </c>
      <c r="H8" s="61" t="s">
        <v>88</v>
      </c>
      <c r="I8" s="61" t="s">
        <v>2742</v>
      </c>
      <c r="J8" s="63" t="s">
        <v>3709</v>
      </c>
      <c r="K8" s="90"/>
      <c r="L8" s="67"/>
      <c r="M8" s="61"/>
      <c r="N8" s="61"/>
      <c r="O8" s="61"/>
      <c r="P8" s="61"/>
      <c r="Q8" s="61" t="s">
        <v>93</v>
      </c>
      <c r="R8" s="61" t="s">
        <v>94</v>
      </c>
      <c r="S8" s="61" t="s">
        <v>94</v>
      </c>
      <c r="T8" s="66">
        <v>46246.0</v>
      </c>
      <c r="U8" s="143"/>
      <c r="V8" s="143"/>
      <c r="W8" s="143"/>
      <c r="X8" s="143"/>
      <c r="Y8" s="143"/>
      <c r="Z8" s="143"/>
    </row>
    <row r="9" ht="13.5" customHeight="1">
      <c r="A9" s="67"/>
      <c r="B9" s="67"/>
      <c r="C9" s="67"/>
      <c r="D9" s="67"/>
      <c r="E9" s="61" t="s">
        <v>3710</v>
      </c>
      <c r="F9" s="63"/>
      <c r="G9" s="63" t="s">
        <v>3712</v>
      </c>
      <c r="H9" s="61" t="s">
        <v>88</v>
      </c>
      <c r="I9" s="61" t="s">
        <v>2742</v>
      </c>
      <c r="J9" s="63" t="s">
        <v>3714</v>
      </c>
      <c r="K9" s="90"/>
      <c r="L9" s="67"/>
      <c r="M9" s="61"/>
      <c r="N9" s="61"/>
      <c r="O9" s="61"/>
      <c r="P9" s="61"/>
      <c r="Q9" s="61" t="s">
        <v>93</v>
      </c>
      <c r="R9" s="61" t="s">
        <v>94</v>
      </c>
      <c r="S9" s="61" t="s">
        <v>94</v>
      </c>
      <c r="T9" s="66">
        <v>46246.0</v>
      </c>
      <c r="U9" s="143"/>
      <c r="V9" s="143"/>
      <c r="W9" s="143"/>
      <c r="X9" s="143"/>
      <c r="Y9" s="143"/>
      <c r="Z9" s="143"/>
    </row>
    <row r="10" ht="13.5" customHeight="1">
      <c r="A10" s="67"/>
      <c r="B10" s="67"/>
      <c r="C10" s="67"/>
      <c r="D10" s="67"/>
      <c r="E10" s="61" t="s">
        <v>3716</v>
      </c>
      <c r="F10" s="63"/>
      <c r="G10" s="63" t="s">
        <v>3718</v>
      </c>
      <c r="H10" s="61" t="s">
        <v>88</v>
      </c>
      <c r="I10" s="61" t="s">
        <v>2742</v>
      </c>
      <c r="J10" s="63" t="s">
        <v>3720</v>
      </c>
      <c r="K10" s="90"/>
      <c r="L10" s="67"/>
      <c r="M10" s="61"/>
      <c r="N10" s="61"/>
      <c r="O10" s="61"/>
      <c r="P10" s="61"/>
      <c r="Q10" s="61" t="s">
        <v>93</v>
      </c>
      <c r="R10" s="61" t="s">
        <v>94</v>
      </c>
      <c r="S10" s="61" t="s">
        <v>94</v>
      </c>
      <c r="T10" s="66">
        <v>46246.0</v>
      </c>
      <c r="U10" s="143"/>
      <c r="V10" s="143"/>
      <c r="W10" s="143"/>
      <c r="X10" s="143"/>
      <c r="Y10" s="143"/>
      <c r="Z10" s="143"/>
    </row>
    <row r="11" ht="13.5" customHeight="1">
      <c r="A11" s="67"/>
      <c r="B11" s="67"/>
      <c r="C11" s="67"/>
      <c r="D11" s="67"/>
      <c r="E11" s="61" t="s">
        <v>3723</v>
      </c>
      <c r="F11" s="63"/>
      <c r="G11" s="63" t="s">
        <v>3724</v>
      </c>
      <c r="H11" s="61" t="s">
        <v>88</v>
      </c>
      <c r="I11" s="61" t="s">
        <v>2742</v>
      </c>
      <c r="J11" s="63" t="s">
        <v>3725</v>
      </c>
      <c r="K11" s="90"/>
      <c r="L11" s="67"/>
      <c r="M11" s="61"/>
      <c r="N11" s="61"/>
      <c r="O11" s="61"/>
      <c r="P11" s="61"/>
      <c r="Q11" s="61" t="s">
        <v>93</v>
      </c>
      <c r="R11" s="61" t="s">
        <v>94</v>
      </c>
      <c r="S11" s="61" t="s">
        <v>94</v>
      </c>
      <c r="T11" s="66">
        <v>46246.0</v>
      </c>
      <c r="U11" s="143"/>
      <c r="V11" s="143"/>
      <c r="W11" s="143"/>
      <c r="X11" s="143"/>
      <c r="Y11" s="143"/>
      <c r="Z11" s="143"/>
    </row>
    <row r="12" ht="13.5" customHeight="1">
      <c r="A12" s="67"/>
      <c r="B12" s="67"/>
      <c r="C12" s="67"/>
      <c r="D12" s="67"/>
      <c r="E12" s="61" t="s">
        <v>3729</v>
      </c>
      <c r="F12" s="63"/>
      <c r="G12" s="63" t="s">
        <v>3730</v>
      </c>
      <c r="H12" s="61" t="s">
        <v>88</v>
      </c>
      <c r="I12" s="61" t="s">
        <v>2742</v>
      </c>
      <c r="J12" s="63" t="s">
        <v>3731</v>
      </c>
      <c r="K12" s="90"/>
      <c r="L12" s="67"/>
      <c r="M12" s="61"/>
      <c r="N12" s="61"/>
      <c r="O12" s="61"/>
      <c r="P12" s="61"/>
      <c r="Q12" s="61" t="s">
        <v>93</v>
      </c>
      <c r="R12" s="61" t="s">
        <v>94</v>
      </c>
      <c r="S12" s="61" t="s">
        <v>94</v>
      </c>
      <c r="T12" s="66">
        <v>46246.0</v>
      </c>
      <c r="U12" s="143"/>
      <c r="V12" s="143"/>
      <c r="W12" s="143"/>
      <c r="X12" s="143"/>
      <c r="Y12" s="143"/>
      <c r="Z12" s="143"/>
    </row>
    <row r="13" ht="13.5" customHeight="1">
      <c r="A13" s="67"/>
      <c r="B13" s="67"/>
      <c r="C13" s="67"/>
      <c r="D13" s="67"/>
      <c r="E13" s="61" t="s">
        <v>3736</v>
      </c>
      <c r="F13" s="62" t="s">
        <v>3737</v>
      </c>
      <c r="G13" s="63" t="s">
        <v>3738</v>
      </c>
      <c r="H13" s="61" t="s">
        <v>88</v>
      </c>
      <c r="I13" s="61" t="s">
        <v>2742</v>
      </c>
      <c r="J13" s="63" t="s">
        <v>3739</v>
      </c>
      <c r="K13" s="90"/>
      <c r="L13" s="67"/>
      <c r="M13" s="61"/>
      <c r="N13" s="61"/>
      <c r="O13" s="61"/>
      <c r="P13" s="61"/>
      <c r="Q13" s="61" t="s">
        <v>93</v>
      </c>
      <c r="R13" s="61" t="s">
        <v>94</v>
      </c>
      <c r="S13" s="61" t="s">
        <v>94</v>
      </c>
      <c r="T13" s="66">
        <v>46246.0</v>
      </c>
      <c r="U13" s="143"/>
      <c r="V13" s="143"/>
      <c r="W13" s="143"/>
      <c r="X13" s="143"/>
      <c r="Y13" s="143"/>
      <c r="Z13" s="143"/>
    </row>
    <row r="14" ht="13.5" customHeight="1">
      <c r="A14" s="67"/>
      <c r="B14" s="67"/>
      <c r="C14" s="67"/>
      <c r="D14" s="67"/>
      <c r="E14" s="61" t="s">
        <v>3741</v>
      </c>
      <c r="F14" s="62" t="s">
        <v>3743</v>
      </c>
      <c r="G14" s="63" t="s">
        <v>3744</v>
      </c>
      <c r="H14" s="61" t="s">
        <v>88</v>
      </c>
      <c r="I14" s="61" t="s">
        <v>2742</v>
      </c>
      <c r="J14" s="63" t="s">
        <v>3746</v>
      </c>
      <c r="K14" s="90"/>
      <c r="L14" s="67"/>
      <c r="M14" s="61"/>
      <c r="N14" s="61"/>
      <c r="O14" s="61"/>
      <c r="P14" s="61"/>
      <c r="Q14" s="61" t="s">
        <v>93</v>
      </c>
      <c r="R14" s="61" t="s">
        <v>94</v>
      </c>
      <c r="S14" s="61" t="s">
        <v>94</v>
      </c>
      <c r="T14" s="66">
        <v>46246.0</v>
      </c>
      <c r="U14" s="143"/>
      <c r="V14" s="143"/>
      <c r="W14" s="143"/>
      <c r="X14" s="143"/>
      <c r="Y14" s="143"/>
      <c r="Z14" s="143"/>
    </row>
    <row r="15" ht="13.5" customHeight="1">
      <c r="A15" s="67"/>
      <c r="B15" s="67"/>
      <c r="C15" s="67"/>
      <c r="D15" s="67"/>
      <c r="E15" s="61" t="s">
        <v>3747</v>
      </c>
      <c r="F15" s="63"/>
      <c r="G15" s="63" t="s">
        <v>3748</v>
      </c>
      <c r="H15" s="61" t="s">
        <v>88</v>
      </c>
      <c r="I15" s="61" t="s">
        <v>2742</v>
      </c>
      <c r="J15" s="63" t="s">
        <v>3750</v>
      </c>
      <c r="K15" s="90"/>
      <c r="L15" s="67"/>
      <c r="M15" s="61"/>
      <c r="N15" s="61"/>
      <c r="O15" s="61"/>
      <c r="P15" s="61"/>
      <c r="Q15" s="61" t="s">
        <v>93</v>
      </c>
      <c r="R15" s="61" t="s">
        <v>94</v>
      </c>
      <c r="S15" s="61" t="s">
        <v>94</v>
      </c>
      <c r="T15" s="66">
        <v>46246.0</v>
      </c>
      <c r="U15" s="143"/>
      <c r="V15" s="143"/>
      <c r="W15" s="143"/>
      <c r="X15" s="143"/>
      <c r="Y15" s="143"/>
      <c r="Z15" s="143"/>
    </row>
    <row r="16" ht="13.5" customHeight="1">
      <c r="A16" s="67"/>
      <c r="B16" s="67"/>
      <c r="C16" s="67"/>
      <c r="D16" s="67"/>
      <c r="E16" s="61" t="s">
        <v>3753</v>
      </c>
      <c r="F16" s="62" t="s">
        <v>3754</v>
      </c>
      <c r="G16" s="63" t="s">
        <v>3755</v>
      </c>
      <c r="H16" s="61" t="s">
        <v>88</v>
      </c>
      <c r="I16" s="61" t="s">
        <v>2742</v>
      </c>
      <c r="J16" s="63" t="s">
        <v>3756</v>
      </c>
      <c r="K16" s="90"/>
      <c r="L16" s="67"/>
      <c r="M16" s="61"/>
      <c r="N16" s="61"/>
      <c r="O16" s="61"/>
      <c r="P16" s="61"/>
      <c r="Q16" s="61" t="s">
        <v>93</v>
      </c>
      <c r="R16" s="61" t="s">
        <v>94</v>
      </c>
      <c r="S16" s="61" t="s">
        <v>94</v>
      </c>
      <c r="T16" s="66">
        <v>46246.0</v>
      </c>
      <c r="U16" s="143"/>
      <c r="V16" s="143"/>
      <c r="W16" s="143"/>
      <c r="X16" s="143"/>
      <c r="Y16" s="143"/>
      <c r="Z16" s="143"/>
    </row>
    <row r="17" ht="207.0" customHeight="1">
      <c r="A17" s="165"/>
      <c r="B17" s="165"/>
      <c r="C17" s="165"/>
      <c r="D17" s="165"/>
      <c r="E17" s="61" t="s">
        <v>3760</v>
      </c>
      <c r="F17" s="63"/>
      <c r="G17" s="63" t="s">
        <v>3761</v>
      </c>
      <c r="H17" s="61" t="s">
        <v>88</v>
      </c>
      <c r="I17" s="61" t="s">
        <v>2742</v>
      </c>
      <c r="J17" s="63" t="s">
        <v>3762</v>
      </c>
      <c r="K17" s="90"/>
      <c r="L17" s="77"/>
      <c r="M17" s="61"/>
      <c r="N17" s="61"/>
      <c r="O17" s="61"/>
      <c r="P17" s="61"/>
      <c r="Q17" s="61" t="s">
        <v>93</v>
      </c>
      <c r="R17" s="61" t="s">
        <v>94</v>
      </c>
      <c r="S17" s="61" t="s">
        <v>94</v>
      </c>
      <c r="T17" s="66">
        <v>46246.0</v>
      </c>
      <c r="U17" s="143"/>
      <c r="V17" s="143"/>
      <c r="W17" s="143"/>
      <c r="X17" s="143"/>
      <c r="Y17" s="143"/>
      <c r="Z17" s="143"/>
    </row>
    <row r="18" ht="13.5" customHeight="1">
      <c r="A18" s="78" t="s">
        <v>3678</v>
      </c>
      <c r="B18" s="78" t="s">
        <v>936</v>
      </c>
      <c r="C18" s="79" t="s">
        <v>938</v>
      </c>
      <c r="D18" s="79" t="s">
        <v>3767</v>
      </c>
      <c r="E18" s="81" t="s">
        <v>3768</v>
      </c>
      <c r="F18" s="82" t="s">
        <v>3769</v>
      </c>
      <c r="G18" s="83" t="s">
        <v>3770</v>
      </c>
      <c r="H18" s="81" t="s">
        <v>88</v>
      </c>
      <c r="I18" s="81" t="s">
        <v>60</v>
      </c>
      <c r="J18" s="83" t="s">
        <v>3771</v>
      </c>
      <c r="K18" s="90"/>
      <c r="L18" s="79" t="s">
        <v>3772</v>
      </c>
      <c r="M18" s="147"/>
      <c r="N18" s="147"/>
      <c r="O18" s="147"/>
      <c r="P18" s="147"/>
      <c r="Q18" s="147" t="s">
        <v>93</v>
      </c>
      <c r="R18" s="210" t="s">
        <v>94</v>
      </c>
      <c r="S18" s="210" t="s">
        <v>94</v>
      </c>
      <c r="T18" s="211">
        <v>46246.0</v>
      </c>
      <c r="U18" s="143"/>
      <c r="V18" s="143"/>
      <c r="W18" s="143"/>
      <c r="X18" s="143"/>
      <c r="Y18" s="143"/>
      <c r="Z18" s="143"/>
    </row>
    <row r="19" ht="13.5" customHeight="1">
      <c r="A19" s="67"/>
      <c r="B19" s="67"/>
      <c r="C19" s="67"/>
      <c r="D19" s="67"/>
      <c r="E19" s="81" t="s">
        <v>3776</v>
      </c>
      <c r="F19" s="90"/>
      <c r="G19" s="83" t="s">
        <v>3777</v>
      </c>
      <c r="H19" s="81" t="s">
        <v>88</v>
      </c>
      <c r="I19" s="81" t="s">
        <v>60</v>
      </c>
      <c r="J19" s="83" t="s">
        <v>3778</v>
      </c>
      <c r="K19" s="90"/>
      <c r="L19" s="67"/>
      <c r="M19" s="147"/>
      <c r="N19" s="147"/>
      <c r="O19" s="147"/>
      <c r="P19" s="147"/>
      <c r="Q19" s="147" t="s">
        <v>93</v>
      </c>
      <c r="R19" s="210" t="s">
        <v>94</v>
      </c>
      <c r="S19" s="210" t="s">
        <v>94</v>
      </c>
      <c r="T19" s="211">
        <v>46246.0</v>
      </c>
      <c r="U19" s="143"/>
      <c r="V19" s="143"/>
      <c r="W19" s="143"/>
      <c r="X19" s="143"/>
      <c r="Y19" s="143"/>
      <c r="Z19" s="143"/>
    </row>
    <row r="20" ht="13.5" customHeight="1">
      <c r="A20" s="67"/>
      <c r="B20" s="67"/>
      <c r="C20" s="67"/>
      <c r="D20" s="67"/>
      <c r="E20" s="81" t="s">
        <v>3780</v>
      </c>
      <c r="F20" s="90"/>
      <c r="G20" s="83" t="s">
        <v>3782</v>
      </c>
      <c r="H20" s="81" t="s">
        <v>88</v>
      </c>
      <c r="I20" s="81" t="s">
        <v>60</v>
      </c>
      <c r="J20" s="83" t="s">
        <v>3783</v>
      </c>
      <c r="K20" s="90"/>
      <c r="L20" s="67"/>
      <c r="M20" s="147"/>
      <c r="N20" s="147"/>
      <c r="O20" s="147"/>
      <c r="P20" s="147"/>
      <c r="Q20" s="147" t="s">
        <v>93</v>
      </c>
      <c r="R20" s="210" t="s">
        <v>94</v>
      </c>
      <c r="S20" s="210" t="s">
        <v>94</v>
      </c>
      <c r="T20" s="211">
        <v>46246.0</v>
      </c>
      <c r="U20" s="143"/>
      <c r="V20" s="143"/>
      <c r="W20" s="143"/>
      <c r="X20" s="143"/>
      <c r="Y20" s="143"/>
      <c r="Z20" s="143"/>
    </row>
    <row r="21" ht="13.5" customHeight="1">
      <c r="A21" s="67"/>
      <c r="B21" s="67"/>
      <c r="C21" s="67"/>
      <c r="D21" s="67"/>
      <c r="E21" s="81" t="s">
        <v>3785</v>
      </c>
      <c r="F21" s="82"/>
      <c r="G21" s="83" t="s">
        <v>3786</v>
      </c>
      <c r="H21" s="81" t="s">
        <v>88</v>
      </c>
      <c r="I21" s="81" t="s">
        <v>60</v>
      </c>
      <c r="J21" s="83" t="s">
        <v>3787</v>
      </c>
      <c r="K21" s="90"/>
      <c r="L21" s="67"/>
      <c r="M21" s="147"/>
      <c r="N21" s="147"/>
      <c r="O21" s="147"/>
      <c r="P21" s="147"/>
      <c r="Q21" s="147" t="s">
        <v>93</v>
      </c>
      <c r="R21" s="210" t="s">
        <v>94</v>
      </c>
      <c r="S21" s="210" t="s">
        <v>94</v>
      </c>
      <c r="T21" s="211">
        <v>46246.0</v>
      </c>
      <c r="U21" s="143"/>
      <c r="V21" s="143"/>
      <c r="W21" s="143"/>
      <c r="X21" s="143"/>
      <c r="Y21" s="143"/>
      <c r="Z21" s="143"/>
    </row>
    <row r="22" ht="13.5" customHeight="1">
      <c r="A22" s="67"/>
      <c r="B22" s="67"/>
      <c r="C22" s="67"/>
      <c r="D22" s="67"/>
      <c r="E22" s="81" t="s">
        <v>3792</v>
      </c>
      <c r="F22" s="82" t="s">
        <v>3793</v>
      </c>
      <c r="G22" s="83" t="s">
        <v>3794</v>
      </c>
      <c r="H22" s="81" t="s">
        <v>88</v>
      </c>
      <c r="I22" s="81" t="s">
        <v>60</v>
      </c>
      <c r="J22" s="83" t="s">
        <v>3795</v>
      </c>
      <c r="K22" s="90"/>
      <c r="L22" s="67"/>
      <c r="M22" s="147"/>
      <c r="N22" s="147"/>
      <c r="O22" s="147"/>
      <c r="P22" s="147"/>
      <c r="Q22" s="147" t="s">
        <v>93</v>
      </c>
      <c r="R22" s="210" t="s">
        <v>94</v>
      </c>
      <c r="S22" s="210" t="s">
        <v>94</v>
      </c>
      <c r="T22" s="211">
        <v>46246.0</v>
      </c>
      <c r="U22" s="143"/>
      <c r="V22" s="143"/>
      <c r="W22" s="143"/>
      <c r="X22" s="143"/>
      <c r="Y22" s="143"/>
      <c r="Z22" s="143"/>
    </row>
    <row r="23" ht="13.5" customHeight="1">
      <c r="A23" s="77"/>
      <c r="B23" s="77"/>
      <c r="C23" s="77"/>
      <c r="D23" s="77"/>
      <c r="E23" s="81" t="s">
        <v>3799</v>
      </c>
      <c r="F23" s="90"/>
      <c r="G23" s="83" t="s">
        <v>3800</v>
      </c>
      <c r="H23" s="81" t="s">
        <v>88</v>
      </c>
      <c r="I23" s="81" t="s">
        <v>60</v>
      </c>
      <c r="J23" s="83" t="s">
        <v>3801</v>
      </c>
      <c r="K23" s="90"/>
      <c r="L23" s="77"/>
      <c r="M23" s="147"/>
      <c r="N23" s="147"/>
      <c r="O23" s="147"/>
      <c r="P23" s="147"/>
      <c r="Q23" s="147" t="s">
        <v>93</v>
      </c>
      <c r="R23" s="210" t="s">
        <v>94</v>
      </c>
      <c r="S23" s="210" t="s">
        <v>94</v>
      </c>
      <c r="T23" s="211">
        <v>46246.0</v>
      </c>
      <c r="U23" s="143"/>
      <c r="V23" s="143"/>
      <c r="W23" s="143"/>
      <c r="X23" s="143"/>
      <c r="Y23" s="143"/>
      <c r="Z23" s="143"/>
    </row>
    <row r="24" ht="13.5" customHeight="1">
      <c r="A24" s="143"/>
      <c r="B24" s="143"/>
      <c r="C24" s="143"/>
      <c r="D24" s="143"/>
      <c r="E24" s="143"/>
      <c r="F24" s="143"/>
      <c r="G24" s="143"/>
      <c r="H24" s="143"/>
      <c r="I24" s="143"/>
      <c r="J24" s="143"/>
      <c r="K24" s="143"/>
      <c r="L24" s="143"/>
      <c r="M24" s="143"/>
      <c r="N24" s="143"/>
      <c r="O24" s="143"/>
      <c r="P24" s="143"/>
      <c r="Q24" s="159"/>
      <c r="R24" s="159"/>
      <c r="S24" s="159"/>
      <c r="T24" s="212"/>
      <c r="U24" s="143"/>
      <c r="V24" s="143"/>
      <c r="W24" s="143"/>
      <c r="X24" s="143"/>
      <c r="Y24" s="143"/>
      <c r="Z24" s="143"/>
    </row>
    <row r="25" ht="13.5" customHeight="1">
      <c r="A25" s="143"/>
      <c r="B25" s="143"/>
      <c r="C25" s="143"/>
      <c r="D25" s="143"/>
      <c r="E25" s="143"/>
      <c r="F25" s="143"/>
      <c r="G25" s="143"/>
      <c r="H25" s="143"/>
      <c r="I25" s="143"/>
      <c r="J25" s="143"/>
      <c r="K25" s="143"/>
      <c r="L25" s="143"/>
      <c r="M25" s="143"/>
      <c r="N25" s="143"/>
      <c r="O25" s="143"/>
      <c r="P25" s="143"/>
      <c r="Q25" s="159"/>
      <c r="R25" s="159"/>
      <c r="S25" s="159"/>
      <c r="T25" s="212"/>
      <c r="U25" s="143"/>
      <c r="V25" s="143"/>
      <c r="W25" s="143"/>
      <c r="X25" s="143"/>
      <c r="Y25" s="143"/>
      <c r="Z25" s="143"/>
    </row>
    <row r="26" ht="13.5" customHeight="1">
      <c r="A26" s="143"/>
      <c r="B26" s="143"/>
      <c r="C26" s="143"/>
      <c r="D26" s="143"/>
      <c r="E26" s="143"/>
      <c r="F26" s="143"/>
      <c r="G26" s="143"/>
      <c r="H26" s="143"/>
      <c r="I26" s="143"/>
      <c r="J26" s="143"/>
      <c r="K26" s="143"/>
      <c r="L26" s="143"/>
      <c r="M26" s="143"/>
      <c r="N26" s="143"/>
      <c r="O26" s="143"/>
      <c r="P26" s="143"/>
      <c r="Q26" s="159"/>
      <c r="R26" s="159"/>
      <c r="S26" s="159"/>
      <c r="T26" s="212"/>
      <c r="U26" s="143"/>
      <c r="V26" s="143"/>
      <c r="W26" s="143"/>
      <c r="X26" s="143"/>
      <c r="Y26" s="143"/>
      <c r="Z26" s="143"/>
    </row>
    <row r="27" ht="13.5" customHeight="1">
      <c r="A27" s="143"/>
      <c r="B27" s="143"/>
      <c r="C27" s="143"/>
      <c r="D27" s="143"/>
      <c r="E27" s="143"/>
      <c r="F27" s="143"/>
      <c r="G27" s="143"/>
      <c r="H27" s="143"/>
      <c r="I27" s="143"/>
      <c r="J27" s="143"/>
      <c r="K27" s="143"/>
      <c r="L27" s="143"/>
      <c r="M27" s="143"/>
      <c r="N27" s="143"/>
      <c r="O27" s="143"/>
      <c r="P27" s="143"/>
      <c r="Q27" s="159"/>
      <c r="R27" s="159"/>
      <c r="S27" s="159"/>
      <c r="T27" s="212"/>
      <c r="U27" s="143"/>
      <c r="V27" s="143"/>
      <c r="W27" s="143"/>
      <c r="X27" s="143"/>
      <c r="Y27" s="143"/>
      <c r="Z27" s="143"/>
    </row>
    <row r="28" ht="13.5" customHeight="1">
      <c r="A28" s="143"/>
      <c r="B28" s="143"/>
      <c r="C28" s="143"/>
      <c r="D28" s="143"/>
      <c r="E28" s="143"/>
      <c r="F28" s="143"/>
      <c r="G28" s="143"/>
      <c r="H28" s="143"/>
      <c r="I28" s="143"/>
      <c r="J28" s="143"/>
      <c r="K28" s="143"/>
      <c r="L28" s="143"/>
      <c r="M28" s="143"/>
      <c r="N28" s="143"/>
      <c r="O28" s="143"/>
      <c r="P28" s="143"/>
      <c r="Q28" s="159"/>
      <c r="R28" s="159"/>
      <c r="S28" s="159"/>
      <c r="T28" s="212"/>
      <c r="U28" s="143"/>
      <c r="V28" s="143"/>
      <c r="W28" s="143"/>
      <c r="X28" s="143"/>
      <c r="Y28" s="143"/>
      <c r="Z28" s="143"/>
    </row>
    <row r="29" ht="13.5" customHeight="1">
      <c r="A29" s="143"/>
      <c r="B29" s="143"/>
      <c r="C29" s="143"/>
      <c r="D29" s="143"/>
      <c r="E29" s="143"/>
      <c r="F29" s="143"/>
      <c r="G29" s="143"/>
      <c r="H29" s="143"/>
      <c r="I29" s="143"/>
      <c r="J29" s="143"/>
      <c r="K29" s="143"/>
      <c r="L29" s="143"/>
      <c r="M29" s="143"/>
      <c r="N29" s="143"/>
      <c r="O29" s="143"/>
      <c r="P29" s="143"/>
      <c r="Q29" s="159"/>
      <c r="R29" s="159"/>
      <c r="S29" s="159"/>
      <c r="T29" s="212"/>
      <c r="U29" s="143"/>
      <c r="V29" s="143"/>
      <c r="W29" s="143"/>
      <c r="X29" s="143"/>
      <c r="Y29" s="143"/>
      <c r="Z29" s="143"/>
    </row>
    <row r="30" ht="13.5" customHeight="1">
      <c r="A30" s="143"/>
      <c r="B30" s="143"/>
      <c r="C30" s="143"/>
      <c r="D30" s="143"/>
      <c r="E30" s="143"/>
      <c r="F30" s="143"/>
      <c r="G30" s="143"/>
      <c r="H30" s="143"/>
      <c r="I30" s="143"/>
      <c r="J30" s="143"/>
      <c r="K30" s="143"/>
      <c r="L30" s="143"/>
      <c r="M30" s="143"/>
      <c r="N30" s="143"/>
      <c r="O30" s="143"/>
      <c r="P30" s="143"/>
      <c r="Q30" s="159"/>
      <c r="R30" s="159"/>
      <c r="S30" s="159"/>
      <c r="T30" s="212"/>
      <c r="U30" s="143"/>
      <c r="V30" s="143"/>
      <c r="W30" s="143"/>
      <c r="X30" s="143"/>
      <c r="Y30" s="143"/>
      <c r="Z30" s="143"/>
    </row>
    <row r="31" ht="13.5" customHeight="1">
      <c r="A31" s="143"/>
      <c r="B31" s="143"/>
      <c r="C31" s="143"/>
      <c r="D31" s="143"/>
      <c r="E31" s="143"/>
      <c r="F31" s="143"/>
      <c r="G31" s="143"/>
      <c r="H31" s="143"/>
      <c r="I31" s="143"/>
      <c r="J31" s="143"/>
      <c r="K31" s="143"/>
      <c r="L31" s="143"/>
      <c r="M31" s="143"/>
      <c r="N31" s="143"/>
      <c r="O31" s="143"/>
      <c r="P31" s="143"/>
      <c r="Q31" s="159"/>
      <c r="R31" s="159"/>
      <c r="S31" s="159"/>
      <c r="T31" s="212"/>
      <c r="U31" s="143"/>
      <c r="V31" s="143"/>
      <c r="W31" s="143"/>
      <c r="X31" s="143"/>
      <c r="Y31" s="143"/>
      <c r="Z31" s="143"/>
    </row>
    <row r="32" ht="13.5" customHeight="1">
      <c r="A32" s="143"/>
      <c r="B32" s="143"/>
      <c r="C32" s="143"/>
      <c r="D32" s="143"/>
      <c r="E32" s="143"/>
      <c r="F32" s="143"/>
      <c r="G32" s="143"/>
      <c r="H32" s="143"/>
      <c r="I32" s="143"/>
      <c r="J32" s="143"/>
      <c r="K32" s="143"/>
      <c r="L32" s="143"/>
      <c r="M32" s="143"/>
      <c r="N32" s="143"/>
      <c r="O32" s="143"/>
      <c r="P32" s="143"/>
      <c r="Q32" s="159"/>
      <c r="R32" s="159"/>
      <c r="S32" s="159"/>
      <c r="T32" s="212"/>
      <c r="U32" s="143"/>
      <c r="V32" s="143"/>
      <c r="W32" s="143"/>
      <c r="X32" s="143"/>
      <c r="Y32" s="143"/>
      <c r="Z32" s="143"/>
    </row>
    <row r="33" ht="13.5" customHeight="1">
      <c r="A33" s="143"/>
      <c r="B33" s="143"/>
      <c r="C33" s="143"/>
      <c r="D33" s="143"/>
      <c r="E33" s="143"/>
      <c r="F33" s="143"/>
      <c r="G33" s="143"/>
      <c r="H33" s="143"/>
      <c r="I33" s="143"/>
      <c r="J33" s="143"/>
      <c r="K33" s="143"/>
      <c r="L33" s="143"/>
      <c r="M33" s="143"/>
      <c r="N33" s="143"/>
      <c r="O33" s="143"/>
      <c r="P33" s="143"/>
      <c r="Q33" s="159"/>
      <c r="R33" s="159"/>
      <c r="S33" s="159"/>
      <c r="T33" s="212"/>
      <c r="U33" s="143"/>
      <c r="V33" s="143"/>
      <c r="W33" s="143"/>
      <c r="X33" s="143"/>
      <c r="Y33" s="143"/>
      <c r="Z33" s="143"/>
    </row>
    <row r="34" ht="13.5" customHeight="1">
      <c r="A34" s="143"/>
      <c r="B34" s="143"/>
      <c r="C34" s="143"/>
      <c r="D34" s="143"/>
      <c r="E34" s="143"/>
      <c r="F34" s="143"/>
      <c r="G34" s="143"/>
      <c r="H34" s="143"/>
      <c r="I34" s="143"/>
      <c r="J34" s="143"/>
      <c r="K34" s="143"/>
      <c r="L34" s="143"/>
      <c r="M34" s="143"/>
      <c r="N34" s="143"/>
      <c r="O34" s="143"/>
      <c r="P34" s="143"/>
      <c r="Q34" s="159"/>
      <c r="R34" s="159"/>
      <c r="S34" s="159"/>
      <c r="T34" s="212"/>
      <c r="U34" s="143"/>
      <c r="V34" s="143"/>
      <c r="W34" s="143"/>
      <c r="X34" s="143"/>
      <c r="Y34" s="143"/>
      <c r="Z34" s="143"/>
    </row>
    <row r="35" ht="13.5" customHeight="1">
      <c r="A35" s="143"/>
      <c r="B35" s="143"/>
      <c r="C35" s="143"/>
      <c r="D35" s="143"/>
      <c r="E35" s="143"/>
      <c r="F35" s="143"/>
      <c r="G35" s="143"/>
      <c r="H35" s="143"/>
      <c r="I35" s="143"/>
      <c r="J35" s="143"/>
      <c r="K35" s="143"/>
      <c r="L35" s="143"/>
      <c r="M35" s="143"/>
      <c r="N35" s="143"/>
      <c r="O35" s="143"/>
      <c r="P35" s="143"/>
      <c r="Q35" s="159"/>
      <c r="R35" s="159"/>
      <c r="S35" s="159"/>
      <c r="T35" s="212"/>
      <c r="U35" s="143"/>
      <c r="V35" s="143"/>
      <c r="W35" s="143"/>
      <c r="X35" s="143"/>
      <c r="Y35" s="143"/>
      <c r="Z35" s="143"/>
    </row>
    <row r="36" ht="13.5" customHeight="1">
      <c r="A36" s="143"/>
      <c r="B36" s="143"/>
      <c r="C36" s="143"/>
      <c r="D36" s="143"/>
      <c r="E36" s="143"/>
      <c r="F36" s="143"/>
      <c r="G36" s="143"/>
      <c r="H36" s="143"/>
      <c r="I36" s="143"/>
      <c r="J36" s="143"/>
      <c r="K36" s="143"/>
      <c r="L36" s="143"/>
      <c r="M36" s="143"/>
      <c r="N36" s="143"/>
      <c r="O36" s="143"/>
      <c r="P36" s="143"/>
      <c r="Q36" s="159"/>
      <c r="R36" s="159"/>
      <c r="S36" s="159"/>
      <c r="T36" s="212"/>
      <c r="U36" s="143"/>
      <c r="V36" s="143"/>
      <c r="W36" s="143"/>
      <c r="X36" s="143"/>
      <c r="Y36" s="143"/>
      <c r="Z36" s="143"/>
    </row>
    <row r="37" ht="13.5" customHeight="1">
      <c r="A37" s="143"/>
      <c r="B37" s="143"/>
      <c r="C37" s="143"/>
      <c r="D37" s="143"/>
      <c r="E37" s="143"/>
      <c r="F37" s="143"/>
      <c r="G37" s="143"/>
      <c r="H37" s="143"/>
      <c r="I37" s="143"/>
      <c r="J37" s="213"/>
      <c r="K37" s="143"/>
      <c r="L37" s="143"/>
      <c r="M37" s="143"/>
      <c r="N37" s="143"/>
      <c r="O37" s="143"/>
      <c r="P37" s="143"/>
      <c r="Q37" s="159"/>
      <c r="R37" s="159"/>
      <c r="S37" s="159"/>
      <c r="T37" s="212"/>
      <c r="U37" s="143"/>
      <c r="V37" s="143"/>
      <c r="W37" s="143"/>
      <c r="X37" s="143"/>
      <c r="Y37" s="143"/>
      <c r="Z37" s="143"/>
    </row>
    <row r="38" ht="13.5" customHeight="1">
      <c r="A38" s="143"/>
      <c r="B38" s="143"/>
      <c r="C38" s="143"/>
      <c r="D38" s="143"/>
      <c r="E38" s="143"/>
      <c r="F38" s="143"/>
      <c r="G38" s="143"/>
      <c r="H38" s="143"/>
      <c r="I38" s="143"/>
      <c r="J38" s="143"/>
      <c r="K38" s="143"/>
      <c r="L38" s="143"/>
      <c r="M38" s="143"/>
      <c r="N38" s="143"/>
      <c r="O38" s="143"/>
      <c r="P38" s="143"/>
      <c r="Q38" s="159"/>
      <c r="R38" s="159"/>
      <c r="S38" s="159"/>
      <c r="T38" s="212"/>
      <c r="U38" s="143"/>
      <c r="V38" s="143"/>
      <c r="W38" s="143"/>
      <c r="X38" s="143"/>
      <c r="Y38" s="143"/>
      <c r="Z38" s="143"/>
    </row>
    <row r="39" ht="13.5" customHeight="1">
      <c r="A39" s="143"/>
      <c r="B39" s="143"/>
      <c r="C39" s="143"/>
      <c r="D39" s="143"/>
      <c r="E39" s="143"/>
      <c r="F39" s="143"/>
      <c r="G39" s="143"/>
      <c r="H39" s="143"/>
      <c r="I39" s="143"/>
      <c r="J39" s="213"/>
      <c r="K39" s="143"/>
      <c r="L39" s="143"/>
      <c r="M39" s="143"/>
      <c r="N39" s="143"/>
      <c r="O39" s="143"/>
      <c r="P39" s="143"/>
      <c r="Q39" s="159"/>
      <c r="R39" s="159"/>
      <c r="S39" s="159"/>
      <c r="T39" s="212"/>
      <c r="U39" s="143"/>
      <c r="V39" s="143"/>
      <c r="W39" s="143"/>
      <c r="X39" s="143"/>
      <c r="Y39" s="143"/>
      <c r="Z39" s="143"/>
    </row>
    <row r="40" ht="13.5" customHeight="1">
      <c r="A40" s="143"/>
      <c r="B40" s="143"/>
      <c r="C40" s="143"/>
      <c r="D40" s="143"/>
      <c r="E40" s="143"/>
      <c r="F40" s="143"/>
      <c r="G40" s="143"/>
      <c r="H40" s="143"/>
      <c r="I40" s="143"/>
      <c r="J40" s="143"/>
      <c r="K40" s="143"/>
      <c r="L40" s="143"/>
      <c r="M40" s="143"/>
      <c r="N40" s="143"/>
      <c r="O40" s="143"/>
      <c r="P40" s="143"/>
      <c r="Q40" s="159"/>
      <c r="R40" s="159"/>
      <c r="S40" s="159"/>
      <c r="T40" s="212"/>
      <c r="U40" s="143"/>
      <c r="V40" s="143"/>
      <c r="W40" s="143"/>
      <c r="X40" s="143"/>
      <c r="Y40" s="143"/>
      <c r="Z40" s="143"/>
    </row>
    <row r="41" ht="13.5" customHeight="1">
      <c r="A41" s="143"/>
      <c r="B41" s="143"/>
      <c r="C41" s="143"/>
      <c r="D41" s="143"/>
      <c r="E41" s="143"/>
      <c r="F41" s="143"/>
      <c r="G41" s="143"/>
      <c r="H41" s="143"/>
      <c r="I41" s="143"/>
      <c r="J41" s="143"/>
      <c r="K41" s="143"/>
      <c r="L41" s="143"/>
      <c r="M41" s="143"/>
      <c r="N41" s="143"/>
      <c r="O41" s="143"/>
      <c r="P41" s="143"/>
      <c r="Q41" s="159"/>
      <c r="R41" s="159"/>
      <c r="S41" s="159"/>
      <c r="T41" s="212"/>
      <c r="U41" s="143"/>
      <c r="V41" s="143"/>
      <c r="W41" s="143"/>
      <c r="X41" s="143"/>
      <c r="Y41" s="143"/>
      <c r="Z41" s="143"/>
    </row>
    <row r="42" ht="13.5" customHeight="1">
      <c r="A42" s="143"/>
      <c r="B42" s="143"/>
      <c r="C42" s="143"/>
      <c r="D42" s="143"/>
      <c r="E42" s="143"/>
      <c r="F42" s="143"/>
      <c r="G42" s="143"/>
      <c r="H42" s="143"/>
      <c r="I42" s="143"/>
      <c r="J42" s="143"/>
      <c r="K42" s="143"/>
      <c r="L42" s="143"/>
      <c r="M42" s="143"/>
      <c r="N42" s="143"/>
      <c r="O42" s="143"/>
      <c r="P42" s="143"/>
      <c r="Q42" s="159"/>
      <c r="R42" s="159"/>
      <c r="S42" s="159"/>
      <c r="T42" s="212"/>
      <c r="U42" s="143"/>
      <c r="V42" s="143"/>
      <c r="W42" s="143"/>
      <c r="X42" s="143"/>
      <c r="Y42" s="143"/>
      <c r="Z42" s="143"/>
    </row>
    <row r="43" ht="13.5" customHeight="1">
      <c r="A43" s="143"/>
      <c r="B43" s="143"/>
      <c r="C43" s="143"/>
      <c r="D43" s="143"/>
      <c r="E43" s="143"/>
      <c r="F43" s="143"/>
      <c r="G43" s="143"/>
      <c r="H43" s="143"/>
      <c r="I43" s="143"/>
      <c r="J43" s="143"/>
      <c r="K43" s="143"/>
      <c r="L43" s="143"/>
      <c r="M43" s="143"/>
      <c r="N43" s="143"/>
      <c r="O43" s="143"/>
      <c r="P43" s="143"/>
      <c r="Q43" s="159"/>
      <c r="R43" s="159"/>
      <c r="S43" s="159"/>
      <c r="T43" s="212"/>
      <c r="U43" s="143"/>
      <c r="V43" s="143"/>
      <c r="W43" s="143"/>
      <c r="X43" s="143"/>
      <c r="Y43" s="143"/>
      <c r="Z43" s="143"/>
    </row>
    <row r="44" ht="13.5" customHeight="1">
      <c r="A44" s="143"/>
      <c r="B44" s="143"/>
      <c r="C44" s="143"/>
      <c r="D44" s="143"/>
      <c r="E44" s="143"/>
      <c r="F44" s="143"/>
      <c r="G44" s="143"/>
      <c r="H44" s="143"/>
      <c r="I44" s="143"/>
      <c r="J44" s="143"/>
      <c r="K44" s="143"/>
      <c r="L44" s="143"/>
      <c r="M44" s="143"/>
      <c r="N44" s="143"/>
      <c r="O44" s="143"/>
      <c r="P44" s="143"/>
      <c r="Q44" s="159"/>
      <c r="R44" s="159"/>
      <c r="S44" s="159"/>
      <c r="T44" s="212"/>
      <c r="U44" s="143"/>
      <c r="V44" s="143"/>
      <c r="W44" s="143"/>
      <c r="X44" s="143"/>
      <c r="Y44" s="143"/>
      <c r="Z44" s="143"/>
    </row>
    <row r="45" ht="13.5" customHeight="1">
      <c r="A45" s="143"/>
      <c r="B45" s="143"/>
      <c r="C45" s="143"/>
      <c r="D45" s="143"/>
      <c r="E45" s="143"/>
      <c r="F45" s="143"/>
      <c r="G45" s="143"/>
      <c r="H45" s="143"/>
      <c r="I45" s="143"/>
      <c r="J45" s="143"/>
      <c r="K45" s="143"/>
      <c r="L45" s="143"/>
      <c r="M45" s="143"/>
      <c r="N45" s="143"/>
      <c r="O45" s="143"/>
      <c r="P45" s="143"/>
      <c r="Q45" s="159"/>
      <c r="R45" s="159"/>
      <c r="S45" s="159"/>
      <c r="T45" s="212"/>
      <c r="U45" s="143"/>
      <c r="V45" s="143"/>
      <c r="W45" s="143"/>
      <c r="X45" s="143"/>
      <c r="Y45" s="143"/>
      <c r="Z45" s="143"/>
    </row>
    <row r="46" ht="13.5" customHeight="1">
      <c r="A46" s="143"/>
      <c r="B46" s="143"/>
      <c r="C46" s="143"/>
      <c r="D46" s="143"/>
      <c r="E46" s="143"/>
      <c r="F46" s="143"/>
      <c r="G46" s="143"/>
      <c r="H46" s="143"/>
      <c r="I46" s="143"/>
      <c r="J46" s="143"/>
      <c r="K46" s="143"/>
      <c r="L46" s="143"/>
      <c r="M46" s="143"/>
      <c r="N46" s="143"/>
      <c r="O46" s="143"/>
      <c r="P46" s="143"/>
      <c r="Q46" s="159"/>
      <c r="R46" s="159"/>
      <c r="S46" s="159"/>
      <c r="T46" s="212"/>
      <c r="U46" s="143"/>
      <c r="V46" s="143"/>
      <c r="W46" s="143"/>
      <c r="X46" s="143"/>
      <c r="Y46" s="143"/>
      <c r="Z46" s="143"/>
    </row>
    <row r="47" ht="13.5" customHeight="1">
      <c r="A47" s="143"/>
      <c r="B47" s="143"/>
      <c r="C47" s="143"/>
      <c r="D47" s="143"/>
      <c r="E47" s="143"/>
      <c r="F47" s="143"/>
      <c r="G47" s="143"/>
      <c r="H47" s="143"/>
      <c r="I47" s="143"/>
      <c r="J47" s="143"/>
      <c r="K47" s="143"/>
      <c r="L47" s="143"/>
      <c r="M47" s="143"/>
      <c r="N47" s="143"/>
      <c r="O47" s="143"/>
      <c r="P47" s="143"/>
      <c r="Q47" s="159"/>
      <c r="R47" s="159"/>
      <c r="S47" s="159"/>
      <c r="T47" s="212"/>
      <c r="U47" s="143"/>
      <c r="V47" s="143"/>
      <c r="W47" s="143"/>
      <c r="X47" s="143"/>
      <c r="Y47" s="143"/>
      <c r="Z47" s="143"/>
    </row>
    <row r="48" ht="13.5" customHeight="1">
      <c r="A48" s="143"/>
      <c r="B48" s="143"/>
      <c r="C48" s="143"/>
      <c r="D48" s="143"/>
      <c r="E48" s="143"/>
      <c r="F48" s="143"/>
      <c r="G48" s="143"/>
      <c r="H48" s="143"/>
      <c r="I48" s="143"/>
      <c r="J48" s="143"/>
      <c r="K48" s="143"/>
      <c r="L48" s="143"/>
      <c r="M48" s="143"/>
      <c r="N48" s="143"/>
      <c r="O48" s="143"/>
      <c r="P48" s="143"/>
      <c r="Q48" s="159"/>
      <c r="R48" s="159"/>
      <c r="S48" s="159"/>
      <c r="T48" s="212"/>
      <c r="U48" s="143"/>
      <c r="V48" s="143"/>
      <c r="W48" s="143"/>
      <c r="X48" s="143"/>
      <c r="Y48" s="143"/>
      <c r="Z48" s="143"/>
    </row>
    <row r="49" ht="13.5" customHeight="1">
      <c r="A49" s="143"/>
      <c r="B49" s="143"/>
      <c r="C49" s="143"/>
      <c r="D49" s="143"/>
      <c r="E49" s="143"/>
      <c r="F49" s="143"/>
      <c r="G49" s="143"/>
      <c r="H49" s="143"/>
      <c r="I49" s="143"/>
      <c r="J49" s="143"/>
      <c r="K49" s="143"/>
      <c r="L49" s="143"/>
      <c r="M49" s="143"/>
      <c r="N49" s="143"/>
      <c r="O49" s="143"/>
      <c r="P49" s="143"/>
      <c r="Q49" s="159"/>
      <c r="R49" s="159"/>
      <c r="S49" s="159"/>
      <c r="T49" s="212"/>
      <c r="U49" s="143"/>
      <c r="V49" s="143"/>
      <c r="W49" s="143"/>
      <c r="X49" s="143"/>
      <c r="Y49" s="143"/>
      <c r="Z49" s="143"/>
    </row>
    <row r="50" ht="13.5" customHeight="1">
      <c r="A50" s="143"/>
      <c r="B50" s="143"/>
      <c r="C50" s="143"/>
      <c r="D50" s="143"/>
      <c r="E50" s="143"/>
      <c r="F50" s="143"/>
      <c r="G50" s="143"/>
      <c r="H50" s="143"/>
      <c r="I50" s="143"/>
      <c r="J50" s="143"/>
      <c r="K50" s="143"/>
      <c r="L50" s="143"/>
      <c r="M50" s="143"/>
      <c r="N50" s="143"/>
      <c r="O50" s="143"/>
      <c r="P50" s="143"/>
      <c r="Q50" s="159"/>
      <c r="R50" s="159"/>
      <c r="S50" s="159"/>
      <c r="T50" s="212"/>
      <c r="U50" s="143"/>
      <c r="V50" s="143"/>
      <c r="W50" s="143"/>
      <c r="X50" s="143"/>
      <c r="Y50" s="143"/>
      <c r="Z50" s="143"/>
    </row>
    <row r="51" ht="13.5" customHeight="1">
      <c r="A51" s="143"/>
      <c r="B51" s="143"/>
      <c r="C51" s="143"/>
      <c r="D51" s="143"/>
      <c r="E51" s="143"/>
      <c r="F51" s="143"/>
      <c r="G51" s="143"/>
      <c r="H51" s="143"/>
      <c r="I51" s="143"/>
      <c r="J51" s="143"/>
      <c r="K51" s="143"/>
      <c r="L51" s="143"/>
      <c r="M51" s="143"/>
      <c r="N51" s="143"/>
      <c r="O51" s="143"/>
      <c r="P51" s="143"/>
      <c r="Q51" s="159"/>
      <c r="R51" s="159"/>
      <c r="S51" s="159"/>
      <c r="T51" s="212"/>
      <c r="U51" s="143"/>
      <c r="V51" s="143"/>
      <c r="W51" s="143"/>
      <c r="X51" s="143"/>
      <c r="Y51" s="143"/>
      <c r="Z51" s="143"/>
    </row>
    <row r="52" ht="13.5" customHeight="1">
      <c r="A52" s="143"/>
      <c r="B52" s="143"/>
      <c r="C52" s="143"/>
      <c r="D52" s="143"/>
      <c r="E52" s="143"/>
      <c r="F52" s="143"/>
      <c r="G52" s="143"/>
      <c r="H52" s="143"/>
      <c r="I52" s="143"/>
      <c r="J52" s="143"/>
      <c r="K52" s="143"/>
      <c r="L52" s="143"/>
      <c r="M52" s="143"/>
      <c r="N52" s="143"/>
      <c r="O52" s="143"/>
      <c r="P52" s="143"/>
      <c r="Q52" s="159"/>
      <c r="R52" s="159"/>
      <c r="S52" s="159"/>
      <c r="T52" s="212"/>
      <c r="U52" s="143"/>
      <c r="V52" s="143"/>
      <c r="W52" s="143"/>
      <c r="X52" s="143"/>
      <c r="Y52" s="143"/>
      <c r="Z52" s="143"/>
    </row>
    <row r="53" ht="13.5" customHeight="1">
      <c r="A53" s="143"/>
      <c r="B53" s="143"/>
      <c r="C53" s="143"/>
      <c r="D53" s="143"/>
      <c r="E53" s="143"/>
      <c r="F53" s="143"/>
      <c r="G53" s="143"/>
      <c r="H53" s="143"/>
      <c r="I53" s="143"/>
      <c r="J53" s="143"/>
      <c r="K53" s="143"/>
      <c r="L53" s="143"/>
      <c r="M53" s="143"/>
      <c r="N53" s="143"/>
      <c r="O53" s="143"/>
      <c r="P53" s="143"/>
      <c r="Q53" s="159"/>
      <c r="R53" s="159"/>
      <c r="S53" s="159"/>
      <c r="T53" s="212"/>
      <c r="U53" s="143"/>
      <c r="V53" s="143"/>
      <c r="W53" s="143"/>
      <c r="X53" s="143"/>
      <c r="Y53" s="143"/>
      <c r="Z53" s="143"/>
    </row>
    <row r="54" ht="13.5" customHeight="1">
      <c r="A54" s="143"/>
      <c r="B54" s="143"/>
      <c r="C54" s="143"/>
      <c r="D54" s="143"/>
      <c r="E54" s="143"/>
      <c r="F54" s="143"/>
      <c r="G54" s="143"/>
      <c r="H54" s="143"/>
      <c r="I54" s="143"/>
      <c r="J54" s="143"/>
      <c r="K54" s="143"/>
      <c r="L54" s="143"/>
      <c r="M54" s="143"/>
      <c r="N54" s="143"/>
      <c r="O54" s="143"/>
      <c r="P54" s="143"/>
      <c r="Q54" s="159"/>
      <c r="R54" s="159"/>
      <c r="S54" s="159"/>
      <c r="T54" s="212"/>
      <c r="U54" s="143"/>
      <c r="V54" s="143"/>
      <c r="W54" s="143"/>
      <c r="X54" s="143"/>
      <c r="Y54" s="143"/>
      <c r="Z54" s="143"/>
    </row>
    <row r="55" ht="13.5" customHeight="1">
      <c r="A55" s="143"/>
      <c r="B55" s="143"/>
      <c r="C55" s="143"/>
      <c r="D55" s="143"/>
      <c r="E55" s="143"/>
      <c r="F55" s="143"/>
      <c r="G55" s="143"/>
      <c r="H55" s="143"/>
      <c r="I55" s="143"/>
      <c r="J55" s="143"/>
      <c r="K55" s="143"/>
      <c r="L55" s="143"/>
      <c r="M55" s="143"/>
      <c r="N55" s="143"/>
      <c r="O55" s="143"/>
      <c r="P55" s="143"/>
      <c r="Q55" s="159"/>
      <c r="R55" s="159"/>
      <c r="S55" s="159"/>
      <c r="T55" s="212"/>
      <c r="U55" s="143"/>
      <c r="V55" s="143"/>
      <c r="W55" s="143"/>
      <c r="X55" s="143"/>
      <c r="Y55" s="143"/>
      <c r="Z55" s="143"/>
    </row>
    <row r="56" ht="13.5" customHeight="1">
      <c r="A56" s="143"/>
      <c r="B56" s="143"/>
      <c r="C56" s="143"/>
      <c r="D56" s="143"/>
      <c r="E56" s="143"/>
      <c r="F56" s="143"/>
      <c r="G56" s="143"/>
      <c r="H56" s="143"/>
      <c r="I56" s="143"/>
      <c r="J56" s="143"/>
      <c r="K56" s="143"/>
      <c r="L56" s="143"/>
      <c r="M56" s="143"/>
      <c r="N56" s="143"/>
      <c r="O56" s="143"/>
      <c r="P56" s="143"/>
      <c r="Q56" s="159"/>
      <c r="R56" s="159"/>
      <c r="S56" s="159"/>
      <c r="T56" s="212"/>
      <c r="U56" s="143"/>
      <c r="V56" s="143"/>
      <c r="W56" s="143"/>
      <c r="X56" s="143"/>
      <c r="Y56" s="143"/>
      <c r="Z56" s="143"/>
    </row>
    <row r="57" ht="13.5" customHeight="1">
      <c r="A57" s="143"/>
      <c r="B57" s="143"/>
      <c r="C57" s="143"/>
      <c r="D57" s="143"/>
      <c r="E57" s="143"/>
      <c r="F57" s="143"/>
      <c r="G57" s="143"/>
      <c r="H57" s="143"/>
      <c r="I57" s="143"/>
      <c r="J57" s="143"/>
      <c r="K57" s="143"/>
      <c r="L57" s="143"/>
      <c r="M57" s="143"/>
      <c r="N57" s="143"/>
      <c r="O57" s="143"/>
      <c r="P57" s="143"/>
      <c r="Q57" s="159"/>
      <c r="R57" s="159"/>
      <c r="S57" s="159"/>
      <c r="T57" s="212"/>
      <c r="U57" s="143"/>
      <c r="V57" s="143"/>
      <c r="W57" s="143"/>
      <c r="X57" s="143"/>
      <c r="Y57" s="143"/>
      <c r="Z57" s="143"/>
    </row>
    <row r="58" ht="13.5" customHeight="1">
      <c r="A58" s="143"/>
      <c r="B58" s="143"/>
      <c r="C58" s="143"/>
      <c r="D58" s="143"/>
      <c r="E58" s="143"/>
      <c r="F58" s="143"/>
      <c r="G58" s="143"/>
      <c r="H58" s="143"/>
      <c r="I58" s="143"/>
      <c r="J58" s="143"/>
      <c r="K58" s="143"/>
      <c r="L58" s="143"/>
      <c r="M58" s="143"/>
      <c r="N58" s="143"/>
      <c r="O58" s="143"/>
      <c r="P58" s="143"/>
      <c r="Q58" s="159"/>
      <c r="R58" s="159"/>
      <c r="S58" s="159"/>
      <c r="T58" s="212"/>
      <c r="U58" s="143"/>
      <c r="V58" s="143"/>
      <c r="W58" s="143"/>
      <c r="X58" s="143"/>
      <c r="Y58" s="143"/>
      <c r="Z58" s="143"/>
    </row>
    <row r="59" ht="13.5" customHeight="1">
      <c r="A59" s="143"/>
      <c r="B59" s="143"/>
      <c r="C59" s="143"/>
      <c r="D59" s="143"/>
      <c r="E59" s="143"/>
      <c r="F59" s="143"/>
      <c r="G59" s="143"/>
      <c r="H59" s="143"/>
      <c r="I59" s="143"/>
      <c r="J59" s="143"/>
      <c r="K59" s="143"/>
      <c r="L59" s="143"/>
      <c r="M59" s="143"/>
      <c r="N59" s="143"/>
      <c r="O59" s="143"/>
      <c r="P59" s="143"/>
      <c r="Q59" s="159"/>
      <c r="R59" s="159"/>
      <c r="S59" s="159"/>
      <c r="T59" s="212"/>
      <c r="U59" s="143"/>
      <c r="V59" s="143"/>
      <c r="W59" s="143"/>
      <c r="X59" s="143"/>
      <c r="Y59" s="143"/>
      <c r="Z59" s="143"/>
    </row>
    <row r="60" ht="13.5" customHeight="1">
      <c r="A60" s="143"/>
      <c r="B60" s="143"/>
      <c r="C60" s="143"/>
      <c r="D60" s="143"/>
      <c r="E60" s="143"/>
      <c r="F60" s="143"/>
      <c r="G60" s="143"/>
      <c r="H60" s="143"/>
      <c r="I60" s="143"/>
      <c r="J60" s="143"/>
      <c r="K60" s="143"/>
      <c r="L60" s="143"/>
      <c r="M60" s="143"/>
      <c r="N60" s="143"/>
      <c r="O60" s="143"/>
      <c r="P60" s="143"/>
      <c r="Q60" s="159"/>
      <c r="R60" s="159"/>
      <c r="S60" s="159"/>
      <c r="T60" s="212"/>
      <c r="U60" s="143"/>
      <c r="V60" s="143"/>
      <c r="W60" s="143"/>
      <c r="X60" s="143"/>
      <c r="Y60" s="143"/>
      <c r="Z60" s="143"/>
    </row>
    <row r="61" ht="13.5" customHeight="1">
      <c r="A61" s="143"/>
      <c r="B61" s="143"/>
      <c r="C61" s="143"/>
      <c r="D61" s="143"/>
      <c r="E61" s="143"/>
      <c r="F61" s="143"/>
      <c r="G61" s="143"/>
      <c r="H61" s="143"/>
      <c r="I61" s="143"/>
      <c r="J61" s="143"/>
      <c r="K61" s="143"/>
      <c r="L61" s="143"/>
      <c r="M61" s="143"/>
      <c r="N61" s="143"/>
      <c r="O61" s="143"/>
      <c r="P61" s="143"/>
      <c r="Q61" s="159"/>
      <c r="R61" s="159"/>
      <c r="S61" s="159"/>
      <c r="T61" s="212"/>
      <c r="U61" s="143"/>
      <c r="V61" s="143"/>
      <c r="W61" s="143"/>
      <c r="X61" s="143"/>
      <c r="Y61" s="143"/>
      <c r="Z61" s="143"/>
    </row>
    <row r="62" ht="13.5" customHeight="1">
      <c r="A62" s="143"/>
      <c r="B62" s="143"/>
      <c r="C62" s="143"/>
      <c r="D62" s="143"/>
      <c r="E62" s="143"/>
      <c r="F62" s="143"/>
      <c r="G62" s="143"/>
      <c r="H62" s="143"/>
      <c r="I62" s="143"/>
      <c r="J62" s="143"/>
      <c r="K62" s="143"/>
      <c r="L62" s="143"/>
      <c r="M62" s="143"/>
      <c r="N62" s="143"/>
      <c r="O62" s="143"/>
      <c r="P62" s="143"/>
      <c r="Q62" s="159"/>
      <c r="R62" s="159"/>
      <c r="S62" s="159"/>
      <c r="T62" s="212"/>
      <c r="U62" s="143"/>
      <c r="V62" s="143"/>
      <c r="W62" s="143"/>
      <c r="X62" s="143"/>
      <c r="Y62" s="143"/>
      <c r="Z62" s="143"/>
    </row>
    <row r="63" ht="13.5" customHeight="1">
      <c r="A63" s="143"/>
      <c r="B63" s="143"/>
      <c r="C63" s="143"/>
      <c r="D63" s="143"/>
      <c r="E63" s="143"/>
      <c r="F63" s="143"/>
      <c r="G63" s="143"/>
      <c r="H63" s="143"/>
      <c r="I63" s="143"/>
      <c r="J63" s="143"/>
      <c r="K63" s="143"/>
      <c r="L63" s="143"/>
      <c r="M63" s="143"/>
      <c r="N63" s="143"/>
      <c r="O63" s="143"/>
      <c r="P63" s="143"/>
      <c r="Q63" s="159"/>
      <c r="R63" s="159"/>
      <c r="S63" s="159"/>
      <c r="T63" s="212"/>
      <c r="U63" s="143"/>
      <c r="V63" s="143"/>
      <c r="W63" s="143"/>
      <c r="X63" s="143"/>
      <c r="Y63" s="143"/>
      <c r="Z63" s="143"/>
    </row>
    <row r="64" ht="13.5" customHeight="1">
      <c r="A64" s="143"/>
      <c r="B64" s="143"/>
      <c r="C64" s="143"/>
      <c r="D64" s="143"/>
      <c r="E64" s="143"/>
      <c r="F64" s="143"/>
      <c r="G64" s="143"/>
      <c r="H64" s="143"/>
      <c r="I64" s="143"/>
      <c r="J64" s="143"/>
      <c r="K64" s="143"/>
      <c r="L64" s="143"/>
      <c r="M64" s="143"/>
      <c r="N64" s="143"/>
      <c r="O64" s="143"/>
      <c r="P64" s="143"/>
      <c r="Q64" s="159"/>
      <c r="R64" s="159"/>
      <c r="S64" s="159"/>
      <c r="T64" s="212"/>
      <c r="U64" s="143"/>
      <c r="V64" s="143"/>
      <c r="W64" s="143"/>
      <c r="X64" s="143"/>
      <c r="Y64" s="143"/>
      <c r="Z64" s="143"/>
    </row>
    <row r="65" ht="13.5" customHeight="1">
      <c r="A65" s="143"/>
      <c r="B65" s="143"/>
      <c r="C65" s="143"/>
      <c r="D65" s="143"/>
      <c r="E65" s="143"/>
      <c r="F65" s="143"/>
      <c r="G65" s="143"/>
      <c r="H65" s="143"/>
      <c r="I65" s="143"/>
      <c r="J65" s="143"/>
      <c r="K65" s="143"/>
      <c r="L65" s="143"/>
      <c r="M65" s="143"/>
      <c r="N65" s="143"/>
      <c r="O65" s="143"/>
      <c r="P65" s="143"/>
      <c r="Q65" s="159"/>
      <c r="R65" s="159"/>
      <c r="S65" s="159"/>
      <c r="T65" s="212"/>
      <c r="U65" s="143"/>
      <c r="V65" s="143"/>
      <c r="W65" s="143"/>
      <c r="X65" s="143"/>
      <c r="Y65" s="143"/>
      <c r="Z65" s="143"/>
    </row>
    <row r="66" ht="13.5" customHeight="1">
      <c r="A66" s="143"/>
      <c r="B66" s="143"/>
      <c r="C66" s="143"/>
      <c r="D66" s="143"/>
      <c r="E66" s="143"/>
      <c r="F66" s="143"/>
      <c r="G66" s="143"/>
      <c r="H66" s="143"/>
      <c r="I66" s="143"/>
      <c r="J66" s="143"/>
      <c r="K66" s="143"/>
      <c r="L66" s="143"/>
      <c r="M66" s="143"/>
      <c r="N66" s="143"/>
      <c r="O66" s="143"/>
      <c r="P66" s="143"/>
      <c r="Q66" s="159"/>
      <c r="R66" s="159"/>
      <c r="S66" s="159"/>
      <c r="T66" s="212"/>
      <c r="U66" s="143"/>
      <c r="V66" s="143"/>
      <c r="W66" s="143"/>
      <c r="X66" s="143"/>
      <c r="Y66" s="143"/>
      <c r="Z66" s="143"/>
    </row>
    <row r="67" ht="13.5" customHeight="1">
      <c r="A67" s="143"/>
      <c r="B67" s="143"/>
      <c r="C67" s="143"/>
      <c r="D67" s="143"/>
      <c r="E67" s="143"/>
      <c r="F67" s="143"/>
      <c r="G67" s="143"/>
      <c r="H67" s="143"/>
      <c r="I67" s="143"/>
      <c r="J67" s="143"/>
      <c r="K67" s="143"/>
      <c r="L67" s="143"/>
      <c r="M67" s="143"/>
      <c r="N67" s="143"/>
      <c r="O67" s="143"/>
      <c r="P67" s="143"/>
      <c r="Q67" s="159"/>
      <c r="R67" s="159"/>
      <c r="S67" s="159"/>
      <c r="T67" s="212"/>
      <c r="U67" s="143"/>
      <c r="V67" s="143"/>
      <c r="W67" s="143"/>
      <c r="X67" s="143"/>
      <c r="Y67" s="143"/>
      <c r="Z67" s="143"/>
    </row>
    <row r="68" ht="13.5" customHeight="1">
      <c r="A68" s="143"/>
      <c r="B68" s="143"/>
      <c r="C68" s="143"/>
      <c r="D68" s="143"/>
      <c r="E68" s="143"/>
      <c r="F68" s="143"/>
      <c r="G68" s="143"/>
      <c r="H68" s="143"/>
      <c r="I68" s="143"/>
      <c r="J68" s="143"/>
      <c r="K68" s="143"/>
      <c r="L68" s="143"/>
      <c r="M68" s="143"/>
      <c r="N68" s="143"/>
      <c r="O68" s="143"/>
      <c r="P68" s="143"/>
      <c r="Q68" s="159"/>
      <c r="R68" s="159"/>
      <c r="S68" s="159"/>
      <c r="T68" s="212"/>
      <c r="U68" s="143"/>
      <c r="V68" s="143"/>
      <c r="W68" s="143"/>
      <c r="X68" s="143"/>
      <c r="Y68" s="143"/>
      <c r="Z68" s="143"/>
    </row>
    <row r="69" ht="13.5" customHeight="1">
      <c r="A69" s="143"/>
      <c r="B69" s="143"/>
      <c r="C69" s="143"/>
      <c r="D69" s="143"/>
      <c r="E69" s="143"/>
      <c r="F69" s="143"/>
      <c r="G69" s="143"/>
      <c r="H69" s="143"/>
      <c r="I69" s="143"/>
      <c r="J69" s="143"/>
      <c r="K69" s="143"/>
      <c r="L69" s="143"/>
      <c r="M69" s="143"/>
      <c r="N69" s="143"/>
      <c r="O69" s="143"/>
      <c r="P69" s="143"/>
      <c r="Q69" s="159"/>
      <c r="R69" s="159"/>
      <c r="S69" s="159"/>
      <c r="T69" s="212"/>
      <c r="U69" s="143"/>
      <c r="V69" s="143"/>
      <c r="W69" s="143"/>
      <c r="X69" s="143"/>
      <c r="Y69" s="143"/>
      <c r="Z69" s="143"/>
    </row>
    <row r="70" ht="13.5" customHeight="1">
      <c r="A70" s="143"/>
      <c r="B70" s="143"/>
      <c r="C70" s="143"/>
      <c r="D70" s="143"/>
      <c r="E70" s="143"/>
      <c r="F70" s="143"/>
      <c r="G70" s="143"/>
      <c r="H70" s="143"/>
      <c r="I70" s="143"/>
      <c r="J70" s="143"/>
      <c r="K70" s="143"/>
      <c r="L70" s="143"/>
      <c r="M70" s="143"/>
      <c r="N70" s="143"/>
      <c r="O70" s="143"/>
      <c r="P70" s="143"/>
      <c r="Q70" s="159"/>
      <c r="R70" s="159"/>
      <c r="S70" s="159"/>
      <c r="T70" s="212"/>
      <c r="U70" s="143"/>
      <c r="V70" s="143"/>
      <c r="W70" s="143"/>
      <c r="X70" s="143"/>
      <c r="Y70" s="143"/>
      <c r="Z70" s="143"/>
    </row>
    <row r="71" ht="13.5" customHeight="1">
      <c r="A71" s="143"/>
      <c r="B71" s="143"/>
      <c r="C71" s="143"/>
      <c r="D71" s="143"/>
      <c r="E71" s="143"/>
      <c r="F71" s="143"/>
      <c r="G71" s="143"/>
      <c r="H71" s="143"/>
      <c r="I71" s="143"/>
      <c r="J71" s="143"/>
      <c r="K71" s="143"/>
      <c r="L71" s="143"/>
      <c r="M71" s="143"/>
      <c r="N71" s="143"/>
      <c r="O71" s="143"/>
      <c r="P71" s="143"/>
      <c r="Q71" s="159"/>
      <c r="R71" s="159"/>
      <c r="S71" s="159"/>
      <c r="T71" s="212"/>
      <c r="U71" s="143"/>
      <c r="V71" s="143"/>
      <c r="W71" s="143"/>
      <c r="X71" s="143"/>
      <c r="Y71" s="143"/>
      <c r="Z71" s="143"/>
    </row>
    <row r="72" ht="13.5" customHeight="1">
      <c r="A72" s="143"/>
      <c r="B72" s="143"/>
      <c r="C72" s="143"/>
      <c r="D72" s="143"/>
      <c r="E72" s="143"/>
      <c r="F72" s="143"/>
      <c r="G72" s="143"/>
      <c r="H72" s="143"/>
      <c r="I72" s="143"/>
      <c r="J72" s="143"/>
      <c r="K72" s="143"/>
      <c r="L72" s="143"/>
      <c r="M72" s="143"/>
      <c r="N72" s="143"/>
      <c r="O72" s="143"/>
      <c r="P72" s="143"/>
      <c r="Q72" s="159"/>
      <c r="R72" s="159"/>
      <c r="S72" s="159"/>
      <c r="T72" s="212"/>
      <c r="U72" s="143"/>
      <c r="V72" s="143"/>
      <c r="W72" s="143"/>
      <c r="X72" s="143"/>
      <c r="Y72" s="143"/>
      <c r="Z72" s="143"/>
    </row>
    <row r="73" ht="13.5" customHeight="1">
      <c r="A73" s="143"/>
      <c r="B73" s="143"/>
      <c r="C73" s="143"/>
      <c r="D73" s="143"/>
      <c r="E73" s="143"/>
      <c r="F73" s="143"/>
      <c r="G73" s="143"/>
      <c r="H73" s="143"/>
      <c r="I73" s="143"/>
      <c r="J73" s="143"/>
      <c r="K73" s="143"/>
      <c r="L73" s="143"/>
      <c r="M73" s="143"/>
      <c r="N73" s="143"/>
      <c r="O73" s="143"/>
      <c r="P73" s="143"/>
      <c r="Q73" s="159"/>
      <c r="R73" s="159"/>
      <c r="S73" s="159"/>
      <c r="T73" s="212"/>
      <c r="U73" s="143"/>
      <c r="V73" s="143"/>
      <c r="W73" s="143"/>
      <c r="X73" s="143"/>
      <c r="Y73" s="143"/>
      <c r="Z73" s="143"/>
    </row>
    <row r="74" ht="13.5" customHeight="1">
      <c r="A74" s="143"/>
      <c r="B74" s="143"/>
      <c r="C74" s="143"/>
      <c r="D74" s="143"/>
      <c r="E74" s="143"/>
      <c r="F74" s="143"/>
      <c r="G74" s="143"/>
      <c r="H74" s="143"/>
      <c r="I74" s="143"/>
      <c r="J74" s="143"/>
      <c r="K74" s="143"/>
      <c r="L74" s="143"/>
      <c r="M74" s="143"/>
      <c r="N74" s="143"/>
      <c r="O74" s="143"/>
      <c r="P74" s="143"/>
      <c r="Q74" s="159"/>
      <c r="R74" s="159"/>
      <c r="S74" s="159"/>
      <c r="T74" s="212"/>
      <c r="U74" s="143"/>
      <c r="V74" s="143"/>
      <c r="W74" s="143"/>
      <c r="X74" s="143"/>
      <c r="Y74" s="143"/>
      <c r="Z74" s="143"/>
    </row>
    <row r="75" ht="13.5" customHeight="1">
      <c r="A75" s="143"/>
      <c r="B75" s="143"/>
      <c r="C75" s="143"/>
      <c r="D75" s="143"/>
      <c r="E75" s="143"/>
      <c r="F75" s="143"/>
      <c r="G75" s="143"/>
      <c r="H75" s="143"/>
      <c r="I75" s="143"/>
      <c r="J75" s="143"/>
      <c r="K75" s="143"/>
      <c r="L75" s="143"/>
      <c r="M75" s="143"/>
      <c r="N75" s="143"/>
      <c r="O75" s="143"/>
      <c r="P75" s="143"/>
      <c r="Q75" s="159"/>
      <c r="R75" s="159"/>
      <c r="S75" s="159"/>
      <c r="T75" s="212"/>
      <c r="U75" s="143"/>
      <c r="V75" s="143"/>
      <c r="W75" s="143"/>
      <c r="X75" s="143"/>
      <c r="Y75" s="143"/>
      <c r="Z75" s="143"/>
    </row>
    <row r="76" ht="13.5" customHeight="1">
      <c r="A76" s="143"/>
      <c r="B76" s="143"/>
      <c r="C76" s="143"/>
      <c r="D76" s="143"/>
      <c r="E76" s="143"/>
      <c r="F76" s="143"/>
      <c r="G76" s="143"/>
      <c r="H76" s="143"/>
      <c r="I76" s="143"/>
      <c r="J76" s="143"/>
      <c r="K76" s="143"/>
      <c r="L76" s="143"/>
      <c r="M76" s="143"/>
      <c r="N76" s="143"/>
      <c r="O76" s="143"/>
      <c r="P76" s="143"/>
      <c r="Q76" s="159"/>
      <c r="R76" s="159"/>
      <c r="S76" s="159"/>
      <c r="T76" s="212"/>
      <c r="U76" s="143"/>
      <c r="V76" s="143"/>
      <c r="W76" s="143"/>
      <c r="X76" s="143"/>
      <c r="Y76" s="143"/>
      <c r="Z76" s="143"/>
    </row>
    <row r="77" ht="13.5" customHeight="1">
      <c r="A77" s="143"/>
      <c r="B77" s="143"/>
      <c r="C77" s="143"/>
      <c r="D77" s="143"/>
      <c r="E77" s="143"/>
      <c r="F77" s="143"/>
      <c r="G77" s="143"/>
      <c r="H77" s="143"/>
      <c r="I77" s="143"/>
      <c r="J77" s="143"/>
      <c r="K77" s="143"/>
      <c r="L77" s="143"/>
      <c r="M77" s="143"/>
      <c r="N77" s="143"/>
      <c r="O77" s="143"/>
      <c r="P77" s="143"/>
      <c r="Q77" s="159"/>
      <c r="R77" s="159"/>
      <c r="S77" s="159"/>
      <c r="T77" s="212"/>
      <c r="U77" s="143"/>
      <c r="V77" s="143"/>
      <c r="W77" s="143"/>
      <c r="X77" s="143"/>
      <c r="Y77" s="143"/>
      <c r="Z77" s="143"/>
    </row>
    <row r="78" ht="13.5" customHeight="1">
      <c r="A78" s="143"/>
      <c r="B78" s="143"/>
      <c r="C78" s="143"/>
      <c r="D78" s="143"/>
      <c r="E78" s="143"/>
      <c r="F78" s="143"/>
      <c r="G78" s="143"/>
      <c r="H78" s="143"/>
      <c r="I78" s="143"/>
      <c r="J78" s="143"/>
      <c r="K78" s="143"/>
      <c r="L78" s="143"/>
      <c r="M78" s="143"/>
      <c r="N78" s="143"/>
      <c r="O78" s="143"/>
      <c r="P78" s="143"/>
      <c r="Q78" s="159"/>
      <c r="R78" s="159"/>
      <c r="S78" s="159"/>
      <c r="T78" s="212"/>
      <c r="U78" s="143"/>
      <c r="V78" s="143"/>
      <c r="W78" s="143"/>
      <c r="X78" s="143"/>
      <c r="Y78" s="143"/>
      <c r="Z78" s="143"/>
    </row>
    <row r="79" ht="13.5" customHeight="1">
      <c r="A79" s="143"/>
      <c r="B79" s="143"/>
      <c r="C79" s="143"/>
      <c r="D79" s="143"/>
      <c r="E79" s="143"/>
      <c r="F79" s="143"/>
      <c r="G79" s="143"/>
      <c r="H79" s="143"/>
      <c r="I79" s="143"/>
      <c r="J79" s="143"/>
      <c r="K79" s="143"/>
      <c r="L79" s="143"/>
      <c r="M79" s="143"/>
      <c r="N79" s="143"/>
      <c r="O79" s="143"/>
      <c r="P79" s="143"/>
      <c r="Q79" s="159"/>
      <c r="R79" s="159"/>
      <c r="S79" s="159"/>
      <c r="T79" s="212"/>
      <c r="U79" s="143"/>
      <c r="V79" s="143"/>
      <c r="W79" s="143"/>
      <c r="X79" s="143"/>
      <c r="Y79" s="143"/>
      <c r="Z79" s="143"/>
    </row>
    <row r="80" ht="13.5" customHeight="1">
      <c r="A80" s="143"/>
      <c r="B80" s="143"/>
      <c r="C80" s="143"/>
      <c r="D80" s="143"/>
      <c r="E80" s="143"/>
      <c r="F80" s="143"/>
      <c r="G80" s="143"/>
      <c r="H80" s="143"/>
      <c r="I80" s="143"/>
      <c r="J80" s="143"/>
      <c r="K80" s="143"/>
      <c r="L80" s="143"/>
      <c r="M80" s="143"/>
      <c r="N80" s="143"/>
      <c r="O80" s="143"/>
      <c r="P80" s="143"/>
      <c r="Q80" s="159"/>
      <c r="R80" s="159"/>
      <c r="S80" s="159"/>
      <c r="T80" s="212"/>
      <c r="U80" s="143"/>
      <c r="V80" s="143"/>
      <c r="W80" s="143"/>
      <c r="X80" s="143"/>
      <c r="Y80" s="143"/>
      <c r="Z80" s="143"/>
    </row>
    <row r="81" ht="13.5" customHeight="1">
      <c r="A81" s="143"/>
      <c r="B81" s="143"/>
      <c r="C81" s="143"/>
      <c r="D81" s="143"/>
      <c r="E81" s="143"/>
      <c r="F81" s="143"/>
      <c r="G81" s="143"/>
      <c r="H81" s="143"/>
      <c r="I81" s="143"/>
      <c r="J81" s="143"/>
      <c r="K81" s="143"/>
      <c r="L81" s="143"/>
      <c r="M81" s="143"/>
      <c r="N81" s="143"/>
      <c r="O81" s="143"/>
      <c r="P81" s="143"/>
      <c r="Q81" s="159"/>
      <c r="R81" s="159"/>
      <c r="S81" s="159"/>
      <c r="T81" s="212"/>
      <c r="U81" s="143"/>
      <c r="V81" s="143"/>
      <c r="W81" s="143"/>
      <c r="X81" s="143"/>
      <c r="Y81" s="143"/>
      <c r="Z81" s="143"/>
    </row>
    <row r="82" ht="13.5" customHeight="1">
      <c r="A82" s="143"/>
      <c r="B82" s="143"/>
      <c r="C82" s="143"/>
      <c r="D82" s="143"/>
      <c r="E82" s="143"/>
      <c r="F82" s="143"/>
      <c r="G82" s="143"/>
      <c r="H82" s="143"/>
      <c r="I82" s="143"/>
      <c r="J82" s="143"/>
      <c r="K82" s="143"/>
      <c r="L82" s="143"/>
      <c r="M82" s="143"/>
      <c r="N82" s="143"/>
      <c r="O82" s="143"/>
      <c r="P82" s="143"/>
      <c r="Q82" s="159"/>
      <c r="R82" s="159"/>
      <c r="S82" s="159"/>
      <c r="T82" s="212"/>
      <c r="U82" s="143"/>
      <c r="V82" s="143"/>
      <c r="W82" s="143"/>
      <c r="X82" s="143"/>
      <c r="Y82" s="143"/>
      <c r="Z82" s="143"/>
    </row>
    <row r="83" ht="13.5" customHeight="1">
      <c r="A83" s="143"/>
      <c r="B83" s="143"/>
      <c r="C83" s="143"/>
      <c r="D83" s="143"/>
      <c r="E83" s="143"/>
      <c r="F83" s="143"/>
      <c r="G83" s="143"/>
      <c r="H83" s="143"/>
      <c r="I83" s="143"/>
      <c r="J83" s="143"/>
      <c r="K83" s="143"/>
      <c r="L83" s="143"/>
      <c r="M83" s="143"/>
      <c r="N83" s="143"/>
      <c r="O83" s="143"/>
      <c r="P83" s="143"/>
      <c r="Q83" s="159"/>
      <c r="R83" s="159"/>
      <c r="S83" s="159"/>
      <c r="T83" s="212"/>
      <c r="U83" s="143"/>
      <c r="V83" s="143"/>
      <c r="W83" s="143"/>
      <c r="X83" s="143"/>
      <c r="Y83" s="143"/>
      <c r="Z83" s="143"/>
    </row>
    <row r="84" ht="13.5" customHeight="1">
      <c r="A84" s="143"/>
      <c r="B84" s="143"/>
      <c r="C84" s="143"/>
      <c r="D84" s="143"/>
      <c r="E84" s="143"/>
      <c r="F84" s="143"/>
      <c r="G84" s="143"/>
      <c r="H84" s="143"/>
      <c r="I84" s="143"/>
      <c r="J84" s="143"/>
      <c r="K84" s="143"/>
      <c r="L84" s="143"/>
      <c r="M84" s="143"/>
      <c r="N84" s="143"/>
      <c r="O84" s="143"/>
      <c r="P84" s="143"/>
      <c r="Q84" s="159"/>
      <c r="R84" s="159"/>
      <c r="S84" s="159"/>
      <c r="T84" s="212"/>
      <c r="U84" s="143"/>
      <c r="V84" s="143"/>
      <c r="W84" s="143"/>
      <c r="X84" s="143"/>
      <c r="Y84" s="143"/>
      <c r="Z84" s="143"/>
    </row>
    <row r="85" ht="13.5" customHeight="1">
      <c r="A85" s="143"/>
      <c r="B85" s="143"/>
      <c r="C85" s="143"/>
      <c r="D85" s="143"/>
      <c r="E85" s="143"/>
      <c r="F85" s="143"/>
      <c r="G85" s="143"/>
      <c r="H85" s="143"/>
      <c r="I85" s="143"/>
      <c r="J85" s="143"/>
      <c r="K85" s="143"/>
      <c r="L85" s="143"/>
      <c r="M85" s="143"/>
      <c r="N85" s="143"/>
      <c r="O85" s="143"/>
      <c r="P85" s="143"/>
      <c r="Q85" s="159"/>
      <c r="R85" s="159"/>
      <c r="S85" s="159"/>
      <c r="T85" s="212"/>
      <c r="U85" s="143"/>
      <c r="V85" s="143"/>
      <c r="W85" s="143"/>
      <c r="X85" s="143"/>
      <c r="Y85" s="143"/>
      <c r="Z85" s="143"/>
    </row>
    <row r="86" ht="13.5" customHeight="1">
      <c r="A86" s="143"/>
      <c r="B86" s="143"/>
      <c r="C86" s="143"/>
      <c r="D86" s="143"/>
      <c r="E86" s="143"/>
      <c r="F86" s="143"/>
      <c r="G86" s="143"/>
      <c r="H86" s="143"/>
      <c r="I86" s="143"/>
      <c r="J86" s="143"/>
      <c r="K86" s="143"/>
      <c r="L86" s="143"/>
      <c r="M86" s="143"/>
      <c r="N86" s="143"/>
      <c r="O86" s="143"/>
      <c r="P86" s="143"/>
      <c r="Q86" s="159"/>
      <c r="R86" s="159"/>
      <c r="S86" s="159"/>
      <c r="T86" s="212"/>
      <c r="U86" s="143"/>
      <c r="V86" s="143"/>
      <c r="W86" s="143"/>
      <c r="X86" s="143"/>
      <c r="Y86" s="143"/>
      <c r="Z86" s="143"/>
    </row>
    <row r="87" ht="13.5" customHeight="1">
      <c r="A87" s="143"/>
      <c r="B87" s="143"/>
      <c r="C87" s="143"/>
      <c r="D87" s="143"/>
      <c r="E87" s="143"/>
      <c r="F87" s="143"/>
      <c r="G87" s="143"/>
      <c r="H87" s="143"/>
      <c r="I87" s="143"/>
      <c r="J87" s="143"/>
      <c r="K87" s="143"/>
      <c r="L87" s="143"/>
      <c r="M87" s="143"/>
      <c r="N87" s="143"/>
      <c r="O87" s="143"/>
      <c r="P87" s="143"/>
      <c r="Q87" s="159"/>
      <c r="R87" s="159"/>
      <c r="S87" s="159"/>
      <c r="T87" s="212"/>
      <c r="U87" s="143"/>
      <c r="V87" s="143"/>
      <c r="W87" s="143"/>
      <c r="X87" s="143"/>
      <c r="Y87" s="143"/>
      <c r="Z87" s="143"/>
    </row>
    <row r="88" ht="13.5" customHeight="1">
      <c r="A88" s="143"/>
      <c r="B88" s="143"/>
      <c r="C88" s="143"/>
      <c r="D88" s="143"/>
      <c r="E88" s="143"/>
      <c r="F88" s="143"/>
      <c r="G88" s="143"/>
      <c r="H88" s="143"/>
      <c r="I88" s="143"/>
      <c r="J88" s="143"/>
      <c r="K88" s="143"/>
      <c r="L88" s="143"/>
      <c r="M88" s="143"/>
      <c r="N88" s="143"/>
      <c r="O88" s="143"/>
      <c r="P88" s="143"/>
      <c r="Q88" s="159"/>
      <c r="R88" s="159"/>
      <c r="S88" s="159"/>
      <c r="T88" s="212"/>
      <c r="U88" s="143"/>
      <c r="V88" s="143"/>
      <c r="W88" s="143"/>
      <c r="X88" s="143"/>
      <c r="Y88" s="143"/>
      <c r="Z88" s="143"/>
    </row>
    <row r="89" ht="13.5" customHeight="1">
      <c r="A89" s="143"/>
      <c r="B89" s="143"/>
      <c r="C89" s="143"/>
      <c r="D89" s="143"/>
      <c r="E89" s="143"/>
      <c r="F89" s="143"/>
      <c r="G89" s="143"/>
      <c r="H89" s="143"/>
      <c r="I89" s="143"/>
      <c r="J89" s="143"/>
      <c r="K89" s="143"/>
      <c r="L89" s="143"/>
      <c r="M89" s="143"/>
      <c r="N89" s="143"/>
      <c r="O89" s="143"/>
      <c r="P89" s="143"/>
      <c r="Q89" s="159"/>
      <c r="R89" s="159"/>
      <c r="S89" s="159"/>
      <c r="T89" s="212"/>
      <c r="U89" s="143"/>
      <c r="V89" s="143"/>
      <c r="W89" s="143"/>
      <c r="X89" s="143"/>
      <c r="Y89" s="143"/>
      <c r="Z89" s="143"/>
    </row>
    <row r="90" ht="13.5" customHeight="1">
      <c r="A90" s="143"/>
      <c r="B90" s="143"/>
      <c r="C90" s="143"/>
      <c r="D90" s="143"/>
      <c r="E90" s="143"/>
      <c r="F90" s="143"/>
      <c r="G90" s="143"/>
      <c r="H90" s="143"/>
      <c r="I90" s="143"/>
      <c r="J90" s="143"/>
      <c r="K90" s="143"/>
      <c r="L90" s="143"/>
      <c r="M90" s="143"/>
      <c r="N90" s="143"/>
      <c r="O90" s="143"/>
      <c r="P90" s="143"/>
      <c r="Q90" s="159"/>
      <c r="R90" s="159"/>
      <c r="S90" s="159"/>
      <c r="T90" s="212"/>
      <c r="U90" s="143"/>
      <c r="V90" s="143"/>
      <c r="W90" s="143"/>
      <c r="X90" s="143"/>
      <c r="Y90" s="143"/>
      <c r="Z90" s="143"/>
    </row>
    <row r="91" ht="13.5" customHeight="1">
      <c r="A91" s="143"/>
      <c r="B91" s="143"/>
      <c r="C91" s="143"/>
      <c r="D91" s="143"/>
      <c r="E91" s="143"/>
      <c r="F91" s="143"/>
      <c r="G91" s="143"/>
      <c r="H91" s="143"/>
      <c r="I91" s="143"/>
      <c r="J91" s="143"/>
      <c r="K91" s="143"/>
      <c r="L91" s="143"/>
      <c r="M91" s="143"/>
      <c r="N91" s="143"/>
      <c r="O91" s="143"/>
      <c r="P91" s="143"/>
      <c r="Q91" s="159"/>
      <c r="R91" s="159"/>
      <c r="S91" s="159"/>
      <c r="T91" s="212"/>
      <c r="U91" s="143"/>
      <c r="V91" s="143"/>
      <c r="W91" s="143"/>
      <c r="X91" s="143"/>
      <c r="Y91" s="143"/>
      <c r="Z91" s="143"/>
    </row>
    <row r="92" ht="13.5" customHeight="1">
      <c r="A92" s="143"/>
      <c r="B92" s="143"/>
      <c r="C92" s="143"/>
      <c r="D92" s="143"/>
      <c r="E92" s="143"/>
      <c r="F92" s="143"/>
      <c r="G92" s="143"/>
      <c r="H92" s="143"/>
      <c r="I92" s="143"/>
      <c r="J92" s="143"/>
      <c r="K92" s="143"/>
      <c r="L92" s="143"/>
      <c r="M92" s="143"/>
      <c r="N92" s="143"/>
      <c r="O92" s="143"/>
      <c r="P92" s="143"/>
      <c r="Q92" s="159"/>
      <c r="R92" s="159"/>
      <c r="S92" s="159"/>
      <c r="T92" s="212"/>
      <c r="U92" s="143"/>
      <c r="V92" s="143"/>
      <c r="W92" s="143"/>
      <c r="X92" s="143"/>
      <c r="Y92" s="143"/>
      <c r="Z92" s="143"/>
    </row>
    <row r="93" ht="13.5" customHeight="1">
      <c r="A93" s="143"/>
      <c r="B93" s="143"/>
      <c r="C93" s="143"/>
      <c r="D93" s="143"/>
      <c r="E93" s="143"/>
      <c r="F93" s="143"/>
      <c r="G93" s="143"/>
      <c r="H93" s="143"/>
      <c r="I93" s="143"/>
      <c r="J93" s="143"/>
      <c r="K93" s="143"/>
      <c r="L93" s="143"/>
      <c r="M93" s="143"/>
      <c r="N93" s="143"/>
      <c r="O93" s="143"/>
      <c r="P93" s="143"/>
      <c r="Q93" s="159"/>
      <c r="R93" s="159"/>
      <c r="S93" s="159"/>
      <c r="T93" s="212"/>
      <c r="U93" s="143"/>
      <c r="V93" s="143"/>
      <c r="W93" s="143"/>
      <c r="X93" s="143"/>
      <c r="Y93" s="143"/>
      <c r="Z93" s="143"/>
    </row>
    <row r="94" ht="13.5" customHeight="1">
      <c r="A94" s="143"/>
      <c r="B94" s="143"/>
      <c r="C94" s="143"/>
      <c r="D94" s="143"/>
      <c r="E94" s="143"/>
      <c r="F94" s="143"/>
      <c r="G94" s="143"/>
      <c r="H94" s="143"/>
      <c r="I94" s="143"/>
      <c r="J94" s="143"/>
      <c r="K94" s="143"/>
      <c r="L94" s="143"/>
      <c r="M94" s="143"/>
      <c r="N94" s="143"/>
      <c r="O94" s="143"/>
      <c r="P94" s="143"/>
      <c r="Q94" s="159"/>
      <c r="R94" s="159"/>
      <c r="S94" s="159"/>
      <c r="T94" s="212"/>
      <c r="U94" s="143"/>
      <c r="V94" s="143"/>
      <c r="W94" s="143"/>
      <c r="X94" s="143"/>
      <c r="Y94" s="143"/>
      <c r="Z94" s="143"/>
    </row>
    <row r="95" ht="13.5" customHeight="1">
      <c r="A95" s="143"/>
      <c r="B95" s="143"/>
      <c r="C95" s="143"/>
      <c r="D95" s="143"/>
      <c r="E95" s="143"/>
      <c r="F95" s="143"/>
      <c r="G95" s="143"/>
      <c r="H95" s="143"/>
      <c r="I95" s="143"/>
      <c r="J95" s="143"/>
      <c r="K95" s="143"/>
      <c r="L95" s="143"/>
      <c r="M95" s="143"/>
      <c r="N95" s="143"/>
      <c r="O95" s="143"/>
      <c r="P95" s="143"/>
      <c r="Q95" s="159"/>
      <c r="R95" s="159"/>
      <c r="S95" s="159"/>
      <c r="T95" s="212"/>
      <c r="U95" s="143"/>
      <c r="V95" s="143"/>
      <c r="W95" s="143"/>
      <c r="X95" s="143"/>
      <c r="Y95" s="143"/>
      <c r="Z95" s="143"/>
    </row>
    <row r="96" ht="13.5" customHeight="1">
      <c r="A96" s="143"/>
      <c r="B96" s="143"/>
      <c r="C96" s="143"/>
      <c r="D96" s="143"/>
      <c r="E96" s="143"/>
      <c r="F96" s="143"/>
      <c r="G96" s="143"/>
      <c r="H96" s="143"/>
      <c r="I96" s="143"/>
      <c r="J96" s="143"/>
      <c r="K96" s="143"/>
      <c r="L96" s="143"/>
      <c r="M96" s="143"/>
      <c r="N96" s="143"/>
      <c r="O96" s="143"/>
      <c r="P96" s="143"/>
      <c r="Q96" s="159"/>
      <c r="R96" s="159"/>
      <c r="S96" s="159"/>
      <c r="T96" s="212"/>
      <c r="U96" s="143"/>
      <c r="V96" s="143"/>
      <c r="W96" s="143"/>
      <c r="X96" s="143"/>
      <c r="Y96" s="143"/>
      <c r="Z96" s="143"/>
    </row>
    <row r="97" ht="13.5" customHeight="1">
      <c r="A97" s="143"/>
      <c r="B97" s="143"/>
      <c r="C97" s="143"/>
      <c r="D97" s="143"/>
      <c r="E97" s="143"/>
      <c r="F97" s="143"/>
      <c r="G97" s="143"/>
      <c r="H97" s="143"/>
      <c r="I97" s="143"/>
      <c r="J97" s="143"/>
      <c r="K97" s="143"/>
      <c r="L97" s="143"/>
      <c r="M97" s="143"/>
      <c r="N97" s="143"/>
      <c r="O97" s="143"/>
      <c r="P97" s="143"/>
      <c r="Q97" s="159"/>
      <c r="R97" s="159"/>
      <c r="S97" s="159"/>
      <c r="T97" s="212"/>
      <c r="U97" s="143"/>
      <c r="V97" s="143"/>
      <c r="W97" s="143"/>
      <c r="X97" s="143"/>
      <c r="Y97" s="143"/>
      <c r="Z97" s="143"/>
    </row>
    <row r="98" ht="13.5" customHeight="1">
      <c r="A98" s="143"/>
      <c r="B98" s="143"/>
      <c r="C98" s="143"/>
      <c r="D98" s="143"/>
      <c r="E98" s="143"/>
      <c r="F98" s="143"/>
      <c r="G98" s="143"/>
      <c r="H98" s="143"/>
      <c r="I98" s="143"/>
      <c r="J98" s="143"/>
      <c r="K98" s="143"/>
      <c r="L98" s="143"/>
      <c r="M98" s="143"/>
      <c r="N98" s="143"/>
      <c r="O98" s="143"/>
      <c r="P98" s="143"/>
      <c r="Q98" s="159"/>
      <c r="R98" s="159"/>
      <c r="S98" s="159"/>
      <c r="T98" s="212"/>
      <c r="U98" s="143"/>
      <c r="V98" s="143"/>
      <c r="W98" s="143"/>
      <c r="X98" s="143"/>
      <c r="Y98" s="143"/>
      <c r="Z98" s="143"/>
    </row>
    <row r="99" ht="13.5" customHeight="1">
      <c r="A99" s="143"/>
      <c r="B99" s="143"/>
      <c r="C99" s="143"/>
      <c r="D99" s="143"/>
      <c r="E99" s="143"/>
      <c r="F99" s="143"/>
      <c r="G99" s="143"/>
      <c r="H99" s="143"/>
      <c r="I99" s="143"/>
      <c r="J99" s="143"/>
      <c r="K99" s="143"/>
      <c r="L99" s="143"/>
      <c r="M99" s="143"/>
      <c r="N99" s="143"/>
      <c r="O99" s="143"/>
      <c r="P99" s="143"/>
      <c r="Q99" s="159"/>
      <c r="R99" s="159"/>
      <c r="S99" s="159"/>
      <c r="T99" s="212"/>
      <c r="U99" s="143"/>
      <c r="V99" s="143"/>
      <c r="W99" s="143"/>
      <c r="X99" s="143"/>
      <c r="Y99" s="143"/>
      <c r="Z99" s="143"/>
    </row>
    <row r="100" ht="13.5" customHeight="1">
      <c r="A100" s="143"/>
      <c r="B100" s="143"/>
      <c r="C100" s="143"/>
      <c r="D100" s="143"/>
      <c r="E100" s="143"/>
      <c r="F100" s="143"/>
      <c r="G100" s="143"/>
      <c r="H100" s="143"/>
      <c r="I100" s="143"/>
      <c r="J100" s="143"/>
      <c r="K100" s="143"/>
      <c r="L100" s="143"/>
      <c r="M100" s="143"/>
      <c r="N100" s="143"/>
      <c r="O100" s="143"/>
      <c r="P100" s="143"/>
      <c r="Q100" s="159"/>
      <c r="R100" s="159"/>
      <c r="S100" s="159"/>
      <c r="T100" s="212"/>
      <c r="U100" s="143"/>
      <c r="V100" s="143"/>
      <c r="W100" s="143"/>
      <c r="X100" s="143"/>
      <c r="Y100" s="143"/>
      <c r="Z100" s="143"/>
    </row>
    <row r="101" ht="13.5" customHeight="1">
      <c r="A101" s="143"/>
      <c r="B101" s="143"/>
      <c r="C101" s="143"/>
      <c r="D101" s="143"/>
      <c r="E101" s="143"/>
      <c r="F101" s="143"/>
      <c r="G101" s="143"/>
      <c r="H101" s="143"/>
      <c r="I101" s="143"/>
      <c r="J101" s="143"/>
      <c r="K101" s="143"/>
      <c r="L101" s="143"/>
      <c r="M101" s="143"/>
      <c r="N101" s="143"/>
      <c r="O101" s="143"/>
      <c r="P101" s="143"/>
      <c r="Q101" s="159"/>
      <c r="R101" s="159"/>
      <c r="S101" s="159"/>
      <c r="T101" s="212"/>
      <c r="U101" s="143"/>
      <c r="V101" s="143"/>
      <c r="W101" s="143"/>
      <c r="X101" s="143"/>
      <c r="Y101" s="143"/>
      <c r="Z101" s="143"/>
    </row>
    <row r="102" ht="13.5" customHeight="1">
      <c r="A102" s="143"/>
      <c r="B102" s="143"/>
      <c r="C102" s="143"/>
      <c r="D102" s="143"/>
      <c r="E102" s="143"/>
      <c r="F102" s="143"/>
      <c r="G102" s="143"/>
      <c r="H102" s="143"/>
      <c r="I102" s="143"/>
      <c r="J102" s="143"/>
      <c r="K102" s="143"/>
      <c r="L102" s="143"/>
      <c r="M102" s="143"/>
      <c r="N102" s="143"/>
      <c r="O102" s="143"/>
      <c r="P102" s="143"/>
      <c r="Q102" s="159"/>
      <c r="R102" s="159"/>
      <c r="S102" s="159"/>
      <c r="T102" s="212"/>
      <c r="U102" s="143"/>
      <c r="V102" s="143"/>
      <c r="W102" s="143"/>
      <c r="X102" s="143"/>
      <c r="Y102" s="143"/>
      <c r="Z102" s="143"/>
    </row>
    <row r="103" ht="13.5" customHeight="1">
      <c r="A103" s="143"/>
      <c r="B103" s="143"/>
      <c r="C103" s="143"/>
      <c r="D103" s="143"/>
      <c r="E103" s="143"/>
      <c r="F103" s="143"/>
      <c r="G103" s="143"/>
      <c r="H103" s="143"/>
      <c r="I103" s="143"/>
      <c r="J103" s="143"/>
      <c r="K103" s="143"/>
      <c r="L103" s="143"/>
      <c r="M103" s="143"/>
      <c r="N103" s="143"/>
      <c r="O103" s="143"/>
      <c r="P103" s="143"/>
      <c r="Q103" s="159"/>
      <c r="R103" s="159"/>
      <c r="S103" s="159"/>
      <c r="T103" s="212"/>
      <c r="U103" s="143"/>
      <c r="V103" s="143"/>
      <c r="W103" s="143"/>
      <c r="X103" s="143"/>
      <c r="Y103" s="143"/>
      <c r="Z103" s="143"/>
    </row>
    <row r="104" ht="13.5" customHeight="1">
      <c r="A104" s="143"/>
      <c r="B104" s="143"/>
      <c r="C104" s="143"/>
      <c r="D104" s="143"/>
      <c r="E104" s="143"/>
      <c r="F104" s="143"/>
      <c r="G104" s="143"/>
      <c r="H104" s="143"/>
      <c r="I104" s="143"/>
      <c r="J104" s="143"/>
      <c r="K104" s="143"/>
      <c r="L104" s="143"/>
      <c r="M104" s="143"/>
      <c r="N104" s="143"/>
      <c r="O104" s="143"/>
      <c r="P104" s="143"/>
      <c r="Q104" s="159"/>
      <c r="R104" s="159"/>
      <c r="S104" s="159"/>
      <c r="T104" s="212"/>
      <c r="U104" s="143"/>
      <c r="V104" s="143"/>
      <c r="W104" s="143"/>
      <c r="X104" s="143"/>
      <c r="Y104" s="143"/>
      <c r="Z104" s="143"/>
    </row>
    <row r="105" ht="13.5" customHeight="1">
      <c r="A105" s="143"/>
      <c r="B105" s="143"/>
      <c r="C105" s="143"/>
      <c r="D105" s="143"/>
      <c r="E105" s="143"/>
      <c r="F105" s="143"/>
      <c r="G105" s="143"/>
      <c r="H105" s="143"/>
      <c r="I105" s="143"/>
      <c r="J105" s="143"/>
      <c r="K105" s="143"/>
      <c r="L105" s="143"/>
      <c r="M105" s="143"/>
      <c r="N105" s="143"/>
      <c r="O105" s="143"/>
      <c r="P105" s="143"/>
      <c r="Q105" s="159"/>
      <c r="R105" s="159"/>
      <c r="S105" s="159"/>
      <c r="T105" s="212"/>
      <c r="U105" s="143"/>
      <c r="V105" s="143"/>
      <c r="W105" s="143"/>
      <c r="X105" s="143"/>
      <c r="Y105" s="143"/>
      <c r="Z105" s="143"/>
    </row>
    <row r="106" ht="13.5" customHeight="1">
      <c r="A106" s="143"/>
      <c r="B106" s="143"/>
      <c r="C106" s="143"/>
      <c r="D106" s="143"/>
      <c r="E106" s="143"/>
      <c r="F106" s="143"/>
      <c r="G106" s="143"/>
      <c r="H106" s="143"/>
      <c r="I106" s="143"/>
      <c r="J106" s="143"/>
      <c r="K106" s="143"/>
      <c r="L106" s="143"/>
      <c r="M106" s="143"/>
      <c r="N106" s="143"/>
      <c r="O106" s="143"/>
      <c r="P106" s="143"/>
      <c r="Q106" s="159"/>
      <c r="R106" s="159"/>
      <c r="S106" s="159"/>
      <c r="T106" s="212"/>
      <c r="U106" s="143"/>
      <c r="V106" s="143"/>
      <c r="W106" s="143"/>
      <c r="X106" s="143"/>
      <c r="Y106" s="143"/>
      <c r="Z106" s="143"/>
    </row>
    <row r="107" ht="13.5" customHeight="1">
      <c r="A107" s="143"/>
      <c r="B107" s="143"/>
      <c r="C107" s="143"/>
      <c r="D107" s="143"/>
      <c r="E107" s="143"/>
      <c r="F107" s="143"/>
      <c r="G107" s="143"/>
      <c r="H107" s="143"/>
      <c r="I107" s="143"/>
      <c r="J107" s="143"/>
      <c r="K107" s="143"/>
      <c r="L107" s="143"/>
      <c r="M107" s="143"/>
      <c r="N107" s="143"/>
      <c r="O107" s="143"/>
      <c r="P107" s="143"/>
      <c r="Q107" s="159"/>
      <c r="R107" s="159"/>
      <c r="S107" s="159"/>
      <c r="T107" s="212"/>
      <c r="U107" s="143"/>
      <c r="V107" s="143"/>
      <c r="W107" s="143"/>
      <c r="X107" s="143"/>
      <c r="Y107" s="143"/>
      <c r="Z107" s="143"/>
    </row>
    <row r="108" ht="13.5" customHeight="1">
      <c r="A108" s="143"/>
      <c r="B108" s="143"/>
      <c r="C108" s="143"/>
      <c r="D108" s="143"/>
      <c r="E108" s="143"/>
      <c r="F108" s="143"/>
      <c r="G108" s="143"/>
      <c r="H108" s="143"/>
      <c r="I108" s="143"/>
      <c r="J108" s="143"/>
      <c r="K108" s="143"/>
      <c r="L108" s="143"/>
      <c r="M108" s="143"/>
      <c r="N108" s="143"/>
      <c r="O108" s="143"/>
      <c r="P108" s="143"/>
      <c r="Q108" s="159"/>
      <c r="R108" s="159"/>
      <c r="S108" s="159"/>
      <c r="T108" s="212"/>
      <c r="U108" s="143"/>
      <c r="V108" s="143"/>
      <c r="W108" s="143"/>
      <c r="X108" s="143"/>
      <c r="Y108" s="143"/>
      <c r="Z108" s="143"/>
    </row>
    <row r="109" ht="13.5" customHeight="1">
      <c r="A109" s="143"/>
      <c r="B109" s="143"/>
      <c r="C109" s="143"/>
      <c r="D109" s="143"/>
      <c r="E109" s="143"/>
      <c r="F109" s="143"/>
      <c r="G109" s="143"/>
      <c r="H109" s="143"/>
      <c r="I109" s="143"/>
      <c r="J109" s="143"/>
      <c r="K109" s="143"/>
      <c r="L109" s="143"/>
      <c r="M109" s="143"/>
      <c r="N109" s="143"/>
      <c r="O109" s="143"/>
      <c r="P109" s="143"/>
      <c r="Q109" s="159"/>
      <c r="R109" s="159"/>
      <c r="S109" s="159"/>
      <c r="T109" s="212"/>
      <c r="U109" s="143"/>
      <c r="V109" s="143"/>
      <c r="W109" s="143"/>
      <c r="X109" s="143"/>
      <c r="Y109" s="143"/>
      <c r="Z109" s="143"/>
    </row>
    <row r="110" ht="13.5" customHeight="1">
      <c r="A110" s="143"/>
      <c r="B110" s="143"/>
      <c r="C110" s="143"/>
      <c r="D110" s="143"/>
      <c r="E110" s="143"/>
      <c r="F110" s="143"/>
      <c r="G110" s="143"/>
      <c r="H110" s="143"/>
      <c r="I110" s="143"/>
      <c r="J110" s="143"/>
      <c r="K110" s="143"/>
      <c r="L110" s="143"/>
      <c r="M110" s="143"/>
      <c r="N110" s="143"/>
      <c r="O110" s="143"/>
      <c r="P110" s="143"/>
      <c r="Q110" s="159"/>
      <c r="R110" s="159"/>
      <c r="S110" s="159"/>
      <c r="T110" s="212"/>
      <c r="U110" s="143"/>
      <c r="V110" s="143"/>
      <c r="W110" s="143"/>
      <c r="X110" s="143"/>
      <c r="Y110" s="143"/>
      <c r="Z110" s="143"/>
    </row>
    <row r="111" ht="13.5" customHeight="1">
      <c r="A111" s="143"/>
      <c r="B111" s="143"/>
      <c r="C111" s="143"/>
      <c r="D111" s="143"/>
      <c r="E111" s="143"/>
      <c r="F111" s="143"/>
      <c r="G111" s="143"/>
      <c r="H111" s="143"/>
      <c r="I111" s="143"/>
      <c r="J111" s="143"/>
      <c r="K111" s="143"/>
      <c r="L111" s="143"/>
      <c r="M111" s="143"/>
      <c r="N111" s="143"/>
      <c r="O111" s="143"/>
      <c r="P111" s="143"/>
      <c r="Q111" s="159"/>
      <c r="R111" s="159"/>
      <c r="S111" s="159"/>
      <c r="T111" s="212"/>
      <c r="U111" s="143"/>
      <c r="V111" s="143"/>
      <c r="W111" s="143"/>
      <c r="X111" s="143"/>
      <c r="Y111" s="143"/>
      <c r="Z111" s="143"/>
    </row>
    <row r="112" ht="13.5" customHeight="1">
      <c r="A112" s="143"/>
      <c r="B112" s="143"/>
      <c r="C112" s="143"/>
      <c r="D112" s="143"/>
      <c r="E112" s="143"/>
      <c r="F112" s="143"/>
      <c r="G112" s="143"/>
      <c r="H112" s="143"/>
      <c r="I112" s="143"/>
      <c r="J112" s="143"/>
      <c r="K112" s="143"/>
      <c r="L112" s="143"/>
      <c r="M112" s="143"/>
      <c r="N112" s="143"/>
      <c r="O112" s="143"/>
      <c r="P112" s="143"/>
      <c r="Q112" s="159"/>
      <c r="R112" s="159"/>
      <c r="S112" s="159"/>
      <c r="T112" s="212"/>
      <c r="U112" s="143"/>
      <c r="V112" s="143"/>
      <c r="W112" s="143"/>
      <c r="X112" s="143"/>
      <c r="Y112" s="143"/>
      <c r="Z112" s="143"/>
    </row>
    <row r="113" ht="13.5" customHeight="1">
      <c r="A113" s="143"/>
      <c r="B113" s="143"/>
      <c r="C113" s="143"/>
      <c r="D113" s="143"/>
      <c r="E113" s="143"/>
      <c r="F113" s="143"/>
      <c r="G113" s="143"/>
      <c r="H113" s="143"/>
      <c r="I113" s="143"/>
      <c r="J113" s="143"/>
      <c r="K113" s="143"/>
      <c r="L113" s="143"/>
      <c r="M113" s="143"/>
      <c r="N113" s="143"/>
      <c r="O113" s="143"/>
      <c r="P113" s="143"/>
      <c r="Q113" s="159"/>
      <c r="R113" s="159"/>
      <c r="S113" s="159"/>
      <c r="T113" s="212"/>
      <c r="U113" s="143"/>
      <c r="V113" s="143"/>
      <c r="W113" s="143"/>
      <c r="X113" s="143"/>
      <c r="Y113" s="143"/>
      <c r="Z113" s="143"/>
    </row>
    <row r="114" ht="13.5" customHeight="1">
      <c r="A114" s="143"/>
      <c r="B114" s="143"/>
      <c r="C114" s="143"/>
      <c r="D114" s="143"/>
      <c r="E114" s="143"/>
      <c r="F114" s="143"/>
      <c r="G114" s="143"/>
      <c r="H114" s="143"/>
      <c r="I114" s="143"/>
      <c r="J114" s="143"/>
      <c r="K114" s="143"/>
      <c r="L114" s="143"/>
      <c r="M114" s="143"/>
      <c r="N114" s="143"/>
      <c r="O114" s="143"/>
      <c r="P114" s="143"/>
      <c r="Q114" s="159"/>
      <c r="R114" s="159"/>
      <c r="S114" s="159"/>
      <c r="T114" s="212"/>
      <c r="U114" s="143"/>
      <c r="V114" s="143"/>
      <c r="W114" s="143"/>
      <c r="X114" s="143"/>
      <c r="Y114" s="143"/>
      <c r="Z114" s="143"/>
    </row>
    <row r="115" ht="13.5" customHeight="1">
      <c r="A115" s="143"/>
      <c r="B115" s="143"/>
      <c r="C115" s="143"/>
      <c r="D115" s="143"/>
      <c r="E115" s="143"/>
      <c r="F115" s="143"/>
      <c r="G115" s="143"/>
      <c r="H115" s="143"/>
      <c r="I115" s="143"/>
      <c r="J115" s="143"/>
      <c r="K115" s="143"/>
      <c r="L115" s="143"/>
      <c r="M115" s="143"/>
      <c r="N115" s="143"/>
      <c r="O115" s="143"/>
      <c r="P115" s="143"/>
      <c r="Q115" s="159"/>
      <c r="R115" s="159"/>
      <c r="S115" s="159"/>
      <c r="T115" s="212"/>
      <c r="U115" s="143"/>
      <c r="V115" s="143"/>
      <c r="W115" s="143"/>
      <c r="X115" s="143"/>
      <c r="Y115" s="143"/>
      <c r="Z115" s="143"/>
    </row>
    <row r="116" ht="13.5" customHeight="1">
      <c r="A116" s="143"/>
      <c r="B116" s="143"/>
      <c r="C116" s="143"/>
      <c r="D116" s="143"/>
      <c r="E116" s="143"/>
      <c r="F116" s="143"/>
      <c r="G116" s="143"/>
      <c r="H116" s="143"/>
      <c r="I116" s="143"/>
      <c r="J116" s="143"/>
      <c r="K116" s="143"/>
      <c r="L116" s="143"/>
      <c r="M116" s="143"/>
      <c r="N116" s="143"/>
      <c r="O116" s="143"/>
      <c r="P116" s="143"/>
      <c r="Q116" s="159"/>
      <c r="R116" s="159"/>
      <c r="S116" s="159"/>
      <c r="T116" s="212"/>
      <c r="U116" s="143"/>
      <c r="V116" s="143"/>
      <c r="W116" s="143"/>
      <c r="X116" s="143"/>
      <c r="Y116" s="143"/>
      <c r="Z116" s="143"/>
    </row>
    <row r="117" ht="13.5" customHeight="1">
      <c r="A117" s="143"/>
      <c r="B117" s="143"/>
      <c r="C117" s="143"/>
      <c r="D117" s="143"/>
      <c r="E117" s="143"/>
      <c r="F117" s="143"/>
      <c r="G117" s="143"/>
      <c r="H117" s="143"/>
      <c r="I117" s="143"/>
      <c r="J117" s="143"/>
      <c r="K117" s="143"/>
      <c r="L117" s="143"/>
      <c r="M117" s="143"/>
      <c r="N117" s="143"/>
      <c r="O117" s="143"/>
      <c r="P117" s="143"/>
      <c r="Q117" s="159"/>
      <c r="R117" s="159"/>
      <c r="S117" s="159"/>
      <c r="T117" s="212"/>
      <c r="U117" s="143"/>
      <c r="V117" s="143"/>
      <c r="W117" s="143"/>
      <c r="X117" s="143"/>
      <c r="Y117" s="143"/>
      <c r="Z117" s="143"/>
    </row>
    <row r="118" ht="13.5" customHeight="1">
      <c r="A118" s="143"/>
      <c r="B118" s="143"/>
      <c r="C118" s="143"/>
      <c r="D118" s="143"/>
      <c r="E118" s="143"/>
      <c r="F118" s="143"/>
      <c r="G118" s="143"/>
      <c r="H118" s="143"/>
      <c r="I118" s="143"/>
      <c r="J118" s="143"/>
      <c r="K118" s="143"/>
      <c r="L118" s="143"/>
      <c r="M118" s="143"/>
      <c r="N118" s="143"/>
      <c r="O118" s="143"/>
      <c r="P118" s="143"/>
      <c r="Q118" s="159"/>
      <c r="R118" s="159"/>
      <c r="S118" s="159"/>
      <c r="T118" s="212"/>
      <c r="U118" s="143"/>
      <c r="V118" s="143"/>
      <c r="W118" s="143"/>
      <c r="X118" s="143"/>
      <c r="Y118" s="143"/>
      <c r="Z118" s="143"/>
    </row>
    <row r="119" ht="13.5" customHeight="1">
      <c r="A119" s="143"/>
      <c r="B119" s="143"/>
      <c r="C119" s="143"/>
      <c r="D119" s="143"/>
      <c r="E119" s="143"/>
      <c r="F119" s="143"/>
      <c r="G119" s="143"/>
      <c r="H119" s="143"/>
      <c r="I119" s="143"/>
      <c r="J119" s="143"/>
      <c r="K119" s="143"/>
      <c r="L119" s="143"/>
      <c r="M119" s="143"/>
      <c r="N119" s="143"/>
      <c r="O119" s="143"/>
      <c r="P119" s="143"/>
      <c r="Q119" s="159"/>
      <c r="R119" s="159"/>
      <c r="S119" s="159"/>
      <c r="T119" s="212"/>
      <c r="U119" s="143"/>
      <c r="V119" s="143"/>
      <c r="W119" s="143"/>
      <c r="X119" s="143"/>
      <c r="Y119" s="143"/>
      <c r="Z119" s="143"/>
    </row>
    <row r="120" ht="13.5" customHeight="1">
      <c r="A120" s="143"/>
      <c r="B120" s="143"/>
      <c r="C120" s="143"/>
      <c r="D120" s="143"/>
      <c r="E120" s="143"/>
      <c r="F120" s="143"/>
      <c r="G120" s="143"/>
      <c r="H120" s="143"/>
      <c r="I120" s="143"/>
      <c r="J120" s="143"/>
      <c r="K120" s="143"/>
      <c r="L120" s="143"/>
      <c r="M120" s="143"/>
      <c r="N120" s="143"/>
      <c r="O120" s="143"/>
      <c r="P120" s="143"/>
      <c r="Q120" s="159"/>
      <c r="R120" s="159"/>
      <c r="S120" s="159"/>
      <c r="T120" s="212"/>
      <c r="U120" s="143"/>
      <c r="V120" s="143"/>
      <c r="W120" s="143"/>
      <c r="X120" s="143"/>
      <c r="Y120" s="143"/>
      <c r="Z120" s="143"/>
    </row>
    <row r="121" ht="13.5" customHeight="1">
      <c r="A121" s="143"/>
      <c r="B121" s="143"/>
      <c r="C121" s="143"/>
      <c r="D121" s="143"/>
      <c r="E121" s="143"/>
      <c r="F121" s="143"/>
      <c r="G121" s="143"/>
      <c r="H121" s="143"/>
      <c r="I121" s="143"/>
      <c r="J121" s="143"/>
      <c r="K121" s="143"/>
      <c r="L121" s="143"/>
      <c r="M121" s="143"/>
      <c r="N121" s="143"/>
      <c r="O121" s="143"/>
      <c r="P121" s="143"/>
      <c r="Q121" s="159"/>
      <c r="R121" s="159"/>
      <c r="S121" s="159"/>
      <c r="T121" s="212"/>
      <c r="U121" s="143"/>
      <c r="V121" s="143"/>
      <c r="W121" s="143"/>
      <c r="X121" s="143"/>
      <c r="Y121" s="143"/>
      <c r="Z121" s="143"/>
    </row>
    <row r="122" ht="13.5" customHeight="1">
      <c r="A122" s="143"/>
      <c r="B122" s="143"/>
      <c r="C122" s="143"/>
      <c r="D122" s="143"/>
      <c r="E122" s="143"/>
      <c r="F122" s="143"/>
      <c r="G122" s="143"/>
      <c r="H122" s="143"/>
      <c r="I122" s="143"/>
      <c r="J122" s="143"/>
      <c r="K122" s="143"/>
      <c r="L122" s="143"/>
      <c r="M122" s="143"/>
      <c r="N122" s="143"/>
      <c r="O122" s="143"/>
      <c r="P122" s="143"/>
      <c r="Q122" s="159"/>
      <c r="R122" s="159"/>
      <c r="S122" s="159"/>
      <c r="T122" s="212"/>
      <c r="U122" s="143"/>
      <c r="V122" s="143"/>
      <c r="W122" s="143"/>
      <c r="X122" s="143"/>
      <c r="Y122" s="143"/>
      <c r="Z122" s="143"/>
    </row>
    <row r="123" ht="13.5" customHeight="1">
      <c r="A123" s="143"/>
      <c r="B123" s="143"/>
      <c r="C123" s="143"/>
      <c r="D123" s="143"/>
      <c r="E123" s="143"/>
      <c r="F123" s="143"/>
      <c r="G123" s="143"/>
      <c r="H123" s="143"/>
      <c r="I123" s="143"/>
      <c r="J123" s="143"/>
      <c r="K123" s="143"/>
      <c r="L123" s="143"/>
      <c r="M123" s="143"/>
      <c r="N123" s="143"/>
      <c r="O123" s="143"/>
      <c r="P123" s="143"/>
      <c r="Q123" s="159"/>
      <c r="R123" s="159"/>
      <c r="S123" s="159"/>
      <c r="T123" s="212"/>
      <c r="U123" s="143"/>
      <c r="V123" s="143"/>
      <c r="W123" s="143"/>
      <c r="X123" s="143"/>
      <c r="Y123" s="143"/>
      <c r="Z123" s="143"/>
    </row>
    <row r="124" ht="13.5" customHeight="1">
      <c r="A124" s="143"/>
      <c r="B124" s="143"/>
      <c r="C124" s="143"/>
      <c r="D124" s="143"/>
      <c r="E124" s="143"/>
      <c r="F124" s="143"/>
      <c r="G124" s="143"/>
      <c r="H124" s="143"/>
      <c r="I124" s="143"/>
      <c r="J124" s="143"/>
      <c r="K124" s="143"/>
      <c r="L124" s="143"/>
      <c r="M124" s="143"/>
      <c r="N124" s="143"/>
      <c r="O124" s="143"/>
      <c r="P124" s="143"/>
      <c r="Q124" s="159"/>
      <c r="R124" s="159"/>
      <c r="S124" s="159"/>
      <c r="T124" s="212"/>
      <c r="U124" s="143"/>
      <c r="V124" s="143"/>
      <c r="W124" s="143"/>
      <c r="X124" s="143"/>
      <c r="Y124" s="143"/>
      <c r="Z124" s="143"/>
    </row>
    <row r="125" ht="13.5" customHeight="1">
      <c r="A125" s="143"/>
      <c r="B125" s="143"/>
      <c r="C125" s="143"/>
      <c r="D125" s="143"/>
      <c r="E125" s="143"/>
      <c r="F125" s="143"/>
      <c r="G125" s="143"/>
      <c r="H125" s="143"/>
      <c r="I125" s="143"/>
      <c r="J125" s="143"/>
      <c r="K125" s="143"/>
      <c r="L125" s="143"/>
      <c r="M125" s="143"/>
      <c r="N125" s="143"/>
      <c r="O125" s="143"/>
      <c r="P125" s="143"/>
      <c r="Q125" s="159"/>
      <c r="R125" s="159"/>
      <c r="S125" s="159"/>
      <c r="T125" s="212"/>
      <c r="U125" s="143"/>
      <c r="V125" s="143"/>
      <c r="W125" s="143"/>
      <c r="X125" s="143"/>
      <c r="Y125" s="143"/>
      <c r="Z125" s="143"/>
    </row>
    <row r="126" ht="13.5" customHeight="1">
      <c r="A126" s="143"/>
      <c r="B126" s="143"/>
      <c r="C126" s="143"/>
      <c r="D126" s="143"/>
      <c r="E126" s="143"/>
      <c r="F126" s="143"/>
      <c r="G126" s="143"/>
      <c r="H126" s="143"/>
      <c r="I126" s="143"/>
      <c r="J126" s="143"/>
      <c r="K126" s="143"/>
      <c r="L126" s="143"/>
      <c r="M126" s="143"/>
      <c r="N126" s="143"/>
      <c r="O126" s="143"/>
      <c r="P126" s="143"/>
      <c r="Q126" s="159"/>
      <c r="R126" s="159"/>
      <c r="S126" s="159"/>
      <c r="T126" s="212"/>
      <c r="U126" s="143"/>
      <c r="V126" s="143"/>
      <c r="W126" s="143"/>
      <c r="X126" s="143"/>
      <c r="Y126" s="143"/>
      <c r="Z126" s="143"/>
    </row>
    <row r="127" ht="13.5" customHeight="1">
      <c r="A127" s="143"/>
      <c r="B127" s="143"/>
      <c r="C127" s="143"/>
      <c r="D127" s="143"/>
      <c r="E127" s="143"/>
      <c r="F127" s="143"/>
      <c r="G127" s="143"/>
      <c r="H127" s="143"/>
      <c r="I127" s="143"/>
      <c r="J127" s="143"/>
      <c r="K127" s="143"/>
      <c r="L127" s="143"/>
      <c r="M127" s="143"/>
      <c r="N127" s="143"/>
      <c r="O127" s="143"/>
      <c r="P127" s="143"/>
      <c r="Q127" s="159"/>
      <c r="R127" s="159"/>
      <c r="S127" s="159"/>
      <c r="T127" s="212"/>
      <c r="U127" s="143"/>
      <c r="V127" s="143"/>
      <c r="W127" s="143"/>
      <c r="X127" s="143"/>
      <c r="Y127" s="143"/>
      <c r="Z127" s="143"/>
    </row>
    <row r="128" ht="13.5" customHeight="1">
      <c r="A128" s="143"/>
      <c r="B128" s="143"/>
      <c r="C128" s="143"/>
      <c r="D128" s="143"/>
      <c r="E128" s="143"/>
      <c r="F128" s="143"/>
      <c r="G128" s="143"/>
      <c r="H128" s="143"/>
      <c r="I128" s="143"/>
      <c r="J128" s="143"/>
      <c r="K128" s="143"/>
      <c r="L128" s="143"/>
      <c r="M128" s="143"/>
      <c r="N128" s="143"/>
      <c r="O128" s="143"/>
      <c r="P128" s="143"/>
      <c r="Q128" s="159"/>
      <c r="R128" s="159"/>
      <c r="S128" s="159"/>
      <c r="T128" s="212"/>
      <c r="U128" s="143"/>
      <c r="V128" s="143"/>
      <c r="W128" s="143"/>
      <c r="X128" s="143"/>
      <c r="Y128" s="143"/>
      <c r="Z128" s="143"/>
    </row>
    <row r="129" ht="13.5" customHeight="1">
      <c r="A129" s="143"/>
      <c r="B129" s="143"/>
      <c r="C129" s="143"/>
      <c r="D129" s="143"/>
      <c r="E129" s="143"/>
      <c r="F129" s="143"/>
      <c r="G129" s="143"/>
      <c r="H129" s="143"/>
      <c r="I129" s="143"/>
      <c r="J129" s="143"/>
      <c r="K129" s="143"/>
      <c r="L129" s="143"/>
      <c r="M129" s="143"/>
      <c r="N129" s="143"/>
      <c r="O129" s="143"/>
      <c r="P129" s="143"/>
      <c r="Q129" s="159"/>
      <c r="R129" s="159"/>
      <c r="S129" s="159"/>
      <c r="T129" s="212"/>
      <c r="U129" s="143"/>
      <c r="V129" s="143"/>
      <c r="W129" s="143"/>
      <c r="X129" s="143"/>
      <c r="Y129" s="143"/>
      <c r="Z129" s="143"/>
    </row>
    <row r="130" ht="13.5" customHeight="1">
      <c r="A130" s="143"/>
      <c r="B130" s="143"/>
      <c r="C130" s="143"/>
      <c r="D130" s="143"/>
      <c r="E130" s="143"/>
      <c r="F130" s="143"/>
      <c r="G130" s="143"/>
      <c r="H130" s="143"/>
      <c r="I130" s="143"/>
      <c r="J130" s="143"/>
      <c r="K130" s="143"/>
      <c r="L130" s="143"/>
      <c r="M130" s="143"/>
      <c r="N130" s="143"/>
      <c r="O130" s="143"/>
      <c r="P130" s="143"/>
      <c r="Q130" s="159"/>
      <c r="R130" s="159"/>
      <c r="S130" s="159"/>
      <c r="T130" s="212"/>
      <c r="U130" s="143"/>
      <c r="V130" s="143"/>
      <c r="W130" s="143"/>
      <c r="X130" s="143"/>
      <c r="Y130" s="143"/>
      <c r="Z130" s="143"/>
    </row>
    <row r="131" ht="13.5" customHeight="1">
      <c r="A131" s="143"/>
      <c r="B131" s="143"/>
      <c r="C131" s="143"/>
      <c r="D131" s="143"/>
      <c r="E131" s="143"/>
      <c r="F131" s="143"/>
      <c r="G131" s="143"/>
      <c r="H131" s="143"/>
      <c r="I131" s="143"/>
      <c r="J131" s="143"/>
      <c r="K131" s="143"/>
      <c r="L131" s="143"/>
      <c r="M131" s="143"/>
      <c r="N131" s="143"/>
      <c r="O131" s="143"/>
      <c r="P131" s="143"/>
      <c r="Q131" s="159"/>
      <c r="R131" s="159"/>
      <c r="S131" s="159"/>
      <c r="T131" s="212"/>
      <c r="U131" s="143"/>
      <c r="V131" s="143"/>
      <c r="W131" s="143"/>
      <c r="X131" s="143"/>
      <c r="Y131" s="143"/>
      <c r="Z131" s="143"/>
    </row>
    <row r="132" ht="13.5" customHeight="1">
      <c r="A132" s="143"/>
      <c r="B132" s="143"/>
      <c r="C132" s="143"/>
      <c r="D132" s="143"/>
      <c r="E132" s="143"/>
      <c r="F132" s="143"/>
      <c r="G132" s="143"/>
      <c r="H132" s="143"/>
      <c r="I132" s="143"/>
      <c r="J132" s="143"/>
      <c r="K132" s="143"/>
      <c r="L132" s="143"/>
      <c r="M132" s="143"/>
      <c r="N132" s="143"/>
      <c r="O132" s="143"/>
      <c r="P132" s="143"/>
      <c r="Q132" s="159"/>
      <c r="R132" s="159"/>
      <c r="S132" s="159"/>
      <c r="T132" s="212"/>
      <c r="U132" s="143"/>
      <c r="V132" s="143"/>
      <c r="W132" s="143"/>
      <c r="X132" s="143"/>
      <c r="Y132" s="143"/>
      <c r="Z132" s="143"/>
    </row>
    <row r="133" ht="13.5" customHeight="1">
      <c r="A133" s="143"/>
      <c r="B133" s="143"/>
      <c r="C133" s="143"/>
      <c r="D133" s="143"/>
      <c r="E133" s="143"/>
      <c r="F133" s="143"/>
      <c r="G133" s="143"/>
      <c r="H133" s="143"/>
      <c r="I133" s="143"/>
      <c r="J133" s="143"/>
      <c r="K133" s="143"/>
      <c r="L133" s="143"/>
      <c r="M133" s="143"/>
      <c r="N133" s="143"/>
      <c r="O133" s="143"/>
      <c r="P133" s="143"/>
      <c r="Q133" s="159"/>
      <c r="R133" s="159"/>
      <c r="S133" s="159"/>
      <c r="T133" s="212"/>
      <c r="U133" s="143"/>
      <c r="V133" s="143"/>
      <c r="W133" s="143"/>
      <c r="X133" s="143"/>
      <c r="Y133" s="143"/>
      <c r="Z133" s="143"/>
    </row>
    <row r="134" ht="13.5" customHeight="1">
      <c r="A134" s="143"/>
      <c r="B134" s="143"/>
      <c r="C134" s="143"/>
      <c r="D134" s="143"/>
      <c r="E134" s="143"/>
      <c r="F134" s="143"/>
      <c r="G134" s="143"/>
      <c r="H134" s="143"/>
      <c r="I134" s="143"/>
      <c r="J134" s="143"/>
      <c r="K134" s="143"/>
      <c r="L134" s="143"/>
      <c r="M134" s="143"/>
      <c r="N134" s="143"/>
      <c r="O134" s="143"/>
      <c r="P134" s="143"/>
      <c r="Q134" s="159"/>
      <c r="R134" s="159"/>
      <c r="S134" s="159"/>
      <c r="T134" s="212"/>
      <c r="U134" s="143"/>
      <c r="V134" s="143"/>
      <c r="W134" s="143"/>
      <c r="X134" s="143"/>
      <c r="Y134" s="143"/>
      <c r="Z134" s="143"/>
    </row>
    <row r="135" ht="13.5" customHeight="1">
      <c r="A135" s="143"/>
      <c r="B135" s="143"/>
      <c r="C135" s="143"/>
      <c r="D135" s="143"/>
      <c r="E135" s="143"/>
      <c r="F135" s="143"/>
      <c r="G135" s="143"/>
      <c r="H135" s="143"/>
      <c r="I135" s="143"/>
      <c r="J135" s="143"/>
      <c r="K135" s="143"/>
      <c r="L135" s="143"/>
      <c r="M135" s="143"/>
      <c r="N135" s="143"/>
      <c r="O135" s="143"/>
      <c r="P135" s="143"/>
      <c r="Q135" s="159"/>
      <c r="R135" s="159"/>
      <c r="S135" s="159"/>
      <c r="T135" s="212"/>
      <c r="U135" s="143"/>
      <c r="V135" s="143"/>
      <c r="W135" s="143"/>
      <c r="X135" s="143"/>
      <c r="Y135" s="143"/>
      <c r="Z135" s="143"/>
    </row>
    <row r="136" ht="13.5" customHeight="1">
      <c r="A136" s="143"/>
      <c r="B136" s="143"/>
      <c r="C136" s="143"/>
      <c r="D136" s="143"/>
      <c r="E136" s="143"/>
      <c r="F136" s="143"/>
      <c r="G136" s="143"/>
      <c r="H136" s="143"/>
      <c r="I136" s="143"/>
      <c r="J136" s="143"/>
      <c r="K136" s="143"/>
      <c r="L136" s="143"/>
      <c r="M136" s="143"/>
      <c r="N136" s="143"/>
      <c r="O136" s="143"/>
      <c r="P136" s="143"/>
      <c r="Q136" s="159"/>
      <c r="R136" s="159"/>
      <c r="S136" s="159"/>
      <c r="T136" s="212"/>
      <c r="U136" s="143"/>
      <c r="V136" s="143"/>
      <c r="W136" s="143"/>
      <c r="X136" s="143"/>
      <c r="Y136" s="143"/>
      <c r="Z136" s="143"/>
    </row>
    <row r="137" ht="13.5" customHeight="1">
      <c r="A137" s="143"/>
      <c r="B137" s="143"/>
      <c r="C137" s="143"/>
      <c r="D137" s="143"/>
      <c r="E137" s="143"/>
      <c r="F137" s="143"/>
      <c r="G137" s="143"/>
      <c r="H137" s="143"/>
      <c r="I137" s="143"/>
      <c r="J137" s="143"/>
      <c r="K137" s="143"/>
      <c r="L137" s="143"/>
      <c r="M137" s="143"/>
      <c r="N137" s="143"/>
      <c r="O137" s="143"/>
      <c r="P137" s="143"/>
      <c r="Q137" s="159"/>
      <c r="R137" s="159"/>
      <c r="S137" s="159"/>
      <c r="T137" s="212"/>
      <c r="U137" s="143"/>
      <c r="V137" s="143"/>
      <c r="W137" s="143"/>
      <c r="X137" s="143"/>
      <c r="Y137" s="143"/>
      <c r="Z137" s="143"/>
    </row>
    <row r="138" ht="13.5" customHeight="1">
      <c r="A138" s="143"/>
      <c r="B138" s="143"/>
      <c r="C138" s="143"/>
      <c r="D138" s="143"/>
      <c r="E138" s="143"/>
      <c r="F138" s="143"/>
      <c r="G138" s="143"/>
      <c r="H138" s="143"/>
      <c r="I138" s="143"/>
      <c r="J138" s="143"/>
      <c r="K138" s="143"/>
      <c r="L138" s="143"/>
      <c r="M138" s="143"/>
      <c r="N138" s="143"/>
      <c r="O138" s="143"/>
      <c r="P138" s="143"/>
      <c r="Q138" s="159"/>
      <c r="R138" s="159"/>
      <c r="S138" s="159"/>
      <c r="T138" s="212"/>
      <c r="U138" s="143"/>
      <c r="V138" s="143"/>
      <c r="W138" s="143"/>
      <c r="X138" s="143"/>
      <c r="Y138" s="143"/>
      <c r="Z138" s="143"/>
    </row>
    <row r="139" ht="13.5" customHeight="1">
      <c r="A139" s="143"/>
      <c r="B139" s="143"/>
      <c r="C139" s="143"/>
      <c r="D139" s="143"/>
      <c r="E139" s="143"/>
      <c r="F139" s="143"/>
      <c r="G139" s="143"/>
      <c r="H139" s="143"/>
      <c r="I139" s="143"/>
      <c r="J139" s="143"/>
      <c r="K139" s="143"/>
      <c r="L139" s="143"/>
      <c r="M139" s="143"/>
      <c r="N139" s="143"/>
      <c r="O139" s="143"/>
      <c r="P139" s="143"/>
      <c r="Q139" s="159"/>
      <c r="R139" s="159"/>
      <c r="S139" s="159"/>
      <c r="T139" s="212"/>
      <c r="U139" s="143"/>
      <c r="V139" s="143"/>
      <c r="W139" s="143"/>
      <c r="X139" s="143"/>
      <c r="Y139" s="143"/>
      <c r="Z139" s="143"/>
    </row>
    <row r="140" ht="13.5" customHeight="1">
      <c r="A140" s="143"/>
      <c r="B140" s="143"/>
      <c r="C140" s="143"/>
      <c r="D140" s="143"/>
      <c r="E140" s="143"/>
      <c r="F140" s="143"/>
      <c r="G140" s="143"/>
      <c r="H140" s="143"/>
      <c r="I140" s="143"/>
      <c r="J140" s="143"/>
      <c r="K140" s="143"/>
      <c r="L140" s="143"/>
      <c r="M140" s="143"/>
      <c r="N140" s="143"/>
      <c r="O140" s="143"/>
      <c r="P140" s="143"/>
      <c r="Q140" s="159"/>
      <c r="R140" s="159"/>
      <c r="S140" s="159"/>
      <c r="T140" s="212"/>
      <c r="U140" s="143"/>
      <c r="V140" s="143"/>
      <c r="W140" s="143"/>
      <c r="X140" s="143"/>
      <c r="Y140" s="143"/>
      <c r="Z140" s="143"/>
    </row>
    <row r="141" ht="13.5" customHeight="1">
      <c r="A141" s="143"/>
      <c r="B141" s="143"/>
      <c r="C141" s="143"/>
      <c r="D141" s="143"/>
      <c r="E141" s="143"/>
      <c r="F141" s="143"/>
      <c r="G141" s="143"/>
      <c r="H141" s="143"/>
      <c r="I141" s="143"/>
      <c r="J141" s="143"/>
      <c r="K141" s="143"/>
      <c r="L141" s="143"/>
      <c r="M141" s="143"/>
      <c r="N141" s="143"/>
      <c r="O141" s="143"/>
      <c r="P141" s="143"/>
      <c r="Q141" s="159"/>
      <c r="R141" s="159"/>
      <c r="S141" s="159"/>
      <c r="T141" s="212"/>
      <c r="U141" s="143"/>
      <c r="V141" s="143"/>
      <c r="W141" s="143"/>
      <c r="X141" s="143"/>
      <c r="Y141" s="143"/>
      <c r="Z141" s="143"/>
    </row>
    <row r="142" ht="13.5" customHeight="1">
      <c r="A142" s="143"/>
      <c r="B142" s="143"/>
      <c r="C142" s="143"/>
      <c r="D142" s="143"/>
      <c r="E142" s="143"/>
      <c r="F142" s="143"/>
      <c r="G142" s="143"/>
      <c r="H142" s="143"/>
      <c r="I142" s="143"/>
      <c r="J142" s="143"/>
      <c r="K142" s="143"/>
      <c r="L142" s="143"/>
      <c r="M142" s="143"/>
      <c r="N142" s="143"/>
      <c r="O142" s="143"/>
      <c r="P142" s="143"/>
      <c r="Q142" s="159"/>
      <c r="R142" s="159"/>
      <c r="S142" s="159"/>
      <c r="T142" s="212"/>
      <c r="U142" s="143"/>
      <c r="V142" s="143"/>
      <c r="W142" s="143"/>
      <c r="X142" s="143"/>
      <c r="Y142" s="143"/>
      <c r="Z142" s="143"/>
    </row>
    <row r="143" ht="13.5" customHeight="1">
      <c r="A143" s="143"/>
      <c r="B143" s="143"/>
      <c r="C143" s="143"/>
      <c r="D143" s="143"/>
      <c r="E143" s="143"/>
      <c r="F143" s="143"/>
      <c r="G143" s="143"/>
      <c r="H143" s="143"/>
      <c r="I143" s="143"/>
      <c r="J143" s="143"/>
      <c r="K143" s="143"/>
      <c r="L143" s="143"/>
      <c r="M143" s="143"/>
      <c r="N143" s="143"/>
      <c r="O143" s="143"/>
      <c r="P143" s="143"/>
      <c r="Q143" s="159"/>
      <c r="R143" s="159"/>
      <c r="S143" s="159"/>
      <c r="T143" s="212"/>
      <c r="U143" s="143"/>
      <c r="V143" s="143"/>
      <c r="W143" s="143"/>
      <c r="X143" s="143"/>
      <c r="Y143" s="143"/>
      <c r="Z143" s="143"/>
    </row>
    <row r="144" ht="13.5" customHeight="1">
      <c r="A144" s="143"/>
      <c r="B144" s="143"/>
      <c r="C144" s="143"/>
      <c r="D144" s="143"/>
      <c r="E144" s="143"/>
      <c r="F144" s="143"/>
      <c r="G144" s="143"/>
      <c r="H144" s="143"/>
      <c r="I144" s="143"/>
      <c r="J144" s="143"/>
      <c r="K144" s="143"/>
      <c r="L144" s="143"/>
      <c r="M144" s="143"/>
      <c r="N144" s="143"/>
      <c r="O144" s="143"/>
      <c r="P144" s="143"/>
      <c r="Q144" s="159"/>
      <c r="R144" s="159"/>
      <c r="S144" s="159"/>
      <c r="T144" s="212"/>
      <c r="U144" s="143"/>
      <c r="V144" s="143"/>
      <c r="W144" s="143"/>
      <c r="X144" s="143"/>
      <c r="Y144" s="143"/>
      <c r="Z144" s="143"/>
    </row>
    <row r="145" ht="13.5" customHeight="1">
      <c r="A145" s="143"/>
      <c r="B145" s="143"/>
      <c r="C145" s="143"/>
      <c r="D145" s="143"/>
      <c r="E145" s="143"/>
      <c r="F145" s="143"/>
      <c r="G145" s="143"/>
      <c r="H145" s="143"/>
      <c r="I145" s="143"/>
      <c r="J145" s="143"/>
      <c r="K145" s="143"/>
      <c r="L145" s="143"/>
      <c r="M145" s="143"/>
      <c r="N145" s="143"/>
      <c r="O145" s="143"/>
      <c r="P145" s="143"/>
      <c r="Q145" s="159"/>
      <c r="R145" s="159"/>
      <c r="S145" s="159"/>
      <c r="T145" s="212"/>
      <c r="U145" s="143"/>
      <c r="V145" s="143"/>
      <c r="W145" s="143"/>
      <c r="X145" s="143"/>
      <c r="Y145" s="143"/>
      <c r="Z145" s="143"/>
    </row>
    <row r="146" ht="13.5" customHeight="1">
      <c r="A146" s="143"/>
      <c r="B146" s="143"/>
      <c r="C146" s="143"/>
      <c r="D146" s="143"/>
      <c r="E146" s="143"/>
      <c r="F146" s="143"/>
      <c r="G146" s="143"/>
      <c r="H146" s="143"/>
      <c r="I146" s="143"/>
      <c r="J146" s="143"/>
      <c r="K146" s="143"/>
      <c r="L146" s="143"/>
      <c r="M146" s="143"/>
      <c r="N146" s="143"/>
      <c r="O146" s="143"/>
      <c r="P146" s="143"/>
      <c r="Q146" s="159"/>
      <c r="R146" s="159"/>
      <c r="S146" s="159"/>
      <c r="T146" s="212"/>
      <c r="U146" s="143"/>
      <c r="V146" s="143"/>
      <c r="W146" s="143"/>
      <c r="X146" s="143"/>
      <c r="Y146" s="143"/>
      <c r="Z146" s="143"/>
    </row>
    <row r="147" ht="13.5" customHeight="1">
      <c r="A147" s="143"/>
      <c r="B147" s="143"/>
      <c r="C147" s="143"/>
      <c r="D147" s="143"/>
      <c r="E147" s="143"/>
      <c r="F147" s="143"/>
      <c r="G147" s="143"/>
      <c r="H147" s="143"/>
      <c r="I147" s="143"/>
      <c r="J147" s="143"/>
      <c r="K147" s="143"/>
      <c r="L147" s="143"/>
      <c r="M147" s="143"/>
      <c r="N147" s="143"/>
      <c r="O147" s="143"/>
      <c r="P147" s="143"/>
      <c r="Q147" s="159"/>
      <c r="R147" s="159"/>
      <c r="S147" s="159"/>
      <c r="T147" s="212"/>
      <c r="U147" s="143"/>
      <c r="V147" s="143"/>
      <c r="W147" s="143"/>
      <c r="X147" s="143"/>
      <c r="Y147" s="143"/>
      <c r="Z147" s="143"/>
    </row>
    <row r="148" ht="13.5" customHeight="1">
      <c r="A148" s="143"/>
      <c r="B148" s="143"/>
      <c r="C148" s="143"/>
      <c r="D148" s="143"/>
      <c r="E148" s="143"/>
      <c r="F148" s="143"/>
      <c r="G148" s="143"/>
      <c r="H148" s="143"/>
      <c r="I148" s="143"/>
      <c r="J148" s="143"/>
      <c r="K148" s="143"/>
      <c r="L148" s="143"/>
      <c r="M148" s="143"/>
      <c r="N148" s="143"/>
      <c r="O148" s="143"/>
      <c r="P148" s="143"/>
      <c r="Q148" s="159"/>
      <c r="R148" s="159"/>
      <c r="S148" s="159"/>
      <c r="T148" s="212"/>
      <c r="U148" s="143"/>
      <c r="V148" s="143"/>
      <c r="W148" s="143"/>
      <c r="X148" s="143"/>
      <c r="Y148" s="143"/>
      <c r="Z148" s="143"/>
    </row>
    <row r="149" ht="13.5" customHeight="1">
      <c r="A149" s="143"/>
      <c r="B149" s="143"/>
      <c r="C149" s="143"/>
      <c r="D149" s="143"/>
      <c r="E149" s="143"/>
      <c r="F149" s="143"/>
      <c r="G149" s="143"/>
      <c r="H149" s="143"/>
      <c r="I149" s="143"/>
      <c r="J149" s="143"/>
      <c r="K149" s="143"/>
      <c r="L149" s="143"/>
      <c r="M149" s="143"/>
      <c r="N149" s="143"/>
      <c r="O149" s="143"/>
      <c r="P149" s="143"/>
      <c r="Q149" s="159"/>
      <c r="R149" s="159"/>
      <c r="S149" s="159"/>
      <c r="T149" s="212"/>
      <c r="U149" s="143"/>
      <c r="V149" s="143"/>
      <c r="W149" s="143"/>
      <c r="X149" s="143"/>
      <c r="Y149" s="143"/>
      <c r="Z149" s="143"/>
    </row>
    <row r="150" ht="13.5" customHeight="1">
      <c r="A150" s="143"/>
      <c r="B150" s="143"/>
      <c r="C150" s="143"/>
      <c r="D150" s="143"/>
      <c r="E150" s="143"/>
      <c r="F150" s="143"/>
      <c r="G150" s="143"/>
      <c r="H150" s="143"/>
      <c r="I150" s="143"/>
      <c r="J150" s="143"/>
      <c r="K150" s="143"/>
      <c r="L150" s="143"/>
      <c r="M150" s="143"/>
      <c r="N150" s="143"/>
      <c r="O150" s="143"/>
      <c r="P150" s="143"/>
      <c r="Q150" s="159"/>
      <c r="R150" s="159"/>
      <c r="S150" s="159"/>
      <c r="T150" s="212"/>
      <c r="U150" s="143"/>
      <c r="V150" s="143"/>
      <c r="W150" s="143"/>
      <c r="X150" s="143"/>
      <c r="Y150" s="143"/>
      <c r="Z150" s="143"/>
    </row>
    <row r="151" ht="13.5" customHeight="1">
      <c r="A151" s="143"/>
      <c r="B151" s="143"/>
      <c r="C151" s="143"/>
      <c r="D151" s="143"/>
      <c r="E151" s="143"/>
      <c r="F151" s="143"/>
      <c r="G151" s="143"/>
      <c r="H151" s="143"/>
      <c r="I151" s="143"/>
      <c r="J151" s="143"/>
      <c r="K151" s="143"/>
      <c r="L151" s="143"/>
      <c r="M151" s="143"/>
      <c r="N151" s="143"/>
      <c r="O151" s="143"/>
      <c r="P151" s="143"/>
      <c r="Q151" s="159"/>
      <c r="R151" s="159"/>
      <c r="S151" s="159"/>
      <c r="T151" s="212"/>
      <c r="U151" s="143"/>
      <c r="V151" s="143"/>
      <c r="W151" s="143"/>
      <c r="X151" s="143"/>
      <c r="Y151" s="143"/>
      <c r="Z151" s="143"/>
    </row>
    <row r="152" ht="13.5" customHeight="1">
      <c r="A152" s="143"/>
      <c r="B152" s="143"/>
      <c r="C152" s="143"/>
      <c r="D152" s="143"/>
      <c r="E152" s="143"/>
      <c r="F152" s="143"/>
      <c r="G152" s="143"/>
      <c r="H152" s="143"/>
      <c r="I152" s="143"/>
      <c r="J152" s="143"/>
      <c r="K152" s="143"/>
      <c r="L152" s="143"/>
      <c r="M152" s="143"/>
      <c r="N152" s="143"/>
      <c r="O152" s="143"/>
      <c r="P152" s="143"/>
      <c r="Q152" s="159"/>
      <c r="R152" s="159"/>
      <c r="S152" s="159"/>
      <c r="T152" s="212"/>
      <c r="U152" s="143"/>
      <c r="V152" s="143"/>
      <c r="W152" s="143"/>
      <c r="X152" s="143"/>
      <c r="Y152" s="143"/>
      <c r="Z152" s="143"/>
    </row>
    <row r="153" ht="13.5" customHeight="1">
      <c r="A153" s="143"/>
      <c r="B153" s="143"/>
      <c r="C153" s="143"/>
      <c r="D153" s="143"/>
      <c r="E153" s="143"/>
      <c r="F153" s="143"/>
      <c r="G153" s="143"/>
      <c r="H153" s="143"/>
      <c r="I153" s="143"/>
      <c r="J153" s="143"/>
      <c r="K153" s="143"/>
      <c r="L153" s="143"/>
      <c r="M153" s="143"/>
      <c r="N153" s="143"/>
      <c r="O153" s="143"/>
      <c r="P153" s="143"/>
      <c r="Q153" s="159"/>
      <c r="R153" s="159"/>
      <c r="S153" s="159"/>
      <c r="T153" s="212"/>
      <c r="U153" s="143"/>
      <c r="V153" s="143"/>
      <c r="W153" s="143"/>
      <c r="X153" s="143"/>
      <c r="Y153" s="143"/>
      <c r="Z153" s="143"/>
    </row>
    <row r="154" ht="13.5" customHeight="1">
      <c r="A154" s="143"/>
      <c r="B154" s="143"/>
      <c r="C154" s="143"/>
      <c r="D154" s="143"/>
      <c r="E154" s="143"/>
      <c r="F154" s="143"/>
      <c r="G154" s="143"/>
      <c r="H154" s="143"/>
      <c r="I154" s="143"/>
      <c r="J154" s="143"/>
      <c r="K154" s="143"/>
      <c r="L154" s="143"/>
      <c r="M154" s="143"/>
      <c r="N154" s="143"/>
      <c r="O154" s="143"/>
      <c r="P154" s="143"/>
      <c r="Q154" s="159"/>
      <c r="R154" s="159"/>
      <c r="S154" s="159"/>
      <c r="T154" s="212"/>
      <c r="U154" s="143"/>
      <c r="V154" s="143"/>
      <c r="W154" s="143"/>
      <c r="X154" s="143"/>
      <c r="Y154" s="143"/>
      <c r="Z154" s="143"/>
    </row>
    <row r="155" ht="13.5" customHeight="1">
      <c r="A155" s="143"/>
      <c r="B155" s="143"/>
      <c r="C155" s="143"/>
      <c r="D155" s="143"/>
      <c r="E155" s="143"/>
      <c r="F155" s="143"/>
      <c r="G155" s="143"/>
      <c r="H155" s="143"/>
      <c r="I155" s="143"/>
      <c r="J155" s="143"/>
      <c r="K155" s="143"/>
      <c r="L155" s="143"/>
      <c r="M155" s="143"/>
      <c r="N155" s="143"/>
      <c r="O155" s="143"/>
      <c r="P155" s="143"/>
      <c r="Q155" s="159"/>
      <c r="R155" s="159"/>
      <c r="S155" s="159"/>
      <c r="T155" s="212"/>
      <c r="U155" s="143"/>
      <c r="V155" s="143"/>
      <c r="W155" s="143"/>
      <c r="X155" s="143"/>
      <c r="Y155" s="143"/>
      <c r="Z155" s="143"/>
    </row>
    <row r="156" ht="13.5" customHeight="1">
      <c r="A156" s="143"/>
      <c r="B156" s="143"/>
      <c r="C156" s="143"/>
      <c r="D156" s="143"/>
      <c r="E156" s="143"/>
      <c r="F156" s="143"/>
      <c r="G156" s="143"/>
      <c r="H156" s="143"/>
      <c r="I156" s="143"/>
      <c r="J156" s="143"/>
      <c r="K156" s="143"/>
      <c r="L156" s="143"/>
      <c r="M156" s="143"/>
      <c r="N156" s="143"/>
      <c r="O156" s="143"/>
      <c r="P156" s="143"/>
      <c r="Q156" s="159"/>
      <c r="R156" s="159"/>
      <c r="S156" s="159"/>
      <c r="T156" s="212"/>
      <c r="U156" s="143"/>
      <c r="V156" s="143"/>
      <c r="W156" s="143"/>
      <c r="X156" s="143"/>
      <c r="Y156" s="143"/>
      <c r="Z156" s="143"/>
    </row>
    <row r="157" ht="13.5" customHeight="1">
      <c r="A157" s="143"/>
      <c r="B157" s="143"/>
      <c r="C157" s="143"/>
      <c r="D157" s="143"/>
      <c r="E157" s="143"/>
      <c r="F157" s="143"/>
      <c r="G157" s="143"/>
      <c r="H157" s="143"/>
      <c r="I157" s="143"/>
      <c r="J157" s="143"/>
      <c r="K157" s="143"/>
      <c r="L157" s="143"/>
      <c r="M157" s="143"/>
      <c r="N157" s="143"/>
      <c r="O157" s="143"/>
      <c r="P157" s="143"/>
      <c r="Q157" s="159"/>
      <c r="R157" s="159"/>
      <c r="S157" s="159"/>
      <c r="T157" s="212"/>
      <c r="U157" s="143"/>
      <c r="V157" s="143"/>
      <c r="W157" s="143"/>
      <c r="X157" s="143"/>
      <c r="Y157" s="143"/>
      <c r="Z157" s="143"/>
    </row>
    <row r="158" ht="13.5" customHeight="1">
      <c r="A158" s="143"/>
      <c r="B158" s="143"/>
      <c r="C158" s="143"/>
      <c r="D158" s="143"/>
      <c r="E158" s="143"/>
      <c r="F158" s="143"/>
      <c r="G158" s="143"/>
      <c r="H158" s="143"/>
      <c r="I158" s="143"/>
      <c r="J158" s="143"/>
      <c r="K158" s="143"/>
      <c r="L158" s="143"/>
      <c r="M158" s="143"/>
      <c r="N158" s="143"/>
      <c r="O158" s="143"/>
      <c r="P158" s="143"/>
      <c r="Q158" s="159"/>
      <c r="R158" s="159"/>
      <c r="S158" s="159"/>
      <c r="T158" s="212"/>
      <c r="U158" s="143"/>
      <c r="V158" s="143"/>
      <c r="W158" s="143"/>
      <c r="X158" s="143"/>
      <c r="Y158" s="143"/>
      <c r="Z158" s="143"/>
    </row>
    <row r="159" ht="13.5" customHeight="1">
      <c r="A159" s="143"/>
      <c r="B159" s="143"/>
      <c r="C159" s="143"/>
      <c r="D159" s="143"/>
      <c r="E159" s="143"/>
      <c r="F159" s="143"/>
      <c r="G159" s="143"/>
      <c r="H159" s="143"/>
      <c r="I159" s="143"/>
      <c r="J159" s="143"/>
      <c r="K159" s="143"/>
      <c r="L159" s="143"/>
      <c r="M159" s="143"/>
      <c r="N159" s="143"/>
      <c r="O159" s="143"/>
      <c r="P159" s="143"/>
      <c r="Q159" s="159"/>
      <c r="R159" s="159"/>
      <c r="S159" s="159"/>
      <c r="T159" s="212"/>
      <c r="U159" s="143"/>
      <c r="V159" s="143"/>
      <c r="W159" s="143"/>
      <c r="X159" s="143"/>
      <c r="Y159" s="143"/>
      <c r="Z159" s="143"/>
    </row>
    <row r="160" ht="13.5" customHeight="1">
      <c r="A160" s="143"/>
      <c r="B160" s="143"/>
      <c r="C160" s="143"/>
      <c r="D160" s="143"/>
      <c r="E160" s="143"/>
      <c r="F160" s="143"/>
      <c r="G160" s="143"/>
      <c r="H160" s="143"/>
      <c r="I160" s="143"/>
      <c r="J160" s="143"/>
      <c r="K160" s="143"/>
      <c r="L160" s="143"/>
      <c r="M160" s="143"/>
      <c r="N160" s="143"/>
      <c r="O160" s="143"/>
      <c r="P160" s="143"/>
      <c r="Q160" s="159"/>
      <c r="R160" s="159"/>
      <c r="S160" s="159"/>
      <c r="T160" s="212"/>
      <c r="U160" s="143"/>
      <c r="V160" s="143"/>
      <c r="W160" s="143"/>
      <c r="X160" s="143"/>
      <c r="Y160" s="143"/>
      <c r="Z160" s="143"/>
    </row>
    <row r="161" ht="13.5" customHeight="1">
      <c r="A161" s="143"/>
      <c r="B161" s="143"/>
      <c r="C161" s="143"/>
      <c r="D161" s="143"/>
      <c r="E161" s="143"/>
      <c r="F161" s="143"/>
      <c r="G161" s="143"/>
      <c r="H161" s="143"/>
      <c r="I161" s="143"/>
      <c r="J161" s="143"/>
      <c r="K161" s="143"/>
      <c r="L161" s="143"/>
      <c r="M161" s="143"/>
      <c r="N161" s="143"/>
      <c r="O161" s="143"/>
      <c r="P161" s="143"/>
      <c r="Q161" s="159"/>
      <c r="R161" s="159"/>
      <c r="S161" s="159"/>
      <c r="T161" s="212"/>
      <c r="U161" s="143"/>
      <c r="V161" s="143"/>
      <c r="W161" s="143"/>
      <c r="X161" s="143"/>
      <c r="Y161" s="143"/>
      <c r="Z161" s="143"/>
    </row>
    <row r="162" ht="13.5" customHeight="1">
      <c r="A162" s="143"/>
      <c r="B162" s="143"/>
      <c r="C162" s="143"/>
      <c r="D162" s="143"/>
      <c r="E162" s="143"/>
      <c r="F162" s="143"/>
      <c r="G162" s="143"/>
      <c r="H162" s="143"/>
      <c r="I162" s="143"/>
      <c r="J162" s="143"/>
      <c r="K162" s="143"/>
      <c r="L162" s="143"/>
      <c r="M162" s="143"/>
      <c r="N162" s="143"/>
      <c r="O162" s="143"/>
      <c r="P162" s="143"/>
      <c r="Q162" s="159"/>
      <c r="R162" s="159"/>
      <c r="S162" s="159"/>
      <c r="T162" s="212"/>
      <c r="U162" s="143"/>
      <c r="V162" s="143"/>
      <c r="W162" s="143"/>
      <c r="X162" s="143"/>
      <c r="Y162" s="143"/>
      <c r="Z162" s="143"/>
    </row>
    <row r="163" ht="13.5" customHeight="1">
      <c r="A163" s="143"/>
      <c r="B163" s="143"/>
      <c r="C163" s="143"/>
      <c r="D163" s="143"/>
      <c r="E163" s="143"/>
      <c r="F163" s="143"/>
      <c r="G163" s="143"/>
      <c r="H163" s="143"/>
      <c r="I163" s="143"/>
      <c r="J163" s="143"/>
      <c r="K163" s="143"/>
      <c r="L163" s="143"/>
      <c r="M163" s="143"/>
      <c r="N163" s="143"/>
      <c r="O163" s="143"/>
      <c r="P163" s="143"/>
      <c r="Q163" s="159"/>
      <c r="R163" s="159"/>
      <c r="S163" s="159"/>
      <c r="T163" s="212"/>
      <c r="U163" s="143"/>
      <c r="V163" s="143"/>
      <c r="W163" s="143"/>
      <c r="X163" s="143"/>
      <c r="Y163" s="143"/>
      <c r="Z163" s="143"/>
    </row>
    <row r="164" ht="13.5" customHeight="1">
      <c r="A164" s="143"/>
      <c r="B164" s="143"/>
      <c r="C164" s="143"/>
      <c r="D164" s="143"/>
      <c r="E164" s="143"/>
      <c r="F164" s="143"/>
      <c r="G164" s="143"/>
      <c r="H164" s="143"/>
      <c r="I164" s="143"/>
      <c r="J164" s="143"/>
      <c r="K164" s="143"/>
      <c r="L164" s="143"/>
      <c r="M164" s="143"/>
      <c r="N164" s="143"/>
      <c r="O164" s="143"/>
      <c r="P164" s="143"/>
      <c r="Q164" s="159"/>
      <c r="R164" s="159"/>
      <c r="S164" s="159"/>
      <c r="T164" s="212"/>
      <c r="U164" s="143"/>
      <c r="V164" s="143"/>
      <c r="W164" s="143"/>
      <c r="X164" s="143"/>
      <c r="Y164" s="143"/>
      <c r="Z164" s="143"/>
    </row>
    <row r="165" ht="13.5" customHeight="1">
      <c r="A165" s="143"/>
      <c r="B165" s="143"/>
      <c r="C165" s="143"/>
      <c r="D165" s="143"/>
      <c r="E165" s="143"/>
      <c r="F165" s="143"/>
      <c r="G165" s="143"/>
      <c r="H165" s="143"/>
      <c r="I165" s="143"/>
      <c r="J165" s="143"/>
      <c r="K165" s="143"/>
      <c r="L165" s="143"/>
      <c r="M165" s="143"/>
      <c r="N165" s="143"/>
      <c r="O165" s="143"/>
      <c r="P165" s="143"/>
      <c r="Q165" s="159"/>
      <c r="R165" s="159"/>
      <c r="S165" s="159"/>
      <c r="T165" s="212"/>
      <c r="U165" s="143"/>
      <c r="V165" s="143"/>
      <c r="W165" s="143"/>
      <c r="X165" s="143"/>
      <c r="Y165" s="143"/>
      <c r="Z165" s="143"/>
    </row>
    <row r="166" ht="13.5" customHeight="1">
      <c r="A166" s="143"/>
      <c r="B166" s="143"/>
      <c r="C166" s="143"/>
      <c r="D166" s="143"/>
      <c r="E166" s="143"/>
      <c r="F166" s="143"/>
      <c r="G166" s="143"/>
      <c r="H166" s="143"/>
      <c r="I166" s="143"/>
      <c r="J166" s="143"/>
      <c r="K166" s="143"/>
      <c r="L166" s="143"/>
      <c r="M166" s="143"/>
      <c r="N166" s="143"/>
      <c r="O166" s="143"/>
      <c r="P166" s="143"/>
      <c r="Q166" s="159"/>
      <c r="R166" s="159"/>
      <c r="S166" s="159"/>
      <c r="T166" s="212"/>
      <c r="U166" s="143"/>
      <c r="V166" s="143"/>
      <c r="W166" s="143"/>
      <c r="X166" s="143"/>
      <c r="Y166" s="143"/>
      <c r="Z166" s="143"/>
    </row>
    <row r="167" ht="13.5" customHeight="1">
      <c r="A167" s="143"/>
      <c r="B167" s="143"/>
      <c r="C167" s="143"/>
      <c r="D167" s="143"/>
      <c r="E167" s="143"/>
      <c r="F167" s="143"/>
      <c r="G167" s="143"/>
      <c r="H167" s="143"/>
      <c r="I167" s="143"/>
      <c r="J167" s="143"/>
      <c r="K167" s="143"/>
      <c r="L167" s="143"/>
      <c r="M167" s="143"/>
      <c r="N167" s="143"/>
      <c r="O167" s="143"/>
      <c r="P167" s="143"/>
      <c r="Q167" s="159"/>
      <c r="R167" s="159"/>
      <c r="S167" s="159"/>
      <c r="T167" s="212"/>
      <c r="U167" s="143"/>
      <c r="V167" s="143"/>
      <c r="W167" s="143"/>
      <c r="X167" s="143"/>
      <c r="Y167" s="143"/>
      <c r="Z167" s="143"/>
    </row>
    <row r="168" ht="13.5" customHeight="1">
      <c r="A168" s="143"/>
      <c r="B168" s="143"/>
      <c r="C168" s="143"/>
      <c r="D168" s="143"/>
      <c r="E168" s="143"/>
      <c r="F168" s="143"/>
      <c r="G168" s="143"/>
      <c r="H168" s="143"/>
      <c r="I168" s="143"/>
      <c r="J168" s="143"/>
      <c r="K168" s="143"/>
      <c r="L168" s="143"/>
      <c r="M168" s="143"/>
      <c r="N168" s="143"/>
      <c r="O168" s="143"/>
      <c r="P168" s="143"/>
      <c r="Q168" s="159"/>
      <c r="R168" s="159"/>
      <c r="S168" s="159"/>
      <c r="T168" s="212"/>
      <c r="U168" s="143"/>
      <c r="V168" s="143"/>
      <c r="W168" s="143"/>
      <c r="X168" s="143"/>
      <c r="Y168" s="143"/>
      <c r="Z168" s="143"/>
    </row>
    <row r="169" ht="13.5" customHeight="1">
      <c r="A169" s="143"/>
      <c r="B169" s="143"/>
      <c r="C169" s="143"/>
      <c r="D169" s="143"/>
      <c r="E169" s="143"/>
      <c r="F169" s="143"/>
      <c r="G169" s="143"/>
      <c r="H169" s="143"/>
      <c r="I169" s="143"/>
      <c r="J169" s="143"/>
      <c r="K169" s="143"/>
      <c r="L169" s="143"/>
      <c r="M169" s="143"/>
      <c r="N169" s="143"/>
      <c r="O169" s="143"/>
      <c r="P169" s="143"/>
      <c r="Q169" s="159"/>
      <c r="R169" s="159"/>
      <c r="S169" s="159"/>
      <c r="T169" s="212"/>
      <c r="U169" s="143"/>
      <c r="V169" s="143"/>
      <c r="W169" s="143"/>
      <c r="X169" s="143"/>
      <c r="Y169" s="143"/>
      <c r="Z169" s="143"/>
    </row>
    <row r="170" ht="13.5" customHeight="1">
      <c r="A170" s="143"/>
      <c r="B170" s="143"/>
      <c r="C170" s="143"/>
      <c r="D170" s="143"/>
      <c r="E170" s="143"/>
      <c r="F170" s="143"/>
      <c r="G170" s="143"/>
      <c r="H170" s="143"/>
      <c r="I170" s="143"/>
      <c r="J170" s="143"/>
      <c r="K170" s="143"/>
      <c r="L170" s="143"/>
      <c r="M170" s="143"/>
      <c r="N170" s="143"/>
      <c r="O170" s="143"/>
      <c r="P170" s="143"/>
      <c r="Q170" s="159"/>
      <c r="R170" s="159"/>
      <c r="S170" s="159"/>
      <c r="T170" s="212"/>
      <c r="U170" s="143"/>
      <c r="V170" s="143"/>
      <c r="W170" s="143"/>
      <c r="X170" s="143"/>
      <c r="Y170" s="143"/>
      <c r="Z170" s="143"/>
    </row>
    <row r="171" ht="13.5" customHeight="1">
      <c r="A171" s="143"/>
      <c r="B171" s="143"/>
      <c r="C171" s="143"/>
      <c r="D171" s="143"/>
      <c r="E171" s="143"/>
      <c r="F171" s="143"/>
      <c r="G171" s="143"/>
      <c r="H171" s="143"/>
      <c r="I171" s="143"/>
      <c r="J171" s="143"/>
      <c r="K171" s="143"/>
      <c r="L171" s="143"/>
      <c r="M171" s="143"/>
      <c r="N171" s="143"/>
      <c r="O171" s="143"/>
      <c r="P171" s="143"/>
      <c r="Q171" s="159"/>
      <c r="R171" s="159"/>
      <c r="S171" s="159"/>
      <c r="T171" s="212"/>
      <c r="U171" s="143"/>
      <c r="V171" s="143"/>
      <c r="W171" s="143"/>
      <c r="X171" s="143"/>
      <c r="Y171" s="143"/>
      <c r="Z171" s="143"/>
    </row>
    <row r="172" ht="13.5" customHeight="1">
      <c r="A172" s="143"/>
      <c r="B172" s="143"/>
      <c r="C172" s="143"/>
      <c r="D172" s="143"/>
      <c r="E172" s="143"/>
      <c r="F172" s="143"/>
      <c r="G172" s="143"/>
      <c r="H172" s="143"/>
      <c r="I172" s="143"/>
      <c r="J172" s="143"/>
      <c r="K172" s="143"/>
      <c r="L172" s="143"/>
      <c r="M172" s="143"/>
      <c r="N172" s="143"/>
      <c r="O172" s="143"/>
      <c r="P172" s="143"/>
      <c r="Q172" s="159"/>
      <c r="R172" s="159"/>
      <c r="S172" s="159"/>
      <c r="T172" s="212"/>
      <c r="U172" s="143"/>
      <c r="V172" s="143"/>
      <c r="W172" s="143"/>
      <c r="X172" s="143"/>
      <c r="Y172" s="143"/>
      <c r="Z172" s="143"/>
    </row>
    <row r="173" ht="13.5" customHeight="1">
      <c r="A173" s="143"/>
      <c r="B173" s="143"/>
      <c r="C173" s="143"/>
      <c r="D173" s="143"/>
      <c r="E173" s="143"/>
      <c r="F173" s="143"/>
      <c r="G173" s="143"/>
      <c r="H173" s="143"/>
      <c r="I173" s="143"/>
      <c r="J173" s="143"/>
      <c r="K173" s="143"/>
      <c r="L173" s="143"/>
      <c r="M173" s="143"/>
      <c r="N173" s="143"/>
      <c r="O173" s="143"/>
      <c r="P173" s="143"/>
      <c r="Q173" s="159"/>
      <c r="R173" s="159"/>
      <c r="S173" s="159"/>
      <c r="T173" s="212"/>
      <c r="U173" s="143"/>
      <c r="V173" s="143"/>
      <c r="W173" s="143"/>
      <c r="X173" s="143"/>
      <c r="Y173" s="143"/>
      <c r="Z173" s="143"/>
    </row>
    <row r="174" ht="13.5" customHeight="1">
      <c r="A174" s="143"/>
      <c r="B174" s="143"/>
      <c r="C174" s="143"/>
      <c r="D174" s="143"/>
      <c r="E174" s="143"/>
      <c r="F174" s="143"/>
      <c r="G174" s="143"/>
      <c r="H174" s="143"/>
      <c r="I174" s="143"/>
      <c r="J174" s="143"/>
      <c r="K174" s="143"/>
      <c r="L174" s="143"/>
      <c r="M174" s="143"/>
      <c r="N174" s="143"/>
      <c r="O174" s="143"/>
      <c r="P174" s="143"/>
      <c r="Q174" s="159"/>
      <c r="R174" s="159"/>
      <c r="S174" s="159"/>
      <c r="T174" s="212"/>
      <c r="U174" s="143"/>
      <c r="V174" s="143"/>
      <c r="W174" s="143"/>
      <c r="X174" s="143"/>
      <c r="Y174" s="143"/>
      <c r="Z174" s="143"/>
    </row>
    <row r="175" ht="13.5" customHeight="1">
      <c r="A175" s="143"/>
      <c r="B175" s="143"/>
      <c r="C175" s="143"/>
      <c r="D175" s="143"/>
      <c r="E175" s="143"/>
      <c r="F175" s="143"/>
      <c r="G175" s="143"/>
      <c r="H175" s="143"/>
      <c r="I175" s="143"/>
      <c r="J175" s="143"/>
      <c r="K175" s="143"/>
      <c r="L175" s="143"/>
      <c r="M175" s="143"/>
      <c r="N175" s="143"/>
      <c r="O175" s="143"/>
      <c r="P175" s="143"/>
      <c r="Q175" s="159"/>
      <c r="R175" s="159"/>
      <c r="S175" s="159"/>
      <c r="T175" s="212"/>
      <c r="U175" s="143"/>
      <c r="V175" s="143"/>
      <c r="W175" s="143"/>
      <c r="X175" s="143"/>
      <c r="Y175" s="143"/>
      <c r="Z175" s="143"/>
    </row>
    <row r="176" ht="13.5" customHeight="1">
      <c r="A176" s="143"/>
      <c r="B176" s="143"/>
      <c r="C176" s="143"/>
      <c r="D176" s="143"/>
      <c r="E176" s="143"/>
      <c r="F176" s="143"/>
      <c r="G176" s="143"/>
      <c r="H176" s="143"/>
      <c r="I176" s="143"/>
      <c r="J176" s="143"/>
      <c r="K176" s="143"/>
      <c r="L176" s="143"/>
      <c r="M176" s="143"/>
      <c r="N176" s="143"/>
      <c r="O176" s="143"/>
      <c r="P176" s="143"/>
      <c r="Q176" s="159"/>
      <c r="R176" s="159"/>
      <c r="S176" s="159"/>
      <c r="T176" s="212"/>
      <c r="U176" s="143"/>
      <c r="V176" s="143"/>
      <c r="W176" s="143"/>
      <c r="X176" s="143"/>
      <c r="Y176" s="143"/>
      <c r="Z176" s="143"/>
    </row>
    <row r="177" ht="13.5" customHeight="1">
      <c r="A177" s="143"/>
      <c r="B177" s="143"/>
      <c r="C177" s="143"/>
      <c r="D177" s="143"/>
      <c r="E177" s="143"/>
      <c r="F177" s="143"/>
      <c r="G177" s="143"/>
      <c r="H177" s="143"/>
      <c r="I177" s="143"/>
      <c r="J177" s="143"/>
      <c r="K177" s="143"/>
      <c r="L177" s="143"/>
      <c r="M177" s="143"/>
      <c r="N177" s="143"/>
      <c r="O177" s="143"/>
      <c r="P177" s="143"/>
      <c r="Q177" s="159"/>
      <c r="R177" s="159"/>
      <c r="S177" s="159"/>
      <c r="T177" s="212"/>
      <c r="U177" s="143"/>
      <c r="V177" s="143"/>
      <c r="W177" s="143"/>
      <c r="X177" s="143"/>
      <c r="Y177" s="143"/>
      <c r="Z177" s="143"/>
    </row>
    <row r="178" ht="13.5" customHeight="1">
      <c r="A178" s="143"/>
      <c r="B178" s="143"/>
      <c r="C178" s="143"/>
      <c r="D178" s="143"/>
      <c r="E178" s="143"/>
      <c r="F178" s="143"/>
      <c r="G178" s="143"/>
      <c r="H178" s="143"/>
      <c r="I178" s="143"/>
      <c r="J178" s="143"/>
      <c r="K178" s="143"/>
      <c r="L178" s="143"/>
      <c r="M178" s="143"/>
      <c r="N178" s="143"/>
      <c r="O178" s="143"/>
      <c r="P178" s="143"/>
      <c r="Q178" s="159"/>
      <c r="R178" s="159"/>
      <c r="S178" s="159"/>
      <c r="T178" s="212"/>
      <c r="U178" s="143"/>
      <c r="V178" s="143"/>
      <c r="W178" s="143"/>
      <c r="X178" s="143"/>
      <c r="Y178" s="143"/>
      <c r="Z178" s="143"/>
    </row>
    <row r="179" ht="13.5" customHeight="1">
      <c r="A179" s="143"/>
      <c r="B179" s="143"/>
      <c r="C179" s="143"/>
      <c r="D179" s="143"/>
      <c r="E179" s="143"/>
      <c r="F179" s="143"/>
      <c r="G179" s="143"/>
      <c r="H179" s="143"/>
      <c r="I179" s="143"/>
      <c r="J179" s="143"/>
      <c r="K179" s="143"/>
      <c r="L179" s="143"/>
      <c r="M179" s="143"/>
      <c r="N179" s="143"/>
      <c r="O179" s="143"/>
      <c r="P179" s="143"/>
      <c r="Q179" s="159"/>
      <c r="R179" s="159"/>
      <c r="S179" s="159"/>
      <c r="T179" s="212"/>
      <c r="U179" s="143"/>
      <c r="V179" s="143"/>
      <c r="W179" s="143"/>
      <c r="X179" s="143"/>
      <c r="Y179" s="143"/>
      <c r="Z179" s="143"/>
    </row>
    <row r="180" ht="13.5" customHeight="1">
      <c r="A180" s="143"/>
      <c r="B180" s="143"/>
      <c r="C180" s="143"/>
      <c r="D180" s="143"/>
      <c r="E180" s="143"/>
      <c r="F180" s="143"/>
      <c r="G180" s="143"/>
      <c r="H180" s="143"/>
      <c r="I180" s="143"/>
      <c r="J180" s="143"/>
      <c r="K180" s="143"/>
      <c r="L180" s="143"/>
      <c r="M180" s="143"/>
      <c r="N180" s="143"/>
      <c r="O180" s="143"/>
      <c r="P180" s="143"/>
      <c r="Q180" s="159"/>
      <c r="R180" s="159"/>
      <c r="S180" s="159"/>
      <c r="T180" s="212"/>
      <c r="U180" s="143"/>
      <c r="V180" s="143"/>
      <c r="W180" s="143"/>
      <c r="X180" s="143"/>
      <c r="Y180" s="143"/>
      <c r="Z180" s="143"/>
    </row>
    <row r="181" ht="13.5" customHeight="1">
      <c r="A181" s="143"/>
      <c r="B181" s="143"/>
      <c r="C181" s="143"/>
      <c r="D181" s="143"/>
      <c r="E181" s="143"/>
      <c r="F181" s="143"/>
      <c r="G181" s="143"/>
      <c r="H181" s="143"/>
      <c r="I181" s="143"/>
      <c r="J181" s="143"/>
      <c r="K181" s="143"/>
      <c r="L181" s="143"/>
      <c r="M181" s="143"/>
      <c r="N181" s="143"/>
      <c r="O181" s="143"/>
      <c r="P181" s="143"/>
      <c r="Q181" s="159"/>
      <c r="R181" s="159"/>
      <c r="S181" s="159"/>
      <c r="T181" s="212"/>
      <c r="U181" s="143"/>
      <c r="V181" s="143"/>
      <c r="W181" s="143"/>
      <c r="X181" s="143"/>
      <c r="Y181" s="143"/>
      <c r="Z181" s="143"/>
    </row>
    <row r="182" ht="13.5" customHeight="1">
      <c r="A182" s="143"/>
      <c r="B182" s="143"/>
      <c r="C182" s="143"/>
      <c r="D182" s="143"/>
      <c r="E182" s="143"/>
      <c r="F182" s="143"/>
      <c r="G182" s="143"/>
      <c r="H182" s="143"/>
      <c r="I182" s="143"/>
      <c r="J182" s="143"/>
      <c r="K182" s="143"/>
      <c r="L182" s="143"/>
      <c r="M182" s="143"/>
      <c r="N182" s="143"/>
      <c r="O182" s="143"/>
      <c r="P182" s="143"/>
      <c r="Q182" s="159"/>
      <c r="R182" s="159"/>
      <c r="S182" s="159"/>
      <c r="T182" s="212"/>
      <c r="U182" s="143"/>
      <c r="V182" s="143"/>
      <c r="W182" s="143"/>
      <c r="X182" s="143"/>
      <c r="Y182" s="143"/>
      <c r="Z182" s="143"/>
    </row>
    <row r="183" ht="13.5" customHeight="1">
      <c r="A183" s="143"/>
      <c r="B183" s="143"/>
      <c r="C183" s="143"/>
      <c r="D183" s="143"/>
      <c r="E183" s="143"/>
      <c r="F183" s="143"/>
      <c r="G183" s="143"/>
      <c r="H183" s="143"/>
      <c r="I183" s="143"/>
      <c r="J183" s="143"/>
      <c r="K183" s="143"/>
      <c r="L183" s="143"/>
      <c r="M183" s="143"/>
      <c r="N183" s="143"/>
      <c r="O183" s="143"/>
      <c r="P183" s="143"/>
      <c r="Q183" s="159"/>
      <c r="R183" s="159"/>
      <c r="S183" s="159"/>
      <c r="T183" s="212"/>
      <c r="U183" s="143"/>
      <c r="V183" s="143"/>
      <c r="W183" s="143"/>
      <c r="X183" s="143"/>
      <c r="Y183" s="143"/>
      <c r="Z183" s="143"/>
    </row>
    <row r="184" ht="13.5" customHeight="1">
      <c r="A184" s="143"/>
      <c r="B184" s="143"/>
      <c r="C184" s="143"/>
      <c r="D184" s="143"/>
      <c r="E184" s="143"/>
      <c r="F184" s="143"/>
      <c r="G184" s="143"/>
      <c r="H184" s="143"/>
      <c r="I184" s="143"/>
      <c r="J184" s="143"/>
      <c r="K184" s="143"/>
      <c r="L184" s="143"/>
      <c r="M184" s="143"/>
      <c r="N184" s="143"/>
      <c r="O184" s="143"/>
      <c r="P184" s="143"/>
      <c r="Q184" s="159"/>
      <c r="R184" s="159"/>
      <c r="S184" s="159"/>
      <c r="T184" s="212"/>
      <c r="U184" s="143"/>
      <c r="V184" s="143"/>
      <c r="W184" s="143"/>
      <c r="X184" s="143"/>
      <c r="Y184" s="143"/>
      <c r="Z184" s="143"/>
    </row>
    <row r="185" ht="13.5" customHeight="1">
      <c r="A185" s="143"/>
      <c r="B185" s="143"/>
      <c r="C185" s="143"/>
      <c r="D185" s="143"/>
      <c r="E185" s="143"/>
      <c r="F185" s="143"/>
      <c r="G185" s="143"/>
      <c r="H185" s="143"/>
      <c r="I185" s="143"/>
      <c r="J185" s="143"/>
      <c r="K185" s="143"/>
      <c r="L185" s="143"/>
      <c r="M185" s="143"/>
      <c r="N185" s="143"/>
      <c r="O185" s="143"/>
      <c r="P185" s="143"/>
      <c r="Q185" s="159"/>
      <c r="R185" s="159"/>
      <c r="S185" s="159"/>
      <c r="T185" s="212"/>
      <c r="U185" s="143"/>
      <c r="V185" s="143"/>
      <c r="W185" s="143"/>
      <c r="X185" s="143"/>
      <c r="Y185" s="143"/>
      <c r="Z185" s="143"/>
    </row>
    <row r="186" ht="13.5" customHeight="1">
      <c r="A186" s="143"/>
      <c r="B186" s="143"/>
      <c r="C186" s="143"/>
      <c r="D186" s="143"/>
      <c r="E186" s="143"/>
      <c r="F186" s="143"/>
      <c r="G186" s="143"/>
      <c r="H186" s="143"/>
      <c r="I186" s="143"/>
      <c r="J186" s="143"/>
      <c r="K186" s="143"/>
      <c r="L186" s="143"/>
      <c r="M186" s="143"/>
      <c r="N186" s="143"/>
      <c r="O186" s="143"/>
      <c r="P186" s="143"/>
      <c r="Q186" s="159"/>
      <c r="R186" s="159"/>
      <c r="S186" s="159"/>
      <c r="T186" s="212"/>
      <c r="U186" s="143"/>
      <c r="V186" s="143"/>
      <c r="W186" s="143"/>
      <c r="X186" s="143"/>
      <c r="Y186" s="143"/>
      <c r="Z186" s="143"/>
    </row>
    <row r="187" ht="13.5" customHeight="1">
      <c r="A187" s="143"/>
      <c r="B187" s="143"/>
      <c r="C187" s="143"/>
      <c r="D187" s="143"/>
      <c r="E187" s="143"/>
      <c r="F187" s="143"/>
      <c r="G187" s="143"/>
      <c r="H187" s="143"/>
      <c r="I187" s="143"/>
      <c r="J187" s="143"/>
      <c r="K187" s="143"/>
      <c r="L187" s="143"/>
      <c r="M187" s="143"/>
      <c r="N187" s="143"/>
      <c r="O187" s="143"/>
      <c r="P187" s="143"/>
      <c r="Q187" s="159"/>
      <c r="R187" s="159"/>
      <c r="S187" s="159"/>
      <c r="T187" s="212"/>
      <c r="U187" s="143"/>
      <c r="V187" s="143"/>
      <c r="W187" s="143"/>
      <c r="X187" s="143"/>
      <c r="Y187" s="143"/>
      <c r="Z187" s="143"/>
    </row>
    <row r="188" ht="13.5" customHeight="1">
      <c r="A188" s="143"/>
      <c r="B188" s="143"/>
      <c r="C188" s="143"/>
      <c r="D188" s="143"/>
      <c r="E188" s="143"/>
      <c r="F188" s="143"/>
      <c r="G188" s="143"/>
      <c r="H188" s="143"/>
      <c r="I188" s="143"/>
      <c r="J188" s="143"/>
      <c r="K188" s="143"/>
      <c r="L188" s="143"/>
      <c r="M188" s="143"/>
      <c r="N188" s="143"/>
      <c r="O188" s="143"/>
      <c r="P188" s="143"/>
      <c r="Q188" s="159"/>
      <c r="R188" s="159"/>
      <c r="S188" s="159"/>
      <c r="T188" s="212"/>
      <c r="U188" s="143"/>
      <c r="V188" s="143"/>
      <c r="W188" s="143"/>
      <c r="X188" s="143"/>
      <c r="Y188" s="143"/>
      <c r="Z188" s="143"/>
    </row>
    <row r="189" ht="13.5" customHeight="1">
      <c r="A189" s="143"/>
      <c r="B189" s="143"/>
      <c r="C189" s="143"/>
      <c r="D189" s="143"/>
      <c r="E189" s="143"/>
      <c r="F189" s="143"/>
      <c r="G189" s="143"/>
      <c r="H189" s="143"/>
      <c r="I189" s="143"/>
      <c r="J189" s="143"/>
      <c r="K189" s="143"/>
      <c r="L189" s="143"/>
      <c r="M189" s="143"/>
      <c r="N189" s="143"/>
      <c r="O189" s="143"/>
      <c r="P189" s="143"/>
      <c r="Q189" s="159"/>
      <c r="R189" s="159"/>
      <c r="S189" s="159"/>
      <c r="T189" s="212"/>
      <c r="U189" s="143"/>
      <c r="V189" s="143"/>
      <c r="W189" s="143"/>
      <c r="X189" s="143"/>
      <c r="Y189" s="143"/>
      <c r="Z189" s="143"/>
    </row>
    <row r="190" ht="13.5" customHeight="1">
      <c r="A190" s="143"/>
      <c r="B190" s="143"/>
      <c r="C190" s="143"/>
      <c r="D190" s="143"/>
      <c r="E190" s="143"/>
      <c r="F190" s="143"/>
      <c r="G190" s="143"/>
      <c r="H190" s="143"/>
      <c r="I190" s="143"/>
      <c r="J190" s="143"/>
      <c r="K190" s="143"/>
      <c r="L190" s="143"/>
      <c r="M190" s="143"/>
      <c r="N190" s="143"/>
      <c r="O190" s="143"/>
      <c r="P190" s="143"/>
      <c r="Q190" s="159"/>
      <c r="R190" s="159"/>
      <c r="S190" s="159"/>
      <c r="T190" s="212"/>
      <c r="U190" s="143"/>
      <c r="V190" s="143"/>
      <c r="W190" s="143"/>
      <c r="X190" s="143"/>
      <c r="Y190" s="143"/>
      <c r="Z190" s="143"/>
    </row>
    <row r="191" ht="13.5" customHeight="1">
      <c r="A191" s="143"/>
      <c r="B191" s="143"/>
      <c r="C191" s="143"/>
      <c r="D191" s="143"/>
      <c r="E191" s="143"/>
      <c r="F191" s="143"/>
      <c r="G191" s="143"/>
      <c r="H191" s="143"/>
      <c r="I191" s="143"/>
      <c r="J191" s="143"/>
      <c r="K191" s="143"/>
      <c r="L191" s="143"/>
      <c r="M191" s="143"/>
      <c r="N191" s="143"/>
      <c r="O191" s="143"/>
      <c r="P191" s="143"/>
      <c r="Q191" s="159"/>
      <c r="R191" s="159"/>
      <c r="S191" s="159"/>
      <c r="T191" s="212"/>
      <c r="U191" s="143"/>
      <c r="V191" s="143"/>
      <c r="W191" s="143"/>
      <c r="X191" s="143"/>
      <c r="Y191" s="143"/>
      <c r="Z191" s="143"/>
    </row>
    <row r="192" ht="13.5" customHeight="1">
      <c r="A192" s="143"/>
      <c r="B192" s="143"/>
      <c r="C192" s="143"/>
      <c r="D192" s="143"/>
      <c r="E192" s="143"/>
      <c r="F192" s="143"/>
      <c r="G192" s="143"/>
      <c r="H192" s="143"/>
      <c r="I192" s="143"/>
      <c r="J192" s="143"/>
      <c r="K192" s="143"/>
      <c r="L192" s="143"/>
      <c r="M192" s="143"/>
      <c r="N192" s="143"/>
      <c r="O192" s="143"/>
      <c r="P192" s="143"/>
      <c r="Q192" s="159"/>
      <c r="R192" s="159"/>
      <c r="S192" s="159"/>
      <c r="T192" s="212"/>
      <c r="U192" s="143"/>
      <c r="V192" s="143"/>
      <c r="W192" s="143"/>
      <c r="X192" s="143"/>
      <c r="Y192" s="143"/>
      <c r="Z192" s="143"/>
    </row>
    <row r="193" ht="13.5" customHeight="1">
      <c r="A193" s="143"/>
      <c r="B193" s="143"/>
      <c r="C193" s="143"/>
      <c r="D193" s="143"/>
      <c r="E193" s="143"/>
      <c r="F193" s="143"/>
      <c r="G193" s="143"/>
      <c r="H193" s="143"/>
      <c r="I193" s="143"/>
      <c r="J193" s="143"/>
      <c r="K193" s="143"/>
      <c r="L193" s="143"/>
      <c r="M193" s="143"/>
      <c r="N193" s="143"/>
      <c r="O193" s="143"/>
      <c r="P193" s="143"/>
      <c r="Q193" s="159"/>
      <c r="R193" s="159"/>
      <c r="S193" s="159"/>
      <c r="T193" s="212"/>
      <c r="U193" s="143"/>
      <c r="V193" s="143"/>
      <c r="W193" s="143"/>
      <c r="X193" s="143"/>
      <c r="Y193" s="143"/>
      <c r="Z193" s="143"/>
    </row>
    <row r="194" ht="13.5" customHeight="1">
      <c r="A194" s="143"/>
      <c r="B194" s="143"/>
      <c r="C194" s="143"/>
      <c r="D194" s="143"/>
      <c r="E194" s="143"/>
      <c r="F194" s="143"/>
      <c r="G194" s="143"/>
      <c r="H194" s="143"/>
      <c r="I194" s="143"/>
      <c r="J194" s="143"/>
      <c r="K194" s="143"/>
      <c r="L194" s="143"/>
      <c r="M194" s="143"/>
      <c r="N194" s="143"/>
      <c r="O194" s="143"/>
      <c r="P194" s="143"/>
      <c r="Q194" s="159"/>
      <c r="R194" s="159"/>
      <c r="S194" s="159"/>
      <c r="T194" s="212"/>
      <c r="U194" s="143"/>
      <c r="V194" s="143"/>
      <c r="W194" s="143"/>
      <c r="X194" s="143"/>
      <c r="Y194" s="143"/>
      <c r="Z194" s="143"/>
    </row>
    <row r="195" ht="13.5" customHeight="1">
      <c r="A195" s="143"/>
      <c r="B195" s="143"/>
      <c r="C195" s="143"/>
      <c r="D195" s="143"/>
      <c r="E195" s="143"/>
      <c r="F195" s="143"/>
      <c r="G195" s="143"/>
      <c r="H195" s="143"/>
      <c r="I195" s="143"/>
      <c r="J195" s="143"/>
      <c r="K195" s="143"/>
      <c r="L195" s="143"/>
      <c r="M195" s="143"/>
      <c r="N195" s="143"/>
      <c r="O195" s="143"/>
      <c r="P195" s="143"/>
      <c r="Q195" s="159"/>
      <c r="R195" s="159"/>
      <c r="S195" s="159"/>
      <c r="T195" s="212"/>
      <c r="U195" s="143"/>
      <c r="V195" s="143"/>
      <c r="W195" s="143"/>
      <c r="X195" s="143"/>
      <c r="Y195" s="143"/>
      <c r="Z195" s="143"/>
    </row>
    <row r="196" ht="13.5" customHeight="1">
      <c r="A196" s="143"/>
      <c r="B196" s="143"/>
      <c r="C196" s="143"/>
      <c r="D196" s="143"/>
      <c r="E196" s="143"/>
      <c r="F196" s="143"/>
      <c r="G196" s="143"/>
      <c r="H196" s="143"/>
      <c r="I196" s="143"/>
      <c r="J196" s="143"/>
      <c r="K196" s="143"/>
      <c r="L196" s="143"/>
      <c r="M196" s="143"/>
      <c r="N196" s="143"/>
      <c r="O196" s="143"/>
      <c r="P196" s="143"/>
      <c r="Q196" s="159"/>
      <c r="R196" s="159"/>
      <c r="S196" s="159"/>
      <c r="T196" s="212"/>
      <c r="U196" s="143"/>
      <c r="V196" s="143"/>
      <c r="W196" s="143"/>
      <c r="X196" s="143"/>
      <c r="Y196" s="143"/>
      <c r="Z196" s="143"/>
    </row>
    <row r="197" ht="13.5" customHeight="1">
      <c r="A197" s="143"/>
      <c r="B197" s="143"/>
      <c r="C197" s="143"/>
      <c r="D197" s="143"/>
      <c r="E197" s="143"/>
      <c r="F197" s="143"/>
      <c r="G197" s="143"/>
      <c r="H197" s="143"/>
      <c r="I197" s="143"/>
      <c r="J197" s="143"/>
      <c r="K197" s="143"/>
      <c r="L197" s="143"/>
      <c r="M197" s="143"/>
      <c r="N197" s="143"/>
      <c r="O197" s="143"/>
      <c r="P197" s="143"/>
      <c r="Q197" s="159"/>
      <c r="R197" s="159"/>
      <c r="S197" s="159"/>
      <c r="T197" s="212"/>
      <c r="U197" s="143"/>
      <c r="V197" s="143"/>
      <c r="W197" s="143"/>
      <c r="X197" s="143"/>
      <c r="Y197" s="143"/>
      <c r="Z197" s="143"/>
    </row>
    <row r="198" ht="13.5" customHeight="1">
      <c r="A198" s="143"/>
      <c r="B198" s="143"/>
      <c r="C198" s="143"/>
      <c r="D198" s="143"/>
      <c r="E198" s="143"/>
      <c r="F198" s="143"/>
      <c r="G198" s="143"/>
      <c r="H198" s="143"/>
      <c r="I198" s="143"/>
      <c r="J198" s="143"/>
      <c r="K198" s="143"/>
      <c r="L198" s="143"/>
      <c r="M198" s="143"/>
      <c r="N198" s="143"/>
      <c r="O198" s="143"/>
      <c r="P198" s="143"/>
      <c r="Q198" s="159"/>
      <c r="R198" s="159"/>
      <c r="S198" s="159"/>
      <c r="T198" s="212"/>
      <c r="U198" s="143"/>
      <c r="V198" s="143"/>
      <c r="W198" s="143"/>
      <c r="X198" s="143"/>
      <c r="Y198" s="143"/>
      <c r="Z198" s="143"/>
    </row>
    <row r="199" ht="13.5" customHeight="1">
      <c r="A199" s="143"/>
      <c r="B199" s="143"/>
      <c r="C199" s="143"/>
      <c r="D199" s="143"/>
      <c r="E199" s="143"/>
      <c r="F199" s="143"/>
      <c r="G199" s="143"/>
      <c r="H199" s="143"/>
      <c r="I199" s="143"/>
      <c r="J199" s="143"/>
      <c r="K199" s="143"/>
      <c r="L199" s="143"/>
      <c r="M199" s="143"/>
      <c r="N199" s="143"/>
      <c r="O199" s="143"/>
      <c r="P199" s="143"/>
      <c r="Q199" s="159"/>
      <c r="R199" s="159"/>
      <c r="S199" s="159"/>
      <c r="T199" s="212"/>
      <c r="U199" s="143"/>
      <c r="V199" s="143"/>
      <c r="W199" s="143"/>
      <c r="X199" s="143"/>
      <c r="Y199" s="143"/>
      <c r="Z199" s="143"/>
    </row>
    <row r="200" ht="13.5" customHeight="1">
      <c r="A200" s="143"/>
      <c r="B200" s="143"/>
      <c r="C200" s="143"/>
      <c r="D200" s="143"/>
      <c r="E200" s="143"/>
      <c r="F200" s="143"/>
      <c r="G200" s="143"/>
      <c r="H200" s="143"/>
      <c r="I200" s="143"/>
      <c r="J200" s="143"/>
      <c r="K200" s="143"/>
      <c r="L200" s="143"/>
      <c r="M200" s="143"/>
      <c r="N200" s="143"/>
      <c r="O200" s="143"/>
      <c r="P200" s="143"/>
      <c r="Q200" s="159"/>
      <c r="R200" s="159"/>
      <c r="S200" s="159"/>
      <c r="T200" s="212"/>
      <c r="U200" s="143"/>
      <c r="V200" s="143"/>
      <c r="W200" s="143"/>
      <c r="X200" s="143"/>
      <c r="Y200" s="143"/>
      <c r="Z200" s="143"/>
    </row>
    <row r="201" ht="13.5" customHeight="1">
      <c r="A201" s="143"/>
      <c r="B201" s="143"/>
      <c r="C201" s="143"/>
      <c r="D201" s="143"/>
      <c r="E201" s="143"/>
      <c r="F201" s="143"/>
      <c r="G201" s="143"/>
      <c r="H201" s="143"/>
      <c r="I201" s="143"/>
      <c r="J201" s="143"/>
      <c r="K201" s="143"/>
      <c r="L201" s="143"/>
      <c r="M201" s="143"/>
      <c r="N201" s="143"/>
      <c r="O201" s="143"/>
      <c r="P201" s="143"/>
      <c r="Q201" s="159"/>
      <c r="R201" s="159"/>
      <c r="S201" s="159"/>
      <c r="T201" s="212"/>
      <c r="U201" s="143"/>
      <c r="V201" s="143"/>
      <c r="W201" s="143"/>
      <c r="X201" s="143"/>
      <c r="Y201" s="143"/>
      <c r="Z201" s="143"/>
    </row>
    <row r="202" ht="13.5" customHeight="1">
      <c r="A202" s="143"/>
      <c r="B202" s="143"/>
      <c r="C202" s="143"/>
      <c r="D202" s="143"/>
      <c r="E202" s="143"/>
      <c r="F202" s="143"/>
      <c r="G202" s="143"/>
      <c r="H202" s="143"/>
      <c r="I202" s="143"/>
      <c r="J202" s="143"/>
      <c r="K202" s="143"/>
      <c r="L202" s="143"/>
      <c r="M202" s="143"/>
      <c r="N202" s="143"/>
      <c r="O202" s="143"/>
      <c r="P202" s="143"/>
      <c r="Q202" s="159"/>
      <c r="R202" s="159"/>
      <c r="S202" s="159"/>
      <c r="T202" s="212"/>
      <c r="U202" s="143"/>
      <c r="V202" s="143"/>
      <c r="W202" s="143"/>
      <c r="X202" s="143"/>
      <c r="Y202" s="143"/>
      <c r="Z202" s="143"/>
    </row>
    <row r="203" ht="13.5" customHeight="1">
      <c r="A203" s="143"/>
      <c r="B203" s="143"/>
      <c r="C203" s="143"/>
      <c r="D203" s="143"/>
      <c r="E203" s="143"/>
      <c r="F203" s="143"/>
      <c r="G203" s="143"/>
      <c r="H203" s="143"/>
      <c r="I203" s="143"/>
      <c r="J203" s="143"/>
      <c r="K203" s="143"/>
      <c r="L203" s="143"/>
      <c r="M203" s="143"/>
      <c r="N203" s="143"/>
      <c r="O203" s="143"/>
      <c r="P203" s="143"/>
      <c r="Q203" s="159"/>
      <c r="R203" s="159"/>
      <c r="S203" s="159"/>
      <c r="T203" s="212"/>
      <c r="U203" s="143"/>
      <c r="V203" s="143"/>
      <c r="W203" s="143"/>
      <c r="X203" s="143"/>
      <c r="Y203" s="143"/>
      <c r="Z203" s="143"/>
    </row>
    <row r="204" ht="13.5" customHeight="1">
      <c r="A204" s="143"/>
      <c r="B204" s="143"/>
      <c r="C204" s="143"/>
      <c r="D204" s="143"/>
      <c r="E204" s="143"/>
      <c r="F204" s="143"/>
      <c r="G204" s="143"/>
      <c r="H204" s="143"/>
      <c r="I204" s="143"/>
      <c r="J204" s="143"/>
      <c r="K204" s="143"/>
      <c r="L204" s="143"/>
      <c r="M204" s="143"/>
      <c r="N204" s="143"/>
      <c r="O204" s="143"/>
      <c r="P204" s="143"/>
      <c r="Q204" s="159"/>
      <c r="R204" s="159"/>
      <c r="S204" s="159"/>
      <c r="T204" s="212"/>
      <c r="U204" s="143"/>
      <c r="V204" s="143"/>
      <c r="W204" s="143"/>
      <c r="X204" s="143"/>
      <c r="Y204" s="143"/>
      <c r="Z204" s="143"/>
    </row>
    <row r="205" ht="13.5" customHeight="1">
      <c r="A205" s="143"/>
      <c r="B205" s="143"/>
      <c r="C205" s="143"/>
      <c r="D205" s="143"/>
      <c r="E205" s="143"/>
      <c r="F205" s="143"/>
      <c r="G205" s="143"/>
      <c r="H205" s="143"/>
      <c r="I205" s="143"/>
      <c r="J205" s="143"/>
      <c r="K205" s="143"/>
      <c r="L205" s="143"/>
      <c r="M205" s="143"/>
      <c r="N205" s="143"/>
      <c r="O205" s="143"/>
      <c r="P205" s="143"/>
      <c r="Q205" s="159"/>
      <c r="R205" s="159"/>
      <c r="S205" s="159"/>
      <c r="T205" s="212"/>
      <c r="U205" s="143"/>
      <c r="V205" s="143"/>
      <c r="W205" s="143"/>
      <c r="X205" s="143"/>
      <c r="Y205" s="143"/>
      <c r="Z205" s="143"/>
    </row>
    <row r="206" ht="13.5" customHeight="1">
      <c r="A206" s="143"/>
      <c r="B206" s="143"/>
      <c r="C206" s="143"/>
      <c r="D206" s="143"/>
      <c r="E206" s="143"/>
      <c r="F206" s="143"/>
      <c r="G206" s="143"/>
      <c r="H206" s="143"/>
      <c r="I206" s="143"/>
      <c r="J206" s="143"/>
      <c r="K206" s="143"/>
      <c r="L206" s="143"/>
      <c r="M206" s="143"/>
      <c r="N206" s="143"/>
      <c r="O206" s="143"/>
      <c r="P206" s="143"/>
      <c r="Q206" s="159"/>
      <c r="R206" s="159"/>
      <c r="S206" s="159"/>
      <c r="T206" s="212"/>
      <c r="U206" s="143"/>
      <c r="V206" s="143"/>
      <c r="W206" s="143"/>
      <c r="X206" s="143"/>
      <c r="Y206" s="143"/>
      <c r="Z206" s="143"/>
    </row>
    <row r="207" ht="13.5" customHeight="1">
      <c r="A207" s="143"/>
      <c r="B207" s="143"/>
      <c r="C207" s="143"/>
      <c r="D207" s="143"/>
      <c r="E207" s="143"/>
      <c r="F207" s="143"/>
      <c r="G207" s="143"/>
      <c r="H207" s="143"/>
      <c r="I207" s="143"/>
      <c r="J207" s="143"/>
      <c r="K207" s="143"/>
      <c r="L207" s="143"/>
      <c r="M207" s="143"/>
      <c r="N207" s="143"/>
      <c r="O207" s="143"/>
      <c r="P207" s="143"/>
      <c r="Q207" s="159"/>
      <c r="R207" s="159"/>
      <c r="S207" s="159"/>
      <c r="T207" s="212"/>
      <c r="U207" s="143"/>
      <c r="V207" s="143"/>
      <c r="W207" s="143"/>
      <c r="X207" s="143"/>
      <c r="Y207" s="143"/>
      <c r="Z207" s="143"/>
    </row>
    <row r="208" ht="13.5" customHeight="1">
      <c r="A208" s="143"/>
      <c r="B208" s="143"/>
      <c r="C208" s="143"/>
      <c r="D208" s="143"/>
      <c r="E208" s="143"/>
      <c r="F208" s="143"/>
      <c r="G208" s="143"/>
      <c r="H208" s="143"/>
      <c r="I208" s="143"/>
      <c r="J208" s="143"/>
      <c r="K208" s="143"/>
      <c r="L208" s="143"/>
      <c r="M208" s="143"/>
      <c r="N208" s="143"/>
      <c r="O208" s="143"/>
      <c r="P208" s="143"/>
      <c r="Q208" s="159"/>
      <c r="R208" s="159"/>
      <c r="S208" s="159"/>
      <c r="T208" s="212"/>
      <c r="U208" s="143"/>
      <c r="V208" s="143"/>
      <c r="W208" s="143"/>
      <c r="X208" s="143"/>
      <c r="Y208" s="143"/>
      <c r="Z208" s="143"/>
    </row>
    <row r="209" ht="13.5" customHeight="1">
      <c r="A209" s="143"/>
      <c r="B209" s="143"/>
      <c r="C209" s="143"/>
      <c r="D209" s="143"/>
      <c r="E209" s="143"/>
      <c r="F209" s="143"/>
      <c r="G209" s="143"/>
      <c r="H209" s="143"/>
      <c r="I209" s="143"/>
      <c r="J209" s="143"/>
      <c r="K209" s="143"/>
      <c r="L209" s="143"/>
      <c r="M209" s="143"/>
      <c r="N209" s="143"/>
      <c r="O209" s="143"/>
      <c r="P209" s="143"/>
      <c r="Q209" s="159"/>
      <c r="R209" s="159"/>
      <c r="S209" s="159"/>
      <c r="T209" s="212"/>
      <c r="U209" s="143"/>
      <c r="V209" s="143"/>
      <c r="W209" s="143"/>
      <c r="X209" s="143"/>
      <c r="Y209" s="143"/>
      <c r="Z209" s="143"/>
    </row>
    <row r="210" ht="13.5" customHeight="1">
      <c r="A210" s="143"/>
      <c r="B210" s="143"/>
      <c r="C210" s="143"/>
      <c r="D210" s="143"/>
      <c r="E210" s="143"/>
      <c r="F210" s="143"/>
      <c r="G210" s="143"/>
      <c r="H210" s="143"/>
      <c r="I210" s="143"/>
      <c r="J210" s="143"/>
      <c r="K210" s="143"/>
      <c r="L210" s="143"/>
      <c r="M210" s="143"/>
      <c r="N210" s="143"/>
      <c r="O210" s="143"/>
      <c r="P210" s="143"/>
      <c r="Q210" s="159"/>
      <c r="R210" s="159"/>
      <c r="S210" s="159"/>
      <c r="T210" s="212"/>
      <c r="U210" s="143"/>
      <c r="V210" s="143"/>
      <c r="W210" s="143"/>
      <c r="X210" s="143"/>
      <c r="Y210" s="143"/>
      <c r="Z210" s="143"/>
    </row>
    <row r="211" ht="13.5" customHeight="1">
      <c r="A211" s="143"/>
      <c r="B211" s="143"/>
      <c r="C211" s="143"/>
      <c r="D211" s="143"/>
      <c r="E211" s="143"/>
      <c r="F211" s="143"/>
      <c r="G211" s="143"/>
      <c r="H211" s="143"/>
      <c r="I211" s="143"/>
      <c r="J211" s="143"/>
      <c r="K211" s="143"/>
      <c r="L211" s="143"/>
      <c r="M211" s="143"/>
      <c r="N211" s="143"/>
      <c r="O211" s="143"/>
      <c r="P211" s="143"/>
      <c r="Q211" s="159"/>
      <c r="R211" s="159"/>
      <c r="S211" s="159"/>
      <c r="T211" s="212"/>
      <c r="U211" s="143"/>
      <c r="V211" s="143"/>
      <c r="W211" s="143"/>
      <c r="X211" s="143"/>
      <c r="Y211" s="143"/>
      <c r="Z211" s="143"/>
    </row>
    <row r="212" ht="13.5" customHeight="1">
      <c r="A212" s="143"/>
      <c r="B212" s="143"/>
      <c r="C212" s="143"/>
      <c r="D212" s="143"/>
      <c r="E212" s="143"/>
      <c r="F212" s="143"/>
      <c r="G212" s="143"/>
      <c r="H212" s="143"/>
      <c r="I212" s="143"/>
      <c r="J212" s="143"/>
      <c r="K212" s="143"/>
      <c r="L212" s="143"/>
      <c r="M212" s="143"/>
      <c r="N212" s="143"/>
      <c r="O212" s="143"/>
      <c r="P212" s="143"/>
      <c r="Q212" s="159"/>
      <c r="R212" s="159"/>
      <c r="S212" s="159"/>
      <c r="T212" s="212"/>
      <c r="U212" s="143"/>
      <c r="V212" s="143"/>
      <c r="W212" s="143"/>
      <c r="X212" s="143"/>
      <c r="Y212" s="143"/>
      <c r="Z212" s="143"/>
    </row>
    <row r="213" ht="13.5" customHeight="1">
      <c r="A213" s="143"/>
      <c r="B213" s="143"/>
      <c r="C213" s="143"/>
      <c r="D213" s="143"/>
      <c r="E213" s="143"/>
      <c r="F213" s="143"/>
      <c r="G213" s="143"/>
      <c r="H213" s="143"/>
      <c r="I213" s="143"/>
      <c r="J213" s="143"/>
      <c r="K213" s="143"/>
      <c r="L213" s="143"/>
      <c r="M213" s="143"/>
      <c r="N213" s="143"/>
      <c r="O213" s="143"/>
      <c r="P213" s="143"/>
      <c r="Q213" s="159"/>
      <c r="R213" s="159"/>
      <c r="S213" s="159"/>
      <c r="T213" s="212"/>
      <c r="U213" s="143"/>
      <c r="V213" s="143"/>
      <c r="W213" s="143"/>
      <c r="X213" s="143"/>
      <c r="Y213" s="143"/>
      <c r="Z213" s="143"/>
    </row>
    <row r="214" ht="13.5" customHeight="1">
      <c r="A214" s="143"/>
      <c r="B214" s="143"/>
      <c r="C214" s="143"/>
      <c r="D214" s="143"/>
      <c r="E214" s="143"/>
      <c r="F214" s="143"/>
      <c r="G214" s="143"/>
      <c r="H214" s="143"/>
      <c r="I214" s="143"/>
      <c r="J214" s="143"/>
      <c r="K214" s="143"/>
      <c r="L214" s="143"/>
      <c r="M214" s="143"/>
      <c r="N214" s="143"/>
      <c r="O214" s="143"/>
      <c r="P214" s="143"/>
      <c r="Q214" s="159"/>
      <c r="R214" s="159"/>
      <c r="S214" s="159"/>
      <c r="T214" s="212"/>
      <c r="U214" s="143"/>
      <c r="V214" s="143"/>
      <c r="W214" s="143"/>
      <c r="X214" s="143"/>
      <c r="Y214" s="143"/>
      <c r="Z214" s="143"/>
    </row>
    <row r="215" ht="13.5" customHeight="1">
      <c r="A215" s="143"/>
      <c r="B215" s="143"/>
      <c r="C215" s="143"/>
      <c r="D215" s="143"/>
      <c r="E215" s="143"/>
      <c r="F215" s="143"/>
      <c r="G215" s="143"/>
      <c r="H215" s="143"/>
      <c r="I215" s="143"/>
      <c r="J215" s="143"/>
      <c r="K215" s="143"/>
      <c r="L215" s="143"/>
      <c r="M215" s="143"/>
      <c r="N215" s="143"/>
      <c r="O215" s="143"/>
      <c r="P215" s="143"/>
      <c r="Q215" s="159"/>
      <c r="R215" s="159"/>
      <c r="S215" s="159"/>
      <c r="T215" s="212"/>
      <c r="U215" s="143"/>
      <c r="V215" s="143"/>
      <c r="W215" s="143"/>
      <c r="X215" s="143"/>
      <c r="Y215" s="143"/>
      <c r="Z215" s="143"/>
    </row>
    <row r="216" ht="13.5" customHeight="1">
      <c r="A216" s="143"/>
      <c r="B216" s="143"/>
      <c r="C216" s="143"/>
      <c r="D216" s="143"/>
      <c r="E216" s="143"/>
      <c r="F216" s="143"/>
      <c r="G216" s="143"/>
      <c r="H216" s="143"/>
      <c r="I216" s="143"/>
      <c r="J216" s="143"/>
      <c r="K216" s="143"/>
      <c r="L216" s="143"/>
      <c r="M216" s="143"/>
      <c r="N216" s="143"/>
      <c r="O216" s="143"/>
      <c r="P216" s="143"/>
      <c r="Q216" s="159"/>
      <c r="R216" s="159"/>
      <c r="S216" s="159"/>
      <c r="T216" s="212"/>
      <c r="U216" s="143"/>
      <c r="V216" s="143"/>
      <c r="W216" s="143"/>
      <c r="X216" s="143"/>
      <c r="Y216" s="143"/>
      <c r="Z216" s="143"/>
    </row>
    <row r="217" ht="13.5" customHeight="1">
      <c r="A217" s="143"/>
      <c r="B217" s="143"/>
      <c r="C217" s="143"/>
      <c r="D217" s="143"/>
      <c r="E217" s="143"/>
      <c r="F217" s="143"/>
      <c r="G217" s="143"/>
      <c r="H217" s="143"/>
      <c r="I217" s="143"/>
      <c r="J217" s="143"/>
      <c r="K217" s="143"/>
      <c r="L217" s="143"/>
      <c r="M217" s="143"/>
      <c r="N217" s="143"/>
      <c r="O217" s="143"/>
      <c r="P217" s="143"/>
      <c r="Q217" s="159"/>
      <c r="R217" s="159"/>
      <c r="S217" s="159"/>
      <c r="T217" s="212"/>
      <c r="U217" s="143"/>
      <c r="V217" s="143"/>
      <c r="W217" s="143"/>
      <c r="X217" s="143"/>
      <c r="Y217" s="143"/>
      <c r="Z217" s="143"/>
    </row>
    <row r="218" ht="13.5" customHeight="1">
      <c r="A218" s="143"/>
      <c r="B218" s="143"/>
      <c r="C218" s="143"/>
      <c r="D218" s="143"/>
      <c r="E218" s="143"/>
      <c r="F218" s="143"/>
      <c r="G218" s="143"/>
      <c r="H218" s="143"/>
      <c r="I218" s="143"/>
      <c r="J218" s="143"/>
      <c r="K218" s="143"/>
      <c r="L218" s="143"/>
      <c r="M218" s="143"/>
      <c r="N218" s="143"/>
      <c r="O218" s="143"/>
      <c r="P218" s="143"/>
      <c r="Q218" s="159"/>
      <c r="R218" s="159"/>
      <c r="S218" s="159"/>
      <c r="T218" s="212"/>
      <c r="U218" s="143"/>
      <c r="V218" s="143"/>
      <c r="W218" s="143"/>
      <c r="X218" s="143"/>
      <c r="Y218" s="143"/>
      <c r="Z218" s="143"/>
    </row>
    <row r="219" ht="13.5" customHeight="1">
      <c r="A219" s="143"/>
      <c r="B219" s="143"/>
      <c r="C219" s="143"/>
      <c r="D219" s="143"/>
      <c r="E219" s="143"/>
      <c r="F219" s="143"/>
      <c r="G219" s="143"/>
      <c r="H219" s="143"/>
      <c r="I219" s="143"/>
      <c r="J219" s="143"/>
      <c r="K219" s="143"/>
      <c r="L219" s="143"/>
      <c r="M219" s="143"/>
      <c r="N219" s="143"/>
      <c r="O219" s="143"/>
      <c r="P219" s="143"/>
      <c r="Q219" s="159"/>
      <c r="R219" s="159"/>
      <c r="S219" s="159"/>
      <c r="T219" s="212"/>
      <c r="U219" s="143"/>
      <c r="V219" s="143"/>
      <c r="W219" s="143"/>
      <c r="X219" s="143"/>
      <c r="Y219" s="143"/>
      <c r="Z219" s="143"/>
    </row>
    <row r="220" ht="13.5" customHeight="1">
      <c r="A220" s="143"/>
      <c r="B220" s="143"/>
      <c r="C220" s="143"/>
      <c r="D220" s="143"/>
      <c r="E220" s="143"/>
      <c r="F220" s="143"/>
      <c r="G220" s="143"/>
      <c r="H220" s="143"/>
      <c r="I220" s="143"/>
      <c r="J220" s="143"/>
      <c r="K220" s="143"/>
      <c r="L220" s="143"/>
      <c r="M220" s="143"/>
      <c r="N220" s="143"/>
      <c r="O220" s="143"/>
      <c r="P220" s="143"/>
      <c r="Q220" s="159"/>
      <c r="R220" s="159"/>
      <c r="S220" s="159"/>
      <c r="T220" s="212"/>
      <c r="U220" s="143"/>
      <c r="V220" s="143"/>
      <c r="W220" s="143"/>
      <c r="X220" s="143"/>
      <c r="Y220" s="143"/>
      <c r="Z220" s="143"/>
    </row>
    <row r="221" ht="13.5" customHeight="1">
      <c r="A221" s="143"/>
      <c r="B221" s="143"/>
      <c r="C221" s="143"/>
      <c r="D221" s="143"/>
      <c r="E221" s="143"/>
      <c r="F221" s="143"/>
      <c r="G221" s="143"/>
      <c r="H221" s="143"/>
      <c r="I221" s="143"/>
      <c r="J221" s="143"/>
      <c r="K221" s="143"/>
      <c r="L221" s="143"/>
      <c r="M221" s="143"/>
      <c r="N221" s="143"/>
      <c r="O221" s="143"/>
      <c r="P221" s="143"/>
      <c r="Q221" s="159"/>
      <c r="R221" s="159"/>
      <c r="S221" s="159"/>
      <c r="T221" s="212"/>
      <c r="U221" s="143"/>
      <c r="V221" s="143"/>
      <c r="W221" s="143"/>
      <c r="X221" s="143"/>
      <c r="Y221" s="143"/>
      <c r="Z221" s="143"/>
    </row>
    <row r="222" ht="13.5" customHeight="1">
      <c r="A222" s="143"/>
      <c r="B222" s="143"/>
      <c r="C222" s="143"/>
      <c r="D222" s="143"/>
      <c r="E222" s="143"/>
      <c r="F222" s="143"/>
      <c r="G222" s="143"/>
      <c r="H222" s="143"/>
      <c r="I222" s="143"/>
      <c r="J222" s="143"/>
      <c r="K222" s="143"/>
      <c r="L222" s="143"/>
      <c r="M222" s="143"/>
      <c r="N222" s="143"/>
      <c r="O222" s="143"/>
      <c r="P222" s="143"/>
      <c r="Q222" s="159"/>
      <c r="R222" s="159"/>
      <c r="S222" s="159"/>
      <c r="T222" s="212"/>
      <c r="U222" s="143"/>
      <c r="V222" s="143"/>
      <c r="W222" s="143"/>
      <c r="X222" s="143"/>
      <c r="Y222" s="143"/>
      <c r="Z222" s="143"/>
    </row>
    <row r="223" ht="13.5" customHeight="1">
      <c r="A223" s="143"/>
      <c r="B223" s="143"/>
      <c r="C223" s="143"/>
      <c r="D223" s="143"/>
      <c r="E223" s="143"/>
      <c r="F223" s="143"/>
      <c r="G223" s="143"/>
      <c r="H223" s="143"/>
      <c r="I223" s="143"/>
      <c r="J223" s="143"/>
      <c r="K223" s="143"/>
      <c r="L223" s="143"/>
      <c r="M223" s="143"/>
      <c r="N223" s="143"/>
      <c r="O223" s="143"/>
      <c r="P223" s="143"/>
      <c r="Q223" s="159"/>
      <c r="R223" s="159"/>
      <c r="S223" s="159"/>
      <c r="T223" s="212"/>
      <c r="U223" s="143"/>
      <c r="V223" s="143"/>
      <c r="W223" s="143"/>
      <c r="X223" s="143"/>
      <c r="Y223" s="143"/>
      <c r="Z223" s="143"/>
    </row>
    <row r="224" ht="13.5" customHeight="1">
      <c r="A224" s="2"/>
      <c r="B224" s="2"/>
      <c r="C224" s="2"/>
      <c r="D224" s="2"/>
      <c r="E224" s="2"/>
      <c r="F224" s="2"/>
      <c r="G224" s="2"/>
      <c r="H224" s="2"/>
      <c r="I224" s="2"/>
      <c r="J224" s="2"/>
      <c r="K224" s="2"/>
      <c r="L224" s="2"/>
      <c r="M224" s="2"/>
      <c r="N224" s="2"/>
      <c r="O224" s="2"/>
      <c r="P224" s="2"/>
      <c r="Q224" s="144"/>
      <c r="R224" s="144"/>
      <c r="S224" s="144"/>
      <c r="T224" s="214"/>
      <c r="U224" s="2"/>
      <c r="V224" s="2"/>
      <c r="W224" s="2"/>
      <c r="X224" s="2"/>
      <c r="Y224" s="2"/>
      <c r="Z224" s="2"/>
    </row>
    <row r="225" ht="13.5" customHeight="1">
      <c r="A225" s="2"/>
      <c r="B225" s="2"/>
      <c r="C225" s="2"/>
      <c r="D225" s="2"/>
      <c r="E225" s="2"/>
      <c r="F225" s="2"/>
      <c r="G225" s="2"/>
      <c r="H225" s="2"/>
      <c r="I225" s="2"/>
      <c r="J225" s="2"/>
      <c r="K225" s="2"/>
      <c r="L225" s="2"/>
      <c r="M225" s="2"/>
      <c r="N225" s="2"/>
      <c r="O225" s="2"/>
      <c r="P225" s="2"/>
      <c r="Q225" s="144"/>
      <c r="R225" s="144"/>
      <c r="S225" s="144"/>
      <c r="T225" s="214"/>
      <c r="U225" s="2"/>
      <c r="V225" s="2"/>
      <c r="W225" s="2"/>
      <c r="X225" s="2"/>
      <c r="Y225" s="2"/>
      <c r="Z225" s="2"/>
    </row>
    <row r="226" ht="13.5" customHeight="1">
      <c r="A226" s="2"/>
      <c r="B226" s="2"/>
      <c r="C226" s="2"/>
      <c r="D226" s="2"/>
      <c r="E226" s="2"/>
      <c r="F226" s="2"/>
      <c r="G226" s="2"/>
      <c r="H226" s="2"/>
      <c r="I226" s="2"/>
      <c r="J226" s="2"/>
      <c r="K226" s="2"/>
      <c r="L226" s="2"/>
      <c r="M226" s="2"/>
      <c r="N226" s="2"/>
      <c r="O226" s="2"/>
      <c r="P226" s="2"/>
      <c r="Q226" s="144"/>
      <c r="R226" s="144"/>
      <c r="S226" s="144"/>
      <c r="T226" s="214"/>
      <c r="U226" s="2"/>
      <c r="V226" s="2"/>
      <c r="W226" s="2"/>
      <c r="X226" s="2"/>
      <c r="Y226" s="2"/>
      <c r="Z226" s="2"/>
    </row>
    <row r="227" ht="13.5" customHeight="1">
      <c r="A227" s="2"/>
      <c r="B227" s="2"/>
      <c r="C227" s="2"/>
      <c r="D227" s="2"/>
      <c r="E227" s="2"/>
      <c r="F227" s="2"/>
      <c r="G227" s="2"/>
      <c r="H227" s="2"/>
      <c r="I227" s="2"/>
      <c r="J227" s="2"/>
      <c r="K227" s="2"/>
      <c r="L227" s="2"/>
      <c r="M227" s="2"/>
      <c r="N227" s="2"/>
      <c r="O227" s="2"/>
      <c r="P227" s="2"/>
      <c r="Q227" s="144"/>
      <c r="R227" s="144"/>
      <c r="S227" s="144"/>
      <c r="T227" s="214"/>
      <c r="U227" s="2"/>
      <c r="V227" s="2"/>
      <c r="W227" s="2"/>
      <c r="X227" s="2"/>
      <c r="Y227" s="2"/>
      <c r="Z227" s="2"/>
    </row>
    <row r="228" ht="13.5" customHeight="1">
      <c r="A228" s="2"/>
      <c r="B228" s="2"/>
      <c r="C228" s="2"/>
      <c r="D228" s="2"/>
      <c r="E228" s="2"/>
      <c r="F228" s="2"/>
      <c r="G228" s="2"/>
      <c r="H228" s="2"/>
      <c r="I228" s="2"/>
      <c r="J228" s="2"/>
      <c r="K228" s="2"/>
      <c r="L228" s="2"/>
      <c r="M228" s="2"/>
      <c r="N228" s="2"/>
      <c r="O228" s="2"/>
      <c r="P228" s="2"/>
      <c r="Q228" s="144"/>
      <c r="R228" s="144"/>
      <c r="S228" s="144"/>
      <c r="T228" s="214"/>
      <c r="U228" s="2"/>
      <c r="V228" s="2"/>
      <c r="W228" s="2"/>
      <c r="X228" s="2"/>
      <c r="Y228" s="2"/>
      <c r="Z228" s="2"/>
    </row>
    <row r="229" ht="13.5" customHeight="1">
      <c r="A229" s="2"/>
      <c r="B229" s="2"/>
      <c r="C229" s="2"/>
      <c r="D229" s="2"/>
      <c r="E229" s="2"/>
      <c r="F229" s="2"/>
      <c r="G229" s="2"/>
      <c r="H229" s="2"/>
      <c r="I229" s="2"/>
      <c r="J229" s="2"/>
      <c r="K229" s="2"/>
      <c r="L229" s="2"/>
      <c r="M229" s="2"/>
      <c r="N229" s="2"/>
      <c r="O229" s="2"/>
      <c r="P229" s="2"/>
      <c r="Q229" s="144"/>
      <c r="R229" s="144"/>
      <c r="S229" s="144"/>
      <c r="T229" s="214"/>
      <c r="U229" s="2"/>
      <c r="V229" s="2"/>
      <c r="W229" s="2"/>
      <c r="X229" s="2"/>
      <c r="Y229" s="2"/>
      <c r="Z229" s="2"/>
    </row>
    <row r="230" ht="13.5" customHeight="1">
      <c r="A230" s="2"/>
      <c r="B230" s="2"/>
      <c r="C230" s="2"/>
      <c r="D230" s="2"/>
      <c r="E230" s="2"/>
      <c r="F230" s="2"/>
      <c r="G230" s="2"/>
      <c r="H230" s="2"/>
      <c r="I230" s="2"/>
      <c r="J230" s="2"/>
      <c r="K230" s="2"/>
      <c r="L230" s="2"/>
      <c r="M230" s="2"/>
      <c r="N230" s="2"/>
      <c r="O230" s="2"/>
      <c r="P230" s="2"/>
      <c r="Q230" s="144"/>
      <c r="R230" s="144"/>
      <c r="S230" s="144"/>
      <c r="T230" s="214"/>
      <c r="U230" s="2"/>
      <c r="V230" s="2"/>
      <c r="W230" s="2"/>
      <c r="X230" s="2"/>
      <c r="Y230" s="2"/>
      <c r="Z230" s="2"/>
    </row>
    <row r="231" ht="13.5" customHeight="1">
      <c r="A231" s="2"/>
      <c r="B231" s="2"/>
      <c r="C231" s="2"/>
      <c r="D231" s="2"/>
      <c r="E231" s="2"/>
      <c r="F231" s="2"/>
      <c r="G231" s="2"/>
      <c r="H231" s="2"/>
      <c r="I231" s="2"/>
      <c r="J231" s="2"/>
      <c r="K231" s="2"/>
      <c r="L231" s="2"/>
      <c r="M231" s="2"/>
      <c r="N231" s="2"/>
      <c r="O231" s="2"/>
      <c r="P231" s="2"/>
      <c r="Q231" s="144"/>
      <c r="R231" s="144"/>
      <c r="S231" s="144"/>
      <c r="T231" s="214"/>
      <c r="U231" s="2"/>
      <c r="V231" s="2"/>
      <c r="W231" s="2"/>
      <c r="X231" s="2"/>
      <c r="Y231" s="2"/>
      <c r="Z231" s="2"/>
    </row>
    <row r="232" ht="13.5" customHeight="1">
      <c r="A232" s="2"/>
      <c r="B232" s="2"/>
      <c r="C232" s="2"/>
      <c r="D232" s="2"/>
      <c r="E232" s="2"/>
      <c r="F232" s="2"/>
      <c r="G232" s="2"/>
      <c r="H232" s="2"/>
      <c r="I232" s="2"/>
      <c r="J232" s="2"/>
      <c r="K232" s="2"/>
      <c r="L232" s="2"/>
      <c r="M232" s="2"/>
      <c r="N232" s="2"/>
      <c r="O232" s="2"/>
      <c r="P232" s="2"/>
      <c r="Q232" s="144"/>
      <c r="R232" s="144"/>
      <c r="S232" s="144"/>
      <c r="T232" s="214"/>
      <c r="U232" s="2"/>
      <c r="V232" s="2"/>
      <c r="W232" s="2"/>
      <c r="X232" s="2"/>
      <c r="Y232" s="2"/>
      <c r="Z232" s="2"/>
    </row>
    <row r="233" ht="13.5" customHeight="1">
      <c r="A233" s="2"/>
      <c r="B233" s="2"/>
      <c r="C233" s="2"/>
      <c r="D233" s="2"/>
      <c r="E233" s="2"/>
      <c r="F233" s="2"/>
      <c r="G233" s="2"/>
      <c r="H233" s="2"/>
      <c r="I233" s="2"/>
      <c r="J233" s="2"/>
      <c r="K233" s="2"/>
      <c r="L233" s="2"/>
      <c r="M233" s="2"/>
      <c r="N233" s="2"/>
      <c r="O233" s="2"/>
      <c r="P233" s="2"/>
      <c r="Q233" s="144"/>
      <c r="R233" s="144"/>
      <c r="S233" s="144"/>
      <c r="T233" s="214"/>
      <c r="U233" s="2"/>
      <c r="V233" s="2"/>
      <c r="W233" s="2"/>
      <c r="X233" s="2"/>
      <c r="Y233" s="2"/>
      <c r="Z233" s="2"/>
    </row>
    <row r="234" ht="13.5" customHeight="1">
      <c r="A234" s="2"/>
      <c r="B234" s="2"/>
      <c r="C234" s="2"/>
      <c r="D234" s="2"/>
      <c r="E234" s="2"/>
      <c r="F234" s="2"/>
      <c r="G234" s="2"/>
      <c r="H234" s="2"/>
      <c r="I234" s="2"/>
      <c r="J234" s="2"/>
      <c r="K234" s="2"/>
      <c r="L234" s="2"/>
      <c r="M234" s="2"/>
      <c r="N234" s="2"/>
      <c r="O234" s="2"/>
      <c r="P234" s="2"/>
      <c r="Q234" s="144"/>
      <c r="R234" s="144"/>
      <c r="S234" s="144"/>
      <c r="T234" s="214"/>
      <c r="U234" s="2"/>
      <c r="V234" s="2"/>
      <c r="W234" s="2"/>
      <c r="X234" s="2"/>
      <c r="Y234" s="2"/>
      <c r="Z234" s="2"/>
    </row>
    <row r="235" ht="13.5" customHeight="1">
      <c r="A235" s="2"/>
      <c r="B235" s="2"/>
      <c r="C235" s="2"/>
      <c r="D235" s="2"/>
      <c r="E235" s="2"/>
      <c r="F235" s="2"/>
      <c r="G235" s="2"/>
      <c r="H235" s="2"/>
      <c r="I235" s="2"/>
      <c r="J235" s="2"/>
      <c r="K235" s="2"/>
      <c r="L235" s="2"/>
      <c r="M235" s="2"/>
      <c r="N235" s="2"/>
      <c r="O235" s="2"/>
      <c r="P235" s="2"/>
      <c r="Q235" s="144"/>
      <c r="R235" s="144"/>
      <c r="S235" s="144"/>
      <c r="T235" s="214"/>
      <c r="U235" s="2"/>
      <c r="V235" s="2"/>
      <c r="W235" s="2"/>
      <c r="X235" s="2"/>
      <c r="Y235" s="2"/>
      <c r="Z235" s="2"/>
    </row>
    <row r="236" ht="13.5" customHeight="1">
      <c r="A236" s="2"/>
      <c r="B236" s="2"/>
      <c r="C236" s="2"/>
      <c r="D236" s="2"/>
      <c r="E236" s="2"/>
      <c r="F236" s="2"/>
      <c r="G236" s="2"/>
      <c r="H236" s="2"/>
      <c r="I236" s="2"/>
      <c r="J236" s="2"/>
      <c r="K236" s="2"/>
      <c r="L236" s="2"/>
      <c r="M236" s="2"/>
      <c r="N236" s="2"/>
      <c r="O236" s="2"/>
      <c r="P236" s="2"/>
      <c r="Q236" s="144"/>
      <c r="R236" s="144"/>
      <c r="S236" s="144"/>
      <c r="T236" s="214"/>
      <c r="U236" s="2"/>
      <c r="V236" s="2"/>
      <c r="W236" s="2"/>
      <c r="X236" s="2"/>
      <c r="Y236" s="2"/>
      <c r="Z236" s="2"/>
    </row>
    <row r="237" ht="13.5" customHeight="1">
      <c r="A237" s="2"/>
      <c r="B237" s="2"/>
      <c r="C237" s="2"/>
      <c r="D237" s="2"/>
      <c r="E237" s="2"/>
      <c r="F237" s="2"/>
      <c r="G237" s="2"/>
      <c r="H237" s="2"/>
      <c r="I237" s="2"/>
      <c r="J237" s="2"/>
      <c r="K237" s="2"/>
      <c r="L237" s="2"/>
      <c r="M237" s="2"/>
      <c r="N237" s="2"/>
      <c r="O237" s="2"/>
      <c r="P237" s="2"/>
      <c r="Q237" s="144"/>
      <c r="R237" s="144"/>
      <c r="S237" s="144"/>
      <c r="T237" s="214"/>
      <c r="U237" s="2"/>
      <c r="V237" s="2"/>
      <c r="W237" s="2"/>
      <c r="X237" s="2"/>
      <c r="Y237" s="2"/>
      <c r="Z237" s="2"/>
    </row>
    <row r="238" ht="13.5" customHeight="1">
      <c r="A238" s="2"/>
      <c r="B238" s="2"/>
      <c r="C238" s="2"/>
      <c r="D238" s="2"/>
      <c r="E238" s="2"/>
      <c r="F238" s="2"/>
      <c r="G238" s="2"/>
      <c r="H238" s="2"/>
      <c r="I238" s="2"/>
      <c r="J238" s="2"/>
      <c r="K238" s="2"/>
      <c r="L238" s="2"/>
      <c r="M238" s="2"/>
      <c r="N238" s="2"/>
      <c r="O238" s="2"/>
      <c r="P238" s="2"/>
      <c r="Q238" s="144"/>
      <c r="R238" s="144"/>
      <c r="S238" s="144"/>
      <c r="T238" s="214"/>
      <c r="U238" s="2"/>
      <c r="V238" s="2"/>
      <c r="W238" s="2"/>
      <c r="X238" s="2"/>
      <c r="Y238" s="2"/>
      <c r="Z238" s="2"/>
    </row>
    <row r="239" ht="13.5" customHeight="1">
      <c r="A239" s="2"/>
      <c r="B239" s="2"/>
      <c r="C239" s="2"/>
      <c r="D239" s="2"/>
      <c r="E239" s="2"/>
      <c r="F239" s="2"/>
      <c r="G239" s="2"/>
      <c r="H239" s="2"/>
      <c r="I239" s="2"/>
      <c r="J239" s="2"/>
      <c r="K239" s="2"/>
      <c r="L239" s="2"/>
      <c r="M239" s="2"/>
      <c r="N239" s="2"/>
      <c r="O239" s="2"/>
      <c r="P239" s="2"/>
      <c r="Q239" s="144"/>
      <c r="R239" s="144"/>
      <c r="S239" s="144"/>
      <c r="T239" s="214"/>
      <c r="U239" s="2"/>
      <c r="V239" s="2"/>
      <c r="W239" s="2"/>
      <c r="X239" s="2"/>
      <c r="Y239" s="2"/>
      <c r="Z239" s="2"/>
    </row>
    <row r="240" ht="13.5" customHeight="1">
      <c r="A240" s="2"/>
      <c r="B240" s="2"/>
      <c r="C240" s="2"/>
      <c r="D240" s="2"/>
      <c r="E240" s="2"/>
      <c r="F240" s="2"/>
      <c r="G240" s="2"/>
      <c r="H240" s="2"/>
      <c r="I240" s="2"/>
      <c r="J240" s="2"/>
      <c r="K240" s="2"/>
      <c r="L240" s="2"/>
      <c r="M240" s="2"/>
      <c r="N240" s="2"/>
      <c r="O240" s="2"/>
      <c r="P240" s="2"/>
      <c r="Q240" s="144"/>
      <c r="R240" s="144"/>
      <c r="S240" s="144"/>
      <c r="T240" s="214"/>
      <c r="U240" s="2"/>
      <c r="V240" s="2"/>
      <c r="W240" s="2"/>
      <c r="X240" s="2"/>
      <c r="Y240" s="2"/>
      <c r="Z240" s="2"/>
    </row>
    <row r="241" ht="13.5" customHeight="1">
      <c r="A241" s="2"/>
      <c r="B241" s="2"/>
      <c r="C241" s="2"/>
      <c r="D241" s="2"/>
      <c r="E241" s="2"/>
      <c r="F241" s="2"/>
      <c r="G241" s="2"/>
      <c r="H241" s="2"/>
      <c r="I241" s="2"/>
      <c r="J241" s="2"/>
      <c r="K241" s="2"/>
      <c r="L241" s="2"/>
      <c r="M241" s="2"/>
      <c r="N241" s="2"/>
      <c r="O241" s="2"/>
      <c r="P241" s="2"/>
      <c r="Q241" s="144"/>
      <c r="R241" s="144"/>
      <c r="S241" s="144"/>
      <c r="T241" s="214"/>
      <c r="U241" s="2"/>
      <c r="V241" s="2"/>
      <c r="W241" s="2"/>
      <c r="X241" s="2"/>
      <c r="Y241" s="2"/>
      <c r="Z241" s="2"/>
    </row>
    <row r="242" ht="13.5" customHeight="1">
      <c r="A242" s="2"/>
      <c r="B242" s="2"/>
      <c r="C242" s="2"/>
      <c r="D242" s="2"/>
      <c r="E242" s="2"/>
      <c r="F242" s="2"/>
      <c r="G242" s="2"/>
      <c r="H242" s="2"/>
      <c r="I242" s="2"/>
      <c r="J242" s="2"/>
      <c r="K242" s="2"/>
      <c r="L242" s="2"/>
      <c r="M242" s="2"/>
      <c r="N242" s="2"/>
      <c r="O242" s="2"/>
      <c r="P242" s="2"/>
      <c r="Q242" s="144"/>
      <c r="R242" s="144"/>
      <c r="S242" s="144"/>
      <c r="T242" s="214"/>
      <c r="U242" s="2"/>
      <c r="V242" s="2"/>
      <c r="W242" s="2"/>
      <c r="X242" s="2"/>
      <c r="Y242" s="2"/>
      <c r="Z242" s="2"/>
    </row>
    <row r="243" ht="13.5" customHeight="1">
      <c r="A243" s="2"/>
      <c r="B243" s="2"/>
      <c r="C243" s="2"/>
      <c r="D243" s="2"/>
      <c r="E243" s="2"/>
      <c r="F243" s="2"/>
      <c r="G243" s="2"/>
      <c r="H243" s="2"/>
      <c r="I243" s="2"/>
      <c r="J243" s="2"/>
      <c r="K243" s="2"/>
      <c r="L243" s="2"/>
      <c r="M243" s="2"/>
      <c r="N243" s="2"/>
      <c r="O243" s="2"/>
      <c r="P243" s="2"/>
      <c r="Q243" s="144"/>
      <c r="R243" s="144"/>
      <c r="S243" s="144"/>
      <c r="T243" s="214"/>
      <c r="U243" s="2"/>
      <c r="V243" s="2"/>
      <c r="W243" s="2"/>
      <c r="X243" s="2"/>
      <c r="Y243" s="2"/>
      <c r="Z243" s="2"/>
    </row>
    <row r="244" ht="13.5" customHeight="1">
      <c r="A244" s="2"/>
      <c r="B244" s="2"/>
      <c r="C244" s="2"/>
      <c r="D244" s="2"/>
      <c r="E244" s="2"/>
      <c r="F244" s="2"/>
      <c r="G244" s="2"/>
      <c r="H244" s="2"/>
      <c r="I244" s="2"/>
      <c r="J244" s="2"/>
      <c r="K244" s="2"/>
      <c r="L244" s="2"/>
      <c r="M244" s="2"/>
      <c r="N244" s="2"/>
      <c r="O244" s="2"/>
      <c r="P244" s="2"/>
      <c r="Q244" s="144"/>
      <c r="R244" s="144"/>
      <c r="S244" s="144"/>
      <c r="T244" s="214"/>
      <c r="U244" s="2"/>
      <c r="V244" s="2"/>
      <c r="W244" s="2"/>
      <c r="X244" s="2"/>
      <c r="Y244" s="2"/>
      <c r="Z244" s="2"/>
    </row>
    <row r="245" ht="13.5" customHeight="1">
      <c r="A245" s="2"/>
      <c r="B245" s="2"/>
      <c r="C245" s="2"/>
      <c r="D245" s="2"/>
      <c r="E245" s="2"/>
      <c r="F245" s="2"/>
      <c r="G245" s="2"/>
      <c r="H245" s="2"/>
      <c r="I245" s="2"/>
      <c r="J245" s="2"/>
      <c r="K245" s="2"/>
      <c r="L245" s="2"/>
      <c r="M245" s="2"/>
      <c r="N245" s="2"/>
      <c r="O245" s="2"/>
      <c r="P245" s="2"/>
      <c r="Q245" s="144"/>
      <c r="R245" s="144"/>
      <c r="S245" s="144"/>
      <c r="T245" s="214"/>
      <c r="U245" s="2"/>
      <c r="V245" s="2"/>
      <c r="W245" s="2"/>
      <c r="X245" s="2"/>
      <c r="Y245" s="2"/>
      <c r="Z245" s="2"/>
    </row>
    <row r="246" ht="13.5" customHeight="1">
      <c r="A246" s="2"/>
      <c r="B246" s="2"/>
      <c r="C246" s="2"/>
      <c r="D246" s="2"/>
      <c r="E246" s="2"/>
      <c r="F246" s="2"/>
      <c r="G246" s="2"/>
      <c r="H246" s="2"/>
      <c r="I246" s="2"/>
      <c r="J246" s="2"/>
      <c r="K246" s="2"/>
      <c r="L246" s="2"/>
      <c r="M246" s="2"/>
      <c r="N246" s="2"/>
      <c r="O246" s="2"/>
      <c r="P246" s="2"/>
      <c r="Q246" s="144"/>
      <c r="R246" s="144"/>
      <c r="S246" s="144"/>
      <c r="T246" s="214"/>
      <c r="U246" s="2"/>
      <c r="V246" s="2"/>
      <c r="W246" s="2"/>
      <c r="X246" s="2"/>
      <c r="Y246" s="2"/>
      <c r="Z246" s="2"/>
    </row>
    <row r="247" ht="13.5" customHeight="1">
      <c r="A247" s="2"/>
      <c r="B247" s="2"/>
      <c r="C247" s="2"/>
      <c r="D247" s="2"/>
      <c r="E247" s="2"/>
      <c r="F247" s="2"/>
      <c r="G247" s="2"/>
      <c r="H247" s="2"/>
      <c r="I247" s="2"/>
      <c r="J247" s="2"/>
      <c r="K247" s="2"/>
      <c r="L247" s="2"/>
      <c r="M247" s="2"/>
      <c r="N247" s="2"/>
      <c r="O247" s="2"/>
      <c r="P247" s="2"/>
      <c r="Q247" s="144"/>
      <c r="R247" s="144"/>
      <c r="S247" s="144"/>
      <c r="T247" s="214"/>
      <c r="U247" s="2"/>
      <c r="V247" s="2"/>
      <c r="W247" s="2"/>
      <c r="X247" s="2"/>
      <c r="Y247" s="2"/>
      <c r="Z247" s="2"/>
    </row>
    <row r="248" ht="13.5" customHeight="1">
      <c r="A248" s="2"/>
      <c r="B248" s="2"/>
      <c r="C248" s="2"/>
      <c r="D248" s="2"/>
      <c r="E248" s="2"/>
      <c r="F248" s="2"/>
      <c r="G248" s="2"/>
      <c r="H248" s="2"/>
      <c r="I248" s="2"/>
      <c r="J248" s="2"/>
      <c r="K248" s="2"/>
      <c r="L248" s="2"/>
      <c r="M248" s="2"/>
      <c r="N248" s="2"/>
      <c r="O248" s="2"/>
      <c r="P248" s="2"/>
      <c r="Q248" s="144"/>
      <c r="R248" s="144"/>
      <c r="S248" s="144"/>
      <c r="T248" s="214"/>
      <c r="U248" s="2"/>
      <c r="V248" s="2"/>
      <c r="W248" s="2"/>
      <c r="X248" s="2"/>
      <c r="Y248" s="2"/>
      <c r="Z248" s="2"/>
    </row>
    <row r="249" ht="13.5" customHeight="1">
      <c r="A249" s="2"/>
      <c r="B249" s="2"/>
      <c r="C249" s="2"/>
      <c r="D249" s="2"/>
      <c r="E249" s="2"/>
      <c r="F249" s="2"/>
      <c r="G249" s="2"/>
      <c r="H249" s="2"/>
      <c r="I249" s="2"/>
      <c r="J249" s="2"/>
      <c r="K249" s="2"/>
      <c r="L249" s="2"/>
      <c r="M249" s="2"/>
      <c r="N249" s="2"/>
      <c r="O249" s="2"/>
      <c r="P249" s="2"/>
      <c r="Q249" s="144"/>
      <c r="R249" s="144"/>
      <c r="S249" s="144"/>
      <c r="T249" s="214"/>
      <c r="U249" s="2"/>
      <c r="V249" s="2"/>
      <c r="W249" s="2"/>
      <c r="X249" s="2"/>
      <c r="Y249" s="2"/>
      <c r="Z249" s="2"/>
    </row>
    <row r="250" ht="13.5" customHeight="1">
      <c r="A250" s="2"/>
      <c r="B250" s="2"/>
      <c r="C250" s="2"/>
      <c r="D250" s="2"/>
      <c r="E250" s="2"/>
      <c r="F250" s="2"/>
      <c r="G250" s="2"/>
      <c r="H250" s="2"/>
      <c r="I250" s="2"/>
      <c r="J250" s="2"/>
      <c r="K250" s="2"/>
      <c r="L250" s="2"/>
      <c r="M250" s="2"/>
      <c r="N250" s="2"/>
      <c r="O250" s="2"/>
      <c r="P250" s="2"/>
      <c r="Q250" s="144"/>
      <c r="R250" s="144"/>
      <c r="S250" s="144"/>
      <c r="T250" s="214"/>
      <c r="U250" s="2"/>
      <c r="V250" s="2"/>
      <c r="W250" s="2"/>
      <c r="X250" s="2"/>
      <c r="Y250" s="2"/>
      <c r="Z250" s="2"/>
    </row>
    <row r="251" ht="13.5" customHeight="1">
      <c r="A251" s="2"/>
      <c r="B251" s="2"/>
      <c r="C251" s="2"/>
      <c r="D251" s="2"/>
      <c r="E251" s="2"/>
      <c r="F251" s="2"/>
      <c r="G251" s="2"/>
      <c r="H251" s="2"/>
      <c r="I251" s="2"/>
      <c r="J251" s="2"/>
      <c r="K251" s="2"/>
      <c r="L251" s="2"/>
      <c r="M251" s="2"/>
      <c r="N251" s="2"/>
      <c r="O251" s="2"/>
      <c r="P251" s="2"/>
      <c r="Q251" s="144"/>
      <c r="R251" s="144"/>
      <c r="S251" s="144"/>
      <c r="T251" s="214"/>
      <c r="U251" s="2"/>
      <c r="V251" s="2"/>
      <c r="W251" s="2"/>
      <c r="X251" s="2"/>
      <c r="Y251" s="2"/>
      <c r="Z251" s="2"/>
    </row>
    <row r="252" ht="13.5" customHeight="1">
      <c r="A252" s="2"/>
      <c r="B252" s="2"/>
      <c r="C252" s="2"/>
      <c r="D252" s="2"/>
      <c r="E252" s="2"/>
      <c r="F252" s="2"/>
      <c r="G252" s="2"/>
      <c r="H252" s="2"/>
      <c r="I252" s="2"/>
      <c r="J252" s="2"/>
      <c r="K252" s="2"/>
      <c r="L252" s="2"/>
      <c r="M252" s="2"/>
      <c r="N252" s="2"/>
      <c r="O252" s="2"/>
      <c r="P252" s="2"/>
      <c r="Q252" s="144"/>
      <c r="R252" s="144"/>
      <c r="S252" s="144"/>
      <c r="T252" s="214"/>
      <c r="U252" s="2"/>
      <c r="V252" s="2"/>
      <c r="W252" s="2"/>
      <c r="X252" s="2"/>
      <c r="Y252" s="2"/>
      <c r="Z252" s="2"/>
    </row>
    <row r="253" ht="13.5" customHeight="1">
      <c r="A253" s="2"/>
      <c r="B253" s="2"/>
      <c r="C253" s="2"/>
      <c r="D253" s="2"/>
      <c r="E253" s="2"/>
      <c r="F253" s="2"/>
      <c r="G253" s="2"/>
      <c r="H253" s="2"/>
      <c r="I253" s="2"/>
      <c r="J253" s="2"/>
      <c r="K253" s="2"/>
      <c r="L253" s="2"/>
      <c r="M253" s="2"/>
      <c r="N253" s="2"/>
      <c r="O253" s="2"/>
      <c r="P253" s="2"/>
      <c r="Q253" s="144"/>
      <c r="R253" s="144"/>
      <c r="S253" s="144"/>
      <c r="T253" s="214"/>
      <c r="U253" s="2"/>
      <c r="V253" s="2"/>
      <c r="W253" s="2"/>
      <c r="X253" s="2"/>
      <c r="Y253" s="2"/>
      <c r="Z253" s="2"/>
    </row>
    <row r="254" ht="13.5" customHeight="1">
      <c r="A254" s="2"/>
      <c r="B254" s="2"/>
      <c r="C254" s="2"/>
      <c r="D254" s="2"/>
      <c r="E254" s="2"/>
      <c r="F254" s="2"/>
      <c r="G254" s="2"/>
      <c r="H254" s="2"/>
      <c r="I254" s="2"/>
      <c r="J254" s="2"/>
      <c r="K254" s="2"/>
      <c r="L254" s="2"/>
      <c r="M254" s="2"/>
      <c r="N254" s="2"/>
      <c r="O254" s="2"/>
      <c r="P254" s="2"/>
      <c r="Q254" s="144"/>
      <c r="R254" s="144"/>
      <c r="S254" s="144"/>
      <c r="T254" s="214"/>
      <c r="U254" s="2"/>
      <c r="V254" s="2"/>
      <c r="W254" s="2"/>
      <c r="X254" s="2"/>
      <c r="Y254" s="2"/>
      <c r="Z254" s="2"/>
    </row>
    <row r="255" ht="13.5" customHeight="1">
      <c r="A255" s="2"/>
      <c r="B255" s="2"/>
      <c r="C255" s="2"/>
      <c r="D255" s="2"/>
      <c r="E255" s="2"/>
      <c r="F255" s="2"/>
      <c r="G255" s="2"/>
      <c r="H255" s="2"/>
      <c r="I255" s="2"/>
      <c r="J255" s="2"/>
      <c r="K255" s="2"/>
      <c r="L255" s="2"/>
      <c r="M255" s="2"/>
      <c r="N255" s="2"/>
      <c r="O255" s="2"/>
      <c r="P255" s="2"/>
      <c r="Q255" s="144"/>
      <c r="R255" s="144"/>
      <c r="S255" s="144"/>
      <c r="T255" s="214"/>
      <c r="U255" s="2"/>
      <c r="V255" s="2"/>
      <c r="W255" s="2"/>
      <c r="X255" s="2"/>
      <c r="Y255" s="2"/>
      <c r="Z255" s="2"/>
    </row>
    <row r="256" ht="13.5" customHeight="1">
      <c r="A256" s="2"/>
      <c r="B256" s="2"/>
      <c r="C256" s="2"/>
      <c r="D256" s="2"/>
      <c r="E256" s="2"/>
      <c r="F256" s="2"/>
      <c r="G256" s="2"/>
      <c r="H256" s="2"/>
      <c r="I256" s="2"/>
      <c r="J256" s="2"/>
      <c r="K256" s="2"/>
      <c r="L256" s="2"/>
      <c r="M256" s="2"/>
      <c r="N256" s="2"/>
      <c r="O256" s="2"/>
      <c r="P256" s="2"/>
      <c r="Q256" s="144"/>
      <c r="R256" s="144"/>
      <c r="S256" s="144"/>
      <c r="T256" s="214"/>
      <c r="U256" s="2"/>
      <c r="V256" s="2"/>
      <c r="W256" s="2"/>
      <c r="X256" s="2"/>
      <c r="Y256" s="2"/>
      <c r="Z256" s="2"/>
    </row>
    <row r="257" ht="13.5" customHeight="1">
      <c r="A257" s="2"/>
      <c r="B257" s="2"/>
      <c r="C257" s="2"/>
      <c r="D257" s="2"/>
      <c r="E257" s="2"/>
      <c r="F257" s="2"/>
      <c r="G257" s="2"/>
      <c r="H257" s="2"/>
      <c r="I257" s="2"/>
      <c r="J257" s="2"/>
      <c r="K257" s="2"/>
      <c r="L257" s="2"/>
      <c r="M257" s="2"/>
      <c r="N257" s="2"/>
      <c r="O257" s="2"/>
      <c r="P257" s="2"/>
      <c r="Q257" s="144"/>
      <c r="R257" s="144"/>
      <c r="S257" s="144"/>
      <c r="T257" s="214"/>
      <c r="U257" s="2"/>
      <c r="V257" s="2"/>
      <c r="W257" s="2"/>
      <c r="X257" s="2"/>
      <c r="Y257" s="2"/>
      <c r="Z257" s="2"/>
    </row>
    <row r="258" ht="13.5" customHeight="1">
      <c r="A258" s="2"/>
      <c r="B258" s="2"/>
      <c r="C258" s="2"/>
      <c r="D258" s="2"/>
      <c r="E258" s="2"/>
      <c r="F258" s="2"/>
      <c r="G258" s="2"/>
      <c r="H258" s="2"/>
      <c r="I258" s="2"/>
      <c r="J258" s="2"/>
      <c r="K258" s="2"/>
      <c r="L258" s="2"/>
      <c r="M258" s="2"/>
      <c r="N258" s="2"/>
      <c r="O258" s="2"/>
      <c r="P258" s="2"/>
      <c r="Q258" s="144"/>
      <c r="R258" s="144"/>
      <c r="S258" s="144"/>
      <c r="T258" s="214"/>
      <c r="U258" s="2"/>
      <c r="V258" s="2"/>
      <c r="W258" s="2"/>
      <c r="X258" s="2"/>
      <c r="Y258" s="2"/>
      <c r="Z258" s="2"/>
    </row>
    <row r="259" ht="13.5" customHeight="1">
      <c r="A259" s="2"/>
      <c r="B259" s="2"/>
      <c r="C259" s="2"/>
      <c r="D259" s="2"/>
      <c r="E259" s="2"/>
      <c r="F259" s="2"/>
      <c r="G259" s="2"/>
      <c r="H259" s="2"/>
      <c r="I259" s="2"/>
      <c r="J259" s="2"/>
      <c r="K259" s="2"/>
      <c r="L259" s="2"/>
      <c r="M259" s="2"/>
      <c r="N259" s="2"/>
      <c r="O259" s="2"/>
      <c r="P259" s="2"/>
      <c r="Q259" s="144"/>
      <c r="R259" s="144"/>
      <c r="S259" s="144"/>
      <c r="T259" s="214"/>
      <c r="U259" s="2"/>
      <c r="V259" s="2"/>
      <c r="W259" s="2"/>
      <c r="X259" s="2"/>
      <c r="Y259" s="2"/>
      <c r="Z259" s="2"/>
    </row>
    <row r="260" ht="13.5" customHeight="1">
      <c r="A260" s="2"/>
      <c r="B260" s="2"/>
      <c r="C260" s="2"/>
      <c r="D260" s="2"/>
      <c r="E260" s="2"/>
      <c r="F260" s="2"/>
      <c r="G260" s="2"/>
      <c r="H260" s="2"/>
      <c r="I260" s="2"/>
      <c r="J260" s="2"/>
      <c r="K260" s="2"/>
      <c r="L260" s="2"/>
      <c r="M260" s="2"/>
      <c r="N260" s="2"/>
      <c r="O260" s="2"/>
      <c r="P260" s="2"/>
      <c r="Q260" s="144"/>
      <c r="R260" s="144"/>
      <c r="S260" s="144"/>
      <c r="T260" s="214"/>
      <c r="U260" s="2"/>
      <c r="V260" s="2"/>
      <c r="W260" s="2"/>
      <c r="X260" s="2"/>
      <c r="Y260" s="2"/>
      <c r="Z260" s="2"/>
    </row>
    <row r="261" ht="13.5" customHeight="1">
      <c r="A261" s="2"/>
      <c r="B261" s="2"/>
      <c r="C261" s="2"/>
      <c r="D261" s="2"/>
      <c r="E261" s="2"/>
      <c r="F261" s="2"/>
      <c r="G261" s="2"/>
      <c r="H261" s="2"/>
      <c r="I261" s="2"/>
      <c r="J261" s="2"/>
      <c r="K261" s="2"/>
      <c r="L261" s="2"/>
      <c r="M261" s="2"/>
      <c r="N261" s="2"/>
      <c r="O261" s="2"/>
      <c r="P261" s="2"/>
      <c r="Q261" s="144"/>
      <c r="R261" s="144"/>
      <c r="S261" s="144"/>
      <c r="T261" s="214"/>
      <c r="U261" s="2"/>
      <c r="V261" s="2"/>
      <c r="W261" s="2"/>
      <c r="X261" s="2"/>
      <c r="Y261" s="2"/>
      <c r="Z261" s="2"/>
    </row>
    <row r="262" ht="13.5" customHeight="1">
      <c r="A262" s="2"/>
      <c r="B262" s="2"/>
      <c r="C262" s="2"/>
      <c r="D262" s="2"/>
      <c r="E262" s="2"/>
      <c r="F262" s="2"/>
      <c r="G262" s="2"/>
      <c r="H262" s="2"/>
      <c r="I262" s="2"/>
      <c r="J262" s="2"/>
      <c r="K262" s="2"/>
      <c r="L262" s="2"/>
      <c r="M262" s="2"/>
      <c r="N262" s="2"/>
      <c r="O262" s="2"/>
      <c r="P262" s="2"/>
      <c r="Q262" s="144"/>
      <c r="R262" s="144"/>
      <c r="S262" s="144"/>
      <c r="T262" s="214"/>
      <c r="U262" s="2"/>
      <c r="V262" s="2"/>
      <c r="W262" s="2"/>
      <c r="X262" s="2"/>
      <c r="Y262" s="2"/>
      <c r="Z262" s="2"/>
    </row>
    <row r="263" ht="13.5" customHeight="1">
      <c r="A263" s="2"/>
      <c r="B263" s="2"/>
      <c r="C263" s="2"/>
      <c r="D263" s="2"/>
      <c r="E263" s="2"/>
      <c r="F263" s="2"/>
      <c r="G263" s="2"/>
      <c r="H263" s="2"/>
      <c r="I263" s="2"/>
      <c r="J263" s="2"/>
      <c r="K263" s="2"/>
      <c r="L263" s="2"/>
      <c r="M263" s="2"/>
      <c r="N263" s="2"/>
      <c r="O263" s="2"/>
      <c r="P263" s="2"/>
      <c r="Q263" s="144"/>
      <c r="R263" s="144"/>
      <c r="S263" s="144"/>
      <c r="T263" s="214"/>
      <c r="U263" s="2"/>
      <c r="V263" s="2"/>
      <c r="W263" s="2"/>
      <c r="X263" s="2"/>
      <c r="Y263" s="2"/>
      <c r="Z263" s="2"/>
    </row>
    <row r="264" ht="13.5" customHeight="1">
      <c r="A264" s="2"/>
      <c r="B264" s="2"/>
      <c r="C264" s="2"/>
      <c r="D264" s="2"/>
      <c r="E264" s="2"/>
      <c r="F264" s="2"/>
      <c r="G264" s="2"/>
      <c r="H264" s="2"/>
      <c r="I264" s="2"/>
      <c r="J264" s="2"/>
      <c r="K264" s="2"/>
      <c r="L264" s="2"/>
      <c r="M264" s="2"/>
      <c r="N264" s="2"/>
      <c r="O264" s="2"/>
      <c r="P264" s="2"/>
      <c r="Q264" s="144"/>
      <c r="R264" s="144"/>
      <c r="S264" s="144"/>
      <c r="T264" s="214"/>
      <c r="U264" s="2"/>
      <c r="V264" s="2"/>
      <c r="W264" s="2"/>
      <c r="X264" s="2"/>
      <c r="Y264" s="2"/>
      <c r="Z264" s="2"/>
    </row>
    <row r="265" ht="13.5" customHeight="1">
      <c r="A265" s="2"/>
      <c r="B265" s="2"/>
      <c r="C265" s="2"/>
      <c r="D265" s="2"/>
      <c r="E265" s="2"/>
      <c r="F265" s="2"/>
      <c r="G265" s="2"/>
      <c r="H265" s="2"/>
      <c r="I265" s="2"/>
      <c r="J265" s="2"/>
      <c r="K265" s="2"/>
      <c r="L265" s="2"/>
      <c r="M265" s="2"/>
      <c r="N265" s="2"/>
      <c r="O265" s="2"/>
      <c r="P265" s="2"/>
      <c r="Q265" s="144"/>
      <c r="R265" s="144"/>
      <c r="S265" s="144"/>
      <c r="T265" s="214"/>
      <c r="U265" s="2"/>
      <c r="V265" s="2"/>
      <c r="W265" s="2"/>
      <c r="X265" s="2"/>
      <c r="Y265" s="2"/>
      <c r="Z265" s="2"/>
    </row>
    <row r="266" ht="13.5" customHeight="1">
      <c r="A266" s="2"/>
      <c r="B266" s="2"/>
      <c r="C266" s="2"/>
      <c r="D266" s="2"/>
      <c r="E266" s="2"/>
      <c r="F266" s="2"/>
      <c r="G266" s="2"/>
      <c r="H266" s="2"/>
      <c r="I266" s="2"/>
      <c r="J266" s="2"/>
      <c r="K266" s="2"/>
      <c r="L266" s="2"/>
      <c r="M266" s="2"/>
      <c r="N266" s="2"/>
      <c r="O266" s="2"/>
      <c r="P266" s="2"/>
      <c r="Q266" s="144"/>
      <c r="R266" s="144"/>
      <c r="S266" s="144"/>
      <c r="T266" s="214"/>
      <c r="U266" s="2"/>
      <c r="V266" s="2"/>
      <c r="W266" s="2"/>
      <c r="X266" s="2"/>
      <c r="Y266" s="2"/>
      <c r="Z266" s="2"/>
    </row>
    <row r="267" ht="13.5" customHeight="1">
      <c r="A267" s="2"/>
      <c r="B267" s="2"/>
      <c r="C267" s="2"/>
      <c r="D267" s="2"/>
      <c r="E267" s="2"/>
      <c r="F267" s="2"/>
      <c r="G267" s="2"/>
      <c r="H267" s="2"/>
      <c r="I267" s="2"/>
      <c r="J267" s="2"/>
      <c r="K267" s="2"/>
      <c r="L267" s="2"/>
      <c r="M267" s="2"/>
      <c r="N267" s="2"/>
      <c r="O267" s="2"/>
      <c r="P267" s="2"/>
      <c r="Q267" s="144"/>
      <c r="R267" s="144"/>
      <c r="S267" s="144"/>
      <c r="T267" s="214"/>
      <c r="U267" s="2"/>
      <c r="V267" s="2"/>
      <c r="W267" s="2"/>
      <c r="X267" s="2"/>
      <c r="Y267" s="2"/>
      <c r="Z267" s="2"/>
    </row>
    <row r="268" ht="13.5" customHeight="1">
      <c r="A268" s="2"/>
      <c r="B268" s="2"/>
      <c r="C268" s="2"/>
      <c r="D268" s="2"/>
      <c r="E268" s="2"/>
      <c r="F268" s="2"/>
      <c r="G268" s="2"/>
      <c r="H268" s="2"/>
      <c r="I268" s="2"/>
      <c r="J268" s="2"/>
      <c r="K268" s="2"/>
      <c r="L268" s="2"/>
      <c r="M268" s="2"/>
      <c r="N268" s="2"/>
      <c r="O268" s="2"/>
      <c r="P268" s="2"/>
      <c r="Q268" s="144"/>
      <c r="R268" s="144"/>
      <c r="S268" s="144"/>
      <c r="T268" s="214"/>
      <c r="U268" s="2"/>
      <c r="V268" s="2"/>
      <c r="W268" s="2"/>
      <c r="X268" s="2"/>
      <c r="Y268" s="2"/>
      <c r="Z268" s="2"/>
    </row>
    <row r="269" ht="13.5" customHeight="1">
      <c r="A269" s="2"/>
      <c r="B269" s="2"/>
      <c r="C269" s="2"/>
      <c r="D269" s="2"/>
      <c r="E269" s="2"/>
      <c r="F269" s="2"/>
      <c r="G269" s="2"/>
      <c r="H269" s="2"/>
      <c r="I269" s="2"/>
      <c r="J269" s="2"/>
      <c r="K269" s="2"/>
      <c r="L269" s="2"/>
      <c r="M269" s="2"/>
      <c r="N269" s="2"/>
      <c r="O269" s="2"/>
      <c r="P269" s="2"/>
      <c r="Q269" s="144"/>
      <c r="R269" s="144"/>
      <c r="S269" s="144"/>
      <c r="T269" s="214"/>
      <c r="U269" s="2"/>
      <c r="V269" s="2"/>
      <c r="W269" s="2"/>
      <c r="X269" s="2"/>
      <c r="Y269" s="2"/>
      <c r="Z269" s="2"/>
    </row>
    <row r="270" ht="13.5" customHeight="1">
      <c r="A270" s="2"/>
      <c r="B270" s="2"/>
      <c r="C270" s="2"/>
      <c r="D270" s="2"/>
      <c r="E270" s="2"/>
      <c r="F270" s="2"/>
      <c r="G270" s="2"/>
      <c r="H270" s="2"/>
      <c r="I270" s="2"/>
      <c r="J270" s="2"/>
      <c r="K270" s="2"/>
      <c r="L270" s="2"/>
      <c r="M270" s="2"/>
      <c r="N270" s="2"/>
      <c r="O270" s="2"/>
      <c r="P270" s="2"/>
      <c r="Q270" s="144"/>
      <c r="R270" s="144"/>
      <c r="S270" s="144"/>
      <c r="T270" s="214"/>
      <c r="U270" s="2"/>
      <c r="V270" s="2"/>
      <c r="W270" s="2"/>
      <c r="X270" s="2"/>
      <c r="Y270" s="2"/>
      <c r="Z270" s="2"/>
    </row>
    <row r="271" ht="13.5" customHeight="1">
      <c r="A271" s="2"/>
      <c r="B271" s="2"/>
      <c r="C271" s="2"/>
      <c r="D271" s="2"/>
      <c r="E271" s="2"/>
      <c r="F271" s="2"/>
      <c r="G271" s="2"/>
      <c r="H271" s="2"/>
      <c r="I271" s="2"/>
      <c r="J271" s="2"/>
      <c r="K271" s="2"/>
      <c r="L271" s="2"/>
      <c r="M271" s="2"/>
      <c r="N271" s="2"/>
      <c r="O271" s="2"/>
      <c r="P271" s="2"/>
      <c r="Q271" s="144"/>
      <c r="R271" s="144"/>
      <c r="S271" s="144"/>
      <c r="T271" s="214"/>
      <c r="U271" s="2"/>
      <c r="V271" s="2"/>
      <c r="W271" s="2"/>
      <c r="X271" s="2"/>
      <c r="Y271" s="2"/>
      <c r="Z271" s="2"/>
    </row>
    <row r="272" ht="13.5" customHeight="1">
      <c r="A272" s="2"/>
      <c r="B272" s="2"/>
      <c r="C272" s="2"/>
      <c r="D272" s="2"/>
      <c r="E272" s="2"/>
      <c r="F272" s="2"/>
      <c r="G272" s="2"/>
      <c r="H272" s="2"/>
      <c r="I272" s="2"/>
      <c r="J272" s="2"/>
      <c r="K272" s="2"/>
      <c r="L272" s="2"/>
      <c r="M272" s="2"/>
      <c r="N272" s="2"/>
      <c r="O272" s="2"/>
      <c r="P272" s="2"/>
      <c r="Q272" s="144"/>
      <c r="R272" s="144"/>
      <c r="S272" s="144"/>
      <c r="T272" s="214"/>
      <c r="U272" s="2"/>
      <c r="V272" s="2"/>
      <c r="W272" s="2"/>
      <c r="X272" s="2"/>
      <c r="Y272" s="2"/>
      <c r="Z272" s="2"/>
    </row>
    <row r="273" ht="13.5" customHeight="1">
      <c r="A273" s="2"/>
      <c r="B273" s="2"/>
      <c r="C273" s="2"/>
      <c r="D273" s="2"/>
      <c r="E273" s="2"/>
      <c r="F273" s="2"/>
      <c r="G273" s="2"/>
      <c r="H273" s="2"/>
      <c r="I273" s="2"/>
      <c r="J273" s="2"/>
      <c r="K273" s="2"/>
      <c r="L273" s="2"/>
      <c r="M273" s="2"/>
      <c r="N273" s="2"/>
      <c r="O273" s="2"/>
      <c r="P273" s="2"/>
      <c r="Q273" s="144"/>
      <c r="R273" s="144"/>
      <c r="S273" s="144"/>
      <c r="T273" s="214"/>
      <c r="U273" s="2"/>
      <c r="V273" s="2"/>
      <c r="W273" s="2"/>
      <c r="X273" s="2"/>
      <c r="Y273" s="2"/>
      <c r="Z273" s="2"/>
    </row>
    <row r="274" ht="13.5" customHeight="1">
      <c r="A274" s="2"/>
      <c r="B274" s="2"/>
      <c r="C274" s="2"/>
      <c r="D274" s="2"/>
      <c r="E274" s="2"/>
      <c r="F274" s="2"/>
      <c r="G274" s="2"/>
      <c r="H274" s="2"/>
      <c r="I274" s="2"/>
      <c r="J274" s="2"/>
      <c r="K274" s="2"/>
      <c r="L274" s="2"/>
      <c r="M274" s="2"/>
      <c r="N274" s="2"/>
      <c r="O274" s="2"/>
      <c r="P274" s="2"/>
      <c r="Q274" s="144"/>
      <c r="R274" s="144"/>
      <c r="S274" s="144"/>
      <c r="T274" s="214"/>
      <c r="U274" s="2"/>
      <c r="V274" s="2"/>
      <c r="W274" s="2"/>
      <c r="X274" s="2"/>
      <c r="Y274" s="2"/>
      <c r="Z274" s="2"/>
    </row>
    <row r="275" ht="13.5" customHeight="1">
      <c r="A275" s="2"/>
      <c r="B275" s="2"/>
      <c r="C275" s="2"/>
      <c r="D275" s="2"/>
      <c r="E275" s="2"/>
      <c r="F275" s="2"/>
      <c r="G275" s="2"/>
      <c r="H275" s="2"/>
      <c r="I275" s="2"/>
      <c r="J275" s="2"/>
      <c r="K275" s="2"/>
      <c r="L275" s="2"/>
      <c r="M275" s="2"/>
      <c r="N275" s="2"/>
      <c r="O275" s="2"/>
      <c r="P275" s="2"/>
      <c r="Q275" s="144"/>
      <c r="R275" s="144"/>
      <c r="S275" s="144"/>
      <c r="T275" s="214"/>
      <c r="U275" s="2"/>
      <c r="V275" s="2"/>
      <c r="W275" s="2"/>
      <c r="X275" s="2"/>
      <c r="Y275" s="2"/>
      <c r="Z275" s="2"/>
    </row>
    <row r="276" ht="13.5" customHeight="1">
      <c r="A276" s="2"/>
      <c r="B276" s="2"/>
      <c r="C276" s="2"/>
      <c r="D276" s="2"/>
      <c r="E276" s="2"/>
      <c r="F276" s="2"/>
      <c r="G276" s="2"/>
      <c r="H276" s="2"/>
      <c r="I276" s="2"/>
      <c r="J276" s="2"/>
      <c r="K276" s="2"/>
      <c r="L276" s="2"/>
      <c r="M276" s="2"/>
      <c r="N276" s="2"/>
      <c r="O276" s="2"/>
      <c r="P276" s="2"/>
      <c r="Q276" s="144"/>
      <c r="R276" s="144"/>
      <c r="S276" s="144"/>
      <c r="T276" s="214"/>
      <c r="U276" s="2"/>
      <c r="V276" s="2"/>
      <c r="W276" s="2"/>
      <c r="X276" s="2"/>
      <c r="Y276" s="2"/>
      <c r="Z276" s="2"/>
    </row>
    <row r="277" ht="13.5" customHeight="1">
      <c r="A277" s="2"/>
      <c r="B277" s="2"/>
      <c r="C277" s="2"/>
      <c r="D277" s="2"/>
      <c r="E277" s="2"/>
      <c r="F277" s="2"/>
      <c r="G277" s="2"/>
      <c r="H277" s="2"/>
      <c r="I277" s="2"/>
      <c r="J277" s="2"/>
      <c r="K277" s="2"/>
      <c r="L277" s="2"/>
      <c r="M277" s="2"/>
      <c r="N277" s="2"/>
      <c r="O277" s="2"/>
      <c r="P277" s="2"/>
      <c r="Q277" s="144"/>
      <c r="R277" s="144"/>
      <c r="S277" s="144"/>
      <c r="T277" s="214"/>
      <c r="U277" s="2"/>
      <c r="V277" s="2"/>
      <c r="W277" s="2"/>
      <c r="X277" s="2"/>
      <c r="Y277" s="2"/>
      <c r="Z277" s="2"/>
    </row>
    <row r="278" ht="13.5" customHeight="1">
      <c r="A278" s="2"/>
      <c r="B278" s="2"/>
      <c r="C278" s="2"/>
      <c r="D278" s="2"/>
      <c r="E278" s="2"/>
      <c r="F278" s="2"/>
      <c r="G278" s="2"/>
      <c r="H278" s="2"/>
      <c r="I278" s="2"/>
      <c r="J278" s="2"/>
      <c r="K278" s="2"/>
      <c r="L278" s="2"/>
      <c r="M278" s="2"/>
      <c r="N278" s="2"/>
      <c r="O278" s="2"/>
      <c r="P278" s="2"/>
      <c r="Q278" s="144"/>
      <c r="R278" s="144"/>
      <c r="S278" s="144"/>
      <c r="T278" s="214"/>
      <c r="U278" s="2"/>
      <c r="V278" s="2"/>
      <c r="W278" s="2"/>
      <c r="X278" s="2"/>
      <c r="Y278" s="2"/>
      <c r="Z278" s="2"/>
    </row>
    <row r="279" ht="13.5" customHeight="1">
      <c r="A279" s="2"/>
      <c r="B279" s="2"/>
      <c r="C279" s="2"/>
      <c r="D279" s="2"/>
      <c r="E279" s="2"/>
      <c r="F279" s="2"/>
      <c r="G279" s="2"/>
      <c r="H279" s="2"/>
      <c r="I279" s="2"/>
      <c r="J279" s="2"/>
      <c r="K279" s="2"/>
      <c r="L279" s="2"/>
      <c r="M279" s="2"/>
      <c r="N279" s="2"/>
      <c r="O279" s="2"/>
      <c r="P279" s="2"/>
      <c r="Q279" s="144"/>
      <c r="R279" s="144"/>
      <c r="S279" s="144"/>
      <c r="T279" s="214"/>
      <c r="U279" s="2"/>
      <c r="V279" s="2"/>
      <c r="W279" s="2"/>
      <c r="X279" s="2"/>
      <c r="Y279" s="2"/>
      <c r="Z279" s="2"/>
    </row>
    <row r="280" ht="13.5" customHeight="1">
      <c r="A280" s="2"/>
      <c r="B280" s="2"/>
      <c r="C280" s="2"/>
      <c r="D280" s="2"/>
      <c r="E280" s="2"/>
      <c r="F280" s="2"/>
      <c r="G280" s="2"/>
      <c r="H280" s="2"/>
      <c r="I280" s="2"/>
      <c r="J280" s="2"/>
      <c r="K280" s="2"/>
      <c r="L280" s="2"/>
      <c r="M280" s="2"/>
      <c r="N280" s="2"/>
      <c r="O280" s="2"/>
      <c r="P280" s="2"/>
      <c r="Q280" s="144"/>
      <c r="R280" s="144"/>
      <c r="S280" s="144"/>
      <c r="T280" s="214"/>
      <c r="U280" s="2"/>
      <c r="V280" s="2"/>
      <c r="W280" s="2"/>
      <c r="X280" s="2"/>
      <c r="Y280" s="2"/>
      <c r="Z280" s="2"/>
    </row>
    <row r="281" ht="13.5" customHeight="1">
      <c r="A281" s="2"/>
      <c r="B281" s="2"/>
      <c r="C281" s="2"/>
      <c r="D281" s="2"/>
      <c r="E281" s="2"/>
      <c r="F281" s="2"/>
      <c r="G281" s="2"/>
      <c r="H281" s="2"/>
      <c r="I281" s="2"/>
      <c r="J281" s="2"/>
      <c r="K281" s="2"/>
      <c r="L281" s="2"/>
      <c r="M281" s="2"/>
      <c r="N281" s="2"/>
      <c r="O281" s="2"/>
      <c r="P281" s="2"/>
      <c r="Q281" s="144"/>
      <c r="R281" s="144"/>
      <c r="S281" s="144"/>
      <c r="T281" s="214"/>
      <c r="U281" s="2"/>
      <c r="V281" s="2"/>
      <c r="W281" s="2"/>
      <c r="X281" s="2"/>
      <c r="Y281" s="2"/>
      <c r="Z281" s="2"/>
    </row>
    <row r="282" ht="13.5" customHeight="1">
      <c r="A282" s="2"/>
      <c r="B282" s="2"/>
      <c r="C282" s="2"/>
      <c r="D282" s="2"/>
      <c r="E282" s="2"/>
      <c r="F282" s="2"/>
      <c r="G282" s="2"/>
      <c r="H282" s="2"/>
      <c r="I282" s="2"/>
      <c r="J282" s="2"/>
      <c r="K282" s="2"/>
      <c r="L282" s="2"/>
      <c r="M282" s="2"/>
      <c r="N282" s="2"/>
      <c r="O282" s="2"/>
      <c r="P282" s="2"/>
      <c r="Q282" s="144"/>
      <c r="R282" s="144"/>
      <c r="S282" s="144"/>
      <c r="T282" s="214"/>
      <c r="U282" s="2"/>
      <c r="V282" s="2"/>
      <c r="W282" s="2"/>
      <c r="X282" s="2"/>
      <c r="Y282" s="2"/>
      <c r="Z282" s="2"/>
    </row>
    <row r="283" ht="13.5" customHeight="1">
      <c r="A283" s="2"/>
      <c r="B283" s="2"/>
      <c r="C283" s="2"/>
      <c r="D283" s="2"/>
      <c r="E283" s="2"/>
      <c r="F283" s="2"/>
      <c r="G283" s="2"/>
      <c r="H283" s="2"/>
      <c r="I283" s="2"/>
      <c r="J283" s="2"/>
      <c r="K283" s="2"/>
      <c r="L283" s="2"/>
      <c r="M283" s="2"/>
      <c r="N283" s="2"/>
      <c r="O283" s="2"/>
      <c r="P283" s="2"/>
      <c r="Q283" s="144"/>
      <c r="R283" s="144"/>
      <c r="S283" s="144"/>
      <c r="T283" s="214"/>
      <c r="U283" s="2"/>
      <c r="V283" s="2"/>
      <c r="W283" s="2"/>
      <c r="X283" s="2"/>
      <c r="Y283" s="2"/>
      <c r="Z283" s="2"/>
    </row>
    <row r="284" ht="13.5" customHeight="1">
      <c r="A284" s="2"/>
      <c r="B284" s="2"/>
      <c r="C284" s="2"/>
      <c r="D284" s="2"/>
      <c r="E284" s="2"/>
      <c r="F284" s="2"/>
      <c r="G284" s="2"/>
      <c r="H284" s="2"/>
      <c r="I284" s="2"/>
      <c r="J284" s="2"/>
      <c r="K284" s="2"/>
      <c r="L284" s="2"/>
      <c r="M284" s="2"/>
      <c r="N284" s="2"/>
      <c r="O284" s="2"/>
      <c r="P284" s="2"/>
      <c r="Q284" s="144"/>
      <c r="R284" s="144"/>
      <c r="S284" s="144"/>
      <c r="T284" s="214"/>
      <c r="U284" s="2"/>
      <c r="V284" s="2"/>
      <c r="W284" s="2"/>
      <c r="X284" s="2"/>
      <c r="Y284" s="2"/>
      <c r="Z284" s="2"/>
    </row>
    <row r="285" ht="13.5" customHeight="1">
      <c r="A285" s="2"/>
      <c r="B285" s="2"/>
      <c r="C285" s="2"/>
      <c r="D285" s="2"/>
      <c r="E285" s="2"/>
      <c r="F285" s="2"/>
      <c r="G285" s="2"/>
      <c r="H285" s="2"/>
      <c r="I285" s="2"/>
      <c r="J285" s="2"/>
      <c r="K285" s="2"/>
      <c r="L285" s="2"/>
      <c r="M285" s="2"/>
      <c r="N285" s="2"/>
      <c r="O285" s="2"/>
      <c r="P285" s="2"/>
      <c r="Q285" s="144"/>
      <c r="R285" s="144"/>
      <c r="S285" s="144"/>
      <c r="T285" s="214"/>
      <c r="U285" s="2"/>
      <c r="V285" s="2"/>
      <c r="W285" s="2"/>
      <c r="X285" s="2"/>
      <c r="Y285" s="2"/>
      <c r="Z285" s="2"/>
    </row>
    <row r="286" ht="13.5" customHeight="1">
      <c r="A286" s="2"/>
      <c r="B286" s="2"/>
      <c r="C286" s="2"/>
      <c r="D286" s="2"/>
      <c r="E286" s="2"/>
      <c r="F286" s="2"/>
      <c r="G286" s="2"/>
      <c r="H286" s="2"/>
      <c r="I286" s="2"/>
      <c r="J286" s="2"/>
      <c r="K286" s="2"/>
      <c r="L286" s="2"/>
      <c r="M286" s="2"/>
      <c r="N286" s="2"/>
      <c r="O286" s="2"/>
      <c r="P286" s="2"/>
      <c r="Q286" s="144"/>
      <c r="R286" s="144"/>
      <c r="S286" s="144"/>
      <c r="T286" s="214"/>
      <c r="U286" s="2"/>
      <c r="V286" s="2"/>
      <c r="W286" s="2"/>
      <c r="X286" s="2"/>
      <c r="Y286" s="2"/>
      <c r="Z286" s="2"/>
    </row>
    <row r="287" ht="13.5" customHeight="1">
      <c r="A287" s="2"/>
      <c r="B287" s="2"/>
      <c r="C287" s="2"/>
      <c r="D287" s="2"/>
      <c r="E287" s="2"/>
      <c r="F287" s="2"/>
      <c r="G287" s="2"/>
      <c r="H287" s="2"/>
      <c r="I287" s="2"/>
      <c r="J287" s="2"/>
      <c r="K287" s="2"/>
      <c r="L287" s="2"/>
      <c r="M287" s="2"/>
      <c r="N287" s="2"/>
      <c r="O287" s="2"/>
      <c r="P287" s="2"/>
      <c r="Q287" s="144"/>
      <c r="R287" s="144"/>
      <c r="S287" s="144"/>
      <c r="T287" s="214"/>
      <c r="U287" s="2"/>
      <c r="V287" s="2"/>
      <c r="W287" s="2"/>
      <c r="X287" s="2"/>
      <c r="Y287" s="2"/>
      <c r="Z287" s="2"/>
    </row>
    <row r="288" ht="13.5" customHeight="1">
      <c r="A288" s="2"/>
      <c r="B288" s="2"/>
      <c r="C288" s="2"/>
      <c r="D288" s="2"/>
      <c r="E288" s="2"/>
      <c r="F288" s="2"/>
      <c r="G288" s="2"/>
      <c r="H288" s="2"/>
      <c r="I288" s="2"/>
      <c r="J288" s="2"/>
      <c r="K288" s="2"/>
      <c r="L288" s="2"/>
      <c r="M288" s="2"/>
      <c r="N288" s="2"/>
      <c r="O288" s="2"/>
      <c r="P288" s="2"/>
      <c r="Q288" s="144"/>
      <c r="R288" s="144"/>
      <c r="S288" s="144"/>
      <c r="T288" s="214"/>
      <c r="U288" s="2"/>
      <c r="V288" s="2"/>
      <c r="W288" s="2"/>
      <c r="X288" s="2"/>
      <c r="Y288" s="2"/>
      <c r="Z288" s="2"/>
    </row>
    <row r="289" ht="13.5" customHeight="1">
      <c r="A289" s="2"/>
      <c r="B289" s="2"/>
      <c r="C289" s="2"/>
      <c r="D289" s="2"/>
      <c r="E289" s="2"/>
      <c r="F289" s="2"/>
      <c r="G289" s="2"/>
      <c r="H289" s="2"/>
      <c r="I289" s="2"/>
      <c r="J289" s="2"/>
      <c r="K289" s="2"/>
      <c r="L289" s="2"/>
      <c r="M289" s="2"/>
      <c r="N289" s="2"/>
      <c r="O289" s="2"/>
      <c r="P289" s="2"/>
      <c r="Q289" s="144"/>
      <c r="R289" s="144"/>
      <c r="S289" s="144"/>
      <c r="T289" s="214"/>
      <c r="U289" s="2"/>
      <c r="V289" s="2"/>
      <c r="W289" s="2"/>
      <c r="X289" s="2"/>
      <c r="Y289" s="2"/>
      <c r="Z289" s="2"/>
    </row>
    <row r="290" ht="13.5" customHeight="1">
      <c r="A290" s="2"/>
      <c r="B290" s="2"/>
      <c r="C290" s="2"/>
      <c r="D290" s="2"/>
      <c r="E290" s="2"/>
      <c r="F290" s="2"/>
      <c r="G290" s="2"/>
      <c r="H290" s="2"/>
      <c r="I290" s="2"/>
      <c r="J290" s="2"/>
      <c r="K290" s="2"/>
      <c r="L290" s="2"/>
      <c r="M290" s="2"/>
      <c r="N290" s="2"/>
      <c r="O290" s="2"/>
      <c r="P290" s="2"/>
      <c r="Q290" s="144"/>
      <c r="R290" s="144"/>
      <c r="S290" s="144"/>
      <c r="T290" s="214"/>
      <c r="U290" s="2"/>
      <c r="V290" s="2"/>
      <c r="W290" s="2"/>
      <c r="X290" s="2"/>
      <c r="Y290" s="2"/>
      <c r="Z290" s="2"/>
    </row>
    <row r="291" ht="13.5" customHeight="1">
      <c r="A291" s="2"/>
      <c r="B291" s="2"/>
      <c r="C291" s="2"/>
      <c r="D291" s="2"/>
      <c r="E291" s="2"/>
      <c r="F291" s="2"/>
      <c r="G291" s="2"/>
      <c r="H291" s="2"/>
      <c r="I291" s="2"/>
      <c r="J291" s="2"/>
      <c r="K291" s="2"/>
      <c r="L291" s="2"/>
      <c r="M291" s="2"/>
      <c r="N291" s="2"/>
      <c r="O291" s="2"/>
      <c r="P291" s="2"/>
      <c r="Q291" s="144"/>
      <c r="R291" s="144"/>
      <c r="S291" s="144"/>
      <c r="T291" s="214"/>
      <c r="U291" s="2"/>
      <c r="V291" s="2"/>
      <c r="W291" s="2"/>
      <c r="X291" s="2"/>
      <c r="Y291" s="2"/>
      <c r="Z291" s="2"/>
    </row>
    <row r="292" ht="13.5" customHeight="1">
      <c r="A292" s="2"/>
      <c r="B292" s="2"/>
      <c r="C292" s="2"/>
      <c r="D292" s="2"/>
      <c r="E292" s="2"/>
      <c r="F292" s="2"/>
      <c r="G292" s="2"/>
      <c r="H292" s="2"/>
      <c r="I292" s="2"/>
      <c r="J292" s="2"/>
      <c r="K292" s="2"/>
      <c r="L292" s="2"/>
      <c r="M292" s="2"/>
      <c r="N292" s="2"/>
      <c r="O292" s="2"/>
      <c r="P292" s="2"/>
      <c r="Q292" s="144"/>
      <c r="R292" s="144"/>
      <c r="S292" s="144"/>
      <c r="T292" s="214"/>
      <c r="U292" s="2"/>
      <c r="V292" s="2"/>
      <c r="W292" s="2"/>
      <c r="X292" s="2"/>
      <c r="Y292" s="2"/>
      <c r="Z292" s="2"/>
    </row>
    <row r="293" ht="13.5" customHeight="1">
      <c r="A293" s="2"/>
      <c r="B293" s="2"/>
      <c r="C293" s="2"/>
      <c r="D293" s="2"/>
      <c r="E293" s="2"/>
      <c r="F293" s="2"/>
      <c r="G293" s="2"/>
      <c r="H293" s="2"/>
      <c r="I293" s="2"/>
      <c r="J293" s="2"/>
      <c r="K293" s="2"/>
      <c r="L293" s="2"/>
      <c r="M293" s="2"/>
      <c r="N293" s="2"/>
      <c r="O293" s="2"/>
      <c r="P293" s="2"/>
      <c r="Q293" s="144"/>
      <c r="R293" s="144"/>
      <c r="S293" s="144"/>
      <c r="T293" s="214"/>
      <c r="U293" s="2"/>
      <c r="V293" s="2"/>
      <c r="W293" s="2"/>
      <c r="X293" s="2"/>
      <c r="Y293" s="2"/>
      <c r="Z293" s="2"/>
    </row>
    <row r="294" ht="13.5" customHeight="1">
      <c r="A294" s="2"/>
      <c r="B294" s="2"/>
      <c r="C294" s="2"/>
      <c r="D294" s="2"/>
      <c r="E294" s="2"/>
      <c r="F294" s="2"/>
      <c r="G294" s="2"/>
      <c r="H294" s="2"/>
      <c r="I294" s="2"/>
      <c r="J294" s="2"/>
      <c r="K294" s="2"/>
      <c r="L294" s="2"/>
      <c r="M294" s="2"/>
      <c r="N294" s="2"/>
      <c r="O294" s="2"/>
      <c r="P294" s="2"/>
      <c r="Q294" s="144"/>
      <c r="R294" s="144"/>
      <c r="S294" s="144"/>
      <c r="T294" s="214"/>
      <c r="U294" s="2"/>
      <c r="V294" s="2"/>
      <c r="W294" s="2"/>
      <c r="X294" s="2"/>
      <c r="Y294" s="2"/>
      <c r="Z294" s="2"/>
    </row>
    <row r="295" ht="13.5" customHeight="1">
      <c r="A295" s="2"/>
      <c r="B295" s="2"/>
      <c r="C295" s="2"/>
      <c r="D295" s="2"/>
      <c r="E295" s="2"/>
      <c r="F295" s="2"/>
      <c r="G295" s="2"/>
      <c r="H295" s="2"/>
      <c r="I295" s="2"/>
      <c r="J295" s="2"/>
      <c r="K295" s="2"/>
      <c r="L295" s="2"/>
      <c r="M295" s="2"/>
      <c r="N295" s="2"/>
      <c r="O295" s="2"/>
      <c r="P295" s="2"/>
      <c r="Q295" s="144"/>
      <c r="R295" s="144"/>
      <c r="S295" s="144"/>
      <c r="T295" s="214"/>
      <c r="U295" s="2"/>
      <c r="V295" s="2"/>
      <c r="W295" s="2"/>
      <c r="X295" s="2"/>
      <c r="Y295" s="2"/>
      <c r="Z295" s="2"/>
    </row>
    <row r="296" ht="13.5" customHeight="1">
      <c r="A296" s="2"/>
      <c r="B296" s="2"/>
      <c r="C296" s="2"/>
      <c r="D296" s="2"/>
      <c r="E296" s="2"/>
      <c r="F296" s="2"/>
      <c r="G296" s="2"/>
      <c r="H296" s="2"/>
      <c r="I296" s="2"/>
      <c r="J296" s="2"/>
      <c r="K296" s="2"/>
      <c r="L296" s="2"/>
      <c r="M296" s="2"/>
      <c r="N296" s="2"/>
      <c r="O296" s="2"/>
      <c r="P296" s="2"/>
      <c r="Q296" s="144"/>
      <c r="R296" s="144"/>
      <c r="S296" s="144"/>
      <c r="T296" s="214"/>
      <c r="U296" s="2"/>
      <c r="V296" s="2"/>
      <c r="W296" s="2"/>
      <c r="X296" s="2"/>
      <c r="Y296" s="2"/>
      <c r="Z296" s="2"/>
    </row>
    <row r="297" ht="13.5" customHeight="1">
      <c r="A297" s="2"/>
      <c r="B297" s="2"/>
      <c r="C297" s="2"/>
      <c r="D297" s="2"/>
      <c r="E297" s="2"/>
      <c r="F297" s="2"/>
      <c r="G297" s="2"/>
      <c r="H297" s="2"/>
      <c r="I297" s="2"/>
      <c r="J297" s="2"/>
      <c r="K297" s="2"/>
      <c r="L297" s="2"/>
      <c r="M297" s="2"/>
      <c r="N297" s="2"/>
      <c r="O297" s="2"/>
      <c r="P297" s="2"/>
      <c r="Q297" s="144"/>
      <c r="R297" s="144"/>
      <c r="S297" s="144"/>
      <c r="T297" s="214"/>
      <c r="U297" s="2"/>
      <c r="V297" s="2"/>
      <c r="W297" s="2"/>
      <c r="X297" s="2"/>
      <c r="Y297" s="2"/>
      <c r="Z297" s="2"/>
    </row>
    <row r="298" ht="13.5" customHeight="1">
      <c r="A298" s="2"/>
      <c r="B298" s="2"/>
      <c r="C298" s="2"/>
      <c r="D298" s="2"/>
      <c r="E298" s="2"/>
      <c r="F298" s="2"/>
      <c r="G298" s="2"/>
      <c r="H298" s="2"/>
      <c r="I298" s="2"/>
      <c r="J298" s="2"/>
      <c r="K298" s="2"/>
      <c r="L298" s="2"/>
      <c r="M298" s="2"/>
      <c r="N298" s="2"/>
      <c r="O298" s="2"/>
      <c r="P298" s="2"/>
      <c r="Q298" s="144"/>
      <c r="R298" s="144"/>
      <c r="S298" s="144"/>
      <c r="T298" s="214"/>
      <c r="U298" s="2"/>
      <c r="V298" s="2"/>
      <c r="W298" s="2"/>
      <c r="X298" s="2"/>
      <c r="Y298" s="2"/>
      <c r="Z298" s="2"/>
    </row>
    <row r="299" ht="13.5" customHeight="1">
      <c r="A299" s="2"/>
      <c r="B299" s="2"/>
      <c r="C299" s="2"/>
      <c r="D299" s="2"/>
      <c r="E299" s="2"/>
      <c r="F299" s="2"/>
      <c r="G299" s="2"/>
      <c r="H299" s="2"/>
      <c r="I299" s="2"/>
      <c r="J299" s="2"/>
      <c r="K299" s="2"/>
      <c r="L299" s="2"/>
      <c r="M299" s="2"/>
      <c r="N299" s="2"/>
      <c r="O299" s="2"/>
      <c r="P299" s="2"/>
      <c r="Q299" s="144"/>
      <c r="R299" s="144"/>
      <c r="S299" s="144"/>
      <c r="T299" s="214"/>
      <c r="U299" s="2"/>
      <c r="V299" s="2"/>
      <c r="W299" s="2"/>
      <c r="X299" s="2"/>
      <c r="Y299" s="2"/>
      <c r="Z299" s="2"/>
    </row>
    <row r="300" ht="13.5" customHeight="1">
      <c r="A300" s="2"/>
      <c r="B300" s="2"/>
      <c r="C300" s="2"/>
      <c r="D300" s="2"/>
      <c r="E300" s="2"/>
      <c r="F300" s="2"/>
      <c r="G300" s="2"/>
      <c r="H300" s="2"/>
      <c r="I300" s="2"/>
      <c r="J300" s="2"/>
      <c r="K300" s="2"/>
      <c r="L300" s="2"/>
      <c r="M300" s="2"/>
      <c r="N300" s="2"/>
      <c r="O300" s="2"/>
      <c r="P300" s="2"/>
      <c r="Q300" s="144"/>
      <c r="R300" s="144"/>
      <c r="S300" s="144"/>
      <c r="T300" s="214"/>
      <c r="U300" s="2"/>
      <c r="V300" s="2"/>
      <c r="W300" s="2"/>
      <c r="X300" s="2"/>
      <c r="Y300" s="2"/>
      <c r="Z300" s="2"/>
    </row>
    <row r="301" ht="13.5" customHeight="1">
      <c r="A301" s="2"/>
      <c r="B301" s="2"/>
      <c r="C301" s="2"/>
      <c r="D301" s="2"/>
      <c r="E301" s="2"/>
      <c r="F301" s="2"/>
      <c r="G301" s="2"/>
      <c r="H301" s="2"/>
      <c r="I301" s="2"/>
      <c r="J301" s="2"/>
      <c r="K301" s="2"/>
      <c r="L301" s="2"/>
      <c r="M301" s="2"/>
      <c r="N301" s="2"/>
      <c r="O301" s="2"/>
      <c r="P301" s="2"/>
      <c r="Q301" s="144"/>
      <c r="R301" s="144"/>
      <c r="S301" s="144"/>
      <c r="T301" s="214"/>
      <c r="U301" s="2"/>
      <c r="V301" s="2"/>
      <c r="W301" s="2"/>
      <c r="X301" s="2"/>
      <c r="Y301" s="2"/>
      <c r="Z301" s="2"/>
    </row>
    <row r="302" ht="13.5" customHeight="1">
      <c r="A302" s="2"/>
      <c r="B302" s="2"/>
      <c r="C302" s="2"/>
      <c r="D302" s="2"/>
      <c r="E302" s="2"/>
      <c r="F302" s="2"/>
      <c r="G302" s="2"/>
      <c r="H302" s="2"/>
      <c r="I302" s="2"/>
      <c r="J302" s="2"/>
      <c r="K302" s="2"/>
      <c r="L302" s="2"/>
      <c r="M302" s="2"/>
      <c r="N302" s="2"/>
      <c r="O302" s="2"/>
      <c r="P302" s="2"/>
      <c r="Q302" s="144"/>
      <c r="R302" s="144"/>
      <c r="S302" s="144"/>
      <c r="T302" s="214"/>
      <c r="U302" s="2"/>
      <c r="V302" s="2"/>
      <c r="W302" s="2"/>
      <c r="X302" s="2"/>
      <c r="Y302" s="2"/>
      <c r="Z302" s="2"/>
    </row>
    <row r="303" ht="13.5" customHeight="1">
      <c r="A303" s="2"/>
      <c r="B303" s="2"/>
      <c r="C303" s="2"/>
      <c r="D303" s="2"/>
      <c r="E303" s="2"/>
      <c r="F303" s="2"/>
      <c r="G303" s="2"/>
      <c r="H303" s="2"/>
      <c r="I303" s="2"/>
      <c r="J303" s="2"/>
      <c r="K303" s="2"/>
      <c r="L303" s="2"/>
      <c r="M303" s="2"/>
      <c r="N303" s="2"/>
      <c r="O303" s="2"/>
      <c r="P303" s="2"/>
      <c r="Q303" s="144"/>
      <c r="R303" s="144"/>
      <c r="S303" s="144"/>
      <c r="T303" s="214"/>
      <c r="U303" s="2"/>
      <c r="V303" s="2"/>
      <c r="W303" s="2"/>
      <c r="X303" s="2"/>
      <c r="Y303" s="2"/>
      <c r="Z303" s="2"/>
    </row>
    <row r="304" ht="13.5" customHeight="1">
      <c r="A304" s="2"/>
      <c r="B304" s="2"/>
      <c r="C304" s="2"/>
      <c r="D304" s="2"/>
      <c r="E304" s="2"/>
      <c r="F304" s="2"/>
      <c r="G304" s="2"/>
      <c r="H304" s="2"/>
      <c r="I304" s="2"/>
      <c r="J304" s="2"/>
      <c r="K304" s="2"/>
      <c r="L304" s="2"/>
      <c r="M304" s="2"/>
      <c r="N304" s="2"/>
      <c r="O304" s="2"/>
      <c r="P304" s="2"/>
      <c r="Q304" s="144"/>
      <c r="R304" s="144"/>
      <c r="S304" s="144"/>
      <c r="T304" s="214"/>
      <c r="U304" s="2"/>
      <c r="V304" s="2"/>
      <c r="W304" s="2"/>
      <c r="X304" s="2"/>
      <c r="Y304" s="2"/>
      <c r="Z304" s="2"/>
    </row>
    <row r="305" ht="13.5" customHeight="1">
      <c r="A305" s="2"/>
      <c r="B305" s="2"/>
      <c r="C305" s="2"/>
      <c r="D305" s="2"/>
      <c r="E305" s="2"/>
      <c r="F305" s="2"/>
      <c r="G305" s="2"/>
      <c r="H305" s="2"/>
      <c r="I305" s="2"/>
      <c r="J305" s="2"/>
      <c r="K305" s="2"/>
      <c r="L305" s="2"/>
      <c r="M305" s="2"/>
      <c r="N305" s="2"/>
      <c r="O305" s="2"/>
      <c r="P305" s="2"/>
      <c r="Q305" s="144"/>
      <c r="R305" s="144"/>
      <c r="S305" s="144"/>
      <c r="T305" s="214"/>
      <c r="U305" s="2"/>
      <c r="V305" s="2"/>
      <c r="W305" s="2"/>
      <c r="X305" s="2"/>
      <c r="Y305" s="2"/>
      <c r="Z305" s="2"/>
    </row>
    <row r="306" ht="13.5" customHeight="1">
      <c r="A306" s="2"/>
      <c r="B306" s="2"/>
      <c r="C306" s="2"/>
      <c r="D306" s="2"/>
      <c r="E306" s="2"/>
      <c r="F306" s="2"/>
      <c r="G306" s="2"/>
      <c r="H306" s="2"/>
      <c r="I306" s="2"/>
      <c r="J306" s="2"/>
      <c r="K306" s="2"/>
      <c r="L306" s="2"/>
      <c r="M306" s="2"/>
      <c r="N306" s="2"/>
      <c r="O306" s="2"/>
      <c r="P306" s="2"/>
      <c r="Q306" s="144"/>
      <c r="R306" s="144"/>
      <c r="S306" s="144"/>
      <c r="T306" s="214"/>
      <c r="U306" s="2"/>
      <c r="V306" s="2"/>
      <c r="W306" s="2"/>
      <c r="X306" s="2"/>
      <c r="Y306" s="2"/>
      <c r="Z306" s="2"/>
    </row>
    <row r="307" ht="13.5" customHeight="1">
      <c r="A307" s="2"/>
      <c r="B307" s="2"/>
      <c r="C307" s="2"/>
      <c r="D307" s="2"/>
      <c r="E307" s="2"/>
      <c r="F307" s="2"/>
      <c r="G307" s="2"/>
      <c r="H307" s="2"/>
      <c r="I307" s="2"/>
      <c r="J307" s="2"/>
      <c r="K307" s="2"/>
      <c r="L307" s="2"/>
      <c r="M307" s="2"/>
      <c r="N307" s="2"/>
      <c r="O307" s="2"/>
      <c r="P307" s="2"/>
      <c r="Q307" s="144"/>
      <c r="R307" s="144"/>
      <c r="S307" s="144"/>
      <c r="T307" s="214"/>
      <c r="U307" s="2"/>
      <c r="V307" s="2"/>
      <c r="W307" s="2"/>
      <c r="X307" s="2"/>
      <c r="Y307" s="2"/>
      <c r="Z307" s="2"/>
    </row>
    <row r="308" ht="13.5" customHeight="1">
      <c r="A308" s="2"/>
      <c r="B308" s="2"/>
      <c r="C308" s="2"/>
      <c r="D308" s="2"/>
      <c r="E308" s="2"/>
      <c r="F308" s="2"/>
      <c r="G308" s="2"/>
      <c r="H308" s="2"/>
      <c r="I308" s="2"/>
      <c r="J308" s="2"/>
      <c r="K308" s="2"/>
      <c r="L308" s="2"/>
      <c r="M308" s="2"/>
      <c r="N308" s="2"/>
      <c r="O308" s="2"/>
      <c r="P308" s="2"/>
      <c r="Q308" s="144"/>
      <c r="R308" s="144"/>
      <c r="S308" s="144"/>
      <c r="T308" s="214"/>
      <c r="U308" s="2"/>
      <c r="V308" s="2"/>
      <c r="W308" s="2"/>
      <c r="X308" s="2"/>
      <c r="Y308" s="2"/>
      <c r="Z308" s="2"/>
    </row>
    <row r="309" ht="13.5" customHeight="1">
      <c r="A309" s="2"/>
      <c r="B309" s="2"/>
      <c r="C309" s="2"/>
      <c r="D309" s="2"/>
      <c r="E309" s="2"/>
      <c r="F309" s="2"/>
      <c r="G309" s="2"/>
      <c r="H309" s="2"/>
      <c r="I309" s="2"/>
      <c r="J309" s="2"/>
      <c r="K309" s="2"/>
      <c r="L309" s="2"/>
      <c r="M309" s="2"/>
      <c r="N309" s="2"/>
      <c r="O309" s="2"/>
      <c r="P309" s="2"/>
      <c r="Q309" s="144"/>
      <c r="R309" s="144"/>
      <c r="S309" s="144"/>
      <c r="T309" s="214"/>
      <c r="U309" s="2"/>
      <c r="V309" s="2"/>
      <c r="W309" s="2"/>
      <c r="X309" s="2"/>
      <c r="Y309" s="2"/>
      <c r="Z309" s="2"/>
    </row>
    <row r="310" ht="13.5" customHeight="1">
      <c r="A310" s="2"/>
      <c r="B310" s="2"/>
      <c r="C310" s="2"/>
      <c r="D310" s="2"/>
      <c r="E310" s="2"/>
      <c r="F310" s="2"/>
      <c r="G310" s="2"/>
      <c r="H310" s="2"/>
      <c r="I310" s="2"/>
      <c r="J310" s="2"/>
      <c r="K310" s="2"/>
      <c r="L310" s="2"/>
      <c r="M310" s="2"/>
      <c r="N310" s="2"/>
      <c r="O310" s="2"/>
      <c r="P310" s="2"/>
      <c r="Q310" s="144"/>
      <c r="R310" s="144"/>
      <c r="S310" s="144"/>
      <c r="T310" s="214"/>
      <c r="U310" s="2"/>
      <c r="V310" s="2"/>
      <c r="W310" s="2"/>
      <c r="X310" s="2"/>
      <c r="Y310" s="2"/>
      <c r="Z310" s="2"/>
    </row>
    <row r="311" ht="13.5" customHeight="1">
      <c r="A311" s="2"/>
      <c r="B311" s="2"/>
      <c r="C311" s="2"/>
      <c r="D311" s="2"/>
      <c r="E311" s="2"/>
      <c r="F311" s="2"/>
      <c r="G311" s="2"/>
      <c r="H311" s="2"/>
      <c r="I311" s="2"/>
      <c r="J311" s="2"/>
      <c r="K311" s="2"/>
      <c r="L311" s="2"/>
      <c r="M311" s="2"/>
      <c r="N311" s="2"/>
      <c r="O311" s="2"/>
      <c r="P311" s="2"/>
      <c r="Q311" s="144"/>
      <c r="R311" s="144"/>
      <c r="S311" s="144"/>
      <c r="T311" s="214"/>
      <c r="U311" s="2"/>
      <c r="V311" s="2"/>
      <c r="W311" s="2"/>
      <c r="X311" s="2"/>
      <c r="Y311" s="2"/>
      <c r="Z311" s="2"/>
    </row>
    <row r="312" ht="13.5" customHeight="1">
      <c r="A312" s="2"/>
      <c r="B312" s="2"/>
      <c r="C312" s="2"/>
      <c r="D312" s="2"/>
      <c r="E312" s="2"/>
      <c r="F312" s="2"/>
      <c r="G312" s="2"/>
      <c r="H312" s="2"/>
      <c r="I312" s="2"/>
      <c r="J312" s="2"/>
      <c r="K312" s="2"/>
      <c r="L312" s="2"/>
      <c r="M312" s="2"/>
      <c r="N312" s="2"/>
      <c r="O312" s="2"/>
      <c r="P312" s="2"/>
      <c r="Q312" s="144"/>
      <c r="R312" s="144"/>
      <c r="S312" s="144"/>
      <c r="T312" s="214"/>
      <c r="U312" s="2"/>
      <c r="V312" s="2"/>
      <c r="W312" s="2"/>
      <c r="X312" s="2"/>
      <c r="Y312" s="2"/>
      <c r="Z312" s="2"/>
    </row>
    <row r="313" ht="13.5" customHeight="1">
      <c r="A313" s="2"/>
      <c r="B313" s="2"/>
      <c r="C313" s="2"/>
      <c r="D313" s="2"/>
      <c r="E313" s="2"/>
      <c r="F313" s="2"/>
      <c r="G313" s="2"/>
      <c r="H313" s="2"/>
      <c r="I313" s="2"/>
      <c r="J313" s="2"/>
      <c r="K313" s="2"/>
      <c r="L313" s="2"/>
      <c r="M313" s="2"/>
      <c r="N313" s="2"/>
      <c r="O313" s="2"/>
      <c r="P313" s="2"/>
      <c r="Q313" s="144"/>
      <c r="R313" s="144"/>
      <c r="S313" s="144"/>
      <c r="T313" s="214"/>
      <c r="U313" s="2"/>
      <c r="V313" s="2"/>
      <c r="W313" s="2"/>
      <c r="X313" s="2"/>
      <c r="Y313" s="2"/>
      <c r="Z313" s="2"/>
    </row>
    <row r="314" ht="13.5" customHeight="1">
      <c r="A314" s="2"/>
      <c r="B314" s="2"/>
      <c r="C314" s="2"/>
      <c r="D314" s="2"/>
      <c r="E314" s="2"/>
      <c r="F314" s="2"/>
      <c r="G314" s="2"/>
      <c r="H314" s="2"/>
      <c r="I314" s="2"/>
      <c r="J314" s="2"/>
      <c r="K314" s="2"/>
      <c r="L314" s="2"/>
      <c r="M314" s="2"/>
      <c r="N314" s="2"/>
      <c r="O314" s="2"/>
      <c r="P314" s="2"/>
      <c r="Q314" s="144"/>
      <c r="R314" s="144"/>
      <c r="S314" s="144"/>
      <c r="T314" s="214"/>
      <c r="U314" s="2"/>
      <c r="V314" s="2"/>
      <c r="W314" s="2"/>
      <c r="X314" s="2"/>
      <c r="Y314" s="2"/>
      <c r="Z314" s="2"/>
    </row>
    <row r="315" ht="13.5" customHeight="1">
      <c r="A315" s="2"/>
      <c r="B315" s="2"/>
      <c r="C315" s="2"/>
      <c r="D315" s="2"/>
      <c r="E315" s="2"/>
      <c r="F315" s="2"/>
      <c r="G315" s="2"/>
      <c r="H315" s="2"/>
      <c r="I315" s="2"/>
      <c r="J315" s="2"/>
      <c r="K315" s="2"/>
      <c r="L315" s="2"/>
      <c r="M315" s="2"/>
      <c r="N315" s="2"/>
      <c r="O315" s="2"/>
      <c r="P315" s="2"/>
      <c r="Q315" s="144"/>
      <c r="R315" s="144"/>
      <c r="S315" s="144"/>
      <c r="T315" s="214"/>
      <c r="U315" s="2"/>
      <c r="V315" s="2"/>
      <c r="W315" s="2"/>
      <c r="X315" s="2"/>
      <c r="Y315" s="2"/>
      <c r="Z315" s="2"/>
    </row>
    <row r="316" ht="13.5" customHeight="1">
      <c r="A316" s="2"/>
      <c r="B316" s="2"/>
      <c r="C316" s="2"/>
      <c r="D316" s="2"/>
      <c r="E316" s="2"/>
      <c r="F316" s="2"/>
      <c r="G316" s="2"/>
      <c r="H316" s="2"/>
      <c r="I316" s="2"/>
      <c r="J316" s="2"/>
      <c r="K316" s="2"/>
      <c r="L316" s="2"/>
      <c r="M316" s="2"/>
      <c r="N316" s="2"/>
      <c r="O316" s="2"/>
      <c r="P316" s="2"/>
      <c r="Q316" s="144"/>
      <c r="R316" s="144"/>
      <c r="S316" s="144"/>
      <c r="T316" s="214"/>
      <c r="U316" s="2"/>
      <c r="V316" s="2"/>
      <c r="W316" s="2"/>
      <c r="X316" s="2"/>
      <c r="Y316" s="2"/>
      <c r="Z316" s="2"/>
    </row>
    <row r="317" ht="13.5" customHeight="1">
      <c r="A317" s="2"/>
      <c r="B317" s="2"/>
      <c r="C317" s="2"/>
      <c r="D317" s="2"/>
      <c r="E317" s="2"/>
      <c r="F317" s="2"/>
      <c r="G317" s="2"/>
      <c r="H317" s="2"/>
      <c r="I317" s="2"/>
      <c r="J317" s="2"/>
      <c r="K317" s="2"/>
      <c r="L317" s="2"/>
      <c r="M317" s="2"/>
      <c r="N317" s="2"/>
      <c r="O317" s="2"/>
      <c r="P317" s="2"/>
      <c r="Q317" s="144"/>
      <c r="R317" s="144"/>
      <c r="S317" s="144"/>
      <c r="T317" s="214"/>
      <c r="U317" s="2"/>
      <c r="V317" s="2"/>
      <c r="W317" s="2"/>
      <c r="X317" s="2"/>
      <c r="Y317" s="2"/>
      <c r="Z317" s="2"/>
    </row>
    <row r="318" ht="13.5" customHeight="1">
      <c r="A318" s="2"/>
      <c r="B318" s="2"/>
      <c r="C318" s="2"/>
      <c r="D318" s="2"/>
      <c r="E318" s="2"/>
      <c r="F318" s="2"/>
      <c r="G318" s="2"/>
      <c r="H318" s="2"/>
      <c r="I318" s="2"/>
      <c r="J318" s="2"/>
      <c r="K318" s="2"/>
      <c r="L318" s="2"/>
      <c r="M318" s="2"/>
      <c r="N318" s="2"/>
      <c r="O318" s="2"/>
      <c r="P318" s="2"/>
      <c r="Q318" s="144"/>
      <c r="R318" s="144"/>
      <c r="S318" s="144"/>
      <c r="T318" s="214"/>
      <c r="U318" s="2"/>
      <c r="V318" s="2"/>
      <c r="W318" s="2"/>
      <c r="X318" s="2"/>
      <c r="Y318" s="2"/>
      <c r="Z318" s="2"/>
    </row>
    <row r="319" ht="13.5" customHeight="1">
      <c r="A319" s="2"/>
      <c r="B319" s="2"/>
      <c r="C319" s="2"/>
      <c r="D319" s="2"/>
      <c r="E319" s="2"/>
      <c r="F319" s="2"/>
      <c r="G319" s="2"/>
      <c r="H319" s="2"/>
      <c r="I319" s="2"/>
      <c r="J319" s="2"/>
      <c r="K319" s="2"/>
      <c r="L319" s="2"/>
      <c r="M319" s="2"/>
      <c r="N319" s="2"/>
      <c r="O319" s="2"/>
      <c r="P319" s="2"/>
      <c r="Q319" s="144"/>
      <c r="R319" s="144"/>
      <c r="S319" s="144"/>
      <c r="T319" s="214"/>
      <c r="U319" s="2"/>
      <c r="V319" s="2"/>
      <c r="W319" s="2"/>
      <c r="X319" s="2"/>
      <c r="Y319" s="2"/>
      <c r="Z319" s="2"/>
    </row>
    <row r="320" ht="13.5" customHeight="1">
      <c r="A320" s="2"/>
      <c r="B320" s="2"/>
      <c r="C320" s="2"/>
      <c r="D320" s="2"/>
      <c r="E320" s="2"/>
      <c r="F320" s="2"/>
      <c r="G320" s="2"/>
      <c r="H320" s="2"/>
      <c r="I320" s="2"/>
      <c r="J320" s="2"/>
      <c r="K320" s="2"/>
      <c r="L320" s="2"/>
      <c r="M320" s="2"/>
      <c r="N320" s="2"/>
      <c r="O320" s="2"/>
      <c r="P320" s="2"/>
      <c r="Q320" s="144"/>
      <c r="R320" s="144"/>
      <c r="S320" s="144"/>
      <c r="T320" s="214"/>
      <c r="U320" s="2"/>
      <c r="V320" s="2"/>
      <c r="W320" s="2"/>
      <c r="X320" s="2"/>
      <c r="Y320" s="2"/>
      <c r="Z320" s="2"/>
    </row>
    <row r="321" ht="13.5" customHeight="1">
      <c r="A321" s="2"/>
      <c r="B321" s="2"/>
      <c r="C321" s="2"/>
      <c r="D321" s="2"/>
      <c r="E321" s="2"/>
      <c r="F321" s="2"/>
      <c r="G321" s="2"/>
      <c r="H321" s="2"/>
      <c r="I321" s="2"/>
      <c r="J321" s="2"/>
      <c r="K321" s="2"/>
      <c r="L321" s="2"/>
      <c r="M321" s="2"/>
      <c r="N321" s="2"/>
      <c r="O321" s="2"/>
      <c r="P321" s="2"/>
      <c r="Q321" s="144"/>
      <c r="R321" s="144"/>
      <c r="S321" s="144"/>
      <c r="T321" s="214"/>
      <c r="U321" s="2"/>
      <c r="V321" s="2"/>
      <c r="W321" s="2"/>
      <c r="X321" s="2"/>
      <c r="Y321" s="2"/>
      <c r="Z321" s="2"/>
    </row>
    <row r="322" ht="13.5" customHeight="1">
      <c r="A322" s="2"/>
      <c r="B322" s="2"/>
      <c r="C322" s="2"/>
      <c r="D322" s="2"/>
      <c r="E322" s="2"/>
      <c r="F322" s="2"/>
      <c r="G322" s="2"/>
      <c r="H322" s="2"/>
      <c r="I322" s="2"/>
      <c r="J322" s="2"/>
      <c r="K322" s="2"/>
      <c r="L322" s="2"/>
      <c r="M322" s="2"/>
      <c r="N322" s="2"/>
      <c r="O322" s="2"/>
      <c r="P322" s="2"/>
      <c r="Q322" s="144"/>
      <c r="R322" s="144"/>
      <c r="S322" s="144"/>
      <c r="T322" s="214"/>
      <c r="U322" s="2"/>
      <c r="V322" s="2"/>
      <c r="W322" s="2"/>
      <c r="X322" s="2"/>
      <c r="Y322" s="2"/>
      <c r="Z322" s="2"/>
    </row>
    <row r="323" ht="13.5" customHeight="1">
      <c r="A323" s="2"/>
      <c r="B323" s="2"/>
      <c r="C323" s="2"/>
      <c r="D323" s="2"/>
      <c r="E323" s="2"/>
      <c r="F323" s="2"/>
      <c r="G323" s="2"/>
      <c r="H323" s="2"/>
      <c r="I323" s="2"/>
      <c r="J323" s="2"/>
      <c r="K323" s="2"/>
      <c r="L323" s="2"/>
      <c r="M323" s="2"/>
      <c r="N323" s="2"/>
      <c r="O323" s="2"/>
      <c r="P323" s="2"/>
      <c r="Q323" s="144"/>
      <c r="R323" s="144"/>
      <c r="S323" s="144"/>
      <c r="T323" s="214"/>
      <c r="U323" s="2"/>
      <c r="V323" s="2"/>
      <c r="W323" s="2"/>
      <c r="X323" s="2"/>
      <c r="Y323" s="2"/>
      <c r="Z323" s="2"/>
    </row>
    <row r="324" ht="13.5" customHeight="1">
      <c r="A324" s="2"/>
      <c r="B324" s="2"/>
      <c r="C324" s="2"/>
      <c r="D324" s="2"/>
      <c r="E324" s="2"/>
      <c r="F324" s="2"/>
      <c r="G324" s="2"/>
      <c r="H324" s="2"/>
      <c r="I324" s="2"/>
      <c r="J324" s="2"/>
      <c r="K324" s="2"/>
      <c r="L324" s="2"/>
      <c r="M324" s="2"/>
      <c r="N324" s="2"/>
      <c r="O324" s="2"/>
      <c r="P324" s="2"/>
      <c r="Q324" s="144"/>
      <c r="R324" s="144"/>
      <c r="S324" s="144"/>
      <c r="T324" s="214"/>
      <c r="U324" s="2"/>
      <c r="V324" s="2"/>
      <c r="W324" s="2"/>
      <c r="X324" s="2"/>
      <c r="Y324" s="2"/>
      <c r="Z324" s="2"/>
    </row>
    <row r="325" ht="13.5" customHeight="1">
      <c r="A325" s="2"/>
      <c r="B325" s="2"/>
      <c r="C325" s="2"/>
      <c r="D325" s="2"/>
      <c r="E325" s="2"/>
      <c r="F325" s="2"/>
      <c r="G325" s="2"/>
      <c r="H325" s="2"/>
      <c r="I325" s="2"/>
      <c r="J325" s="2"/>
      <c r="K325" s="2"/>
      <c r="L325" s="2"/>
      <c r="M325" s="2"/>
      <c r="N325" s="2"/>
      <c r="O325" s="2"/>
      <c r="P325" s="2"/>
      <c r="Q325" s="144"/>
      <c r="R325" s="144"/>
      <c r="S325" s="144"/>
      <c r="T325" s="214"/>
      <c r="U325" s="2"/>
      <c r="V325" s="2"/>
      <c r="W325" s="2"/>
      <c r="X325" s="2"/>
      <c r="Y325" s="2"/>
      <c r="Z325" s="2"/>
    </row>
    <row r="326" ht="13.5" customHeight="1">
      <c r="A326" s="2"/>
      <c r="B326" s="2"/>
      <c r="C326" s="2"/>
      <c r="D326" s="2"/>
      <c r="E326" s="2"/>
      <c r="F326" s="2"/>
      <c r="G326" s="2"/>
      <c r="H326" s="2"/>
      <c r="I326" s="2"/>
      <c r="J326" s="2"/>
      <c r="K326" s="2"/>
      <c r="L326" s="2"/>
      <c r="M326" s="2"/>
      <c r="N326" s="2"/>
      <c r="O326" s="2"/>
      <c r="P326" s="2"/>
      <c r="Q326" s="144"/>
      <c r="R326" s="144"/>
      <c r="S326" s="144"/>
      <c r="T326" s="214"/>
      <c r="U326" s="2"/>
      <c r="V326" s="2"/>
      <c r="W326" s="2"/>
      <c r="X326" s="2"/>
      <c r="Y326" s="2"/>
      <c r="Z326" s="2"/>
    </row>
    <row r="327" ht="13.5" customHeight="1">
      <c r="A327" s="2"/>
      <c r="B327" s="2"/>
      <c r="C327" s="2"/>
      <c r="D327" s="2"/>
      <c r="E327" s="2"/>
      <c r="F327" s="2"/>
      <c r="G327" s="2"/>
      <c r="H327" s="2"/>
      <c r="I327" s="2"/>
      <c r="J327" s="2"/>
      <c r="K327" s="2"/>
      <c r="L327" s="2"/>
      <c r="M327" s="2"/>
      <c r="N327" s="2"/>
      <c r="O327" s="2"/>
      <c r="P327" s="2"/>
      <c r="Q327" s="144"/>
      <c r="R327" s="144"/>
      <c r="S327" s="144"/>
      <c r="T327" s="214"/>
      <c r="U327" s="2"/>
      <c r="V327" s="2"/>
      <c r="W327" s="2"/>
      <c r="X327" s="2"/>
      <c r="Y327" s="2"/>
      <c r="Z327" s="2"/>
    </row>
    <row r="328" ht="13.5" customHeight="1">
      <c r="A328" s="2"/>
      <c r="B328" s="2"/>
      <c r="C328" s="2"/>
      <c r="D328" s="2"/>
      <c r="E328" s="2"/>
      <c r="F328" s="2"/>
      <c r="G328" s="2"/>
      <c r="H328" s="2"/>
      <c r="I328" s="2"/>
      <c r="J328" s="2"/>
      <c r="K328" s="2"/>
      <c r="L328" s="2"/>
      <c r="M328" s="2"/>
      <c r="N328" s="2"/>
      <c r="O328" s="2"/>
      <c r="P328" s="2"/>
      <c r="Q328" s="144"/>
      <c r="R328" s="144"/>
      <c r="S328" s="144"/>
      <c r="T328" s="214"/>
      <c r="U328" s="2"/>
      <c r="V328" s="2"/>
      <c r="W328" s="2"/>
      <c r="X328" s="2"/>
      <c r="Y328" s="2"/>
      <c r="Z328" s="2"/>
    </row>
    <row r="329" ht="13.5" customHeight="1">
      <c r="A329" s="2"/>
      <c r="B329" s="2"/>
      <c r="C329" s="2"/>
      <c r="D329" s="2"/>
      <c r="E329" s="2"/>
      <c r="F329" s="2"/>
      <c r="G329" s="2"/>
      <c r="H329" s="2"/>
      <c r="I329" s="2"/>
      <c r="J329" s="2"/>
      <c r="K329" s="2"/>
      <c r="L329" s="2"/>
      <c r="M329" s="2"/>
      <c r="N329" s="2"/>
      <c r="O329" s="2"/>
      <c r="P329" s="2"/>
      <c r="Q329" s="144"/>
      <c r="R329" s="144"/>
      <c r="S329" s="144"/>
      <c r="T329" s="214"/>
      <c r="U329" s="2"/>
      <c r="V329" s="2"/>
      <c r="W329" s="2"/>
      <c r="X329" s="2"/>
      <c r="Y329" s="2"/>
      <c r="Z329" s="2"/>
    </row>
    <row r="330" ht="13.5" customHeight="1">
      <c r="A330" s="2"/>
      <c r="B330" s="2"/>
      <c r="C330" s="2"/>
      <c r="D330" s="2"/>
      <c r="E330" s="2"/>
      <c r="F330" s="2"/>
      <c r="G330" s="2"/>
      <c r="H330" s="2"/>
      <c r="I330" s="2"/>
      <c r="J330" s="2"/>
      <c r="K330" s="2"/>
      <c r="L330" s="2"/>
      <c r="M330" s="2"/>
      <c r="N330" s="2"/>
      <c r="O330" s="2"/>
      <c r="P330" s="2"/>
      <c r="Q330" s="144"/>
      <c r="R330" s="144"/>
      <c r="S330" s="144"/>
      <c r="T330" s="214"/>
      <c r="U330" s="2"/>
      <c r="V330" s="2"/>
      <c r="W330" s="2"/>
      <c r="X330" s="2"/>
      <c r="Y330" s="2"/>
      <c r="Z330" s="2"/>
    </row>
    <row r="331" ht="13.5" customHeight="1">
      <c r="A331" s="2"/>
      <c r="B331" s="2"/>
      <c r="C331" s="2"/>
      <c r="D331" s="2"/>
      <c r="E331" s="2"/>
      <c r="F331" s="2"/>
      <c r="G331" s="2"/>
      <c r="H331" s="2"/>
      <c r="I331" s="2"/>
      <c r="J331" s="2"/>
      <c r="K331" s="2"/>
      <c r="L331" s="2"/>
      <c r="M331" s="2"/>
      <c r="N331" s="2"/>
      <c r="O331" s="2"/>
      <c r="P331" s="2"/>
      <c r="Q331" s="144"/>
      <c r="R331" s="144"/>
      <c r="S331" s="144"/>
      <c r="T331" s="214"/>
      <c r="U331" s="2"/>
      <c r="V331" s="2"/>
      <c r="W331" s="2"/>
      <c r="X331" s="2"/>
      <c r="Y331" s="2"/>
      <c r="Z331" s="2"/>
    </row>
    <row r="332" ht="13.5" customHeight="1">
      <c r="A332" s="2"/>
      <c r="B332" s="2"/>
      <c r="C332" s="2"/>
      <c r="D332" s="2"/>
      <c r="E332" s="2"/>
      <c r="F332" s="2"/>
      <c r="G332" s="2"/>
      <c r="H332" s="2"/>
      <c r="I332" s="2"/>
      <c r="J332" s="2"/>
      <c r="K332" s="2"/>
      <c r="L332" s="2"/>
      <c r="M332" s="2"/>
      <c r="N332" s="2"/>
      <c r="O332" s="2"/>
      <c r="P332" s="2"/>
      <c r="Q332" s="144"/>
      <c r="R332" s="144"/>
      <c r="S332" s="144"/>
      <c r="T332" s="214"/>
      <c r="U332" s="2"/>
      <c r="V332" s="2"/>
      <c r="W332" s="2"/>
      <c r="X332" s="2"/>
      <c r="Y332" s="2"/>
      <c r="Z332" s="2"/>
    </row>
    <row r="333" ht="13.5" customHeight="1">
      <c r="A333" s="2"/>
      <c r="B333" s="2"/>
      <c r="C333" s="2"/>
      <c r="D333" s="2"/>
      <c r="E333" s="2"/>
      <c r="F333" s="2"/>
      <c r="G333" s="2"/>
      <c r="H333" s="2"/>
      <c r="I333" s="2"/>
      <c r="J333" s="2"/>
      <c r="K333" s="2"/>
      <c r="L333" s="2"/>
      <c r="M333" s="2"/>
      <c r="N333" s="2"/>
      <c r="O333" s="2"/>
      <c r="P333" s="2"/>
      <c r="Q333" s="144"/>
      <c r="R333" s="144"/>
      <c r="S333" s="144"/>
      <c r="T333" s="214"/>
      <c r="U333" s="2"/>
      <c r="V333" s="2"/>
      <c r="W333" s="2"/>
      <c r="X333" s="2"/>
      <c r="Y333" s="2"/>
      <c r="Z333" s="2"/>
    </row>
    <row r="334" ht="13.5" customHeight="1">
      <c r="A334" s="2"/>
      <c r="B334" s="2"/>
      <c r="C334" s="2"/>
      <c r="D334" s="2"/>
      <c r="E334" s="2"/>
      <c r="F334" s="2"/>
      <c r="G334" s="2"/>
      <c r="H334" s="2"/>
      <c r="I334" s="2"/>
      <c r="J334" s="2"/>
      <c r="K334" s="2"/>
      <c r="L334" s="2"/>
      <c r="M334" s="2"/>
      <c r="N334" s="2"/>
      <c r="O334" s="2"/>
      <c r="P334" s="2"/>
      <c r="Q334" s="144"/>
      <c r="R334" s="144"/>
      <c r="S334" s="144"/>
      <c r="T334" s="214"/>
      <c r="U334" s="2"/>
      <c r="V334" s="2"/>
      <c r="W334" s="2"/>
      <c r="X334" s="2"/>
      <c r="Y334" s="2"/>
      <c r="Z334" s="2"/>
    </row>
    <row r="335" ht="13.5" customHeight="1">
      <c r="A335" s="2"/>
      <c r="B335" s="2"/>
      <c r="C335" s="2"/>
      <c r="D335" s="2"/>
      <c r="E335" s="2"/>
      <c r="F335" s="2"/>
      <c r="G335" s="2"/>
      <c r="H335" s="2"/>
      <c r="I335" s="2"/>
      <c r="J335" s="2"/>
      <c r="K335" s="2"/>
      <c r="L335" s="2"/>
      <c r="M335" s="2"/>
      <c r="N335" s="2"/>
      <c r="O335" s="2"/>
      <c r="P335" s="2"/>
      <c r="Q335" s="144"/>
      <c r="R335" s="144"/>
      <c r="S335" s="144"/>
      <c r="T335" s="214"/>
      <c r="U335" s="2"/>
      <c r="V335" s="2"/>
      <c r="W335" s="2"/>
      <c r="X335" s="2"/>
      <c r="Y335" s="2"/>
      <c r="Z335" s="2"/>
    </row>
    <row r="336" ht="13.5" customHeight="1">
      <c r="A336" s="2"/>
      <c r="B336" s="2"/>
      <c r="C336" s="2"/>
      <c r="D336" s="2"/>
      <c r="E336" s="2"/>
      <c r="F336" s="2"/>
      <c r="G336" s="2"/>
      <c r="H336" s="2"/>
      <c r="I336" s="2"/>
      <c r="J336" s="2"/>
      <c r="K336" s="2"/>
      <c r="L336" s="2"/>
      <c r="M336" s="2"/>
      <c r="N336" s="2"/>
      <c r="O336" s="2"/>
      <c r="P336" s="2"/>
      <c r="Q336" s="144"/>
      <c r="R336" s="144"/>
      <c r="S336" s="144"/>
      <c r="T336" s="214"/>
      <c r="U336" s="2"/>
      <c r="V336" s="2"/>
      <c r="W336" s="2"/>
      <c r="X336" s="2"/>
      <c r="Y336" s="2"/>
      <c r="Z336" s="2"/>
    </row>
    <row r="337" ht="13.5" customHeight="1">
      <c r="A337" s="2"/>
      <c r="B337" s="2"/>
      <c r="C337" s="2"/>
      <c r="D337" s="2"/>
      <c r="E337" s="2"/>
      <c r="F337" s="2"/>
      <c r="G337" s="2"/>
      <c r="H337" s="2"/>
      <c r="I337" s="2"/>
      <c r="J337" s="2"/>
      <c r="K337" s="2"/>
      <c r="L337" s="2"/>
      <c r="M337" s="2"/>
      <c r="N337" s="2"/>
      <c r="O337" s="2"/>
      <c r="P337" s="2"/>
      <c r="Q337" s="144"/>
      <c r="R337" s="144"/>
      <c r="S337" s="144"/>
      <c r="T337" s="214"/>
      <c r="U337" s="2"/>
      <c r="V337" s="2"/>
      <c r="W337" s="2"/>
      <c r="X337" s="2"/>
      <c r="Y337" s="2"/>
      <c r="Z337" s="2"/>
    </row>
    <row r="338" ht="13.5" customHeight="1">
      <c r="A338" s="2"/>
      <c r="B338" s="2"/>
      <c r="C338" s="2"/>
      <c r="D338" s="2"/>
      <c r="E338" s="2"/>
      <c r="F338" s="2"/>
      <c r="G338" s="2"/>
      <c r="H338" s="2"/>
      <c r="I338" s="2"/>
      <c r="J338" s="2"/>
      <c r="K338" s="2"/>
      <c r="L338" s="2"/>
      <c r="M338" s="2"/>
      <c r="N338" s="2"/>
      <c r="O338" s="2"/>
      <c r="P338" s="2"/>
      <c r="Q338" s="144"/>
      <c r="R338" s="144"/>
      <c r="S338" s="144"/>
      <c r="T338" s="214"/>
      <c r="U338" s="2"/>
      <c r="V338" s="2"/>
      <c r="W338" s="2"/>
      <c r="X338" s="2"/>
      <c r="Y338" s="2"/>
      <c r="Z338" s="2"/>
    </row>
    <row r="339" ht="13.5" customHeight="1">
      <c r="A339" s="2"/>
      <c r="B339" s="2"/>
      <c r="C339" s="2"/>
      <c r="D339" s="2"/>
      <c r="E339" s="2"/>
      <c r="F339" s="2"/>
      <c r="G339" s="2"/>
      <c r="H339" s="2"/>
      <c r="I339" s="2"/>
      <c r="J339" s="2"/>
      <c r="K339" s="2"/>
      <c r="L339" s="2"/>
      <c r="M339" s="2"/>
      <c r="N339" s="2"/>
      <c r="O339" s="2"/>
      <c r="P339" s="2"/>
      <c r="Q339" s="144"/>
      <c r="R339" s="144"/>
      <c r="S339" s="144"/>
      <c r="T339" s="214"/>
      <c r="U339" s="2"/>
      <c r="V339" s="2"/>
      <c r="W339" s="2"/>
      <c r="X339" s="2"/>
      <c r="Y339" s="2"/>
      <c r="Z339" s="2"/>
    </row>
    <row r="340" ht="13.5" customHeight="1">
      <c r="A340" s="2"/>
      <c r="B340" s="2"/>
      <c r="C340" s="2"/>
      <c r="D340" s="2"/>
      <c r="E340" s="2"/>
      <c r="F340" s="2"/>
      <c r="G340" s="2"/>
      <c r="H340" s="2"/>
      <c r="I340" s="2"/>
      <c r="J340" s="2"/>
      <c r="K340" s="2"/>
      <c r="L340" s="2"/>
      <c r="M340" s="2"/>
      <c r="N340" s="2"/>
      <c r="O340" s="2"/>
      <c r="P340" s="2"/>
      <c r="Q340" s="144"/>
      <c r="R340" s="144"/>
      <c r="S340" s="144"/>
      <c r="T340" s="214"/>
      <c r="U340" s="2"/>
      <c r="V340" s="2"/>
      <c r="W340" s="2"/>
      <c r="X340" s="2"/>
      <c r="Y340" s="2"/>
      <c r="Z340" s="2"/>
    </row>
    <row r="341" ht="13.5" customHeight="1">
      <c r="A341" s="2"/>
      <c r="B341" s="2"/>
      <c r="C341" s="2"/>
      <c r="D341" s="2"/>
      <c r="E341" s="2"/>
      <c r="F341" s="2"/>
      <c r="G341" s="2"/>
      <c r="H341" s="2"/>
      <c r="I341" s="2"/>
      <c r="J341" s="2"/>
      <c r="K341" s="2"/>
      <c r="L341" s="2"/>
      <c r="M341" s="2"/>
      <c r="N341" s="2"/>
      <c r="O341" s="2"/>
      <c r="P341" s="2"/>
      <c r="Q341" s="144"/>
      <c r="R341" s="144"/>
      <c r="S341" s="144"/>
      <c r="T341" s="214"/>
      <c r="U341" s="2"/>
      <c r="V341" s="2"/>
      <c r="W341" s="2"/>
      <c r="X341" s="2"/>
      <c r="Y341" s="2"/>
      <c r="Z341" s="2"/>
    </row>
    <row r="342" ht="13.5" customHeight="1">
      <c r="A342" s="2"/>
      <c r="B342" s="2"/>
      <c r="C342" s="2"/>
      <c r="D342" s="2"/>
      <c r="E342" s="2"/>
      <c r="F342" s="2"/>
      <c r="G342" s="2"/>
      <c r="H342" s="2"/>
      <c r="I342" s="2"/>
      <c r="J342" s="2"/>
      <c r="K342" s="2"/>
      <c r="L342" s="2"/>
      <c r="M342" s="2"/>
      <c r="N342" s="2"/>
      <c r="O342" s="2"/>
      <c r="P342" s="2"/>
      <c r="Q342" s="144"/>
      <c r="R342" s="144"/>
      <c r="S342" s="144"/>
      <c r="T342" s="214"/>
      <c r="U342" s="2"/>
      <c r="V342" s="2"/>
      <c r="W342" s="2"/>
      <c r="X342" s="2"/>
      <c r="Y342" s="2"/>
      <c r="Z342" s="2"/>
    </row>
    <row r="343" ht="13.5" customHeight="1">
      <c r="A343" s="2"/>
      <c r="B343" s="2"/>
      <c r="C343" s="2"/>
      <c r="D343" s="2"/>
      <c r="E343" s="2"/>
      <c r="F343" s="2"/>
      <c r="G343" s="2"/>
      <c r="H343" s="2"/>
      <c r="I343" s="2"/>
      <c r="J343" s="2"/>
      <c r="K343" s="2"/>
      <c r="L343" s="2"/>
      <c r="M343" s="2"/>
      <c r="N343" s="2"/>
      <c r="O343" s="2"/>
      <c r="P343" s="2"/>
      <c r="Q343" s="144"/>
      <c r="R343" s="144"/>
      <c r="S343" s="144"/>
      <c r="T343" s="214"/>
      <c r="U343" s="2"/>
      <c r="V343" s="2"/>
      <c r="W343" s="2"/>
      <c r="X343" s="2"/>
      <c r="Y343" s="2"/>
      <c r="Z343" s="2"/>
    </row>
    <row r="344" ht="13.5" customHeight="1">
      <c r="A344" s="2"/>
      <c r="B344" s="2"/>
      <c r="C344" s="2"/>
      <c r="D344" s="2"/>
      <c r="E344" s="2"/>
      <c r="F344" s="2"/>
      <c r="G344" s="2"/>
      <c r="H344" s="2"/>
      <c r="I344" s="2"/>
      <c r="J344" s="2"/>
      <c r="K344" s="2"/>
      <c r="L344" s="2"/>
      <c r="M344" s="2"/>
      <c r="N344" s="2"/>
      <c r="O344" s="2"/>
      <c r="P344" s="2"/>
      <c r="Q344" s="144"/>
      <c r="R344" s="144"/>
      <c r="S344" s="144"/>
      <c r="T344" s="214"/>
      <c r="U344" s="2"/>
      <c r="V344" s="2"/>
      <c r="W344" s="2"/>
      <c r="X344" s="2"/>
      <c r="Y344" s="2"/>
      <c r="Z344" s="2"/>
    </row>
    <row r="345" ht="13.5" customHeight="1">
      <c r="A345" s="2"/>
      <c r="B345" s="2"/>
      <c r="C345" s="2"/>
      <c r="D345" s="2"/>
      <c r="E345" s="2"/>
      <c r="F345" s="2"/>
      <c r="G345" s="2"/>
      <c r="H345" s="2"/>
      <c r="I345" s="2"/>
      <c r="J345" s="2"/>
      <c r="K345" s="2"/>
      <c r="L345" s="2"/>
      <c r="M345" s="2"/>
      <c r="N345" s="2"/>
      <c r="O345" s="2"/>
      <c r="P345" s="2"/>
      <c r="Q345" s="144"/>
      <c r="R345" s="144"/>
      <c r="S345" s="144"/>
      <c r="T345" s="214"/>
      <c r="U345" s="2"/>
      <c r="V345" s="2"/>
      <c r="W345" s="2"/>
      <c r="X345" s="2"/>
      <c r="Y345" s="2"/>
      <c r="Z345" s="2"/>
    </row>
    <row r="346" ht="13.5" customHeight="1">
      <c r="A346" s="2"/>
      <c r="B346" s="2"/>
      <c r="C346" s="2"/>
      <c r="D346" s="2"/>
      <c r="E346" s="2"/>
      <c r="F346" s="2"/>
      <c r="G346" s="2"/>
      <c r="H346" s="2"/>
      <c r="I346" s="2"/>
      <c r="J346" s="2"/>
      <c r="K346" s="2"/>
      <c r="L346" s="2"/>
      <c r="M346" s="2"/>
      <c r="N346" s="2"/>
      <c r="O346" s="2"/>
      <c r="P346" s="2"/>
      <c r="Q346" s="144"/>
      <c r="R346" s="144"/>
      <c r="S346" s="144"/>
      <c r="T346" s="214"/>
      <c r="U346" s="2"/>
      <c r="V346" s="2"/>
      <c r="W346" s="2"/>
      <c r="X346" s="2"/>
      <c r="Y346" s="2"/>
      <c r="Z346" s="2"/>
    </row>
    <row r="347" ht="13.5" customHeight="1">
      <c r="A347" s="2"/>
      <c r="B347" s="2"/>
      <c r="C347" s="2"/>
      <c r="D347" s="2"/>
      <c r="E347" s="2"/>
      <c r="F347" s="2"/>
      <c r="G347" s="2"/>
      <c r="H347" s="2"/>
      <c r="I347" s="2"/>
      <c r="J347" s="2"/>
      <c r="K347" s="2"/>
      <c r="L347" s="2"/>
      <c r="M347" s="2"/>
      <c r="N347" s="2"/>
      <c r="O347" s="2"/>
      <c r="P347" s="2"/>
      <c r="Q347" s="144"/>
      <c r="R347" s="144"/>
      <c r="S347" s="144"/>
      <c r="T347" s="214"/>
      <c r="U347" s="2"/>
      <c r="V347" s="2"/>
      <c r="W347" s="2"/>
      <c r="X347" s="2"/>
      <c r="Y347" s="2"/>
      <c r="Z347" s="2"/>
    </row>
    <row r="348" ht="13.5" customHeight="1">
      <c r="A348" s="2"/>
      <c r="B348" s="2"/>
      <c r="C348" s="2"/>
      <c r="D348" s="2"/>
      <c r="E348" s="2"/>
      <c r="F348" s="2"/>
      <c r="G348" s="2"/>
      <c r="H348" s="2"/>
      <c r="I348" s="2"/>
      <c r="J348" s="2"/>
      <c r="K348" s="2"/>
      <c r="L348" s="2"/>
      <c r="M348" s="2"/>
      <c r="N348" s="2"/>
      <c r="O348" s="2"/>
      <c r="P348" s="2"/>
      <c r="Q348" s="144"/>
      <c r="R348" s="144"/>
      <c r="S348" s="144"/>
      <c r="T348" s="214"/>
      <c r="U348" s="2"/>
      <c r="V348" s="2"/>
      <c r="W348" s="2"/>
      <c r="X348" s="2"/>
      <c r="Y348" s="2"/>
      <c r="Z348" s="2"/>
    </row>
    <row r="349" ht="13.5" customHeight="1">
      <c r="A349" s="2"/>
      <c r="B349" s="2"/>
      <c r="C349" s="2"/>
      <c r="D349" s="2"/>
      <c r="E349" s="2"/>
      <c r="F349" s="2"/>
      <c r="G349" s="2"/>
      <c r="H349" s="2"/>
      <c r="I349" s="2"/>
      <c r="J349" s="2"/>
      <c r="K349" s="2"/>
      <c r="L349" s="2"/>
      <c r="M349" s="2"/>
      <c r="N349" s="2"/>
      <c r="O349" s="2"/>
      <c r="P349" s="2"/>
      <c r="Q349" s="144"/>
      <c r="R349" s="144"/>
      <c r="S349" s="144"/>
      <c r="T349" s="214"/>
      <c r="U349" s="2"/>
      <c r="V349" s="2"/>
      <c r="W349" s="2"/>
      <c r="X349" s="2"/>
      <c r="Y349" s="2"/>
      <c r="Z349" s="2"/>
    </row>
    <row r="350" ht="13.5" customHeight="1">
      <c r="A350" s="2"/>
      <c r="B350" s="2"/>
      <c r="C350" s="2"/>
      <c r="D350" s="2"/>
      <c r="E350" s="2"/>
      <c r="F350" s="2"/>
      <c r="G350" s="2"/>
      <c r="H350" s="2"/>
      <c r="I350" s="2"/>
      <c r="J350" s="2"/>
      <c r="K350" s="2"/>
      <c r="L350" s="2"/>
      <c r="M350" s="2"/>
      <c r="N350" s="2"/>
      <c r="O350" s="2"/>
      <c r="P350" s="2"/>
      <c r="Q350" s="144"/>
      <c r="R350" s="144"/>
      <c r="S350" s="144"/>
      <c r="T350" s="214"/>
      <c r="U350" s="2"/>
      <c r="V350" s="2"/>
      <c r="W350" s="2"/>
      <c r="X350" s="2"/>
      <c r="Y350" s="2"/>
      <c r="Z350" s="2"/>
    </row>
    <row r="351" ht="13.5" customHeight="1">
      <c r="A351" s="2"/>
      <c r="B351" s="2"/>
      <c r="C351" s="2"/>
      <c r="D351" s="2"/>
      <c r="E351" s="2"/>
      <c r="F351" s="2"/>
      <c r="G351" s="2"/>
      <c r="H351" s="2"/>
      <c r="I351" s="2"/>
      <c r="J351" s="2"/>
      <c r="K351" s="2"/>
      <c r="L351" s="2"/>
      <c r="M351" s="2"/>
      <c r="N351" s="2"/>
      <c r="O351" s="2"/>
      <c r="P351" s="2"/>
      <c r="Q351" s="144"/>
      <c r="R351" s="144"/>
      <c r="S351" s="144"/>
      <c r="T351" s="214"/>
      <c r="U351" s="2"/>
      <c r="V351" s="2"/>
      <c r="W351" s="2"/>
      <c r="X351" s="2"/>
      <c r="Y351" s="2"/>
      <c r="Z351" s="2"/>
    </row>
    <row r="352" ht="13.5" customHeight="1">
      <c r="A352" s="2"/>
      <c r="B352" s="2"/>
      <c r="C352" s="2"/>
      <c r="D352" s="2"/>
      <c r="E352" s="2"/>
      <c r="F352" s="2"/>
      <c r="G352" s="2"/>
      <c r="H352" s="2"/>
      <c r="I352" s="2"/>
      <c r="J352" s="2"/>
      <c r="K352" s="2"/>
      <c r="L352" s="2"/>
      <c r="M352" s="2"/>
      <c r="N352" s="2"/>
      <c r="O352" s="2"/>
      <c r="P352" s="2"/>
      <c r="Q352" s="144"/>
      <c r="R352" s="144"/>
      <c r="S352" s="144"/>
      <c r="T352" s="214"/>
      <c r="U352" s="2"/>
      <c r="V352" s="2"/>
      <c r="W352" s="2"/>
      <c r="X352" s="2"/>
      <c r="Y352" s="2"/>
      <c r="Z352" s="2"/>
    </row>
    <row r="353" ht="13.5" customHeight="1">
      <c r="A353" s="2"/>
      <c r="B353" s="2"/>
      <c r="C353" s="2"/>
      <c r="D353" s="2"/>
      <c r="E353" s="2"/>
      <c r="F353" s="2"/>
      <c r="G353" s="2"/>
      <c r="H353" s="2"/>
      <c r="I353" s="2"/>
      <c r="J353" s="2"/>
      <c r="K353" s="2"/>
      <c r="L353" s="2"/>
      <c r="M353" s="2"/>
      <c r="N353" s="2"/>
      <c r="O353" s="2"/>
      <c r="P353" s="2"/>
      <c r="Q353" s="144"/>
      <c r="R353" s="144"/>
      <c r="S353" s="144"/>
      <c r="T353" s="214"/>
      <c r="U353" s="2"/>
      <c r="V353" s="2"/>
      <c r="W353" s="2"/>
      <c r="X353" s="2"/>
      <c r="Y353" s="2"/>
      <c r="Z353" s="2"/>
    </row>
    <row r="354" ht="13.5" customHeight="1">
      <c r="A354" s="2"/>
      <c r="B354" s="2"/>
      <c r="C354" s="2"/>
      <c r="D354" s="2"/>
      <c r="E354" s="2"/>
      <c r="F354" s="2"/>
      <c r="G354" s="2"/>
      <c r="H354" s="2"/>
      <c r="I354" s="2"/>
      <c r="J354" s="2"/>
      <c r="K354" s="2"/>
      <c r="L354" s="2"/>
      <c r="M354" s="2"/>
      <c r="N354" s="2"/>
      <c r="O354" s="2"/>
      <c r="P354" s="2"/>
      <c r="Q354" s="144"/>
      <c r="R354" s="144"/>
      <c r="S354" s="144"/>
      <c r="T354" s="214"/>
      <c r="U354" s="2"/>
      <c r="V354" s="2"/>
      <c r="W354" s="2"/>
      <c r="X354" s="2"/>
      <c r="Y354" s="2"/>
      <c r="Z354" s="2"/>
    </row>
    <row r="355" ht="13.5" customHeight="1">
      <c r="A355" s="2"/>
      <c r="B355" s="2"/>
      <c r="C355" s="2"/>
      <c r="D355" s="2"/>
      <c r="E355" s="2"/>
      <c r="F355" s="2"/>
      <c r="G355" s="2"/>
      <c r="H355" s="2"/>
      <c r="I355" s="2"/>
      <c r="J355" s="2"/>
      <c r="K355" s="2"/>
      <c r="L355" s="2"/>
      <c r="M355" s="2"/>
      <c r="N355" s="2"/>
      <c r="O355" s="2"/>
      <c r="P355" s="2"/>
      <c r="Q355" s="144"/>
      <c r="R355" s="144"/>
      <c r="S355" s="144"/>
      <c r="T355" s="214"/>
      <c r="U355" s="2"/>
      <c r="V355" s="2"/>
      <c r="W355" s="2"/>
      <c r="X355" s="2"/>
      <c r="Y355" s="2"/>
      <c r="Z355" s="2"/>
    </row>
    <row r="356" ht="13.5" customHeight="1">
      <c r="A356" s="2"/>
      <c r="B356" s="2"/>
      <c r="C356" s="2"/>
      <c r="D356" s="2"/>
      <c r="E356" s="2"/>
      <c r="F356" s="2"/>
      <c r="G356" s="2"/>
      <c r="H356" s="2"/>
      <c r="I356" s="2"/>
      <c r="J356" s="2"/>
      <c r="K356" s="2"/>
      <c r="L356" s="2"/>
      <c r="M356" s="2"/>
      <c r="N356" s="2"/>
      <c r="O356" s="2"/>
      <c r="P356" s="2"/>
      <c r="Q356" s="144"/>
      <c r="R356" s="144"/>
      <c r="S356" s="144"/>
      <c r="T356" s="214"/>
      <c r="U356" s="2"/>
      <c r="V356" s="2"/>
      <c r="W356" s="2"/>
      <c r="X356" s="2"/>
      <c r="Y356" s="2"/>
      <c r="Z356" s="2"/>
    </row>
    <row r="357" ht="13.5" customHeight="1">
      <c r="A357" s="2"/>
      <c r="B357" s="2"/>
      <c r="C357" s="2"/>
      <c r="D357" s="2"/>
      <c r="E357" s="2"/>
      <c r="F357" s="2"/>
      <c r="G357" s="2"/>
      <c r="H357" s="2"/>
      <c r="I357" s="2"/>
      <c r="J357" s="2"/>
      <c r="K357" s="2"/>
      <c r="L357" s="2"/>
      <c r="M357" s="2"/>
      <c r="N357" s="2"/>
      <c r="O357" s="2"/>
      <c r="P357" s="2"/>
      <c r="Q357" s="144"/>
      <c r="R357" s="144"/>
      <c r="S357" s="144"/>
      <c r="T357" s="214"/>
      <c r="U357" s="2"/>
      <c r="V357" s="2"/>
      <c r="W357" s="2"/>
      <c r="X357" s="2"/>
      <c r="Y357" s="2"/>
      <c r="Z357" s="2"/>
    </row>
    <row r="358" ht="13.5" customHeight="1">
      <c r="A358" s="2"/>
      <c r="B358" s="2"/>
      <c r="C358" s="2"/>
      <c r="D358" s="2"/>
      <c r="E358" s="2"/>
      <c r="F358" s="2"/>
      <c r="G358" s="2"/>
      <c r="H358" s="2"/>
      <c r="I358" s="2"/>
      <c r="J358" s="2"/>
      <c r="K358" s="2"/>
      <c r="L358" s="2"/>
      <c r="M358" s="2"/>
      <c r="N358" s="2"/>
      <c r="O358" s="2"/>
      <c r="P358" s="2"/>
      <c r="Q358" s="144"/>
      <c r="R358" s="144"/>
      <c r="S358" s="144"/>
      <c r="T358" s="214"/>
      <c r="U358" s="2"/>
      <c r="V358" s="2"/>
      <c r="W358" s="2"/>
      <c r="X358" s="2"/>
      <c r="Y358" s="2"/>
      <c r="Z358" s="2"/>
    </row>
    <row r="359" ht="13.5" customHeight="1">
      <c r="A359" s="2"/>
      <c r="B359" s="2"/>
      <c r="C359" s="2"/>
      <c r="D359" s="2"/>
      <c r="E359" s="2"/>
      <c r="F359" s="2"/>
      <c r="G359" s="2"/>
      <c r="H359" s="2"/>
      <c r="I359" s="2"/>
      <c r="J359" s="2"/>
      <c r="K359" s="2"/>
      <c r="L359" s="2"/>
      <c r="M359" s="2"/>
      <c r="N359" s="2"/>
      <c r="O359" s="2"/>
      <c r="P359" s="2"/>
      <c r="Q359" s="144"/>
      <c r="R359" s="144"/>
      <c r="S359" s="144"/>
      <c r="T359" s="214"/>
      <c r="U359" s="2"/>
      <c r="V359" s="2"/>
      <c r="W359" s="2"/>
      <c r="X359" s="2"/>
      <c r="Y359" s="2"/>
      <c r="Z359" s="2"/>
    </row>
    <row r="360" ht="13.5" customHeight="1">
      <c r="A360" s="2"/>
      <c r="B360" s="2"/>
      <c r="C360" s="2"/>
      <c r="D360" s="2"/>
      <c r="E360" s="2"/>
      <c r="F360" s="2"/>
      <c r="G360" s="2"/>
      <c r="H360" s="2"/>
      <c r="I360" s="2"/>
      <c r="J360" s="2"/>
      <c r="K360" s="2"/>
      <c r="L360" s="2"/>
      <c r="M360" s="2"/>
      <c r="N360" s="2"/>
      <c r="O360" s="2"/>
      <c r="P360" s="2"/>
      <c r="Q360" s="144"/>
      <c r="R360" s="144"/>
      <c r="S360" s="144"/>
      <c r="T360" s="214"/>
      <c r="U360" s="2"/>
      <c r="V360" s="2"/>
      <c r="W360" s="2"/>
      <c r="X360" s="2"/>
      <c r="Y360" s="2"/>
      <c r="Z360" s="2"/>
    </row>
    <row r="361" ht="13.5" customHeight="1">
      <c r="A361" s="2"/>
      <c r="B361" s="2"/>
      <c r="C361" s="2"/>
      <c r="D361" s="2"/>
      <c r="E361" s="2"/>
      <c r="F361" s="2"/>
      <c r="G361" s="2"/>
      <c r="H361" s="2"/>
      <c r="I361" s="2"/>
      <c r="J361" s="2"/>
      <c r="K361" s="2"/>
      <c r="L361" s="2"/>
      <c r="M361" s="2"/>
      <c r="N361" s="2"/>
      <c r="O361" s="2"/>
      <c r="P361" s="2"/>
      <c r="Q361" s="144"/>
      <c r="R361" s="144"/>
      <c r="S361" s="144"/>
      <c r="T361" s="214"/>
      <c r="U361" s="2"/>
      <c r="V361" s="2"/>
      <c r="W361" s="2"/>
      <c r="X361" s="2"/>
      <c r="Y361" s="2"/>
      <c r="Z361" s="2"/>
    </row>
    <row r="362" ht="13.5" customHeight="1">
      <c r="A362" s="2"/>
      <c r="B362" s="2"/>
      <c r="C362" s="2"/>
      <c r="D362" s="2"/>
      <c r="E362" s="2"/>
      <c r="F362" s="2"/>
      <c r="G362" s="2"/>
      <c r="H362" s="2"/>
      <c r="I362" s="2"/>
      <c r="J362" s="2"/>
      <c r="K362" s="2"/>
      <c r="L362" s="2"/>
      <c r="M362" s="2"/>
      <c r="N362" s="2"/>
      <c r="O362" s="2"/>
      <c r="P362" s="2"/>
      <c r="Q362" s="144"/>
      <c r="R362" s="144"/>
      <c r="S362" s="144"/>
      <c r="T362" s="214"/>
      <c r="U362" s="2"/>
      <c r="V362" s="2"/>
      <c r="W362" s="2"/>
      <c r="X362" s="2"/>
      <c r="Y362" s="2"/>
      <c r="Z362" s="2"/>
    </row>
    <row r="363" ht="13.5" customHeight="1">
      <c r="A363" s="2"/>
      <c r="B363" s="2"/>
      <c r="C363" s="2"/>
      <c r="D363" s="2"/>
      <c r="E363" s="2"/>
      <c r="F363" s="2"/>
      <c r="G363" s="2"/>
      <c r="H363" s="2"/>
      <c r="I363" s="2"/>
      <c r="J363" s="2"/>
      <c r="K363" s="2"/>
      <c r="L363" s="2"/>
      <c r="M363" s="2"/>
      <c r="N363" s="2"/>
      <c r="O363" s="2"/>
      <c r="P363" s="2"/>
      <c r="Q363" s="144"/>
      <c r="R363" s="144"/>
      <c r="S363" s="144"/>
      <c r="T363" s="214"/>
      <c r="U363" s="2"/>
      <c r="V363" s="2"/>
      <c r="W363" s="2"/>
      <c r="X363" s="2"/>
      <c r="Y363" s="2"/>
      <c r="Z363" s="2"/>
    </row>
    <row r="364" ht="13.5" customHeight="1">
      <c r="A364" s="2"/>
      <c r="B364" s="2"/>
      <c r="C364" s="2"/>
      <c r="D364" s="2"/>
      <c r="E364" s="2"/>
      <c r="F364" s="2"/>
      <c r="G364" s="2"/>
      <c r="H364" s="2"/>
      <c r="I364" s="2"/>
      <c r="J364" s="2"/>
      <c r="K364" s="2"/>
      <c r="L364" s="2"/>
      <c r="M364" s="2"/>
      <c r="N364" s="2"/>
      <c r="O364" s="2"/>
      <c r="P364" s="2"/>
      <c r="Q364" s="144"/>
      <c r="R364" s="144"/>
      <c r="S364" s="144"/>
      <c r="T364" s="214"/>
      <c r="U364" s="2"/>
      <c r="V364" s="2"/>
      <c r="W364" s="2"/>
      <c r="X364" s="2"/>
      <c r="Y364" s="2"/>
      <c r="Z364" s="2"/>
    </row>
    <row r="365" ht="13.5" customHeight="1">
      <c r="A365" s="2"/>
      <c r="B365" s="2"/>
      <c r="C365" s="2"/>
      <c r="D365" s="2"/>
      <c r="E365" s="2"/>
      <c r="F365" s="2"/>
      <c r="G365" s="2"/>
      <c r="H365" s="2"/>
      <c r="I365" s="2"/>
      <c r="J365" s="2"/>
      <c r="K365" s="2"/>
      <c r="L365" s="2"/>
      <c r="M365" s="2"/>
      <c r="N365" s="2"/>
      <c r="O365" s="2"/>
      <c r="P365" s="2"/>
      <c r="Q365" s="144"/>
      <c r="R365" s="144"/>
      <c r="S365" s="144"/>
      <c r="T365" s="214"/>
      <c r="U365" s="2"/>
      <c r="V365" s="2"/>
      <c r="W365" s="2"/>
      <c r="X365" s="2"/>
      <c r="Y365" s="2"/>
      <c r="Z365" s="2"/>
    </row>
    <row r="366" ht="13.5" customHeight="1">
      <c r="A366" s="2"/>
      <c r="B366" s="2"/>
      <c r="C366" s="2"/>
      <c r="D366" s="2"/>
      <c r="E366" s="2"/>
      <c r="F366" s="2"/>
      <c r="G366" s="2"/>
      <c r="H366" s="2"/>
      <c r="I366" s="2"/>
      <c r="J366" s="2"/>
      <c r="K366" s="2"/>
      <c r="L366" s="2"/>
      <c r="M366" s="2"/>
      <c r="N366" s="2"/>
      <c r="O366" s="2"/>
      <c r="P366" s="2"/>
      <c r="Q366" s="144"/>
      <c r="R366" s="144"/>
      <c r="S366" s="144"/>
      <c r="T366" s="214"/>
      <c r="U366" s="2"/>
      <c r="V366" s="2"/>
      <c r="W366" s="2"/>
      <c r="X366" s="2"/>
      <c r="Y366" s="2"/>
      <c r="Z366" s="2"/>
    </row>
    <row r="367" ht="13.5" customHeight="1">
      <c r="A367" s="2"/>
      <c r="B367" s="2"/>
      <c r="C367" s="2"/>
      <c r="D367" s="2"/>
      <c r="E367" s="2"/>
      <c r="F367" s="2"/>
      <c r="G367" s="2"/>
      <c r="H367" s="2"/>
      <c r="I367" s="2"/>
      <c r="J367" s="2"/>
      <c r="K367" s="2"/>
      <c r="L367" s="2"/>
      <c r="M367" s="2"/>
      <c r="N367" s="2"/>
      <c r="O367" s="2"/>
      <c r="P367" s="2"/>
      <c r="Q367" s="144"/>
      <c r="R367" s="144"/>
      <c r="S367" s="144"/>
      <c r="T367" s="214"/>
      <c r="U367" s="2"/>
      <c r="V367" s="2"/>
      <c r="W367" s="2"/>
      <c r="X367" s="2"/>
      <c r="Y367" s="2"/>
      <c r="Z367" s="2"/>
    </row>
    <row r="368" ht="13.5" customHeight="1">
      <c r="A368" s="2"/>
      <c r="B368" s="2"/>
      <c r="C368" s="2"/>
      <c r="D368" s="2"/>
      <c r="E368" s="2"/>
      <c r="F368" s="2"/>
      <c r="G368" s="2"/>
      <c r="H368" s="2"/>
      <c r="I368" s="2"/>
      <c r="J368" s="2"/>
      <c r="K368" s="2"/>
      <c r="L368" s="2"/>
      <c r="M368" s="2"/>
      <c r="N368" s="2"/>
      <c r="O368" s="2"/>
      <c r="P368" s="2"/>
      <c r="Q368" s="144"/>
      <c r="R368" s="144"/>
      <c r="S368" s="144"/>
      <c r="T368" s="214"/>
      <c r="U368" s="2"/>
      <c r="V368" s="2"/>
      <c r="W368" s="2"/>
      <c r="X368" s="2"/>
      <c r="Y368" s="2"/>
      <c r="Z368" s="2"/>
    </row>
    <row r="369" ht="13.5" customHeight="1">
      <c r="A369" s="2"/>
      <c r="B369" s="2"/>
      <c r="C369" s="2"/>
      <c r="D369" s="2"/>
      <c r="E369" s="2"/>
      <c r="F369" s="2"/>
      <c r="G369" s="2"/>
      <c r="H369" s="2"/>
      <c r="I369" s="2"/>
      <c r="J369" s="2"/>
      <c r="K369" s="2"/>
      <c r="L369" s="2"/>
      <c r="M369" s="2"/>
      <c r="N369" s="2"/>
      <c r="O369" s="2"/>
      <c r="P369" s="2"/>
      <c r="Q369" s="144"/>
      <c r="R369" s="144"/>
      <c r="S369" s="144"/>
      <c r="T369" s="214"/>
      <c r="U369" s="2"/>
      <c r="V369" s="2"/>
      <c r="W369" s="2"/>
      <c r="X369" s="2"/>
      <c r="Y369" s="2"/>
      <c r="Z369" s="2"/>
    </row>
    <row r="370" ht="13.5" customHeight="1">
      <c r="A370" s="2"/>
      <c r="B370" s="2"/>
      <c r="C370" s="2"/>
      <c r="D370" s="2"/>
      <c r="E370" s="2"/>
      <c r="F370" s="2"/>
      <c r="G370" s="2"/>
      <c r="H370" s="2"/>
      <c r="I370" s="2"/>
      <c r="J370" s="2"/>
      <c r="K370" s="2"/>
      <c r="L370" s="2"/>
      <c r="M370" s="2"/>
      <c r="N370" s="2"/>
      <c r="O370" s="2"/>
      <c r="P370" s="2"/>
      <c r="Q370" s="144"/>
      <c r="R370" s="144"/>
      <c r="S370" s="144"/>
      <c r="T370" s="214"/>
      <c r="U370" s="2"/>
      <c r="V370" s="2"/>
      <c r="W370" s="2"/>
      <c r="X370" s="2"/>
      <c r="Y370" s="2"/>
      <c r="Z370" s="2"/>
    </row>
    <row r="371" ht="13.5" customHeight="1">
      <c r="A371" s="2"/>
      <c r="B371" s="2"/>
      <c r="C371" s="2"/>
      <c r="D371" s="2"/>
      <c r="E371" s="2"/>
      <c r="F371" s="2"/>
      <c r="G371" s="2"/>
      <c r="H371" s="2"/>
      <c r="I371" s="2"/>
      <c r="J371" s="2"/>
      <c r="K371" s="2"/>
      <c r="L371" s="2"/>
      <c r="M371" s="2"/>
      <c r="N371" s="2"/>
      <c r="O371" s="2"/>
      <c r="P371" s="2"/>
      <c r="Q371" s="144"/>
      <c r="R371" s="144"/>
      <c r="S371" s="144"/>
      <c r="T371" s="214"/>
      <c r="U371" s="2"/>
      <c r="V371" s="2"/>
      <c r="W371" s="2"/>
      <c r="X371" s="2"/>
      <c r="Y371" s="2"/>
      <c r="Z371" s="2"/>
    </row>
    <row r="372" ht="13.5" customHeight="1">
      <c r="A372" s="2"/>
      <c r="B372" s="2"/>
      <c r="C372" s="2"/>
      <c r="D372" s="2"/>
      <c r="E372" s="2"/>
      <c r="F372" s="2"/>
      <c r="G372" s="2"/>
      <c r="H372" s="2"/>
      <c r="I372" s="2"/>
      <c r="J372" s="2"/>
      <c r="K372" s="2"/>
      <c r="L372" s="2"/>
      <c r="M372" s="2"/>
      <c r="N372" s="2"/>
      <c r="O372" s="2"/>
      <c r="P372" s="2"/>
      <c r="Q372" s="144"/>
      <c r="R372" s="144"/>
      <c r="S372" s="144"/>
      <c r="T372" s="214"/>
      <c r="U372" s="2"/>
      <c r="V372" s="2"/>
      <c r="W372" s="2"/>
      <c r="X372" s="2"/>
      <c r="Y372" s="2"/>
      <c r="Z372" s="2"/>
    </row>
    <row r="373" ht="13.5" customHeight="1">
      <c r="A373" s="2"/>
      <c r="B373" s="2"/>
      <c r="C373" s="2"/>
      <c r="D373" s="2"/>
      <c r="E373" s="2"/>
      <c r="F373" s="2"/>
      <c r="G373" s="2"/>
      <c r="H373" s="2"/>
      <c r="I373" s="2"/>
      <c r="J373" s="2"/>
      <c r="K373" s="2"/>
      <c r="L373" s="2"/>
      <c r="M373" s="2"/>
      <c r="N373" s="2"/>
      <c r="O373" s="2"/>
      <c r="P373" s="2"/>
      <c r="Q373" s="144"/>
      <c r="R373" s="144"/>
      <c r="S373" s="144"/>
      <c r="T373" s="214"/>
      <c r="U373" s="2"/>
      <c r="V373" s="2"/>
      <c r="W373" s="2"/>
      <c r="X373" s="2"/>
      <c r="Y373" s="2"/>
      <c r="Z373" s="2"/>
    </row>
    <row r="374" ht="13.5" customHeight="1">
      <c r="A374" s="2"/>
      <c r="B374" s="2"/>
      <c r="C374" s="2"/>
      <c r="D374" s="2"/>
      <c r="E374" s="2"/>
      <c r="F374" s="2"/>
      <c r="G374" s="2"/>
      <c r="H374" s="2"/>
      <c r="I374" s="2"/>
      <c r="J374" s="2"/>
      <c r="K374" s="2"/>
      <c r="L374" s="2"/>
      <c r="M374" s="2"/>
      <c r="N374" s="2"/>
      <c r="O374" s="2"/>
      <c r="P374" s="2"/>
      <c r="Q374" s="144"/>
      <c r="R374" s="144"/>
      <c r="S374" s="144"/>
      <c r="T374" s="214"/>
      <c r="U374" s="2"/>
      <c r="V374" s="2"/>
      <c r="W374" s="2"/>
      <c r="X374" s="2"/>
      <c r="Y374" s="2"/>
      <c r="Z374" s="2"/>
    </row>
    <row r="375" ht="13.5" customHeight="1">
      <c r="A375" s="2"/>
      <c r="B375" s="2"/>
      <c r="C375" s="2"/>
      <c r="D375" s="2"/>
      <c r="E375" s="2"/>
      <c r="F375" s="2"/>
      <c r="G375" s="2"/>
      <c r="H375" s="2"/>
      <c r="I375" s="2"/>
      <c r="J375" s="2"/>
      <c r="K375" s="2"/>
      <c r="L375" s="2"/>
      <c r="M375" s="2"/>
      <c r="N375" s="2"/>
      <c r="O375" s="2"/>
      <c r="P375" s="2"/>
      <c r="Q375" s="144"/>
      <c r="R375" s="144"/>
      <c r="S375" s="144"/>
      <c r="T375" s="214"/>
      <c r="U375" s="2"/>
      <c r="V375" s="2"/>
      <c r="W375" s="2"/>
      <c r="X375" s="2"/>
      <c r="Y375" s="2"/>
      <c r="Z375" s="2"/>
    </row>
    <row r="376" ht="13.5" customHeight="1">
      <c r="A376" s="2"/>
      <c r="B376" s="2"/>
      <c r="C376" s="2"/>
      <c r="D376" s="2"/>
      <c r="E376" s="2"/>
      <c r="F376" s="2"/>
      <c r="G376" s="2"/>
      <c r="H376" s="2"/>
      <c r="I376" s="2"/>
      <c r="J376" s="2"/>
      <c r="K376" s="2"/>
      <c r="L376" s="2"/>
      <c r="M376" s="2"/>
      <c r="N376" s="2"/>
      <c r="O376" s="2"/>
      <c r="P376" s="2"/>
      <c r="Q376" s="144"/>
      <c r="R376" s="144"/>
      <c r="S376" s="144"/>
      <c r="T376" s="214"/>
      <c r="U376" s="2"/>
      <c r="V376" s="2"/>
      <c r="W376" s="2"/>
      <c r="X376" s="2"/>
      <c r="Y376" s="2"/>
      <c r="Z376" s="2"/>
    </row>
    <row r="377" ht="13.5" customHeight="1">
      <c r="A377" s="2"/>
      <c r="B377" s="2"/>
      <c r="C377" s="2"/>
      <c r="D377" s="2"/>
      <c r="E377" s="2"/>
      <c r="F377" s="2"/>
      <c r="G377" s="2"/>
      <c r="H377" s="2"/>
      <c r="I377" s="2"/>
      <c r="J377" s="2"/>
      <c r="K377" s="2"/>
      <c r="L377" s="2"/>
      <c r="M377" s="2"/>
      <c r="N377" s="2"/>
      <c r="O377" s="2"/>
      <c r="P377" s="2"/>
      <c r="Q377" s="144"/>
      <c r="R377" s="144"/>
      <c r="S377" s="144"/>
      <c r="T377" s="214"/>
      <c r="U377" s="2"/>
      <c r="V377" s="2"/>
      <c r="W377" s="2"/>
      <c r="X377" s="2"/>
      <c r="Y377" s="2"/>
      <c r="Z377" s="2"/>
    </row>
    <row r="378" ht="13.5" customHeight="1">
      <c r="A378" s="2"/>
      <c r="B378" s="2"/>
      <c r="C378" s="2"/>
      <c r="D378" s="2"/>
      <c r="E378" s="2"/>
      <c r="F378" s="2"/>
      <c r="G378" s="2"/>
      <c r="H378" s="2"/>
      <c r="I378" s="2"/>
      <c r="J378" s="2"/>
      <c r="K378" s="2"/>
      <c r="L378" s="2"/>
      <c r="M378" s="2"/>
      <c r="N378" s="2"/>
      <c r="O378" s="2"/>
      <c r="P378" s="2"/>
      <c r="Q378" s="144"/>
      <c r="R378" s="144"/>
      <c r="S378" s="144"/>
      <c r="T378" s="214"/>
      <c r="U378" s="2"/>
      <c r="V378" s="2"/>
      <c r="W378" s="2"/>
      <c r="X378" s="2"/>
      <c r="Y378" s="2"/>
      <c r="Z378" s="2"/>
    </row>
    <row r="379" ht="13.5" customHeight="1">
      <c r="A379" s="2"/>
      <c r="B379" s="2"/>
      <c r="C379" s="2"/>
      <c r="D379" s="2"/>
      <c r="E379" s="2"/>
      <c r="F379" s="2"/>
      <c r="G379" s="2"/>
      <c r="H379" s="2"/>
      <c r="I379" s="2"/>
      <c r="J379" s="2"/>
      <c r="K379" s="2"/>
      <c r="L379" s="2"/>
      <c r="M379" s="2"/>
      <c r="N379" s="2"/>
      <c r="O379" s="2"/>
      <c r="P379" s="2"/>
      <c r="Q379" s="144"/>
      <c r="R379" s="144"/>
      <c r="S379" s="144"/>
      <c r="T379" s="214"/>
      <c r="U379" s="2"/>
      <c r="V379" s="2"/>
      <c r="W379" s="2"/>
      <c r="X379" s="2"/>
      <c r="Y379" s="2"/>
      <c r="Z379" s="2"/>
    </row>
    <row r="380" ht="13.5" customHeight="1">
      <c r="A380" s="2"/>
      <c r="B380" s="2"/>
      <c r="C380" s="2"/>
      <c r="D380" s="2"/>
      <c r="E380" s="2"/>
      <c r="F380" s="2"/>
      <c r="G380" s="2"/>
      <c r="H380" s="2"/>
      <c r="I380" s="2"/>
      <c r="J380" s="2"/>
      <c r="K380" s="2"/>
      <c r="L380" s="2"/>
      <c r="M380" s="2"/>
      <c r="N380" s="2"/>
      <c r="O380" s="2"/>
      <c r="P380" s="2"/>
      <c r="Q380" s="144"/>
      <c r="R380" s="144"/>
      <c r="S380" s="144"/>
      <c r="T380" s="214"/>
      <c r="U380" s="2"/>
      <c r="V380" s="2"/>
      <c r="W380" s="2"/>
      <c r="X380" s="2"/>
      <c r="Y380" s="2"/>
      <c r="Z380" s="2"/>
    </row>
    <row r="381" ht="13.5" customHeight="1">
      <c r="A381" s="2"/>
      <c r="B381" s="2"/>
      <c r="C381" s="2"/>
      <c r="D381" s="2"/>
      <c r="E381" s="2"/>
      <c r="F381" s="2"/>
      <c r="G381" s="2"/>
      <c r="H381" s="2"/>
      <c r="I381" s="2"/>
      <c r="J381" s="2"/>
      <c r="K381" s="2"/>
      <c r="L381" s="2"/>
      <c r="M381" s="2"/>
      <c r="N381" s="2"/>
      <c r="O381" s="2"/>
      <c r="P381" s="2"/>
      <c r="Q381" s="144"/>
      <c r="R381" s="144"/>
      <c r="S381" s="144"/>
      <c r="T381" s="214"/>
      <c r="U381" s="2"/>
      <c r="V381" s="2"/>
      <c r="W381" s="2"/>
      <c r="X381" s="2"/>
      <c r="Y381" s="2"/>
      <c r="Z381" s="2"/>
    </row>
    <row r="382" ht="13.5" customHeight="1">
      <c r="A382" s="2"/>
      <c r="B382" s="2"/>
      <c r="C382" s="2"/>
      <c r="D382" s="2"/>
      <c r="E382" s="2"/>
      <c r="F382" s="2"/>
      <c r="G382" s="2"/>
      <c r="H382" s="2"/>
      <c r="I382" s="2"/>
      <c r="J382" s="2"/>
      <c r="K382" s="2"/>
      <c r="L382" s="2"/>
      <c r="M382" s="2"/>
      <c r="N382" s="2"/>
      <c r="O382" s="2"/>
      <c r="P382" s="2"/>
      <c r="Q382" s="144"/>
      <c r="R382" s="144"/>
      <c r="S382" s="144"/>
      <c r="T382" s="214"/>
      <c r="U382" s="2"/>
      <c r="V382" s="2"/>
      <c r="W382" s="2"/>
      <c r="X382" s="2"/>
      <c r="Y382" s="2"/>
      <c r="Z382" s="2"/>
    </row>
    <row r="383" ht="13.5" customHeight="1">
      <c r="A383" s="2"/>
      <c r="B383" s="2"/>
      <c r="C383" s="2"/>
      <c r="D383" s="2"/>
      <c r="E383" s="2"/>
      <c r="F383" s="2"/>
      <c r="G383" s="2"/>
      <c r="H383" s="2"/>
      <c r="I383" s="2"/>
      <c r="J383" s="2"/>
      <c r="K383" s="2"/>
      <c r="L383" s="2"/>
      <c r="M383" s="2"/>
      <c r="N383" s="2"/>
      <c r="O383" s="2"/>
      <c r="P383" s="2"/>
      <c r="Q383" s="144"/>
      <c r="R383" s="144"/>
      <c r="S383" s="144"/>
      <c r="T383" s="214"/>
      <c r="U383" s="2"/>
      <c r="V383" s="2"/>
      <c r="W383" s="2"/>
      <c r="X383" s="2"/>
      <c r="Y383" s="2"/>
      <c r="Z383" s="2"/>
    </row>
    <row r="384" ht="13.5" customHeight="1">
      <c r="A384" s="2"/>
      <c r="B384" s="2"/>
      <c r="C384" s="2"/>
      <c r="D384" s="2"/>
      <c r="E384" s="2"/>
      <c r="F384" s="2"/>
      <c r="G384" s="2"/>
      <c r="H384" s="2"/>
      <c r="I384" s="2"/>
      <c r="J384" s="2"/>
      <c r="K384" s="2"/>
      <c r="L384" s="2"/>
      <c r="M384" s="2"/>
      <c r="N384" s="2"/>
      <c r="O384" s="2"/>
      <c r="P384" s="2"/>
      <c r="Q384" s="144"/>
      <c r="R384" s="144"/>
      <c r="S384" s="144"/>
      <c r="T384" s="214"/>
      <c r="U384" s="2"/>
      <c r="V384" s="2"/>
      <c r="W384" s="2"/>
      <c r="X384" s="2"/>
      <c r="Y384" s="2"/>
      <c r="Z384" s="2"/>
    </row>
    <row r="385" ht="13.5" customHeight="1">
      <c r="A385" s="2"/>
      <c r="B385" s="2"/>
      <c r="C385" s="2"/>
      <c r="D385" s="2"/>
      <c r="E385" s="2"/>
      <c r="F385" s="2"/>
      <c r="G385" s="2"/>
      <c r="H385" s="2"/>
      <c r="I385" s="2"/>
      <c r="J385" s="2"/>
      <c r="K385" s="2"/>
      <c r="L385" s="2"/>
      <c r="M385" s="2"/>
      <c r="N385" s="2"/>
      <c r="O385" s="2"/>
      <c r="P385" s="2"/>
      <c r="Q385" s="144"/>
      <c r="R385" s="144"/>
      <c r="S385" s="144"/>
      <c r="T385" s="214"/>
      <c r="U385" s="2"/>
      <c r="V385" s="2"/>
      <c r="W385" s="2"/>
      <c r="X385" s="2"/>
      <c r="Y385" s="2"/>
      <c r="Z385" s="2"/>
    </row>
    <row r="386" ht="13.5" customHeight="1">
      <c r="A386" s="2"/>
      <c r="B386" s="2"/>
      <c r="C386" s="2"/>
      <c r="D386" s="2"/>
      <c r="E386" s="2"/>
      <c r="F386" s="2"/>
      <c r="G386" s="2"/>
      <c r="H386" s="2"/>
      <c r="I386" s="2"/>
      <c r="J386" s="2"/>
      <c r="K386" s="2"/>
      <c r="L386" s="2"/>
      <c r="M386" s="2"/>
      <c r="N386" s="2"/>
      <c r="O386" s="2"/>
      <c r="P386" s="2"/>
      <c r="Q386" s="144"/>
      <c r="R386" s="144"/>
      <c r="S386" s="144"/>
      <c r="T386" s="214"/>
      <c r="U386" s="2"/>
      <c r="V386" s="2"/>
      <c r="W386" s="2"/>
      <c r="X386" s="2"/>
      <c r="Y386" s="2"/>
      <c r="Z386" s="2"/>
    </row>
    <row r="387" ht="13.5" customHeight="1">
      <c r="A387" s="2"/>
      <c r="B387" s="2"/>
      <c r="C387" s="2"/>
      <c r="D387" s="2"/>
      <c r="E387" s="2"/>
      <c r="F387" s="2"/>
      <c r="G387" s="2"/>
      <c r="H387" s="2"/>
      <c r="I387" s="2"/>
      <c r="J387" s="2"/>
      <c r="K387" s="2"/>
      <c r="L387" s="2"/>
      <c r="M387" s="2"/>
      <c r="N387" s="2"/>
      <c r="O387" s="2"/>
      <c r="P387" s="2"/>
      <c r="Q387" s="144"/>
      <c r="R387" s="144"/>
      <c r="S387" s="144"/>
      <c r="T387" s="214"/>
      <c r="U387" s="2"/>
      <c r="V387" s="2"/>
      <c r="W387" s="2"/>
      <c r="X387" s="2"/>
      <c r="Y387" s="2"/>
      <c r="Z387" s="2"/>
    </row>
    <row r="388" ht="13.5" customHeight="1">
      <c r="A388" s="2"/>
      <c r="B388" s="2"/>
      <c r="C388" s="2"/>
      <c r="D388" s="2"/>
      <c r="E388" s="2"/>
      <c r="F388" s="2"/>
      <c r="G388" s="2"/>
      <c r="H388" s="2"/>
      <c r="I388" s="2"/>
      <c r="J388" s="2"/>
      <c r="K388" s="2"/>
      <c r="L388" s="2"/>
      <c r="M388" s="2"/>
      <c r="N388" s="2"/>
      <c r="O388" s="2"/>
      <c r="P388" s="2"/>
      <c r="Q388" s="144"/>
      <c r="R388" s="144"/>
      <c r="S388" s="144"/>
      <c r="T388" s="214"/>
      <c r="U388" s="2"/>
      <c r="V388" s="2"/>
      <c r="W388" s="2"/>
      <c r="X388" s="2"/>
      <c r="Y388" s="2"/>
      <c r="Z388" s="2"/>
    </row>
    <row r="389" ht="13.5" customHeight="1">
      <c r="A389" s="2"/>
      <c r="B389" s="2"/>
      <c r="C389" s="2"/>
      <c r="D389" s="2"/>
      <c r="E389" s="2"/>
      <c r="F389" s="2"/>
      <c r="G389" s="2"/>
      <c r="H389" s="2"/>
      <c r="I389" s="2"/>
      <c r="J389" s="2"/>
      <c r="K389" s="2"/>
      <c r="L389" s="2"/>
      <c r="M389" s="2"/>
      <c r="N389" s="2"/>
      <c r="O389" s="2"/>
      <c r="P389" s="2"/>
      <c r="Q389" s="144"/>
      <c r="R389" s="144"/>
      <c r="S389" s="144"/>
      <c r="T389" s="214"/>
      <c r="U389" s="2"/>
      <c r="V389" s="2"/>
      <c r="W389" s="2"/>
      <c r="X389" s="2"/>
      <c r="Y389" s="2"/>
      <c r="Z389" s="2"/>
    </row>
    <row r="390" ht="13.5" customHeight="1">
      <c r="A390" s="2"/>
      <c r="B390" s="2"/>
      <c r="C390" s="2"/>
      <c r="D390" s="2"/>
      <c r="E390" s="2"/>
      <c r="F390" s="2"/>
      <c r="G390" s="2"/>
      <c r="H390" s="2"/>
      <c r="I390" s="2"/>
      <c r="J390" s="2"/>
      <c r="K390" s="2"/>
      <c r="L390" s="2"/>
      <c r="M390" s="2"/>
      <c r="N390" s="2"/>
      <c r="O390" s="2"/>
      <c r="P390" s="2"/>
      <c r="Q390" s="144"/>
      <c r="R390" s="144"/>
      <c r="S390" s="144"/>
      <c r="T390" s="214"/>
      <c r="U390" s="2"/>
      <c r="V390" s="2"/>
      <c r="W390" s="2"/>
      <c r="X390" s="2"/>
      <c r="Y390" s="2"/>
      <c r="Z390" s="2"/>
    </row>
    <row r="391" ht="13.5" customHeight="1">
      <c r="A391" s="2"/>
      <c r="B391" s="2"/>
      <c r="C391" s="2"/>
      <c r="D391" s="2"/>
      <c r="E391" s="2"/>
      <c r="F391" s="2"/>
      <c r="G391" s="2"/>
      <c r="H391" s="2"/>
      <c r="I391" s="2"/>
      <c r="J391" s="2"/>
      <c r="K391" s="2"/>
      <c r="L391" s="2"/>
      <c r="M391" s="2"/>
      <c r="N391" s="2"/>
      <c r="O391" s="2"/>
      <c r="P391" s="2"/>
      <c r="Q391" s="144"/>
      <c r="R391" s="144"/>
      <c r="S391" s="144"/>
      <c r="T391" s="214"/>
      <c r="U391" s="2"/>
      <c r="V391" s="2"/>
      <c r="W391" s="2"/>
      <c r="X391" s="2"/>
      <c r="Y391" s="2"/>
      <c r="Z391" s="2"/>
    </row>
    <row r="392" ht="13.5" customHeight="1">
      <c r="A392" s="2"/>
      <c r="B392" s="2"/>
      <c r="C392" s="2"/>
      <c r="D392" s="2"/>
      <c r="E392" s="2"/>
      <c r="F392" s="2"/>
      <c r="G392" s="2"/>
      <c r="H392" s="2"/>
      <c r="I392" s="2"/>
      <c r="J392" s="2"/>
      <c r="K392" s="2"/>
      <c r="L392" s="2"/>
      <c r="M392" s="2"/>
      <c r="N392" s="2"/>
      <c r="O392" s="2"/>
      <c r="P392" s="2"/>
      <c r="Q392" s="144"/>
      <c r="R392" s="144"/>
      <c r="S392" s="144"/>
      <c r="T392" s="214"/>
      <c r="U392" s="2"/>
      <c r="V392" s="2"/>
      <c r="W392" s="2"/>
      <c r="X392" s="2"/>
      <c r="Y392" s="2"/>
      <c r="Z392" s="2"/>
    </row>
    <row r="393" ht="13.5" customHeight="1">
      <c r="A393" s="2"/>
      <c r="B393" s="2"/>
      <c r="C393" s="2"/>
      <c r="D393" s="2"/>
      <c r="E393" s="2"/>
      <c r="F393" s="2"/>
      <c r="G393" s="2"/>
      <c r="H393" s="2"/>
      <c r="I393" s="2"/>
      <c r="J393" s="2"/>
      <c r="K393" s="2"/>
      <c r="L393" s="2"/>
      <c r="M393" s="2"/>
      <c r="N393" s="2"/>
      <c r="O393" s="2"/>
      <c r="P393" s="2"/>
      <c r="Q393" s="144"/>
      <c r="R393" s="144"/>
      <c r="S393" s="144"/>
      <c r="T393" s="214"/>
      <c r="U393" s="2"/>
      <c r="V393" s="2"/>
      <c r="W393" s="2"/>
      <c r="X393" s="2"/>
      <c r="Y393" s="2"/>
      <c r="Z393" s="2"/>
    </row>
    <row r="394" ht="13.5" customHeight="1">
      <c r="A394" s="2"/>
      <c r="B394" s="2"/>
      <c r="C394" s="2"/>
      <c r="D394" s="2"/>
      <c r="E394" s="2"/>
      <c r="F394" s="2"/>
      <c r="G394" s="2"/>
      <c r="H394" s="2"/>
      <c r="I394" s="2"/>
      <c r="J394" s="2"/>
      <c r="K394" s="2"/>
      <c r="L394" s="2"/>
      <c r="M394" s="2"/>
      <c r="N394" s="2"/>
      <c r="O394" s="2"/>
      <c r="P394" s="2"/>
      <c r="Q394" s="144"/>
      <c r="R394" s="144"/>
      <c r="S394" s="144"/>
      <c r="T394" s="214"/>
      <c r="U394" s="2"/>
      <c r="V394" s="2"/>
      <c r="W394" s="2"/>
      <c r="X394" s="2"/>
      <c r="Y394" s="2"/>
      <c r="Z394" s="2"/>
    </row>
    <row r="395" ht="13.5" customHeight="1">
      <c r="A395" s="2"/>
      <c r="B395" s="2"/>
      <c r="C395" s="2"/>
      <c r="D395" s="2"/>
      <c r="E395" s="2"/>
      <c r="F395" s="2"/>
      <c r="G395" s="2"/>
      <c r="H395" s="2"/>
      <c r="I395" s="2"/>
      <c r="J395" s="2"/>
      <c r="K395" s="2"/>
      <c r="L395" s="2"/>
      <c r="M395" s="2"/>
      <c r="N395" s="2"/>
      <c r="O395" s="2"/>
      <c r="P395" s="2"/>
      <c r="Q395" s="144"/>
      <c r="R395" s="144"/>
      <c r="S395" s="144"/>
      <c r="T395" s="214"/>
      <c r="U395" s="2"/>
      <c r="V395" s="2"/>
      <c r="W395" s="2"/>
      <c r="X395" s="2"/>
      <c r="Y395" s="2"/>
      <c r="Z395" s="2"/>
    </row>
    <row r="396" ht="13.5" customHeight="1">
      <c r="A396" s="2"/>
      <c r="B396" s="2"/>
      <c r="C396" s="2"/>
      <c r="D396" s="2"/>
      <c r="E396" s="2"/>
      <c r="F396" s="2"/>
      <c r="G396" s="2"/>
      <c r="H396" s="2"/>
      <c r="I396" s="2"/>
      <c r="J396" s="2"/>
      <c r="K396" s="2"/>
      <c r="L396" s="2"/>
      <c r="M396" s="2"/>
      <c r="N396" s="2"/>
      <c r="O396" s="2"/>
      <c r="P396" s="2"/>
      <c r="Q396" s="144"/>
      <c r="R396" s="144"/>
      <c r="S396" s="144"/>
      <c r="T396" s="214"/>
      <c r="U396" s="2"/>
      <c r="V396" s="2"/>
      <c r="W396" s="2"/>
      <c r="X396" s="2"/>
      <c r="Y396" s="2"/>
      <c r="Z396" s="2"/>
    </row>
    <row r="397" ht="13.5" customHeight="1">
      <c r="A397" s="2"/>
      <c r="B397" s="2"/>
      <c r="C397" s="2"/>
      <c r="D397" s="2"/>
      <c r="E397" s="2"/>
      <c r="F397" s="2"/>
      <c r="G397" s="2"/>
      <c r="H397" s="2"/>
      <c r="I397" s="2"/>
      <c r="J397" s="2"/>
      <c r="K397" s="2"/>
      <c r="L397" s="2"/>
      <c r="M397" s="2"/>
      <c r="N397" s="2"/>
      <c r="O397" s="2"/>
      <c r="P397" s="2"/>
      <c r="Q397" s="144"/>
      <c r="R397" s="144"/>
      <c r="S397" s="144"/>
      <c r="T397" s="214"/>
      <c r="U397" s="2"/>
      <c r="V397" s="2"/>
      <c r="W397" s="2"/>
      <c r="X397" s="2"/>
      <c r="Y397" s="2"/>
      <c r="Z397" s="2"/>
    </row>
    <row r="398" ht="13.5" customHeight="1">
      <c r="A398" s="2"/>
      <c r="B398" s="2"/>
      <c r="C398" s="2"/>
      <c r="D398" s="2"/>
      <c r="E398" s="2"/>
      <c r="F398" s="2"/>
      <c r="G398" s="2"/>
      <c r="H398" s="2"/>
      <c r="I398" s="2"/>
      <c r="J398" s="2"/>
      <c r="K398" s="2"/>
      <c r="L398" s="2"/>
      <c r="M398" s="2"/>
      <c r="N398" s="2"/>
      <c r="O398" s="2"/>
      <c r="P398" s="2"/>
      <c r="Q398" s="144"/>
      <c r="R398" s="144"/>
      <c r="S398" s="144"/>
      <c r="T398" s="214"/>
      <c r="U398" s="2"/>
      <c r="V398" s="2"/>
      <c r="W398" s="2"/>
      <c r="X398" s="2"/>
      <c r="Y398" s="2"/>
      <c r="Z398" s="2"/>
    </row>
    <row r="399" ht="13.5" customHeight="1">
      <c r="A399" s="2"/>
      <c r="B399" s="2"/>
      <c r="C399" s="2"/>
      <c r="D399" s="2"/>
      <c r="E399" s="2"/>
      <c r="F399" s="2"/>
      <c r="G399" s="2"/>
      <c r="H399" s="2"/>
      <c r="I399" s="2"/>
      <c r="J399" s="2"/>
      <c r="K399" s="2"/>
      <c r="L399" s="2"/>
      <c r="M399" s="2"/>
      <c r="N399" s="2"/>
      <c r="O399" s="2"/>
      <c r="P399" s="2"/>
      <c r="Q399" s="144"/>
      <c r="R399" s="144"/>
      <c r="S399" s="144"/>
      <c r="T399" s="214"/>
      <c r="U399" s="2"/>
      <c r="V399" s="2"/>
      <c r="W399" s="2"/>
      <c r="X399" s="2"/>
      <c r="Y399" s="2"/>
      <c r="Z399" s="2"/>
    </row>
    <row r="400" ht="13.5" customHeight="1">
      <c r="A400" s="2"/>
      <c r="B400" s="2"/>
      <c r="C400" s="2"/>
      <c r="D400" s="2"/>
      <c r="E400" s="2"/>
      <c r="F400" s="2"/>
      <c r="G400" s="2"/>
      <c r="H400" s="2"/>
      <c r="I400" s="2"/>
      <c r="J400" s="2"/>
      <c r="K400" s="2"/>
      <c r="L400" s="2"/>
      <c r="M400" s="2"/>
      <c r="N400" s="2"/>
      <c r="O400" s="2"/>
      <c r="P400" s="2"/>
      <c r="Q400" s="144"/>
      <c r="R400" s="144"/>
      <c r="S400" s="144"/>
      <c r="T400" s="214"/>
      <c r="U400" s="2"/>
      <c r="V400" s="2"/>
      <c r="W400" s="2"/>
      <c r="X400" s="2"/>
      <c r="Y400" s="2"/>
      <c r="Z400" s="2"/>
    </row>
    <row r="401" ht="13.5" customHeight="1">
      <c r="A401" s="2"/>
      <c r="B401" s="2"/>
      <c r="C401" s="2"/>
      <c r="D401" s="2"/>
      <c r="E401" s="2"/>
      <c r="F401" s="2"/>
      <c r="G401" s="2"/>
      <c r="H401" s="2"/>
      <c r="I401" s="2"/>
      <c r="J401" s="2"/>
      <c r="K401" s="2"/>
      <c r="L401" s="2"/>
      <c r="M401" s="2"/>
      <c r="N401" s="2"/>
      <c r="O401" s="2"/>
      <c r="P401" s="2"/>
      <c r="Q401" s="144"/>
      <c r="R401" s="144"/>
      <c r="S401" s="144"/>
      <c r="T401" s="214"/>
      <c r="U401" s="2"/>
      <c r="V401" s="2"/>
      <c r="W401" s="2"/>
      <c r="X401" s="2"/>
      <c r="Y401" s="2"/>
      <c r="Z401" s="2"/>
    </row>
    <row r="402" ht="13.5" customHeight="1">
      <c r="A402" s="2"/>
      <c r="B402" s="2"/>
      <c r="C402" s="2"/>
      <c r="D402" s="2"/>
      <c r="E402" s="2"/>
      <c r="F402" s="2"/>
      <c r="G402" s="2"/>
      <c r="H402" s="2"/>
      <c r="I402" s="2"/>
      <c r="J402" s="2"/>
      <c r="K402" s="2"/>
      <c r="L402" s="2"/>
      <c r="M402" s="2"/>
      <c r="N402" s="2"/>
      <c r="O402" s="2"/>
      <c r="P402" s="2"/>
      <c r="Q402" s="144"/>
      <c r="R402" s="144"/>
      <c r="S402" s="144"/>
      <c r="T402" s="214"/>
      <c r="U402" s="2"/>
      <c r="V402" s="2"/>
      <c r="W402" s="2"/>
      <c r="X402" s="2"/>
      <c r="Y402" s="2"/>
      <c r="Z402" s="2"/>
    </row>
    <row r="403" ht="13.5" customHeight="1">
      <c r="A403" s="2"/>
      <c r="B403" s="2"/>
      <c r="C403" s="2"/>
      <c r="D403" s="2"/>
      <c r="E403" s="2"/>
      <c r="F403" s="2"/>
      <c r="G403" s="2"/>
      <c r="H403" s="2"/>
      <c r="I403" s="2"/>
      <c r="J403" s="2"/>
      <c r="K403" s="2"/>
      <c r="L403" s="2"/>
      <c r="M403" s="2"/>
      <c r="N403" s="2"/>
      <c r="O403" s="2"/>
      <c r="P403" s="2"/>
      <c r="Q403" s="144"/>
      <c r="R403" s="144"/>
      <c r="S403" s="144"/>
      <c r="T403" s="214"/>
      <c r="U403" s="2"/>
      <c r="V403" s="2"/>
      <c r="W403" s="2"/>
      <c r="X403" s="2"/>
      <c r="Y403" s="2"/>
      <c r="Z403" s="2"/>
    </row>
    <row r="404" ht="13.5" customHeight="1">
      <c r="A404" s="2"/>
      <c r="B404" s="2"/>
      <c r="C404" s="2"/>
      <c r="D404" s="2"/>
      <c r="E404" s="2"/>
      <c r="F404" s="2"/>
      <c r="G404" s="2"/>
      <c r="H404" s="2"/>
      <c r="I404" s="2"/>
      <c r="J404" s="2"/>
      <c r="K404" s="2"/>
      <c r="L404" s="2"/>
      <c r="M404" s="2"/>
      <c r="N404" s="2"/>
      <c r="O404" s="2"/>
      <c r="P404" s="2"/>
      <c r="Q404" s="144"/>
      <c r="R404" s="144"/>
      <c r="S404" s="144"/>
      <c r="T404" s="214"/>
      <c r="U404" s="2"/>
      <c r="V404" s="2"/>
      <c r="W404" s="2"/>
      <c r="X404" s="2"/>
      <c r="Y404" s="2"/>
      <c r="Z404" s="2"/>
    </row>
    <row r="405" ht="13.5" customHeight="1">
      <c r="A405" s="2"/>
      <c r="B405" s="2"/>
      <c r="C405" s="2"/>
      <c r="D405" s="2"/>
      <c r="E405" s="2"/>
      <c r="F405" s="2"/>
      <c r="G405" s="2"/>
      <c r="H405" s="2"/>
      <c r="I405" s="2"/>
      <c r="J405" s="2"/>
      <c r="K405" s="2"/>
      <c r="L405" s="2"/>
      <c r="M405" s="2"/>
      <c r="N405" s="2"/>
      <c r="O405" s="2"/>
      <c r="P405" s="2"/>
      <c r="Q405" s="144"/>
      <c r="R405" s="144"/>
      <c r="S405" s="144"/>
      <c r="T405" s="214"/>
      <c r="U405" s="2"/>
      <c r="V405" s="2"/>
      <c r="W405" s="2"/>
      <c r="X405" s="2"/>
      <c r="Y405" s="2"/>
      <c r="Z405" s="2"/>
    </row>
    <row r="406" ht="13.5" customHeight="1">
      <c r="A406" s="2"/>
      <c r="B406" s="2"/>
      <c r="C406" s="2"/>
      <c r="D406" s="2"/>
      <c r="E406" s="2"/>
      <c r="F406" s="2"/>
      <c r="G406" s="2"/>
      <c r="H406" s="2"/>
      <c r="I406" s="2"/>
      <c r="J406" s="2"/>
      <c r="K406" s="2"/>
      <c r="L406" s="2"/>
      <c r="M406" s="2"/>
      <c r="N406" s="2"/>
      <c r="O406" s="2"/>
      <c r="P406" s="2"/>
      <c r="Q406" s="144"/>
      <c r="R406" s="144"/>
      <c r="S406" s="144"/>
      <c r="T406" s="214"/>
      <c r="U406" s="2"/>
      <c r="V406" s="2"/>
      <c r="W406" s="2"/>
      <c r="X406" s="2"/>
      <c r="Y406" s="2"/>
      <c r="Z406" s="2"/>
    </row>
    <row r="407" ht="13.5" customHeight="1">
      <c r="A407" s="2"/>
      <c r="B407" s="2"/>
      <c r="C407" s="2"/>
      <c r="D407" s="2"/>
      <c r="E407" s="2"/>
      <c r="F407" s="2"/>
      <c r="G407" s="2"/>
      <c r="H407" s="2"/>
      <c r="I407" s="2"/>
      <c r="J407" s="2"/>
      <c r="K407" s="2"/>
      <c r="L407" s="2"/>
      <c r="M407" s="2"/>
      <c r="N407" s="2"/>
      <c r="O407" s="2"/>
      <c r="P407" s="2"/>
      <c r="Q407" s="144"/>
      <c r="R407" s="144"/>
      <c r="S407" s="144"/>
      <c r="T407" s="214"/>
      <c r="U407" s="2"/>
      <c r="V407" s="2"/>
      <c r="W407" s="2"/>
      <c r="X407" s="2"/>
      <c r="Y407" s="2"/>
      <c r="Z407" s="2"/>
    </row>
    <row r="408" ht="13.5" customHeight="1">
      <c r="A408" s="2"/>
      <c r="B408" s="2"/>
      <c r="C408" s="2"/>
      <c r="D408" s="2"/>
      <c r="E408" s="2"/>
      <c r="F408" s="2"/>
      <c r="G408" s="2"/>
      <c r="H408" s="2"/>
      <c r="I408" s="2"/>
      <c r="J408" s="2"/>
      <c r="K408" s="2"/>
      <c r="L408" s="2"/>
      <c r="M408" s="2"/>
      <c r="N408" s="2"/>
      <c r="O408" s="2"/>
      <c r="P408" s="2"/>
      <c r="Q408" s="144"/>
      <c r="R408" s="144"/>
      <c r="S408" s="144"/>
      <c r="T408" s="214"/>
      <c r="U408" s="2"/>
      <c r="V408" s="2"/>
      <c r="W408" s="2"/>
      <c r="X408" s="2"/>
      <c r="Y408" s="2"/>
      <c r="Z408" s="2"/>
    </row>
    <row r="409" ht="13.5" customHeight="1">
      <c r="A409" s="2"/>
      <c r="B409" s="2"/>
      <c r="C409" s="2"/>
      <c r="D409" s="2"/>
      <c r="E409" s="2"/>
      <c r="F409" s="2"/>
      <c r="G409" s="2"/>
      <c r="H409" s="2"/>
      <c r="I409" s="2"/>
      <c r="J409" s="2"/>
      <c r="K409" s="2"/>
      <c r="L409" s="2"/>
      <c r="M409" s="2"/>
      <c r="N409" s="2"/>
      <c r="O409" s="2"/>
      <c r="P409" s="2"/>
      <c r="Q409" s="144"/>
      <c r="R409" s="144"/>
      <c r="S409" s="144"/>
      <c r="T409" s="214"/>
      <c r="U409" s="2"/>
      <c r="V409" s="2"/>
      <c r="W409" s="2"/>
      <c r="X409" s="2"/>
      <c r="Y409" s="2"/>
      <c r="Z409" s="2"/>
    </row>
    <row r="410" ht="13.5" customHeight="1">
      <c r="A410" s="2"/>
      <c r="B410" s="2"/>
      <c r="C410" s="2"/>
      <c r="D410" s="2"/>
      <c r="E410" s="2"/>
      <c r="F410" s="2"/>
      <c r="G410" s="2"/>
      <c r="H410" s="2"/>
      <c r="I410" s="2"/>
      <c r="J410" s="2"/>
      <c r="K410" s="2"/>
      <c r="L410" s="2"/>
      <c r="M410" s="2"/>
      <c r="N410" s="2"/>
      <c r="O410" s="2"/>
      <c r="P410" s="2"/>
      <c r="Q410" s="144"/>
      <c r="R410" s="144"/>
      <c r="S410" s="144"/>
      <c r="T410" s="214"/>
      <c r="U410" s="2"/>
      <c r="V410" s="2"/>
      <c r="W410" s="2"/>
      <c r="X410" s="2"/>
      <c r="Y410" s="2"/>
      <c r="Z410" s="2"/>
    </row>
    <row r="411" ht="13.5" customHeight="1">
      <c r="A411" s="2"/>
      <c r="B411" s="2"/>
      <c r="C411" s="2"/>
      <c r="D411" s="2"/>
      <c r="E411" s="2"/>
      <c r="F411" s="2"/>
      <c r="G411" s="2"/>
      <c r="H411" s="2"/>
      <c r="I411" s="2"/>
      <c r="J411" s="2"/>
      <c r="K411" s="2"/>
      <c r="L411" s="2"/>
      <c r="M411" s="2"/>
      <c r="N411" s="2"/>
      <c r="O411" s="2"/>
      <c r="P411" s="2"/>
      <c r="Q411" s="144"/>
      <c r="R411" s="144"/>
      <c r="S411" s="144"/>
      <c r="T411" s="214"/>
      <c r="U411" s="2"/>
      <c r="V411" s="2"/>
      <c r="W411" s="2"/>
      <c r="X411" s="2"/>
      <c r="Y411" s="2"/>
      <c r="Z411" s="2"/>
    </row>
    <row r="412" ht="13.5" customHeight="1">
      <c r="A412" s="2"/>
      <c r="B412" s="2"/>
      <c r="C412" s="2"/>
      <c r="D412" s="2"/>
      <c r="E412" s="2"/>
      <c r="F412" s="2"/>
      <c r="G412" s="2"/>
      <c r="H412" s="2"/>
      <c r="I412" s="2"/>
      <c r="J412" s="2"/>
      <c r="K412" s="2"/>
      <c r="L412" s="2"/>
      <c r="M412" s="2"/>
      <c r="N412" s="2"/>
      <c r="O412" s="2"/>
      <c r="P412" s="2"/>
      <c r="Q412" s="144"/>
      <c r="R412" s="144"/>
      <c r="S412" s="144"/>
      <c r="T412" s="214"/>
      <c r="U412" s="2"/>
      <c r="V412" s="2"/>
      <c r="W412" s="2"/>
      <c r="X412" s="2"/>
      <c r="Y412" s="2"/>
      <c r="Z412" s="2"/>
    </row>
    <row r="413" ht="13.5" customHeight="1">
      <c r="A413" s="2"/>
      <c r="B413" s="2"/>
      <c r="C413" s="2"/>
      <c r="D413" s="2"/>
      <c r="E413" s="2"/>
      <c r="F413" s="2"/>
      <c r="G413" s="2"/>
      <c r="H413" s="2"/>
      <c r="I413" s="2"/>
      <c r="J413" s="2"/>
      <c r="K413" s="2"/>
      <c r="L413" s="2"/>
      <c r="M413" s="2"/>
      <c r="N413" s="2"/>
      <c r="O413" s="2"/>
      <c r="P413" s="2"/>
      <c r="Q413" s="144"/>
      <c r="R413" s="144"/>
      <c r="S413" s="144"/>
      <c r="T413" s="214"/>
      <c r="U413" s="2"/>
      <c r="V413" s="2"/>
      <c r="W413" s="2"/>
      <c r="X413" s="2"/>
      <c r="Y413" s="2"/>
      <c r="Z413" s="2"/>
    </row>
    <row r="414" ht="13.5" customHeight="1">
      <c r="A414" s="2"/>
      <c r="B414" s="2"/>
      <c r="C414" s="2"/>
      <c r="D414" s="2"/>
      <c r="E414" s="2"/>
      <c r="F414" s="2"/>
      <c r="G414" s="2"/>
      <c r="H414" s="2"/>
      <c r="I414" s="2"/>
      <c r="J414" s="2"/>
      <c r="K414" s="2"/>
      <c r="L414" s="2"/>
      <c r="M414" s="2"/>
      <c r="N414" s="2"/>
      <c r="O414" s="2"/>
      <c r="P414" s="2"/>
      <c r="Q414" s="144"/>
      <c r="R414" s="144"/>
      <c r="S414" s="144"/>
      <c r="T414" s="214"/>
      <c r="U414" s="2"/>
      <c r="V414" s="2"/>
      <c r="W414" s="2"/>
      <c r="X414" s="2"/>
      <c r="Y414" s="2"/>
      <c r="Z414" s="2"/>
    </row>
    <row r="415" ht="13.5" customHeight="1">
      <c r="A415" s="2"/>
      <c r="B415" s="2"/>
      <c r="C415" s="2"/>
      <c r="D415" s="2"/>
      <c r="E415" s="2"/>
      <c r="F415" s="2"/>
      <c r="G415" s="2"/>
      <c r="H415" s="2"/>
      <c r="I415" s="2"/>
      <c r="J415" s="2"/>
      <c r="K415" s="2"/>
      <c r="L415" s="2"/>
      <c r="M415" s="2"/>
      <c r="N415" s="2"/>
      <c r="O415" s="2"/>
      <c r="P415" s="2"/>
      <c r="Q415" s="144"/>
      <c r="R415" s="144"/>
      <c r="S415" s="144"/>
      <c r="T415" s="214"/>
      <c r="U415" s="2"/>
      <c r="V415" s="2"/>
      <c r="W415" s="2"/>
      <c r="X415" s="2"/>
      <c r="Y415" s="2"/>
      <c r="Z415" s="2"/>
    </row>
    <row r="416" ht="13.5" customHeight="1">
      <c r="A416" s="2"/>
      <c r="B416" s="2"/>
      <c r="C416" s="2"/>
      <c r="D416" s="2"/>
      <c r="E416" s="2"/>
      <c r="F416" s="2"/>
      <c r="G416" s="2"/>
      <c r="H416" s="2"/>
      <c r="I416" s="2"/>
      <c r="J416" s="2"/>
      <c r="K416" s="2"/>
      <c r="L416" s="2"/>
      <c r="M416" s="2"/>
      <c r="N416" s="2"/>
      <c r="O416" s="2"/>
      <c r="P416" s="2"/>
      <c r="Q416" s="144"/>
      <c r="R416" s="144"/>
      <c r="S416" s="144"/>
      <c r="T416" s="214"/>
      <c r="U416" s="2"/>
      <c r="V416" s="2"/>
      <c r="W416" s="2"/>
      <c r="X416" s="2"/>
      <c r="Y416" s="2"/>
      <c r="Z416" s="2"/>
    </row>
    <row r="417" ht="13.5" customHeight="1">
      <c r="A417" s="2"/>
      <c r="B417" s="2"/>
      <c r="C417" s="2"/>
      <c r="D417" s="2"/>
      <c r="E417" s="2"/>
      <c r="F417" s="2"/>
      <c r="G417" s="2"/>
      <c r="H417" s="2"/>
      <c r="I417" s="2"/>
      <c r="J417" s="2"/>
      <c r="K417" s="2"/>
      <c r="L417" s="2"/>
      <c r="M417" s="2"/>
      <c r="N417" s="2"/>
      <c r="O417" s="2"/>
      <c r="P417" s="2"/>
      <c r="Q417" s="144"/>
      <c r="R417" s="144"/>
      <c r="S417" s="144"/>
      <c r="T417" s="214"/>
      <c r="U417" s="2"/>
      <c r="V417" s="2"/>
      <c r="W417" s="2"/>
      <c r="X417" s="2"/>
      <c r="Y417" s="2"/>
      <c r="Z417" s="2"/>
    </row>
    <row r="418" ht="13.5" customHeight="1">
      <c r="A418" s="2"/>
      <c r="B418" s="2"/>
      <c r="C418" s="2"/>
      <c r="D418" s="2"/>
      <c r="E418" s="2"/>
      <c r="F418" s="2"/>
      <c r="G418" s="2"/>
      <c r="H418" s="2"/>
      <c r="I418" s="2"/>
      <c r="J418" s="2"/>
      <c r="K418" s="2"/>
      <c r="L418" s="2"/>
      <c r="M418" s="2"/>
      <c r="N418" s="2"/>
      <c r="O418" s="2"/>
      <c r="P418" s="2"/>
      <c r="Q418" s="144"/>
      <c r="R418" s="144"/>
      <c r="S418" s="144"/>
      <c r="T418" s="214"/>
      <c r="U418" s="2"/>
      <c r="V418" s="2"/>
      <c r="W418" s="2"/>
      <c r="X418" s="2"/>
      <c r="Y418" s="2"/>
      <c r="Z418" s="2"/>
    </row>
    <row r="419" ht="13.5" customHeight="1">
      <c r="A419" s="2"/>
      <c r="B419" s="2"/>
      <c r="C419" s="2"/>
      <c r="D419" s="2"/>
      <c r="E419" s="2"/>
      <c r="F419" s="2"/>
      <c r="G419" s="2"/>
      <c r="H419" s="2"/>
      <c r="I419" s="2"/>
      <c r="J419" s="2"/>
      <c r="K419" s="2"/>
      <c r="L419" s="2"/>
      <c r="M419" s="2"/>
      <c r="N419" s="2"/>
      <c r="O419" s="2"/>
      <c r="P419" s="2"/>
      <c r="Q419" s="144"/>
      <c r="R419" s="144"/>
      <c r="S419" s="144"/>
      <c r="T419" s="214"/>
      <c r="U419" s="2"/>
      <c r="V419" s="2"/>
      <c r="W419" s="2"/>
      <c r="X419" s="2"/>
      <c r="Y419" s="2"/>
      <c r="Z419" s="2"/>
    </row>
    <row r="420" ht="13.5" customHeight="1">
      <c r="A420" s="2"/>
      <c r="B420" s="2"/>
      <c r="C420" s="2"/>
      <c r="D420" s="2"/>
      <c r="E420" s="2"/>
      <c r="F420" s="2"/>
      <c r="G420" s="2"/>
      <c r="H420" s="2"/>
      <c r="I420" s="2"/>
      <c r="J420" s="2"/>
      <c r="K420" s="2"/>
      <c r="L420" s="2"/>
      <c r="M420" s="2"/>
      <c r="N420" s="2"/>
      <c r="O420" s="2"/>
      <c r="P420" s="2"/>
      <c r="Q420" s="144"/>
      <c r="R420" s="144"/>
      <c r="S420" s="144"/>
      <c r="T420" s="214"/>
      <c r="U420" s="2"/>
      <c r="V420" s="2"/>
      <c r="W420" s="2"/>
      <c r="X420" s="2"/>
      <c r="Y420" s="2"/>
      <c r="Z420" s="2"/>
    </row>
    <row r="421" ht="13.5" customHeight="1">
      <c r="A421" s="2"/>
      <c r="B421" s="2"/>
      <c r="C421" s="2"/>
      <c r="D421" s="2"/>
      <c r="E421" s="2"/>
      <c r="F421" s="2"/>
      <c r="G421" s="2"/>
      <c r="H421" s="2"/>
      <c r="I421" s="2"/>
      <c r="J421" s="2"/>
      <c r="K421" s="2"/>
      <c r="L421" s="2"/>
      <c r="M421" s="2"/>
      <c r="N421" s="2"/>
      <c r="O421" s="2"/>
      <c r="P421" s="2"/>
      <c r="Q421" s="144"/>
      <c r="R421" s="144"/>
      <c r="S421" s="144"/>
      <c r="T421" s="214"/>
      <c r="U421" s="2"/>
      <c r="V421" s="2"/>
      <c r="W421" s="2"/>
      <c r="X421" s="2"/>
      <c r="Y421" s="2"/>
      <c r="Z421" s="2"/>
    </row>
    <row r="422" ht="13.5" customHeight="1">
      <c r="A422" s="2"/>
      <c r="B422" s="2"/>
      <c r="C422" s="2"/>
      <c r="D422" s="2"/>
      <c r="E422" s="2"/>
      <c r="F422" s="2"/>
      <c r="G422" s="2"/>
      <c r="H422" s="2"/>
      <c r="I422" s="2"/>
      <c r="J422" s="2"/>
      <c r="K422" s="2"/>
      <c r="L422" s="2"/>
      <c r="M422" s="2"/>
      <c r="N422" s="2"/>
      <c r="O422" s="2"/>
      <c r="P422" s="2"/>
      <c r="Q422" s="144"/>
      <c r="R422" s="144"/>
      <c r="S422" s="144"/>
      <c r="T422" s="214"/>
      <c r="U422" s="2"/>
      <c r="V422" s="2"/>
      <c r="W422" s="2"/>
      <c r="X422" s="2"/>
      <c r="Y422" s="2"/>
      <c r="Z422" s="2"/>
    </row>
    <row r="423" ht="13.5" customHeight="1">
      <c r="A423" s="2"/>
      <c r="B423" s="2"/>
      <c r="C423" s="2"/>
      <c r="D423" s="2"/>
      <c r="E423" s="2"/>
      <c r="F423" s="2"/>
      <c r="G423" s="2"/>
      <c r="H423" s="2"/>
      <c r="I423" s="2"/>
      <c r="J423" s="2"/>
      <c r="K423" s="2"/>
      <c r="L423" s="2"/>
      <c r="M423" s="2"/>
      <c r="N423" s="2"/>
      <c r="O423" s="2"/>
      <c r="P423" s="2"/>
      <c r="Q423" s="144"/>
      <c r="R423" s="144"/>
      <c r="S423" s="144"/>
      <c r="T423" s="214"/>
      <c r="U423" s="2"/>
      <c r="V423" s="2"/>
      <c r="W423" s="2"/>
      <c r="X423" s="2"/>
      <c r="Y423" s="2"/>
      <c r="Z423" s="2"/>
    </row>
    <row r="424" ht="13.5" customHeight="1">
      <c r="A424" s="2"/>
      <c r="B424" s="2"/>
      <c r="C424" s="2"/>
      <c r="D424" s="2"/>
      <c r="E424" s="2"/>
      <c r="F424" s="2"/>
      <c r="G424" s="2"/>
      <c r="H424" s="2"/>
      <c r="I424" s="2"/>
      <c r="J424" s="2"/>
      <c r="K424" s="2"/>
      <c r="L424" s="2"/>
      <c r="M424" s="2"/>
      <c r="N424" s="2"/>
      <c r="O424" s="2"/>
      <c r="P424" s="2"/>
      <c r="Q424" s="144"/>
      <c r="R424" s="144"/>
      <c r="S424" s="144"/>
      <c r="T424" s="214"/>
      <c r="U424" s="2"/>
      <c r="V424" s="2"/>
      <c r="W424" s="2"/>
      <c r="X424" s="2"/>
      <c r="Y424" s="2"/>
      <c r="Z424" s="2"/>
    </row>
    <row r="425" ht="13.5" customHeight="1">
      <c r="A425" s="2"/>
      <c r="B425" s="2"/>
      <c r="C425" s="2"/>
      <c r="D425" s="2"/>
      <c r="E425" s="2"/>
      <c r="F425" s="2"/>
      <c r="G425" s="2"/>
      <c r="H425" s="2"/>
      <c r="I425" s="2"/>
      <c r="J425" s="2"/>
      <c r="K425" s="2"/>
      <c r="L425" s="2"/>
      <c r="M425" s="2"/>
      <c r="N425" s="2"/>
      <c r="O425" s="2"/>
      <c r="P425" s="2"/>
      <c r="Q425" s="144"/>
      <c r="R425" s="144"/>
      <c r="S425" s="144"/>
      <c r="T425" s="214"/>
      <c r="U425" s="2"/>
      <c r="V425" s="2"/>
      <c r="W425" s="2"/>
      <c r="X425" s="2"/>
      <c r="Y425" s="2"/>
      <c r="Z425" s="2"/>
    </row>
    <row r="426" ht="13.5" customHeight="1">
      <c r="A426" s="2"/>
      <c r="B426" s="2"/>
      <c r="C426" s="2"/>
      <c r="D426" s="2"/>
      <c r="E426" s="2"/>
      <c r="F426" s="2"/>
      <c r="G426" s="2"/>
      <c r="H426" s="2"/>
      <c r="I426" s="2"/>
      <c r="J426" s="2"/>
      <c r="K426" s="2"/>
      <c r="L426" s="2"/>
      <c r="M426" s="2"/>
      <c r="N426" s="2"/>
      <c r="O426" s="2"/>
      <c r="P426" s="2"/>
      <c r="Q426" s="144"/>
      <c r="R426" s="144"/>
      <c r="S426" s="144"/>
      <c r="T426" s="214"/>
      <c r="U426" s="2"/>
      <c r="V426" s="2"/>
      <c r="W426" s="2"/>
      <c r="X426" s="2"/>
      <c r="Y426" s="2"/>
      <c r="Z426" s="2"/>
    </row>
    <row r="427" ht="13.5" customHeight="1">
      <c r="A427" s="2"/>
      <c r="B427" s="2"/>
      <c r="C427" s="2"/>
      <c r="D427" s="2"/>
      <c r="E427" s="2"/>
      <c r="F427" s="2"/>
      <c r="G427" s="2"/>
      <c r="H427" s="2"/>
      <c r="I427" s="2"/>
      <c r="J427" s="2"/>
      <c r="K427" s="2"/>
      <c r="L427" s="2"/>
      <c r="M427" s="2"/>
      <c r="N427" s="2"/>
      <c r="O427" s="2"/>
      <c r="P427" s="2"/>
      <c r="Q427" s="144"/>
      <c r="R427" s="144"/>
      <c r="S427" s="144"/>
      <c r="T427" s="214"/>
      <c r="U427" s="2"/>
      <c r="V427" s="2"/>
      <c r="W427" s="2"/>
      <c r="X427" s="2"/>
      <c r="Y427" s="2"/>
      <c r="Z427" s="2"/>
    </row>
    <row r="428" ht="13.5" customHeight="1">
      <c r="A428" s="2"/>
      <c r="B428" s="2"/>
      <c r="C428" s="2"/>
      <c r="D428" s="2"/>
      <c r="E428" s="2"/>
      <c r="F428" s="2"/>
      <c r="G428" s="2"/>
      <c r="H428" s="2"/>
      <c r="I428" s="2"/>
      <c r="J428" s="2"/>
      <c r="K428" s="2"/>
      <c r="L428" s="2"/>
      <c r="M428" s="2"/>
      <c r="N428" s="2"/>
      <c r="O428" s="2"/>
      <c r="P428" s="2"/>
      <c r="Q428" s="144"/>
      <c r="R428" s="144"/>
      <c r="S428" s="144"/>
      <c r="T428" s="214"/>
      <c r="U428" s="2"/>
      <c r="V428" s="2"/>
      <c r="W428" s="2"/>
      <c r="X428" s="2"/>
      <c r="Y428" s="2"/>
      <c r="Z428" s="2"/>
    </row>
    <row r="429" ht="13.5" customHeight="1">
      <c r="A429" s="2"/>
      <c r="B429" s="2"/>
      <c r="C429" s="2"/>
      <c r="D429" s="2"/>
      <c r="E429" s="2"/>
      <c r="F429" s="2"/>
      <c r="G429" s="2"/>
      <c r="H429" s="2"/>
      <c r="I429" s="2"/>
      <c r="J429" s="2"/>
      <c r="K429" s="2"/>
      <c r="L429" s="2"/>
      <c r="M429" s="2"/>
      <c r="N429" s="2"/>
      <c r="O429" s="2"/>
      <c r="P429" s="2"/>
      <c r="Q429" s="144"/>
      <c r="R429" s="144"/>
      <c r="S429" s="144"/>
      <c r="T429" s="214"/>
      <c r="U429" s="2"/>
      <c r="V429" s="2"/>
      <c r="W429" s="2"/>
      <c r="X429" s="2"/>
      <c r="Y429" s="2"/>
      <c r="Z429" s="2"/>
    </row>
    <row r="430" ht="13.5" customHeight="1">
      <c r="A430" s="2"/>
      <c r="B430" s="2"/>
      <c r="C430" s="2"/>
      <c r="D430" s="2"/>
      <c r="E430" s="2"/>
      <c r="F430" s="2"/>
      <c r="G430" s="2"/>
      <c r="H430" s="2"/>
      <c r="I430" s="2"/>
      <c r="J430" s="2"/>
      <c r="K430" s="2"/>
      <c r="L430" s="2"/>
      <c r="M430" s="2"/>
      <c r="N430" s="2"/>
      <c r="O430" s="2"/>
      <c r="P430" s="2"/>
      <c r="Q430" s="144"/>
      <c r="R430" s="144"/>
      <c r="S430" s="144"/>
      <c r="T430" s="214"/>
      <c r="U430" s="2"/>
      <c r="V430" s="2"/>
      <c r="W430" s="2"/>
      <c r="X430" s="2"/>
      <c r="Y430" s="2"/>
      <c r="Z430" s="2"/>
    </row>
    <row r="431" ht="13.5" customHeight="1">
      <c r="A431" s="2"/>
      <c r="B431" s="2"/>
      <c r="C431" s="2"/>
      <c r="D431" s="2"/>
      <c r="E431" s="2"/>
      <c r="F431" s="2"/>
      <c r="G431" s="2"/>
      <c r="H431" s="2"/>
      <c r="I431" s="2"/>
      <c r="J431" s="2"/>
      <c r="K431" s="2"/>
      <c r="L431" s="2"/>
      <c r="M431" s="2"/>
      <c r="N431" s="2"/>
      <c r="O431" s="2"/>
      <c r="P431" s="2"/>
      <c r="Q431" s="144"/>
      <c r="R431" s="144"/>
      <c r="S431" s="144"/>
      <c r="T431" s="214"/>
      <c r="U431" s="2"/>
      <c r="V431" s="2"/>
      <c r="W431" s="2"/>
      <c r="X431" s="2"/>
      <c r="Y431" s="2"/>
      <c r="Z431" s="2"/>
    </row>
    <row r="432" ht="13.5" customHeight="1">
      <c r="A432" s="2"/>
      <c r="B432" s="2"/>
      <c r="C432" s="2"/>
      <c r="D432" s="2"/>
      <c r="E432" s="2"/>
      <c r="F432" s="2"/>
      <c r="G432" s="2"/>
      <c r="H432" s="2"/>
      <c r="I432" s="2"/>
      <c r="J432" s="2"/>
      <c r="K432" s="2"/>
      <c r="L432" s="2"/>
      <c r="M432" s="2"/>
      <c r="N432" s="2"/>
      <c r="O432" s="2"/>
      <c r="P432" s="2"/>
      <c r="Q432" s="144"/>
      <c r="R432" s="144"/>
      <c r="S432" s="144"/>
      <c r="T432" s="214"/>
      <c r="U432" s="2"/>
      <c r="V432" s="2"/>
      <c r="W432" s="2"/>
      <c r="X432" s="2"/>
      <c r="Y432" s="2"/>
      <c r="Z432" s="2"/>
    </row>
    <row r="433" ht="13.5" customHeight="1">
      <c r="A433" s="2"/>
      <c r="B433" s="2"/>
      <c r="C433" s="2"/>
      <c r="D433" s="2"/>
      <c r="E433" s="2"/>
      <c r="F433" s="2"/>
      <c r="G433" s="2"/>
      <c r="H433" s="2"/>
      <c r="I433" s="2"/>
      <c r="J433" s="2"/>
      <c r="K433" s="2"/>
      <c r="L433" s="2"/>
      <c r="M433" s="2"/>
      <c r="N433" s="2"/>
      <c r="O433" s="2"/>
      <c r="P433" s="2"/>
      <c r="Q433" s="144"/>
      <c r="R433" s="144"/>
      <c r="S433" s="144"/>
      <c r="T433" s="214"/>
      <c r="U433" s="2"/>
      <c r="V433" s="2"/>
      <c r="W433" s="2"/>
      <c r="X433" s="2"/>
      <c r="Y433" s="2"/>
      <c r="Z433" s="2"/>
    </row>
    <row r="434" ht="13.5" customHeight="1">
      <c r="A434" s="2"/>
      <c r="B434" s="2"/>
      <c r="C434" s="2"/>
      <c r="D434" s="2"/>
      <c r="E434" s="2"/>
      <c r="F434" s="2"/>
      <c r="G434" s="2"/>
      <c r="H434" s="2"/>
      <c r="I434" s="2"/>
      <c r="J434" s="2"/>
      <c r="K434" s="2"/>
      <c r="L434" s="2"/>
      <c r="M434" s="2"/>
      <c r="N434" s="2"/>
      <c r="O434" s="2"/>
      <c r="P434" s="2"/>
      <c r="Q434" s="144"/>
      <c r="R434" s="144"/>
      <c r="S434" s="144"/>
      <c r="T434" s="214"/>
      <c r="U434" s="2"/>
      <c r="V434" s="2"/>
      <c r="W434" s="2"/>
      <c r="X434" s="2"/>
      <c r="Y434" s="2"/>
      <c r="Z434" s="2"/>
    </row>
    <row r="435" ht="13.5" customHeight="1">
      <c r="A435" s="2"/>
      <c r="B435" s="2"/>
      <c r="C435" s="2"/>
      <c r="D435" s="2"/>
      <c r="E435" s="2"/>
      <c r="F435" s="2"/>
      <c r="G435" s="2"/>
      <c r="H435" s="2"/>
      <c r="I435" s="2"/>
      <c r="J435" s="2"/>
      <c r="K435" s="2"/>
      <c r="L435" s="2"/>
      <c r="M435" s="2"/>
      <c r="N435" s="2"/>
      <c r="O435" s="2"/>
      <c r="P435" s="2"/>
      <c r="Q435" s="144"/>
      <c r="R435" s="144"/>
      <c r="S435" s="144"/>
      <c r="T435" s="214"/>
      <c r="U435" s="2"/>
      <c r="V435" s="2"/>
      <c r="W435" s="2"/>
      <c r="X435" s="2"/>
      <c r="Y435" s="2"/>
      <c r="Z435" s="2"/>
    </row>
    <row r="436" ht="13.5" customHeight="1">
      <c r="A436" s="2"/>
      <c r="B436" s="2"/>
      <c r="C436" s="2"/>
      <c r="D436" s="2"/>
      <c r="E436" s="2"/>
      <c r="F436" s="2"/>
      <c r="G436" s="2"/>
      <c r="H436" s="2"/>
      <c r="I436" s="2"/>
      <c r="J436" s="2"/>
      <c r="K436" s="2"/>
      <c r="L436" s="2"/>
      <c r="M436" s="2"/>
      <c r="N436" s="2"/>
      <c r="O436" s="2"/>
      <c r="P436" s="2"/>
      <c r="Q436" s="144"/>
      <c r="R436" s="144"/>
      <c r="S436" s="144"/>
      <c r="T436" s="214"/>
      <c r="U436" s="2"/>
      <c r="V436" s="2"/>
      <c r="W436" s="2"/>
      <c r="X436" s="2"/>
      <c r="Y436" s="2"/>
      <c r="Z436" s="2"/>
    </row>
    <row r="437" ht="13.5" customHeight="1">
      <c r="A437" s="2"/>
      <c r="B437" s="2"/>
      <c r="C437" s="2"/>
      <c r="D437" s="2"/>
      <c r="E437" s="2"/>
      <c r="F437" s="2"/>
      <c r="G437" s="2"/>
      <c r="H437" s="2"/>
      <c r="I437" s="2"/>
      <c r="J437" s="2"/>
      <c r="K437" s="2"/>
      <c r="L437" s="2"/>
      <c r="M437" s="2"/>
      <c r="N437" s="2"/>
      <c r="O437" s="2"/>
      <c r="P437" s="2"/>
      <c r="Q437" s="144"/>
      <c r="R437" s="144"/>
      <c r="S437" s="144"/>
      <c r="T437" s="214"/>
      <c r="U437" s="2"/>
      <c r="V437" s="2"/>
      <c r="W437" s="2"/>
      <c r="X437" s="2"/>
      <c r="Y437" s="2"/>
      <c r="Z437" s="2"/>
    </row>
    <row r="438" ht="13.5" customHeight="1">
      <c r="A438" s="2"/>
      <c r="B438" s="2"/>
      <c r="C438" s="2"/>
      <c r="D438" s="2"/>
      <c r="E438" s="2"/>
      <c r="F438" s="2"/>
      <c r="G438" s="2"/>
      <c r="H438" s="2"/>
      <c r="I438" s="2"/>
      <c r="J438" s="2"/>
      <c r="K438" s="2"/>
      <c r="L438" s="2"/>
      <c r="M438" s="2"/>
      <c r="N438" s="2"/>
      <c r="O438" s="2"/>
      <c r="P438" s="2"/>
      <c r="Q438" s="144"/>
      <c r="R438" s="144"/>
      <c r="S438" s="144"/>
      <c r="T438" s="214"/>
      <c r="U438" s="2"/>
      <c r="V438" s="2"/>
      <c r="W438" s="2"/>
      <c r="X438" s="2"/>
      <c r="Y438" s="2"/>
      <c r="Z438" s="2"/>
    </row>
    <row r="439" ht="13.5" customHeight="1">
      <c r="A439" s="2"/>
      <c r="B439" s="2"/>
      <c r="C439" s="2"/>
      <c r="D439" s="2"/>
      <c r="E439" s="2"/>
      <c r="F439" s="2"/>
      <c r="G439" s="2"/>
      <c r="H439" s="2"/>
      <c r="I439" s="2"/>
      <c r="J439" s="2"/>
      <c r="K439" s="2"/>
      <c r="L439" s="2"/>
      <c r="M439" s="2"/>
      <c r="N439" s="2"/>
      <c r="O439" s="2"/>
      <c r="P439" s="2"/>
      <c r="Q439" s="144"/>
      <c r="R439" s="144"/>
      <c r="S439" s="144"/>
      <c r="T439" s="214"/>
      <c r="U439" s="2"/>
      <c r="V439" s="2"/>
      <c r="W439" s="2"/>
      <c r="X439" s="2"/>
      <c r="Y439" s="2"/>
      <c r="Z439" s="2"/>
    </row>
    <row r="440" ht="13.5" customHeight="1">
      <c r="A440" s="2"/>
      <c r="B440" s="2"/>
      <c r="C440" s="2"/>
      <c r="D440" s="2"/>
      <c r="E440" s="2"/>
      <c r="F440" s="2"/>
      <c r="G440" s="2"/>
      <c r="H440" s="2"/>
      <c r="I440" s="2"/>
      <c r="J440" s="2"/>
      <c r="K440" s="2"/>
      <c r="L440" s="2"/>
      <c r="M440" s="2"/>
      <c r="N440" s="2"/>
      <c r="O440" s="2"/>
      <c r="P440" s="2"/>
      <c r="Q440" s="144"/>
      <c r="R440" s="144"/>
      <c r="S440" s="144"/>
      <c r="T440" s="214"/>
      <c r="U440" s="2"/>
      <c r="V440" s="2"/>
      <c r="W440" s="2"/>
      <c r="X440" s="2"/>
      <c r="Y440" s="2"/>
      <c r="Z440" s="2"/>
    </row>
    <row r="441" ht="13.5" customHeight="1">
      <c r="A441" s="2"/>
      <c r="B441" s="2"/>
      <c r="C441" s="2"/>
      <c r="D441" s="2"/>
      <c r="E441" s="2"/>
      <c r="F441" s="2"/>
      <c r="G441" s="2"/>
      <c r="H441" s="2"/>
      <c r="I441" s="2"/>
      <c r="J441" s="2"/>
      <c r="K441" s="2"/>
      <c r="L441" s="2"/>
      <c r="M441" s="2"/>
      <c r="N441" s="2"/>
      <c r="O441" s="2"/>
      <c r="P441" s="2"/>
      <c r="Q441" s="144"/>
      <c r="R441" s="144"/>
      <c r="S441" s="144"/>
      <c r="T441" s="214"/>
      <c r="U441" s="2"/>
      <c r="V441" s="2"/>
      <c r="W441" s="2"/>
      <c r="X441" s="2"/>
      <c r="Y441" s="2"/>
      <c r="Z441" s="2"/>
    </row>
    <row r="442" ht="13.5" customHeight="1">
      <c r="A442" s="2"/>
      <c r="B442" s="2"/>
      <c r="C442" s="2"/>
      <c r="D442" s="2"/>
      <c r="E442" s="2"/>
      <c r="F442" s="2"/>
      <c r="G442" s="2"/>
      <c r="H442" s="2"/>
      <c r="I442" s="2"/>
      <c r="J442" s="2"/>
      <c r="K442" s="2"/>
      <c r="L442" s="2"/>
      <c r="M442" s="2"/>
      <c r="N442" s="2"/>
      <c r="O442" s="2"/>
      <c r="P442" s="2"/>
      <c r="Q442" s="144"/>
      <c r="R442" s="144"/>
      <c r="S442" s="144"/>
      <c r="T442" s="214"/>
      <c r="U442" s="2"/>
      <c r="V442" s="2"/>
      <c r="W442" s="2"/>
      <c r="X442" s="2"/>
      <c r="Y442" s="2"/>
      <c r="Z442" s="2"/>
    </row>
    <row r="443" ht="13.5" customHeight="1">
      <c r="A443" s="2"/>
      <c r="B443" s="2"/>
      <c r="C443" s="2"/>
      <c r="D443" s="2"/>
      <c r="E443" s="2"/>
      <c r="F443" s="2"/>
      <c r="G443" s="2"/>
      <c r="H443" s="2"/>
      <c r="I443" s="2"/>
      <c r="J443" s="2"/>
      <c r="K443" s="2"/>
      <c r="L443" s="2"/>
      <c r="M443" s="2"/>
      <c r="N443" s="2"/>
      <c r="O443" s="2"/>
      <c r="P443" s="2"/>
      <c r="Q443" s="144"/>
      <c r="R443" s="144"/>
      <c r="S443" s="144"/>
      <c r="T443" s="214"/>
      <c r="U443" s="2"/>
      <c r="V443" s="2"/>
      <c r="W443" s="2"/>
      <c r="X443" s="2"/>
      <c r="Y443" s="2"/>
      <c r="Z443" s="2"/>
    </row>
    <row r="444" ht="13.5" customHeight="1">
      <c r="A444" s="2"/>
      <c r="B444" s="2"/>
      <c r="C444" s="2"/>
      <c r="D444" s="2"/>
      <c r="E444" s="2"/>
      <c r="F444" s="2"/>
      <c r="G444" s="2"/>
      <c r="H444" s="2"/>
      <c r="I444" s="2"/>
      <c r="J444" s="2"/>
      <c r="K444" s="2"/>
      <c r="L444" s="2"/>
      <c r="M444" s="2"/>
      <c r="N444" s="2"/>
      <c r="O444" s="2"/>
      <c r="P444" s="2"/>
      <c r="Q444" s="144"/>
      <c r="R444" s="144"/>
      <c r="S444" s="144"/>
      <c r="T444" s="214"/>
      <c r="U444" s="2"/>
      <c r="V444" s="2"/>
      <c r="W444" s="2"/>
      <c r="X444" s="2"/>
      <c r="Y444" s="2"/>
      <c r="Z444" s="2"/>
    </row>
    <row r="445" ht="13.5" customHeight="1">
      <c r="A445" s="2"/>
      <c r="B445" s="2"/>
      <c r="C445" s="2"/>
      <c r="D445" s="2"/>
      <c r="E445" s="2"/>
      <c r="F445" s="2"/>
      <c r="G445" s="2"/>
      <c r="H445" s="2"/>
      <c r="I445" s="2"/>
      <c r="J445" s="2"/>
      <c r="K445" s="2"/>
      <c r="L445" s="2"/>
      <c r="M445" s="2"/>
      <c r="N445" s="2"/>
      <c r="O445" s="2"/>
      <c r="P445" s="2"/>
      <c r="Q445" s="144"/>
      <c r="R445" s="144"/>
      <c r="S445" s="144"/>
      <c r="T445" s="214"/>
      <c r="U445" s="2"/>
      <c r="V445" s="2"/>
      <c r="W445" s="2"/>
      <c r="X445" s="2"/>
      <c r="Y445" s="2"/>
      <c r="Z445" s="2"/>
    </row>
    <row r="446" ht="13.5" customHeight="1">
      <c r="A446" s="2"/>
      <c r="B446" s="2"/>
      <c r="C446" s="2"/>
      <c r="D446" s="2"/>
      <c r="E446" s="2"/>
      <c r="F446" s="2"/>
      <c r="G446" s="2"/>
      <c r="H446" s="2"/>
      <c r="I446" s="2"/>
      <c r="J446" s="2"/>
      <c r="K446" s="2"/>
      <c r="L446" s="2"/>
      <c r="M446" s="2"/>
      <c r="N446" s="2"/>
      <c r="O446" s="2"/>
      <c r="P446" s="2"/>
      <c r="Q446" s="144"/>
      <c r="R446" s="144"/>
      <c r="S446" s="144"/>
      <c r="T446" s="214"/>
      <c r="U446" s="2"/>
      <c r="V446" s="2"/>
      <c r="W446" s="2"/>
      <c r="X446" s="2"/>
      <c r="Y446" s="2"/>
      <c r="Z446" s="2"/>
    </row>
    <row r="447" ht="13.5" customHeight="1">
      <c r="A447" s="2"/>
      <c r="B447" s="2"/>
      <c r="C447" s="2"/>
      <c r="D447" s="2"/>
      <c r="E447" s="2"/>
      <c r="F447" s="2"/>
      <c r="G447" s="2"/>
      <c r="H447" s="2"/>
      <c r="I447" s="2"/>
      <c r="J447" s="2"/>
      <c r="K447" s="2"/>
      <c r="L447" s="2"/>
      <c r="M447" s="2"/>
      <c r="N447" s="2"/>
      <c r="O447" s="2"/>
      <c r="P447" s="2"/>
      <c r="Q447" s="144"/>
      <c r="R447" s="144"/>
      <c r="S447" s="144"/>
      <c r="T447" s="214"/>
      <c r="U447" s="2"/>
      <c r="V447" s="2"/>
      <c r="W447" s="2"/>
      <c r="X447" s="2"/>
      <c r="Y447" s="2"/>
      <c r="Z447" s="2"/>
    </row>
    <row r="448" ht="13.5" customHeight="1">
      <c r="A448" s="2"/>
      <c r="B448" s="2"/>
      <c r="C448" s="2"/>
      <c r="D448" s="2"/>
      <c r="E448" s="2"/>
      <c r="F448" s="2"/>
      <c r="G448" s="2"/>
      <c r="H448" s="2"/>
      <c r="I448" s="2"/>
      <c r="J448" s="2"/>
      <c r="K448" s="2"/>
      <c r="L448" s="2"/>
      <c r="M448" s="2"/>
      <c r="N448" s="2"/>
      <c r="O448" s="2"/>
      <c r="P448" s="2"/>
      <c r="Q448" s="144"/>
      <c r="R448" s="144"/>
      <c r="S448" s="144"/>
      <c r="T448" s="214"/>
      <c r="U448" s="2"/>
      <c r="V448" s="2"/>
      <c r="W448" s="2"/>
      <c r="X448" s="2"/>
      <c r="Y448" s="2"/>
      <c r="Z448" s="2"/>
    </row>
    <row r="449" ht="13.5" customHeight="1">
      <c r="A449" s="2"/>
      <c r="B449" s="2"/>
      <c r="C449" s="2"/>
      <c r="D449" s="2"/>
      <c r="E449" s="2"/>
      <c r="F449" s="2"/>
      <c r="G449" s="2"/>
      <c r="H449" s="2"/>
      <c r="I449" s="2"/>
      <c r="J449" s="2"/>
      <c r="K449" s="2"/>
      <c r="L449" s="2"/>
      <c r="M449" s="2"/>
      <c r="N449" s="2"/>
      <c r="O449" s="2"/>
      <c r="P449" s="2"/>
      <c r="Q449" s="144"/>
      <c r="R449" s="144"/>
      <c r="S449" s="144"/>
      <c r="T449" s="214"/>
      <c r="U449" s="2"/>
      <c r="V449" s="2"/>
      <c r="W449" s="2"/>
      <c r="X449" s="2"/>
      <c r="Y449" s="2"/>
      <c r="Z449" s="2"/>
    </row>
    <row r="450" ht="13.5" customHeight="1">
      <c r="A450" s="2"/>
      <c r="B450" s="2"/>
      <c r="C450" s="2"/>
      <c r="D450" s="2"/>
      <c r="E450" s="2"/>
      <c r="F450" s="2"/>
      <c r="G450" s="2"/>
      <c r="H450" s="2"/>
      <c r="I450" s="2"/>
      <c r="J450" s="2"/>
      <c r="K450" s="2"/>
      <c r="L450" s="2"/>
      <c r="M450" s="2"/>
      <c r="N450" s="2"/>
      <c r="O450" s="2"/>
      <c r="P450" s="2"/>
      <c r="Q450" s="144"/>
      <c r="R450" s="144"/>
      <c r="S450" s="144"/>
      <c r="T450" s="214"/>
      <c r="U450" s="2"/>
      <c r="V450" s="2"/>
      <c r="W450" s="2"/>
      <c r="X450" s="2"/>
      <c r="Y450" s="2"/>
      <c r="Z450" s="2"/>
    </row>
    <row r="451" ht="13.5" customHeight="1">
      <c r="A451" s="2"/>
      <c r="B451" s="2"/>
      <c r="C451" s="2"/>
      <c r="D451" s="2"/>
      <c r="E451" s="2"/>
      <c r="F451" s="2"/>
      <c r="G451" s="2"/>
      <c r="H451" s="2"/>
      <c r="I451" s="2"/>
      <c r="J451" s="2"/>
      <c r="K451" s="2"/>
      <c r="L451" s="2"/>
      <c r="M451" s="2"/>
      <c r="N451" s="2"/>
      <c r="O451" s="2"/>
      <c r="P451" s="2"/>
      <c r="Q451" s="144"/>
      <c r="R451" s="144"/>
      <c r="S451" s="144"/>
      <c r="T451" s="214"/>
      <c r="U451" s="2"/>
      <c r="V451" s="2"/>
      <c r="W451" s="2"/>
      <c r="X451" s="2"/>
      <c r="Y451" s="2"/>
      <c r="Z451" s="2"/>
    </row>
    <row r="452" ht="13.5" customHeight="1">
      <c r="A452" s="2"/>
      <c r="B452" s="2"/>
      <c r="C452" s="2"/>
      <c r="D452" s="2"/>
      <c r="E452" s="2"/>
      <c r="F452" s="2"/>
      <c r="G452" s="2"/>
      <c r="H452" s="2"/>
      <c r="I452" s="2"/>
      <c r="J452" s="2"/>
      <c r="K452" s="2"/>
      <c r="L452" s="2"/>
      <c r="M452" s="2"/>
      <c r="N452" s="2"/>
      <c r="O452" s="2"/>
      <c r="P452" s="2"/>
      <c r="Q452" s="144"/>
      <c r="R452" s="144"/>
      <c r="S452" s="144"/>
      <c r="T452" s="214"/>
      <c r="U452" s="2"/>
      <c r="V452" s="2"/>
      <c r="W452" s="2"/>
      <c r="X452" s="2"/>
      <c r="Y452" s="2"/>
      <c r="Z452" s="2"/>
    </row>
    <row r="453" ht="13.5" customHeight="1">
      <c r="A453" s="2"/>
      <c r="B453" s="2"/>
      <c r="C453" s="2"/>
      <c r="D453" s="2"/>
      <c r="E453" s="2"/>
      <c r="F453" s="2"/>
      <c r="G453" s="2"/>
      <c r="H453" s="2"/>
      <c r="I453" s="2"/>
      <c r="J453" s="2"/>
      <c r="K453" s="2"/>
      <c r="L453" s="2"/>
      <c r="M453" s="2"/>
      <c r="N453" s="2"/>
      <c r="O453" s="2"/>
      <c r="P453" s="2"/>
      <c r="Q453" s="144"/>
      <c r="R453" s="144"/>
      <c r="S453" s="144"/>
      <c r="T453" s="214"/>
      <c r="U453" s="2"/>
      <c r="V453" s="2"/>
      <c r="W453" s="2"/>
      <c r="X453" s="2"/>
      <c r="Y453" s="2"/>
      <c r="Z453" s="2"/>
    </row>
    <row r="454" ht="13.5" customHeight="1">
      <c r="A454" s="2"/>
      <c r="B454" s="2"/>
      <c r="C454" s="2"/>
      <c r="D454" s="2"/>
      <c r="E454" s="2"/>
      <c r="F454" s="2"/>
      <c r="G454" s="2"/>
      <c r="H454" s="2"/>
      <c r="I454" s="2"/>
      <c r="J454" s="2"/>
      <c r="K454" s="2"/>
      <c r="L454" s="2"/>
      <c r="M454" s="2"/>
      <c r="N454" s="2"/>
      <c r="O454" s="2"/>
      <c r="P454" s="2"/>
      <c r="Q454" s="144"/>
      <c r="R454" s="144"/>
      <c r="S454" s="144"/>
      <c r="T454" s="214"/>
      <c r="U454" s="2"/>
      <c r="V454" s="2"/>
      <c r="W454" s="2"/>
      <c r="X454" s="2"/>
      <c r="Y454" s="2"/>
      <c r="Z454" s="2"/>
    </row>
    <row r="455" ht="13.5" customHeight="1">
      <c r="A455" s="2"/>
      <c r="B455" s="2"/>
      <c r="C455" s="2"/>
      <c r="D455" s="2"/>
      <c r="E455" s="2"/>
      <c r="F455" s="2"/>
      <c r="G455" s="2"/>
      <c r="H455" s="2"/>
      <c r="I455" s="2"/>
      <c r="J455" s="2"/>
      <c r="K455" s="2"/>
      <c r="L455" s="2"/>
      <c r="M455" s="2"/>
      <c r="N455" s="2"/>
      <c r="O455" s="2"/>
      <c r="P455" s="2"/>
      <c r="Q455" s="144"/>
      <c r="R455" s="144"/>
      <c r="S455" s="144"/>
      <c r="T455" s="214"/>
      <c r="U455" s="2"/>
      <c r="V455" s="2"/>
      <c r="W455" s="2"/>
      <c r="X455" s="2"/>
      <c r="Y455" s="2"/>
      <c r="Z455" s="2"/>
    </row>
    <row r="456" ht="13.5" customHeight="1">
      <c r="A456" s="2"/>
      <c r="B456" s="2"/>
      <c r="C456" s="2"/>
      <c r="D456" s="2"/>
      <c r="E456" s="2"/>
      <c r="F456" s="2"/>
      <c r="G456" s="2"/>
      <c r="H456" s="2"/>
      <c r="I456" s="2"/>
      <c r="J456" s="2"/>
      <c r="K456" s="2"/>
      <c r="L456" s="2"/>
      <c r="M456" s="2"/>
      <c r="N456" s="2"/>
      <c r="O456" s="2"/>
      <c r="P456" s="2"/>
      <c r="Q456" s="144"/>
      <c r="R456" s="144"/>
      <c r="S456" s="144"/>
      <c r="T456" s="214"/>
      <c r="U456" s="2"/>
      <c r="V456" s="2"/>
      <c r="W456" s="2"/>
      <c r="X456" s="2"/>
      <c r="Y456" s="2"/>
      <c r="Z456" s="2"/>
    </row>
    <row r="457" ht="13.5" customHeight="1">
      <c r="A457" s="2"/>
      <c r="B457" s="2"/>
      <c r="C457" s="2"/>
      <c r="D457" s="2"/>
      <c r="E457" s="2"/>
      <c r="F457" s="2"/>
      <c r="G457" s="2"/>
      <c r="H457" s="2"/>
      <c r="I457" s="2"/>
      <c r="J457" s="2"/>
      <c r="K457" s="2"/>
      <c r="L457" s="2"/>
      <c r="M457" s="2"/>
      <c r="N457" s="2"/>
      <c r="O457" s="2"/>
      <c r="P457" s="2"/>
      <c r="Q457" s="144"/>
      <c r="R457" s="144"/>
      <c r="S457" s="144"/>
      <c r="T457" s="214"/>
      <c r="U457" s="2"/>
      <c r="V457" s="2"/>
      <c r="W457" s="2"/>
      <c r="X457" s="2"/>
      <c r="Y457" s="2"/>
      <c r="Z457" s="2"/>
    </row>
    <row r="458" ht="13.5" customHeight="1">
      <c r="A458" s="2"/>
      <c r="B458" s="2"/>
      <c r="C458" s="2"/>
      <c r="D458" s="2"/>
      <c r="E458" s="2"/>
      <c r="F458" s="2"/>
      <c r="G458" s="2"/>
      <c r="H458" s="2"/>
      <c r="I458" s="2"/>
      <c r="J458" s="2"/>
      <c r="K458" s="2"/>
      <c r="L458" s="2"/>
      <c r="M458" s="2"/>
      <c r="N458" s="2"/>
      <c r="O458" s="2"/>
      <c r="P458" s="2"/>
      <c r="Q458" s="144"/>
      <c r="R458" s="144"/>
      <c r="S458" s="144"/>
      <c r="T458" s="214"/>
      <c r="U458" s="2"/>
      <c r="V458" s="2"/>
      <c r="W458" s="2"/>
      <c r="X458" s="2"/>
      <c r="Y458" s="2"/>
      <c r="Z458" s="2"/>
    </row>
    <row r="459" ht="13.5" customHeight="1">
      <c r="A459" s="2"/>
      <c r="B459" s="2"/>
      <c r="C459" s="2"/>
      <c r="D459" s="2"/>
      <c r="E459" s="2"/>
      <c r="F459" s="2"/>
      <c r="G459" s="2"/>
      <c r="H459" s="2"/>
      <c r="I459" s="2"/>
      <c r="J459" s="2"/>
      <c r="K459" s="2"/>
      <c r="L459" s="2"/>
      <c r="M459" s="2"/>
      <c r="N459" s="2"/>
      <c r="O459" s="2"/>
      <c r="P459" s="2"/>
      <c r="Q459" s="144"/>
      <c r="R459" s="144"/>
      <c r="S459" s="144"/>
      <c r="T459" s="214"/>
      <c r="U459" s="2"/>
      <c r="V459" s="2"/>
      <c r="W459" s="2"/>
      <c r="X459" s="2"/>
      <c r="Y459" s="2"/>
      <c r="Z459" s="2"/>
    </row>
    <row r="460" ht="13.5" customHeight="1">
      <c r="A460" s="2"/>
      <c r="B460" s="2"/>
      <c r="C460" s="2"/>
      <c r="D460" s="2"/>
      <c r="E460" s="2"/>
      <c r="F460" s="2"/>
      <c r="G460" s="2"/>
      <c r="H460" s="2"/>
      <c r="I460" s="2"/>
      <c r="J460" s="2"/>
      <c r="K460" s="2"/>
      <c r="L460" s="2"/>
      <c r="M460" s="2"/>
      <c r="N460" s="2"/>
      <c r="O460" s="2"/>
      <c r="P460" s="2"/>
      <c r="Q460" s="144"/>
      <c r="R460" s="144"/>
      <c r="S460" s="144"/>
      <c r="T460" s="214"/>
      <c r="U460" s="2"/>
      <c r="V460" s="2"/>
      <c r="W460" s="2"/>
      <c r="X460" s="2"/>
      <c r="Y460" s="2"/>
      <c r="Z460" s="2"/>
    </row>
    <row r="461" ht="13.5" customHeight="1">
      <c r="A461" s="2"/>
      <c r="B461" s="2"/>
      <c r="C461" s="2"/>
      <c r="D461" s="2"/>
      <c r="E461" s="2"/>
      <c r="F461" s="2"/>
      <c r="G461" s="2"/>
      <c r="H461" s="2"/>
      <c r="I461" s="2"/>
      <c r="J461" s="2"/>
      <c r="K461" s="2"/>
      <c r="L461" s="2"/>
      <c r="M461" s="2"/>
      <c r="N461" s="2"/>
      <c r="O461" s="2"/>
      <c r="P461" s="2"/>
      <c r="Q461" s="144"/>
      <c r="R461" s="144"/>
      <c r="S461" s="144"/>
      <c r="T461" s="214"/>
      <c r="U461" s="2"/>
      <c r="V461" s="2"/>
      <c r="W461" s="2"/>
      <c r="X461" s="2"/>
      <c r="Y461" s="2"/>
      <c r="Z461" s="2"/>
    </row>
    <row r="462" ht="13.5" customHeight="1">
      <c r="A462" s="2"/>
      <c r="B462" s="2"/>
      <c r="C462" s="2"/>
      <c r="D462" s="2"/>
      <c r="E462" s="2"/>
      <c r="F462" s="2"/>
      <c r="G462" s="2"/>
      <c r="H462" s="2"/>
      <c r="I462" s="2"/>
      <c r="J462" s="2"/>
      <c r="K462" s="2"/>
      <c r="L462" s="2"/>
      <c r="M462" s="2"/>
      <c r="N462" s="2"/>
      <c r="O462" s="2"/>
      <c r="P462" s="2"/>
      <c r="Q462" s="144"/>
      <c r="R462" s="144"/>
      <c r="S462" s="144"/>
      <c r="T462" s="214"/>
      <c r="U462" s="2"/>
      <c r="V462" s="2"/>
      <c r="W462" s="2"/>
      <c r="X462" s="2"/>
      <c r="Y462" s="2"/>
      <c r="Z462" s="2"/>
    </row>
    <row r="463" ht="13.5" customHeight="1">
      <c r="A463" s="2"/>
      <c r="B463" s="2"/>
      <c r="C463" s="2"/>
      <c r="D463" s="2"/>
      <c r="E463" s="2"/>
      <c r="F463" s="2"/>
      <c r="G463" s="2"/>
      <c r="H463" s="2"/>
      <c r="I463" s="2"/>
      <c r="J463" s="2"/>
      <c r="K463" s="2"/>
      <c r="L463" s="2"/>
      <c r="M463" s="2"/>
      <c r="N463" s="2"/>
      <c r="O463" s="2"/>
      <c r="P463" s="2"/>
      <c r="Q463" s="144"/>
      <c r="R463" s="144"/>
      <c r="S463" s="144"/>
      <c r="T463" s="214"/>
      <c r="U463" s="2"/>
      <c r="V463" s="2"/>
      <c r="W463" s="2"/>
      <c r="X463" s="2"/>
      <c r="Y463" s="2"/>
      <c r="Z463" s="2"/>
    </row>
    <row r="464" ht="13.5" customHeight="1">
      <c r="A464" s="2"/>
      <c r="B464" s="2"/>
      <c r="C464" s="2"/>
      <c r="D464" s="2"/>
      <c r="E464" s="2"/>
      <c r="F464" s="2"/>
      <c r="G464" s="2"/>
      <c r="H464" s="2"/>
      <c r="I464" s="2"/>
      <c r="J464" s="2"/>
      <c r="K464" s="2"/>
      <c r="L464" s="2"/>
      <c r="M464" s="2"/>
      <c r="N464" s="2"/>
      <c r="O464" s="2"/>
      <c r="P464" s="2"/>
      <c r="Q464" s="144"/>
      <c r="R464" s="144"/>
      <c r="S464" s="144"/>
      <c r="T464" s="214"/>
      <c r="U464" s="2"/>
      <c r="V464" s="2"/>
      <c r="W464" s="2"/>
      <c r="X464" s="2"/>
      <c r="Y464" s="2"/>
      <c r="Z464" s="2"/>
    </row>
    <row r="465" ht="13.5" customHeight="1">
      <c r="A465" s="2"/>
      <c r="B465" s="2"/>
      <c r="C465" s="2"/>
      <c r="D465" s="2"/>
      <c r="E465" s="2"/>
      <c r="F465" s="2"/>
      <c r="G465" s="2"/>
      <c r="H465" s="2"/>
      <c r="I465" s="2"/>
      <c r="J465" s="2"/>
      <c r="K465" s="2"/>
      <c r="L465" s="2"/>
      <c r="M465" s="2"/>
      <c r="N465" s="2"/>
      <c r="O465" s="2"/>
      <c r="P465" s="2"/>
      <c r="Q465" s="144"/>
      <c r="R465" s="144"/>
      <c r="S465" s="144"/>
      <c r="T465" s="214"/>
      <c r="U465" s="2"/>
      <c r="V465" s="2"/>
      <c r="W465" s="2"/>
      <c r="X465" s="2"/>
      <c r="Y465" s="2"/>
      <c r="Z465" s="2"/>
    </row>
    <row r="466" ht="13.5" customHeight="1">
      <c r="A466" s="2"/>
      <c r="B466" s="2"/>
      <c r="C466" s="2"/>
      <c r="D466" s="2"/>
      <c r="E466" s="2"/>
      <c r="F466" s="2"/>
      <c r="G466" s="2"/>
      <c r="H466" s="2"/>
      <c r="I466" s="2"/>
      <c r="J466" s="2"/>
      <c r="K466" s="2"/>
      <c r="L466" s="2"/>
      <c r="M466" s="2"/>
      <c r="N466" s="2"/>
      <c r="O466" s="2"/>
      <c r="P466" s="2"/>
      <c r="Q466" s="144"/>
      <c r="R466" s="144"/>
      <c r="S466" s="144"/>
      <c r="T466" s="214"/>
      <c r="U466" s="2"/>
      <c r="V466" s="2"/>
      <c r="W466" s="2"/>
      <c r="X466" s="2"/>
      <c r="Y466" s="2"/>
      <c r="Z466" s="2"/>
    </row>
    <row r="467" ht="13.5" customHeight="1">
      <c r="A467" s="2"/>
      <c r="B467" s="2"/>
      <c r="C467" s="2"/>
      <c r="D467" s="2"/>
      <c r="E467" s="2"/>
      <c r="F467" s="2"/>
      <c r="G467" s="2"/>
      <c r="H467" s="2"/>
      <c r="I467" s="2"/>
      <c r="J467" s="2"/>
      <c r="K467" s="2"/>
      <c r="L467" s="2"/>
      <c r="M467" s="2"/>
      <c r="N467" s="2"/>
      <c r="O467" s="2"/>
      <c r="P467" s="2"/>
      <c r="Q467" s="144"/>
      <c r="R467" s="144"/>
      <c r="S467" s="144"/>
      <c r="T467" s="214"/>
      <c r="U467" s="2"/>
      <c r="V467" s="2"/>
      <c r="W467" s="2"/>
      <c r="X467" s="2"/>
      <c r="Y467" s="2"/>
      <c r="Z467" s="2"/>
    </row>
    <row r="468" ht="13.5" customHeight="1">
      <c r="A468" s="2"/>
      <c r="B468" s="2"/>
      <c r="C468" s="2"/>
      <c r="D468" s="2"/>
      <c r="E468" s="2"/>
      <c r="F468" s="2"/>
      <c r="G468" s="2"/>
      <c r="H468" s="2"/>
      <c r="I468" s="2"/>
      <c r="J468" s="2"/>
      <c r="K468" s="2"/>
      <c r="L468" s="2"/>
      <c r="M468" s="2"/>
      <c r="N468" s="2"/>
      <c r="O468" s="2"/>
      <c r="P468" s="2"/>
      <c r="Q468" s="144"/>
      <c r="R468" s="144"/>
      <c r="S468" s="144"/>
      <c r="T468" s="214"/>
      <c r="U468" s="2"/>
      <c r="V468" s="2"/>
      <c r="W468" s="2"/>
      <c r="X468" s="2"/>
      <c r="Y468" s="2"/>
      <c r="Z468" s="2"/>
    </row>
    <row r="469" ht="13.5" customHeight="1">
      <c r="A469" s="2"/>
      <c r="B469" s="2"/>
      <c r="C469" s="2"/>
      <c r="D469" s="2"/>
      <c r="E469" s="2"/>
      <c r="F469" s="2"/>
      <c r="G469" s="2"/>
      <c r="H469" s="2"/>
      <c r="I469" s="2"/>
      <c r="J469" s="2"/>
      <c r="K469" s="2"/>
      <c r="L469" s="2"/>
      <c r="M469" s="2"/>
      <c r="N469" s="2"/>
      <c r="O469" s="2"/>
      <c r="P469" s="2"/>
      <c r="Q469" s="144"/>
      <c r="R469" s="144"/>
      <c r="S469" s="144"/>
      <c r="T469" s="214"/>
      <c r="U469" s="2"/>
      <c r="V469" s="2"/>
      <c r="W469" s="2"/>
      <c r="X469" s="2"/>
      <c r="Y469" s="2"/>
      <c r="Z469" s="2"/>
    </row>
    <row r="470" ht="13.5" customHeight="1">
      <c r="A470" s="2"/>
      <c r="B470" s="2"/>
      <c r="C470" s="2"/>
      <c r="D470" s="2"/>
      <c r="E470" s="2"/>
      <c r="F470" s="2"/>
      <c r="G470" s="2"/>
      <c r="H470" s="2"/>
      <c r="I470" s="2"/>
      <c r="J470" s="2"/>
      <c r="K470" s="2"/>
      <c r="L470" s="2"/>
      <c r="M470" s="2"/>
      <c r="N470" s="2"/>
      <c r="O470" s="2"/>
      <c r="P470" s="2"/>
      <c r="Q470" s="144"/>
      <c r="R470" s="144"/>
      <c r="S470" s="144"/>
      <c r="T470" s="214"/>
      <c r="U470" s="2"/>
      <c r="V470" s="2"/>
      <c r="W470" s="2"/>
      <c r="X470" s="2"/>
      <c r="Y470" s="2"/>
      <c r="Z470" s="2"/>
    </row>
    <row r="471" ht="13.5" customHeight="1">
      <c r="A471" s="2"/>
      <c r="B471" s="2"/>
      <c r="C471" s="2"/>
      <c r="D471" s="2"/>
      <c r="E471" s="2"/>
      <c r="F471" s="2"/>
      <c r="G471" s="2"/>
      <c r="H471" s="2"/>
      <c r="I471" s="2"/>
      <c r="J471" s="2"/>
      <c r="K471" s="2"/>
      <c r="L471" s="2"/>
      <c r="M471" s="2"/>
      <c r="N471" s="2"/>
      <c r="O471" s="2"/>
      <c r="P471" s="2"/>
      <c r="Q471" s="144"/>
      <c r="R471" s="144"/>
      <c r="S471" s="144"/>
      <c r="T471" s="214"/>
      <c r="U471" s="2"/>
      <c r="V471" s="2"/>
      <c r="W471" s="2"/>
      <c r="X471" s="2"/>
      <c r="Y471" s="2"/>
      <c r="Z471" s="2"/>
    </row>
    <row r="472" ht="13.5" customHeight="1">
      <c r="A472" s="2"/>
      <c r="B472" s="2"/>
      <c r="C472" s="2"/>
      <c r="D472" s="2"/>
      <c r="E472" s="2"/>
      <c r="F472" s="2"/>
      <c r="G472" s="2"/>
      <c r="H472" s="2"/>
      <c r="I472" s="2"/>
      <c r="J472" s="2"/>
      <c r="K472" s="2"/>
      <c r="L472" s="2"/>
      <c r="M472" s="2"/>
      <c r="N472" s="2"/>
      <c r="O472" s="2"/>
      <c r="P472" s="2"/>
      <c r="Q472" s="144"/>
      <c r="R472" s="144"/>
      <c r="S472" s="144"/>
      <c r="T472" s="214"/>
      <c r="U472" s="2"/>
      <c r="V472" s="2"/>
      <c r="W472" s="2"/>
      <c r="X472" s="2"/>
      <c r="Y472" s="2"/>
      <c r="Z472" s="2"/>
    </row>
    <row r="473" ht="13.5" customHeight="1">
      <c r="A473" s="2"/>
      <c r="B473" s="2"/>
      <c r="C473" s="2"/>
      <c r="D473" s="2"/>
      <c r="E473" s="2"/>
      <c r="F473" s="2"/>
      <c r="G473" s="2"/>
      <c r="H473" s="2"/>
      <c r="I473" s="2"/>
      <c r="J473" s="2"/>
      <c r="K473" s="2"/>
      <c r="L473" s="2"/>
      <c r="M473" s="2"/>
      <c r="N473" s="2"/>
      <c r="O473" s="2"/>
      <c r="P473" s="2"/>
      <c r="Q473" s="144"/>
      <c r="R473" s="144"/>
      <c r="S473" s="144"/>
      <c r="T473" s="214"/>
      <c r="U473" s="2"/>
      <c r="V473" s="2"/>
      <c r="W473" s="2"/>
      <c r="X473" s="2"/>
      <c r="Y473" s="2"/>
      <c r="Z473" s="2"/>
    </row>
    <row r="474" ht="13.5" customHeight="1">
      <c r="A474" s="2"/>
      <c r="B474" s="2"/>
      <c r="C474" s="2"/>
      <c r="D474" s="2"/>
      <c r="E474" s="2"/>
      <c r="F474" s="2"/>
      <c r="G474" s="2"/>
      <c r="H474" s="2"/>
      <c r="I474" s="2"/>
      <c r="J474" s="2"/>
      <c r="K474" s="2"/>
      <c r="L474" s="2"/>
      <c r="M474" s="2"/>
      <c r="N474" s="2"/>
      <c r="O474" s="2"/>
      <c r="P474" s="2"/>
      <c r="Q474" s="144"/>
      <c r="R474" s="144"/>
      <c r="S474" s="144"/>
      <c r="T474" s="214"/>
      <c r="U474" s="2"/>
      <c r="V474" s="2"/>
      <c r="W474" s="2"/>
      <c r="X474" s="2"/>
      <c r="Y474" s="2"/>
      <c r="Z474" s="2"/>
    </row>
    <row r="475" ht="13.5" customHeight="1">
      <c r="A475" s="2"/>
      <c r="B475" s="2"/>
      <c r="C475" s="2"/>
      <c r="D475" s="2"/>
      <c r="E475" s="2"/>
      <c r="F475" s="2"/>
      <c r="G475" s="2"/>
      <c r="H475" s="2"/>
      <c r="I475" s="2"/>
      <c r="J475" s="2"/>
      <c r="K475" s="2"/>
      <c r="L475" s="2"/>
      <c r="M475" s="2"/>
      <c r="N475" s="2"/>
      <c r="O475" s="2"/>
      <c r="P475" s="2"/>
      <c r="Q475" s="144"/>
      <c r="R475" s="144"/>
      <c r="S475" s="144"/>
      <c r="T475" s="214"/>
      <c r="U475" s="2"/>
      <c r="V475" s="2"/>
      <c r="W475" s="2"/>
      <c r="X475" s="2"/>
      <c r="Y475" s="2"/>
      <c r="Z475" s="2"/>
    </row>
    <row r="476" ht="13.5" customHeight="1">
      <c r="A476" s="2"/>
      <c r="B476" s="2"/>
      <c r="C476" s="2"/>
      <c r="D476" s="2"/>
      <c r="E476" s="2"/>
      <c r="F476" s="2"/>
      <c r="G476" s="2"/>
      <c r="H476" s="2"/>
      <c r="I476" s="2"/>
      <c r="J476" s="2"/>
      <c r="K476" s="2"/>
      <c r="L476" s="2"/>
      <c r="M476" s="2"/>
      <c r="N476" s="2"/>
      <c r="O476" s="2"/>
      <c r="P476" s="2"/>
      <c r="Q476" s="144"/>
      <c r="R476" s="144"/>
      <c r="S476" s="144"/>
      <c r="T476" s="214"/>
      <c r="U476" s="2"/>
      <c r="V476" s="2"/>
      <c r="W476" s="2"/>
      <c r="X476" s="2"/>
      <c r="Y476" s="2"/>
      <c r="Z476" s="2"/>
    </row>
    <row r="477" ht="13.5" customHeight="1">
      <c r="A477" s="2"/>
      <c r="B477" s="2"/>
      <c r="C477" s="2"/>
      <c r="D477" s="2"/>
      <c r="E477" s="2"/>
      <c r="F477" s="2"/>
      <c r="G477" s="2"/>
      <c r="H477" s="2"/>
      <c r="I477" s="2"/>
      <c r="J477" s="2"/>
      <c r="K477" s="2"/>
      <c r="L477" s="2"/>
      <c r="M477" s="2"/>
      <c r="N477" s="2"/>
      <c r="O477" s="2"/>
      <c r="P477" s="2"/>
      <c r="Q477" s="144"/>
      <c r="R477" s="144"/>
      <c r="S477" s="144"/>
      <c r="T477" s="214"/>
      <c r="U477" s="2"/>
      <c r="V477" s="2"/>
      <c r="W477" s="2"/>
      <c r="X477" s="2"/>
      <c r="Y477" s="2"/>
      <c r="Z477" s="2"/>
    </row>
    <row r="478" ht="13.5" customHeight="1">
      <c r="A478" s="2"/>
      <c r="B478" s="2"/>
      <c r="C478" s="2"/>
      <c r="D478" s="2"/>
      <c r="E478" s="2"/>
      <c r="F478" s="2"/>
      <c r="G478" s="2"/>
      <c r="H478" s="2"/>
      <c r="I478" s="2"/>
      <c r="J478" s="2"/>
      <c r="K478" s="2"/>
      <c r="L478" s="2"/>
      <c r="M478" s="2"/>
      <c r="N478" s="2"/>
      <c r="O478" s="2"/>
      <c r="P478" s="2"/>
      <c r="Q478" s="144"/>
      <c r="R478" s="144"/>
      <c r="S478" s="144"/>
      <c r="T478" s="214"/>
      <c r="U478" s="2"/>
      <c r="V478" s="2"/>
      <c r="W478" s="2"/>
      <c r="X478" s="2"/>
      <c r="Y478" s="2"/>
      <c r="Z478" s="2"/>
    </row>
    <row r="479" ht="13.5" customHeight="1">
      <c r="A479" s="2"/>
      <c r="B479" s="2"/>
      <c r="C479" s="2"/>
      <c r="D479" s="2"/>
      <c r="E479" s="2"/>
      <c r="F479" s="2"/>
      <c r="G479" s="2"/>
      <c r="H479" s="2"/>
      <c r="I479" s="2"/>
      <c r="J479" s="2"/>
      <c r="K479" s="2"/>
      <c r="L479" s="2"/>
      <c r="M479" s="2"/>
      <c r="N479" s="2"/>
      <c r="O479" s="2"/>
      <c r="P479" s="2"/>
      <c r="Q479" s="144"/>
      <c r="R479" s="144"/>
      <c r="S479" s="144"/>
      <c r="T479" s="214"/>
      <c r="U479" s="2"/>
      <c r="V479" s="2"/>
      <c r="W479" s="2"/>
      <c r="X479" s="2"/>
      <c r="Y479" s="2"/>
      <c r="Z479" s="2"/>
    </row>
    <row r="480" ht="13.5" customHeight="1">
      <c r="A480" s="2"/>
      <c r="B480" s="2"/>
      <c r="C480" s="2"/>
      <c r="D480" s="2"/>
      <c r="E480" s="2"/>
      <c r="F480" s="2"/>
      <c r="G480" s="2"/>
      <c r="H480" s="2"/>
      <c r="I480" s="2"/>
      <c r="J480" s="2"/>
      <c r="K480" s="2"/>
      <c r="L480" s="2"/>
      <c r="M480" s="2"/>
      <c r="N480" s="2"/>
      <c r="O480" s="2"/>
      <c r="P480" s="2"/>
      <c r="Q480" s="144"/>
      <c r="R480" s="144"/>
      <c r="S480" s="144"/>
      <c r="T480" s="214"/>
      <c r="U480" s="2"/>
      <c r="V480" s="2"/>
      <c r="W480" s="2"/>
      <c r="X480" s="2"/>
      <c r="Y480" s="2"/>
      <c r="Z480" s="2"/>
    </row>
    <row r="481" ht="13.5" customHeight="1">
      <c r="A481" s="2"/>
      <c r="B481" s="2"/>
      <c r="C481" s="2"/>
      <c r="D481" s="2"/>
      <c r="E481" s="2"/>
      <c r="F481" s="2"/>
      <c r="G481" s="2"/>
      <c r="H481" s="2"/>
      <c r="I481" s="2"/>
      <c r="J481" s="2"/>
      <c r="K481" s="2"/>
      <c r="L481" s="2"/>
      <c r="M481" s="2"/>
      <c r="N481" s="2"/>
      <c r="O481" s="2"/>
      <c r="P481" s="2"/>
      <c r="Q481" s="144"/>
      <c r="R481" s="144"/>
      <c r="S481" s="144"/>
      <c r="T481" s="214"/>
      <c r="U481" s="2"/>
      <c r="V481" s="2"/>
      <c r="W481" s="2"/>
      <c r="X481" s="2"/>
      <c r="Y481" s="2"/>
      <c r="Z481" s="2"/>
    </row>
    <row r="482" ht="13.5" customHeight="1">
      <c r="A482" s="2"/>
      <c r="B482" s="2"/>
      <c r="C482" s="2"/>
      <c r="D482" s="2"/>
      <c r="E482" s="2"/>
      <c r="F482" s="2"/>
      <c r="G482" s="2"/>
      <c r="H482" s="2"/>
      <c r="I482" s="2"/>
      <c r="J482" s="2"/>
      <c r="K482" s="2"/>
      <c r="L482" s="2"/>
      <c r="M482" s="2"/>
      <c r="N482" s="2"/>
      <c r="O482" s="2"/>
      <c r="P482" s="2"/>
      <c r="Q482" s="144"/>
      <c r="R482" s="144"/>
      <c r="S482" s="144"/>
      <c r="T482" s="214"/>
      <c r="U482" s="2"/>
      <c r="V482" s="2"/>
      <c r="W482" s="2"/>
      <c r="X482" s="2"/>
      <c r="Y482" s="2"/>
      <c r="Z482" s="2"/>
    </row>
    <row r="483" ht="13.5" customHeight="1">
      <c r="A483" s="2"/>
      <c r="B483" s="2"/>
      <c r="C483" s="2"/>
      <c r="D483" s="2"/>
      <c r="E483" s="2"/>
      <c r="F483" s="2"/>
      <c r="G483" s="2"/>
      <c r="H483" s="2"/>
      <c r="I483" s="2"/>
      <c r="J483" s="2"/>
      <c r="K483" s="2"/>
      <c r="L483" s="2"/>
      <c r="M483" s="2"/>
      <c r="N483" s="2"/>
      <c r="O483" s="2"/>
      <c r="P483" s="2"/>
      <c r="Q483" s="144"/>
      <c r="R483" s="144"/>
      <c r="S483" s="144"/>
      <c r="T483" s="214"/>
      <c r="U483" s="2"/>
      <c r="V483" s="2"/>
      <c r="W483" s="2"/>
      <c r="X483" s="2"/>
      <c r="Y483" s="2"/>
      <c r="Z483" s="2"/>
    </row>
    <row r="484" ht="13.5" customHeight="1">
      <c r="A484" s="2"/>
      <c r="B484" s="2"/>
      <c r="C484" s="2"/>
      <c r="D484" s="2"/>
      <c r="E484" s="2"/>
      <c r="F484" s="2"/>
      <c r="G484" s="2"/>
      <c r="H484" s="2"/>
      <c r="I484" s="2"/>
      <c r="J484" s="2"/>
      <c r="K484" s="2"/>
      <c r="L484" s="2"/>
      <c r="M484" s="2"/>
      <c r="N484" s="2"/>
      <c r="O484" s="2"/>
      <c r="P484" s="2"/>
      <c r="Q484" s="144"/>
      <c r="R484" s="144"/>
      <c r="S484" s="144"/>
      <c r="T484" s="214"/>
      <c r="U484" s="2"/>
      <c r="V484" s="2"/>
      <c r="W484" s="2"/>
      <c r="X484" s="2"/>
      <c r="Y484" s="2"/>
      <c r="Z484" s="2"/>
    </row>
    <row r="485" ht="13.5" customHeight="1">
      <c r="A485" s="2"/>
      <c r="B485" s="2"/>
      <c r="C485" s="2"/>
      <c r="D485" s="2"/>
      <c r="E485" s="2"/>
      <c r="F485" s="2"/>
      <c r="G485" s="2"/>
      <c r="H485" s="2"/>
      <c r="I485" s="2"/>
      <c r="J485" s="2"/>
      <c r="K485" s="2"/>
      <c r="L485" s="2"/>
      <c r="M485" s="2"/>
      <c r="N485" s="2"/>
      <c r="O485" s="2"/>
      <c r="P485" s="2"/>
      <c r="Q485" s="144"/>
      <c r="R485" s="144"/>
      <c r="S485" s="144"/>
      <c r="T485" s="214"/>
      <c r="U485" s="2"/>
      <c r="V485" s="2"/>
      <c r="W485" s="2"/>
      <c r="X485" s="2"/>
      <c r="Y485" s="2"/>
      <c r="Z485" s="2"/>
    </row>
    <row r="486" ht="13.5" customHeight="1">
      <c r="A486" s="2"/>
      <c r="B486" s="2"/>
      <c r="C486" s="2"/>
      <c r="D486" s="2"/>
      <c r="E486" s="2"/>
      <c r="F486" s="2"/>
      <c r="G486" s="2"/>
      <c r="H486" s="2"/>
      <c r="I486" s="2"/>
      <c r="J486" s="2"/>
      <c r="K486" s="2"/>
      <c r="L486" s="2"/>
      <c r="M486" s="2"/>
      <c r="N486" s="2"/>
      <c r="O486" s="2"/>
      <c r="P486" s="2"/>
      <c r="Q486" s="144"/>
      <c r="R486" s="144"/>
      <c r="S486" s="144"/>
      <c r="T486" s="214"/>
      <c r="U486" s="2"/>
      <c r="V486" s="2"/>
      <c r="W486" s="2"/>
      <c r="X486" s="2"/>
      <c r="Y486" s="2"/>
      <c r="Z486" s="2"/>
    </row>
    <row r="487" ht="13.5" customHeight="1">
      <c r="A487" s="2"/>
      <c r="B487" s="2"/>
      <c r="C487" s="2"/>
      <c r="D487" s="2"/>
      <c r="E487" s="2"/>
      <c r="F487" s="2"/>
      <c r="G487" s="2"/>
      <c r="H487" s="2"/>
      <c r="I487" s="2"/>
      <c r="J487" s="2"/>
      <c r="K487" s="2"/>
      <c r="L487" s="2"/>
      <c r="M487" s="2"/>
      <c r="N487" s="2"/>
      <c r="O487" s="2"/>
      <c r="P487" s="2"/>
      <c r="Q487" s="144"/>
      <c r="R487" s="144"/>
      <c r="S487" s="144"/>
      <c r="T487" s="214"/>
      <c r="U487" s="2"/>
      <c r="V487" s="2"/>
      <c r="W487" s="2"/>
      <c r="X487" s="2"/>
      <c r="Y487" s="2"/>
      <c r="Z487" s="2"/>
    </row>
    <row r="488" ht="13.5" customHeight="1">
      <c r="A488" s="2"/>
      <c r="B488" s="2"/>
      <c r="C488" s="2"/>
      <c r="D488" s="2"/>
      <c r="E488" s="2"/>
      <c r="F488" s="2"/>
      <c r="G488" s="2"/>
      <c r="H488" s="2"/>
      <c r="I488" s="2"/>
      <c r="J488" s="2"/>
      <c r="K488" s="2"/>
      <c r="L488" s="2"/>
      <c r="M488" s="2"/>
      <c r="N488" s="2"/>
      <c r="O488" s="2"/>
      <c r="P488" s="2"/>
      <c r="Q488" s="144"/>
      <c r="R488" s="144"/>
      <c r="S488" s="144"/>
      <c r="T488" s="214"/>
      <c r="U488" s="2"/>
      <c r="V488" s="2"/>
      <c r="W488" s="2"/>
      <c r="X488" s="2"/>
      <c r="Y488" s="2"/>
      <c r="Z488" s="2"/>
    </row>
    <row r="489" ht="13.5" customHeight="1">
      <c r="A489" s="2"/>
      <c r="B489" s="2"/>
      <c r="C489" s="2"/>
      <c r="D489" s="2"/>
      <c r="E489" s="2"/>
      <c r="F489" s="2"/>
      <c r="G489" s="2"/>
      <c r="H489" s="2"/>
      <c r="I489" s="2"/>
      <c r="J489" s="2"/>
      <c r="K489" s="2"/>
      <c r="L489" s="2"/>
      <c r="M489" s="2"/>
      <c r="N489" s="2"/>
      <c r="O489" s="2"/>
      <c r="P489" s="2"/>
      <c r="Q489" s="144"/>
      <c r="R489" s="144"/>
      <c r="S489" s="144"/>
      <c r="T489" s="214"/>
      <c r="U489" s="2"/>
      <c r="V489" s="2"/>
      <c r="W489" s="2"/>
      <c r="X489" s="2"/>
      <c r="Y489" s="2"/>
      <c r="Z489" s="2"/>
    </row>
    <row r="490" ht="13.5" customHeight="1">
      <c r="A490" s="2"/>
      <c r="B490" s="2"/>
      <c r="C490" s="2"/>
      <c r="D490" s="2"/>
      <c r="E490" s="2"/>
      <c r="F490" s="2"/>
      <c r="G490" s="2"/>
      <c r="H490" s="2"/>
      <c r="I490" s="2"/>
      <c r="J490" s="2"/>
      <c r="K490" s="2"/>
      <c r="L490" s="2"/>
      <c r="M490" s="2"/>
      <c r="N490" s="2"/>
      <c r="O490" s="2"/>
      <c r="P490" s="2"/>
      <c r="Q490" s="144"/>
      <c r="R490" s="144"/>
      <c r="S490" s="144"/>
      <c r="T490" s="214"/>
      <c r="U490" s="2"/>
      <c r="V490" s="2"/>
      <c r="W490" s="2"/>
      <c r="X490" s="2"/>
      <c r="Y490" s="2"/>
      <c r="Z490" s="2"/>
    </row>
    <row r="491" ht="13.5" customHeight="1">
      <c r="A491" s="2"/>
      <c r="B491" s="2"/>
      <c r="C491" s="2"/>
      <c r="D491" s="2"/>
      <c r="E491" s="2"/>
      <c r="F491" s="2"/>
      <c r="G491" s="2"/>
      <c r="H491" s="2"/>
      <c r="I491" s="2"/>
      <c r="J491" s="2"/>
      <c r="K491" s="2"/>
      <c r="L491" s="2"/>
      <c r="M491" s="2"/>
      <c r="N491" s="2"/>
      <c r="O491" s="2"/>
      <c r="P491" s="2"/>
      <c r="Q491" s="144"/>
      <c r="R491" s="144"/>
      <c r="S491" s="144"/>
      <c r="T491" s="214"/>
      <c r="U491" s="2"/>
      <c r="V491" s="2"/>
      <c r="W491" s="2"/>
      <c r="X491" s="2"/>
      <c r="Y491" s="2"/>
      <c r="Z491" s="2"/>
    </row>
    <row r="492" ht="13.5" customHeight="1">
      <c r="A492" s="2"/>
      <c r="B492" s="2"/>
      <c r="C492" s="2"/>
      <c r="D492" s="2"/>
      <c r="E492" s="2"/>
      <c r="F492" s="2"/>
      <c r="G492" s="2"/>
      <c r="H492" s="2"/>
      <c r="I492" s="2"/>
      <c r="J492" s="2"/>
      <c r="K492" s="2"/>
      <c r="L492" s="2"/>
      <c r="M492" s="2"/>
      <c r="N492" s="2"/>
      <c r="O492" s="2"/>
      <c r="P492" s="2"/>
      <c r="Q492" s="144"/>
      <c r="R492" s="144"/>
      <c r="S492" s="144"/>
      <c r="T492" s="214"/>
      <c r="U492" s="2"/>
      <c r="V492" s="2"/>
      <c r="W492" s="2"/>
      <c r="X492" s="2"/>
      <c r="Y492" s="2"/>
      <c r="Z492" s="2"/>
    </row>
    <row r="493" ht="13.5" customHeight="1">
      <c r="A493" s="2"/>
      <c r="B493" s="2"/>
      <c r="C493" s="2"/>
      <c r="D493" s="2"/>
      <c r="E493" s="2"/>
      <c r="F493" s="2"/>
      <c r="G493" s="2"/>
      <c r="H493" s="2"/>
      <c r="I493" s="2"/>
      <c r="J493" s="2"/>
      <c r="K493" s="2"/>
      <c r="L493" s="2"/>
      <c r="M493" s="2"/>
      <c r="N493" s="2"/>
      <c r="O493" s="2"/>
      <c r="P493" s="2"/>
      <c r="Q493" s="144"/>
      <c r="R493" s="144"/>
      <c r="S493" s="144"/>
      <c r="T493" s="214"/>
      <c r="U493" s="2"/>
      <c r="V493" s="2"/>
      <c r="W493" s="2"/>
      <c r="X493" s="2"/>
      <c r="Y493" s="2"/>
      <c r="Z493" s="2"/>
    </row>
    <row r="494" ht="13.5" customHeight="1">
      <c r="A494" s="2"/>
      <c r="B494" s="2"/>
      <c r="C494" s="2"/>
      <c r="D494" s="2"/>
      <c r="E494" s="2"/>
      <c r="F494" s="2"/>
      <c r="G494" s="2"/>
      <c r="H494" s="2"/>
      <c r="I494" s="2"/>
      <c r="J494" s="2"/>
      <c r="K494" s="2"/>
      <c r="L494" s="2"/>
      <c r="M494" s="2"/>
      <c r="N494" s="2"/>
      <c r="O494" s="2"/>
      <c r="P494" s="2"/>
      <c r="Q494" s="144"/>
      <c r="R494" s="144"/>
      <c r="S494" s="144"/>
      <c r="T494" s="214"/>
      <c r="U494" s="2"/>
      <c r="V494" s="2"/>
      <c r="W494" s="2"/>
      <c r="X494" s="2"/>
      <c r="Y494" s="2"/>
      <c r="Z494" s="2"/>
    </row>
    <row r="495" ht="13.5" customHeight="1">
      <c r="A495" s="2"/>
      <c r="B495" s="2"/>
      <c r="C495" s="2"/>
      <c r="D495" s="2"/>
      <c r="E495" s="2"/>
      <c r="F495" s="2"/>
      <c r="G495" s="2"/>
      <c r="H495" s="2"/>
      <c r="I495" s="2"/>
      <c r="J495" s="2"/>
      <c r="K495" s="2"/>
      <c r="L495" s="2"/>
      <c r="M495" s="2"/>
      <c r="N495" s="2"/>
      <c r="O495" s="2"/>
      <c r="P495" s="2"/>
      <c r="Q495" s="144"/>
      <c r="R495" s="144"/>
      <c r="S495" s="144"/>
      <c r="T495" s="214"/>
      <c r="U495" s="2"/>
      <c r="V495" s="2"/>
      <c r="W495" s="2"/>
      <c r="X495" s="2"/>
      <c r="Y495" s="2"/>
      <c r="Z495" s="2"/>
    </row>
    <row r="496" ht="13.5" customHeight="1">
      <c r="A496" s="2"/>
      <c r="B496" s="2"/>
      <c r="C496" s="2"/>
      <c r="D496" s="2"/>
      <c r="E496" s="2"/>
      <c r="F496" s="2"/>
      <c r="G496" s="2"/>
      <c r="H496" s="2"/>
      <c r="I496" s="2"/>
      <c r="J496" s="2"/>
      <c r="K496" s="2"/>
      <c r="L496" s="2"/>
      <c r="M496" s="2"/>
      <c r="N496" s="2"/>
      <c r="O496" s="2"/>
      <c r="P496" s="2"/>
      <c r="Q496" s="144"/>
      <c r="R496" s="144"/>
      <c r="S496" s="144"/>
      <c r="T496" s="214"/>
      <c r="U496" s="2"/>
      <c r="V496" s="2"/>
      <c r="W496" s="2"/>
      <c r="X496" s="2"/>
      <c r="Y496" s="2"/>
      <c r="Z496" s="2"/>
    </row>
    <row r="497" ht="13.5" customHeight="1">
      <c r="A497" s="2"/>
      <c r="B497" s="2"/>
      <c r="C497" s="2"/>
      <c r="D497" s="2"/>
      <c r="E497" s="2"/>
      <c r="F497" s="2"/>
      <c r="G497" s="2"/>
      <c r="H497" s="2"/>
      <c r="I497" s="2"/>
      <c r="J497" s="2"/>
      <c r="K497" s="2"/>
      <c r="L497" s="2"/>
      <c r="M497" s="2"/>
      <c r="N497" s="2"/>
      <c r="O497" s="2"/>
      <c r="P497" s="2"/>
      <c r="Q497" s="144"/>
      <c r="R497" s="144"/>
      <c r="S497" s="144"/>
      <c r="T497" s="214"/>
      <c r="U497" s="2"/>
      <c r="V497" s="2"/>
      <c r="W497" s="2"/>
      <c r="X497" s="2"/>
      <c r="Y497" s="2"/>
      <c r="Z497" s="2"/>
    </row>
    <row r="498" ht="13.5" customHeight="1">
      <c r="A498" s="2"/>
      <c r="B498" s="2"/>
      <c r="C498" s="2"/>
      <c r="D498" s="2"/>
      <c r="E498" s="2"/>
      <c r="F498" s="2"/>
      <c r="G498" s="2"/>
      <c r="H498" s="2"/>
      <c r="I498" s="2"/>
      <c r="J498" s="2"/>
      <c r="K498" s="2"/>
      <c r="L498" s="2"/>
      <c r="M498" s="2"/>
      <c r="N498" s="2"/>
      <c r="O498" s="2"/>
      <c r="P498" s="2"/>
      <c r="Q498" s="144"/>
      <c r="R498" s="144"/>
      <c r="S498" s="144"/>
      <c r="T498" s="214"/>
      <c r="U498" s="2"/>
      <c r="V498" s="2"/>
      <c r="W498" s="2"/>
      <c r="X498" s="2"/>
      <c r="Y498" s="2"/>
      <c r="Z498" s="2"/>
    </row>
    <row r="499" ht="13.5" customHeight="1">
      <c r="A499" s="2"/>
      <c r="B499" s="2"/>
      <c r="C499" s="2"/>
      <c r="D499" s="2"/>
      <c r="E499" s="2"/>
      <c r="F499" s="2"/>
      <c r="G499" s="2"/>
      <c r="H499" s="2"/>
      <c r="I499" s="2"/>
      <c r="J499" s="2"/>
      <c r="K499" s="2"/>
      <c r="L499" s="2"/>
      <c r="M499" s="2"/>
      <c r="N499" s="2"/>
      <c r="O499" s="2"/>
      <c r="P499" s="2"/>
      <c r="Q499" s="144"/>
      <c r="R499" s="144"/>
      <c r="S499" s="144"/>
      <c r="T499" s="214"/>
      <c r="U499" s="2"/>
      <c r="V499" s="2"/>
      <c r="W499" s="2"/>
      <c r="X499" s="2"/>
      <c r="Y499" s="2"/>
      <c r="Z499" s="2"/>
    </row>
    <row r="500" ht="13.5" customHeight="1">
      <c r="A500" s="2"/>
      <c r="B500" s="2"/>
      <c r="C500" s="2"/>
      <c r="D500" s="2"/>
      <c r="E500" s="2"/>
      <c r="F500" s="2"/>
      <c r="G500" s="2"/>
      <c r="H500" s="2"/>
      <c r="I500" s="2"/>
      <c r="J500" s="2"/>
      <c r="K500" s="2"/>
      <c r="L500" s="2"/>
      <c r="M500" s="2"/>
      <c r="N500" s="2"/>
      <c r="O500" s="2"/>
      <c r="P500" s="2"/>
      <c r="Q500" s="144"/>
      <c r="R500" s="144"/>
      <c r="S500" s="144"/>
      <c r="T500" s="214"/>
      <c r="U500" s="2"/>
      <c r="V500" s="2"/>
      <c r="W500" s="2"/>
      <c r="X500" s="2"/>
      <c r="Y500" s="2"/>
      <c r="Z500" s="2"/>
    </row>
    <row r="501" ht="13.5" customHeight="1">
      <c r="A501" s="2"/>
      <c r="B501" s="2"/>
      <c r="C501" s="2"/>
      <c r="D501" s="2"/>
      <c r="E501" s="2"/>
      <c r="F501" s="2"/>
      <c r="G501" s="2"/>
      <c r="H501" s="2"/>
      <c r="I501" s="2"/>
      <c r="J501" s="2"/>
      <c r="K501" s="2"/>
      <c r="L501" s="2"/>
      <c r="M501" s="2"/>
      <c r="N501" s="2"/>
      <c r="O501" s="2"/>
      <c r="P501" s="2"/>
      <c r="Q501" s="144"/>
      <c r="R501" s="144"/>
      <c r="S501" s="144"/>
      <c r="T501" s="214"/>
      <c r="U501" s="2"/>
      <c r="V501" s="2"/>
      <c r="W501" s="2"/>
      <c r="X501" s="2"/>
      <c r="Y501" s="2"/>
      <c r="Z501" s="2"/>
    </row>
    <row r="502" ht="13.5" customHeight="1">
      <c r="A502" s="2"/>
      <c r="B502" s="2"/>
      <c r="C502" s="2"/>
      <c r="D502" s="2"/>
      <c r="E502" s="2"/>
      <c r="F502" s="2"/>
      <c r="G502" s="2"/>
      <c r="H502" s="2"/>
      <c r="I502" s="2"/>
      <c r="J502" s="2"/>
      <c r="K502" s="2"/>
      <c r="L502" s="2"/>
      <c r="M502" s="2"/>
      <c r="N502" s="2"/>
      <c r="O502" s="2"/>
      <c r="P502" s="2"/>
      <c r="Q502" s="144"/>
      <c r="R502" s="144"/>
      <c r="S502" s="144"/>
      <c r="T502" s="214"/>
      <c r="U502" s="2"/>
      <c r="V502" s="2"/>
      <c r="W502" s="2"/>
      <c r="X502" s="2"/>
      <c r="Y502" s="2"/>
      <c r="Z502" s="2"/>
    </row>
    <row r="503" ht="13.5" customHeight="1">
      <c r="A503" s="2"/>
      <c r="B503" s="2"/>
      <c r="C503" s="2"/>
      <c r="D503" s="2"/>
      <c r="E503" s="2"/>
      <c r="F503" s="2"/>
      <c r="G503" s="2"/>
      <c r="H503" s="2"/>
      <c r="I503" s="2"/>
      <c r="J503" s="2"/>
      <c r="K503" s="2"/>
      <c r="L503" s="2"/>
      <c r="M503" s="2"/>
      <c r="N503" s="2"/>
      <c r="O503" s="2"/>
      <c r="P503" s="2"/>
      <c r="Q503" s="144"/>
      <c r="R503" s="144"/>
      <c r="S503" s="144"/>
      <c r="T503" s="214"/>
      <c r="U503" s="2"/>
      <c r="V503" s="2"/>
      <c r="W503" s="2"/>
      <c r="X503" s="2"/>
      <c r="Y503" s="2"/>
      <c r="Z503" s="2"/>
    </row>
    <row r="504" ht="13.5" customHeight="1">
      <c r="A504" s="2"/>
      <c r="B504" s="2"/>
      <c r="C504" s="2"/>
      <c r="D504" s="2"/>
      <c r="E504" s="2"/>
      <c r="F504" s="2"/>
      <c r="G504" s="2"/>
      <c r="H504" s="2"/>
      <c r="I504" s="2"/>
      <c r="J504" s="2"/>
      <c r="K504" s="2"/>
      <c r="L504" s="2"/>
      <c r="M504" s="2"/>
      <c r="N504" s="2"/>
      <c r="O504" s="2"/>
      <c r="P504" s="2"/>
      <c r="Q504" s="144"/>
      <c r="R504" s="144"/>
      <c r="S504" s="144"/>
      <c r="T504" s="214"/>
      <c r="U504" s="2"/>
      <c r="V504" s="2"/>
      <c r="W504" s="2"/>
      <c r="X504" s="2"/>
      <c r="Y504" s="2"/>
      <c r="Z504" s="2"/>
    </row>
    <row r="505" ht="13.5" customHeight="1">
      <c r="A505" s="2"/>
      <c r="B505" s="2"/>
      <c r="C505" s="2"/>
      <c r="D505" s="2"/>
      <c r="E505" s="2"/>
      <c r="F505" s="2"/>
      <c r="G505" s="2"/>
      <c r="H505" s="2"/>
      <c r="I505" s="2"/>
      <c r="J505" s="2"/>
      <c r="K505" s="2"/>
      <c r="L505" s="2"/>
      <c r="M505" s="2"/>
      <c r="N505" s="2"/>
      <c r="O505" s="2"/>
      <c r="P505" s="2"/>
      <c r="Q505" s="144"/>
      <c r="R505" s="144"/>
      <c r="S505" s="144"/>
      <c r="T505" s="214"/>
      <c r="U505" s="2"/>
      <c r="V505" s="2"/>
      <c r="W505" s="2"/>
      <c r="X505" s="2"/>
      <c r="Y505" s="2"/>
      <c r="Z505" s="2"/>
    </row>
    <row r="506" ht="13.5" customHeight="1">
      <c r="A506" s="2"/>
      <c r="B506" s="2"/>
      <c r="C506" s="2"/>
      <c r="D506" s="2"/>
      <c r="E506" s="2"/>
      <c r="F506" s="2"/>
      <c r="G506" s="2"/>
      <c r="H506" s="2"/>
      <c r="I506" s="2"/>
      <c r="J506" s="2"/>
      <c r="K506" s="2"/>
      <c r="L506" s="2"/>
      <c r="M506" s="2"/>
      <c r="N506" s="2"/>
      <c r="O506" s="2"/>
      <c r="P506" s="2"/>
      <c r="Q506" s="144"/>
      <c r="R506" s="144"/>
      <c r="S506" s="144"/>
      <c r="T506" s="214"/>
      <c r="U506" s="2"/>
      <c r="V506" s="2"/>
      <c r="W506" s="2"/>
      <c r="X506" s="2"/>
      <c r="Y506" s="2"/>
      <c r="Z506" s="2"/>
    </row>
    <row r="507" ht="13.5" customHeight="1">
      <c r="A507" s="2"/>
      <c r="B507" s="2"/>
      <c r="C507" s="2"/>
      <c r="D507" s="2"/>
      <c r="E507" s="2"/>
      <c r="F507" s="2"/>
      <c r="G507" s="2"/>
      <c r="H507" s="2"/>
      <c r="I507" s="2"/>
      <c r="J507" s="2"/>
      <c r="K507" s="2"/>
      <c r="L507" s="2"/>
      <c r="M507" s="2"/>
      <c r="N507" s="2"/>
      <c r="O507" s="2"/>
      <c r="P507" s="2"/>
      <c r="Q507" s="144"/>
      <c r="R507" s="144"/>
      <c r="S507" s="144"/>
      <c r="T507" s="214"/>
      <c r="U507" s="2"/>
      <c r="V507" s="2"/>
      <c r="W507" s="2"/>
      <c r="X507" s="2"/>
      <c r="Y507" s="2"/>
      <c r="Z507" s="2"/>
    </row>
    <row r="508" ht="13.5" customHeight="1">
      <c r="A508" s="2"/>
      <c r="B508" s="2"/>
      <c r="C508" s="2"/>
      <c r="D508" s="2"/>
      <c r="E508" s="2"/>
      <c r="F508" s="2"/>
      <c r="G508" s="2"/>
      <c r="H508" s="2"/>
      <c r="I508" s="2"/>
      <c r="J508" s="2"/>
      <c r="K508" s="2"/>
      <c r="L508" s="2"/>
      <c r="M508" s="2"/>
      <c r="N508" s="2"/>
      <c r="O508" s="2"/>
      <c r="P508" s="2"/>
      <c r="Q508" s="144"/>
      <c r="R508" s="144"/>
      <c r="S508" s="144"/>
      <c r="T508" s="214"/>
      <c r="U508" s="2"/>
      <c r="V508" s="2"/>
      <c r="W508" s="2"/>
      <c r="X508" s="2"/>
      <c r="Y508" s="2"/>
      <c r="Z508" s="2"/>
    </row>
    <row r="509" ht="13.5" customHeight="1">
      <c r="A509" s="2"/>
      <c r="B509" s="2"/>
      <c r="C509" s="2"/>
      <c r="D509" s="2"/>
      <c r="E509" s="2"/>
      <c r="F509" s="2"/>
      <c r="G509" s="2"/>
      <c r="H509" s="2"/>
      <c r="I509" s="2"/>
      <c r="J509" s="2"/>
      <c r="K509" s="2"/>
      <c r="L509" s="2"/>
      <c r="M509" s="2"/>
      <c r="N509" s="2"/>
      <c r="O509" s="2"/>
      <c r="P509" s="2"/>
      <c r="Q509" s="144"/>
      <c r="R509" s="144"/>
      <c r="S509" s="144"/>
      <c r="T509" s="214"/>
      <c r="U509" s="2"/>
      <c r="V509" s="2"/>
      <c r="W509" s="2"/>
      <c r="X509" s="2"/>
      <c r="Y509" s="2"/>
      <c r="Z509" s="2"/>
    </row>
    <row r="510" ht="13.5" customHeight="1">
      <c r="A510" s="2"/>
      <c r="B510" s="2"/>
      <c r="C510" s="2"/>
      <c r="D510" s="2"/>
      <c r="E510" s="2"/>
      <c r="F510" s="2"/>
      <c r="G510" s="2"/>
      <c r="H510" s="2"/>
      <c r="I510" s="2"/>
      <c r="J510" s="2"/>
      <c r="K510" s="2"/>
      <c r="L510" s="2"/>
      <c r="M510" s="2"/>
      <c r="N510" s="2"/>
      <c r="O510" s="2"/>
      <c r="P510" s="2"/>
      <c r="Q510" s="144"/>
      <c r="R510" s="144"/>
      <c r="S510" s="144"/>
      <c r="T510" s="214"/>
      <c r="U510" s="2"/>
      <c r="V510" s="2"/>
      <c r="W510" s="2"/>
      <c r="X510" s="2"/>
      <c r="Y510" s="2"/>
      <c r="Z510" s="2"/>
    </row>
    <row r="511" ht="13.5" customHeight="1">
      <c r="A511" s="2"/>
      <c r="B511" s="2"/>
      <c r="C511" s="2"/>
      <c r="D511" s="2"/>
      <c r="E511" s="2"/>
      <c r="F511" s="2"/>
      <c r="G511" s="2"/>
      <c r="H511" s="2"/>
      <c r="I511" s="2"/>
      <c r="J511" s="2"/>
      <c r="K511" s="2"/>
      <c r="L511" s="2"/>
      <c r="M511" s="2"/>
      <c r="N511" s="2"/>
      <c r="O511" s="2"/>
      <c r="P511" s="2"/>
      <c r="Q511" s="144"/>
      <c r="R511" s="144"/>
      <c r="S511" s="144"/>
      <c r="T511" s="214"/>
      <c r="U511" s="2"/>
      <c r="V511" s="2"/>
      <c r="W511" s="2"/>
      <c r="X511" s="2"/>
      <c r="Y511" s="2"/>
      <c r="Z511" s="2"/>
    </row>
    <row r="512" ht="13.5" customHeight="1">
      <c r="A512" s="2"/>
      <c r="B512" s="2"/>
      <c r="C512" s="2"/>
      <c r="D512" s="2"/>
      <c r="E512" s="2"/>
      <c r="F512" s="2"/>
      <c r="G512" s="2"/>
      <c r="H512" s="2"/>
      <c r="I512" s="2"/>
      <c r="J512" s="2"/>
      <c r="K512" s="2"/>
      <c r="L512" s="2"/>
      <c r="M512" s="2"/>
      <c r="N512" s="2"/>
      <c r="O512" s="2"/>
      <c r="P512" s="2"/>
      <c r="Q512" s="144"/>
      <c r="R512" s="144"/>
      <c r="S512" s="144"/>
      <c r="T512" s="214"/>
      <c r="U512" s="2"/>
      <c r="V512" s="2"/>
      <c r="W512" s="2"/>
      <c r="X512" s="2"/>
      <c r="Y512" s="2"/>
      <c r="Z512" s="2"/>
    </row>
    <row r="513" ht="13.5" customHeight="1">
      <c r="A513" s="2"/>
      <c r="B513" s="2"/>
      <c r="C513" s="2"/>
      <c r="D513" s="2"/>
      <c r="E513" s="2"/>
      <c r="F513" s="2"/>
      <c r="G513" s="2"/>
      <c r="H513" s="2"/>
      <c r="I513" s="2"/>
      <c r="J513" s="2"/>
      <c r="K513" s="2"/>
      <c r="L513" s="2"/>
      <c r="M513" s="2"/>
      <c r="N513" s="2"/>
      <c r="O513" s="2"/>
      <c r="P513" s="2"/>
      <c r="Q513" s="144"/>
      <c r="R513" s="144"/>
      <c r="S513" s="144"/>
      <c r="T513" s="214"/>
      <c r="U513" s="2"/>
      <c r="V513" s="2"/>
      <c r="W513" s="2"/>
      <c r="X513" s="2"/>
      <c r="Y513" s="2"/>
      <c r="Z513" s="2"/>
    </row>
    <row r="514" ht="13.5" customHeight="1">
      <c r="A514" s="2"/>
      <c r="B514" s="2"/>
      <c r="C514" s="2"/>
      <c r="D514" s="2"/>
      <c r="E514" s="2"/>
      <c r="F514" s="2"/>
      <c r="G514" s="2"/>
      <c r="H514" s="2"/>
      <c r="I514" s="2"/>
      <c r="J514" s="2"/>
      <c r="K514" s="2"/>
      <c r="L514" s="2"/>
      <c r="M514" s="2"/>
      <c r="N514" s="2"/>
      <c r="O514" s="2"/>
      <c r="P514" s="2"/>
      <c r="Q514" s="144"/>
      <c r="R514" s="144"/>
      <c r="S514" s="144"/>
      <c r="T514" s="214"/>
      <c r="U514" s="2"/>
      <c r="V514" s="2"/>
      <c r="W514" s="2"/>
      <c r="X514" s="2"/>
      <c r="Y514" s="2"/>
      <c r="Z514" s="2"/>
    </row>
    <row r="515" ht="13.5" customHeight="1">
      <c r="A515" s="2"/>
      <c r="B515" s="2"/>
      <c r="C515" s="2"/>
      <c r="D515" s="2"/>
      <c r="E515" s="2"/>
      <c r="F515" s="2"/>
      <c r="G515" s="2"/>
      <c r="H515" s="2"/>
      <c r="I515" s="2"/>
      <c r="J515" s="2"/>
      <c r="K515" s="2"/>
      <c r="L515" s="2"/>
      <c r="M515" s="2"/>
      <c r="N515" s="2"/>
      <c r="O515" s="2"/>
      <c r="P515" s="2"/>
      <c r="Q515" s="144"/>
      <c r="R515" s="144"/>
      <c r="S515" s="144"/>
      <c r="T515" s="214"/>
      <c r="U515" s="2"/>
      <c r="V515" s="2"/>
      <c r="W515" s="2"/>
      <c r="X515" s="2"/>
      <c r="Y515" s="2"/>
      <c r="Z515" s="2"/>
    </row>
    <row r="516" ht="13.5" customHeight="1">
      <c r="A516" s="2"/>
      <c r="B516" s="2"/>
      <c r="C516" s="2"/>
      <c r="D516" s="2"/>
      <c r="E516" s="2"/>
      <c r="F516" s="2"/>
      <c r="G516" s="2"/>
      <c r="H516" s="2"/>
      <c r="I516" s="2"/>
      <c r="J516" s="2"/>
      <c r="K516" s="2"/>
      <c r="L516" s="2"/>
      <c r="M516" s="2"/>
      <c r="N516" s="2"/>
      <c r="O516" s="2"/>
      <c r="P516" s="2"/>
      <c r="Q516" s="144"/>
      <c r="R516" s="144"/>
      <c r="S516" s="144"/>
      <c r="T516" s="214"/>
      <c r="U516" s="2"/>
      <c r="V516" s="2"/>
      <c r="W516" s="2"/>
      <c r="X516" s="2"/>
      <c r="Y516" s="2"/>
      <c r="Z516" s="2"/>
    </row>
    <row r="517" ht="13.5" customHeight="1">
      <c r="A517" s="2"/>
      <c r="B517" s="2"/>
      <c r="C517" s="2"/>
      <c r="D517" s="2"/>
      <c r="E517" s="2"/>
      <c r="F517" s="2"/>
      <c r="G517" s="2"/>
      <c r="H517" s="2"/>
      <c r="I517" s="2"/>
      <c r="J517" s="2"/>
      <c r="K517" s="2"/>
      <c r="L517" s="2"/>
      <c r="M517" s="2"/>
      <c r="N517" s="2"/>
      <c r="O517" s="2"/>
      <c r="P517" s="2"/>
      <c r="Q517" s="144"/>
      <c r="R517" s="144"/>
      <c r="S517" s="144"/>
      <c r="T517" s="214"/>
      <c r="U517" s="2"/>
      <c r="V517" s="2"/>
      <c r="W517" s="2"/>
      <c r="X517" s="2"/>
      <c r="Y517" s="2"/>
      <c r="Z517" s="2"/>
    </row>
    <row r="518" ht="13.5" customHeight="1">
      <c r="A518" s="2"/>
      <c r="B518" s="2"/>
      <c r="C518" s="2"/>
      <c r="D518" s="2"/>
      <c r="E518" s="2"/>
      <c r="F518" s="2"/>
      <c r="G518" s="2"/>
      <c r="H518" s="2"/>
      <c r="I518" s="2"/>
      <c r="J518" s="2"/>
      <c r="K518" s="2"/>
      <c r="L518" s="2"/>
      <c r="M518" s="2"/>
      <c r="N518" s="2"/>
      <c r="O518" s="2"/>
      <c r="P518" s="2"/>
      <c r="Q518" s="144"/>
      <c r="R518" s="144"/>
      <c r="S518" s="144"/>
      <c r="T518" s="214"/>
      <c r="U518" s="2"/>
      <c r="V518" s="2"/>
      <c r="W518" s="2"/>
      <c r="X518" s="2"/>
      <c r="Y518" s="2"/>
      <c r="Z518" s="2"/>
    </row>
    <row r="519" ht="13.5" customHeight="1">
      <c r="A519" s="2"/>
      <c r="B519" s="2"/>
      <c r="C519" s="2"/>
      <c r="D519" s="2"/>
      <c r="E519" s="2"/>
      <c r="F519" s="2"/>
      <c r="G519" s="2"/>
      <c r="H519" s="2"/>
      <c r="I519" s="2"/>
      <c r="J519" s="2"/>
      <c r="K519" s="2"/>
      <c r="L519" s="2"/>
      <c r="M519" s="2"/>
      <c r="N519" s="2"/>
      <c r="O519" s="2"/>
      <c r="P519" s="2"/>
      <c r="Q519" s="144"/>
      <c r="R519" s="144"/>
      <c r="S519" s="144"/>
      <c r="T519" s="214"/>
      <c r="U519" s="2"/>
      <c r="V519" s="2"/>
      <c r="W519" s="2"/>
      <c r="X519" s="2"/>
      <c r="Y519" s="2"/>
      <c r="Z519" s="2"/>
    </row>
    <row r="520" ht="13.5" customHeight="1">
      <c r="A520" s="2"/>
      <c r="B520" s="2"/>
      <c r="C520" s="2"/>
      <c r="D520" s="2"/>
      <c r="E520" s="2"/>
      <c r="F520" s="2"/>
      <c r="G520" s="2"/>
      <c r="H520" s="2"/>
      <c r="I520" s="2"/>
      <c r="J520" s="2"/>
      <c r="K520" s="2"/>
      <c r="L520" s="2"/>
      <c r="M520" s="2"/>
      <c r="N520" s="2"/>
      <c r="O520" s="2"/>
      <c r="P520" s="2"/>
      <c r="Q520" s="144"/>
      <c r="R520" s="144"/>
      <c r="S520" s="144"/>
      <c r="T520" s="214"/>
      <c r="U520" s="2"/>
      <c r="V520" s="2"/>
      <c r="W520" s="2"/>
      <c r="X520" s="2"/>
      <c r="Y520" s="2"/>
      <c r="Z520" s="2"/>
    </row>
    <row r="521" ht="13.5" customHeight="1">
      <c r="A521" s="2"/>
      <c r="B521" s="2"/>
      <c r="C521" s="2"/>
      <c r="D521" s="2"/>
      <c r="E521" s="2"/>
      <c r="F521" s="2"/>
      <c r="G521" s="2"/>
      <c r="H521" s="2"/>
      <c r="I521" s="2"/>
      <c r="J521" s="2"/>
      <c r="K521" s="2"/>
      <c r="L521" s="2"/>
      <c r="M521" s="2"/>
      <c r="N521" s="2"/>
      <c r="O521" s="2"/>
      <c r="P521" s="2"/>
      <c r="Q521" s="144"/>
      <c r="R521" s="144"/>
      <c r="S521" s="144"/>
      <c r="T521" s="214"/>
      <c r="U521" s="2"/>
      <c r="V521" s="2"/>
      <c r="W521" s="2"/>
      <c r="X521" s="2"/>
      <c r="Y521" s="2"/>
      <c r="Z521" s="2"/>
    </row>
    <row r="522" ht="13.5" customHeight="1">
      <c r="A522" s="2"/>
      <c r="B522" s="2"/>
      <c r="C522" s="2"/>
      <c r="D522" s="2"/>
      <c r="E522" s="2"/>
      <c r="F522" s="2"/>
      <c r="G522" s="2"/>
      <c r="H522" s="2"/>
      <c r="I522" s="2"/>
      <c r="J522" s="2"/>
      <c r="K522" s="2"/>
      <c r="L522" s="2"/>
      <c r="M522" s="2"/>
      <c r="N522" s="2"/>
      <c r="O522" s="2"/>
      <c r="P522" s="2"/>
      <c r="Q522" s="144"/>
      <c r="R522" s="144"/>
      <c r="S522" s="144"/>
      <c r="T522" s="214"/>
      <c r="U522" s="2"/>
      <c r="V522" s="2"/>
      <c r="W522" s="2"/>
      <c r="X522" s="2"/>
      <c r="Y522" s="2"/>
      <c r="Z522" s="2"/>
    </row>
    <row r="523" ht="13.5" customHeight="1">
      <c r="A523" s="2"/>
      <c r="B523" s="2"/>
      <c r="C523" s="2"/>
      <c r="D523" s="2"/>
      <c r="E523" s="2"/>
      <c r="F523" s="2"/>
      <c r="G523" s="2"/>
      <c r="H523" s="2"/>
      <c r="I523" s="2"/>
      <c r="J523" s="2"/>
      <c r="K523" s="2"/>
      <c r="L523" s="2"/>
      <c r="M523" s="2"/>
      <c r="N523" s="2"/>
      <c r="O523" s="2"/>
      <c r="P523" s="2"/>
      <c r="Q523" s="144"/>
      <c r="R523" s="144"/>
      <c r="S523" s="144"/>
      <c r="T523" s="214"/>
      <c r="U523" s="2"/>
      <c r="V523" s="2"/>
      <c r="W523" s="2"/>
      <c r="X523" s="2"/>
      <c r="Y523" s="2"/>
      <c r="Z523" s="2"/>
    </row>
    <row r="524" ht="13.5" customHeight="1">
      <c r="A524" s="2"/>
      <c r="B524" s="2"/>
      <c r="C524" s="2"/>
      <c r="D524" s="2"/>
      <c r="E524" s="2"/>
      <c r="F524" s="2"/>
      <c r="G524" s="2"/>
      <c r="H524" s="2"/>
      <c r="I524" s="2"/>
      <c r="J524" s="2"/>
      <c r="K524" s="2"/>
      <c r="L524" s="2"/>
      <c r="M524" s="2"/>
      <c r="N524" s="2"/>
      <c r="O524" s="2"/>
      <c r="P524" s="2"/>
      <c r="Q524" s="144"/>
      <c r="R524" s="144"/>
      <c r="S524" s="144"/>
      <c r="T524" s="214"/>
      <c r="U524" s="2"/>
      <c r="V524" s="2"/>
      <c r="W524" s="2"/>
      <c r="X524" s="2"/>
      <c r="Y524" s="2"/>
      <c r="Z524" s="2"/>
    </row>
    <row r="525" ht="13.5" customHeight="1">
      <c r="A525" s="2"/>
      <c r="B525" s="2"/>
      <c r="C525" s="2"/>
      <c r="D525" s="2"/>
      <c r="E525" s="2"/>
      <c r="F525" s="2"/>
      <c r="G525" s="2"/>
      <c r="H525" s="2"/>
      <c r="I525" s="2"/>
      <c r="J525" s="2"/>
      <c r="K525" s="2"/>
      <c r="L525" s="2"/>
      <c r="M525" s="2"/>
      <c r="N525" s="2"/>
      <c r="O525" s="2"/>
      <c r="P525" s="2"/>
      <c r="Q525" s="144"/>
      <c r="R525" s="144"/>
      <c r="S525" s="144"/>
      <c r="T525" s="214"/>
      <c r="U525" s="2"/>
      <c r="V525" s="2"/>
      <c r="W525" s="2"/>
      <c r="X525" s="2"/>
      <c r="Y525" s="2"/>
      <c r="Z525" s="2"/>
    </row>
    <row r="526" ht="13.5" customHeight="1">
      <c r="A526" s="2"/>
      <c r="B526" s="2"/>
      <c r="C526" s="2"/>
      <c r="D526" s="2"/>
      <c r="E526" s="2"/>
      <c r="F526" s="2"/>
      <c r="G526" s="2"/>
      <c r="H526" s="2"/>
      <c r="I526" s="2"/>
      <c r="J526" s="2"/>
      <c r="K526" s="2"/>
      <c r="L526" s="2"/>
      <c r="M526" s="2"/>
      <c r="N526" s="2"/>
      <c r="O526" s="2"/>
      <c r="P526" s="2"/>
      <c r="Q526" s="144"/>
      <c r="R526" s="144"/>
      <c r="S526" s="144"/>
      <c r="T526" s="214"/>
      <c r="U526" s="2"/>
      <c r="V526" s="2"/>
      <c r="W526" s="2"/>
      <c r="X526" s="2"/>
      <c r="Y526" s="2"/>
      <c r="Z526" s="2"/>
    </row>
    <row r="527" ht="13.5" customHeight="1">
      <c r="A527" s="2"/>
      <c r="B527" s="2"/>
      <c r="C527" s="2"/>
      <c r="D527" s="2"/>
      <c r="E527" s="2"/>
      <c r="F527" s="2"/>
      <c r="G527" s="2"/>
      <c r="H527" s="2"/>
      <c r="I527" s="2"/>
      <c r="J527" s="2"/>
      <c r="K527" s="2"/>
      <c r="L527" s="2"/>
      <c r="M527" s="2"/>
      <c r="N527" s="2"/>
      <c r="O527" s="2"/>
      <c r="P527" s="2"/>
      <c r="Q527" s="144"/>
      <c r="R527" s="144"/>
      <c r="S527" s="144"/>
      <c r="T527" s="214"/>
      <c r="U527" s="2"/>
      <c r="V527" s="2"/>
      <c r="W527" s="2"/>
      <c r="X527" s="2"/>
      <c r="Y527" s="2"/>
      <c r="Z527" s="2"/>
    </row>
    <row r="528" ht="13.5" customHeight="1">
      <c r="A528" s="2"/>
      <c r="B528" s="2"/>
      <c r="C528" s="2"/>
      <c r="D528" s="2"/>
      <c r="E528" s="2"/>
      <c r="F528" s="2"/>
      <c r="G528" s="2"/>
      <c r="H528" s="2"/>
      <c r="I528" s="2"/>
      <c r="J528" s="2"/>
      <c r="K528" s="2"/>
      <c r="L528" s="2"/>
      <c r="M528" s="2"/>
      <c r="N528" s="2"/>
      <c r="O528" s="2"/>
      <c r="P528" s="2"/>
      <c r="Q528" s="144"/>
      <c r="R528" s="144"/>
      <c r="S528" s="144"/>
      <c r="T528" s="214"/>
      <c r="U528" s="2"/>
      <c r="V528" s="2"/>
      <c r="W528" s="2"/>
      <c r="X528" s="2"/>
      <c r="Y528" s="2"/>
      <c r="Z528" s="2"/>
    </row>
    <row r="529" ht="13.5" customHeight="1">
      <c r="A529" s="2"/>
      <c r="B529" s="2"/>
      <c r="C529" s="2"/>
      <c r="D529" s="2"/>
      <c r="E529" s="2"/>
      <c r="F529" s="2"/>
      <c r="G529" s="2"/>
      <c r="H529" s="2"/>
      <c r="I529" s="2"/>
      <c r="J529" s="2"/>
      <c r="K529" s="2"/>
      <c r="L529" s="2"/>
      <c r="M529" s="2"/>
      <c r="N529" s="2"/>
      <c r="O529" s="2"/>
      <c r="P529" s="2"/>
      <c r="Q529" s="144"/>
      <c r="R529" s="144"/>
      <c r="S529" s="144"/>
      <c r="T529" s="214"/>
      <c r="U529" s="2"/>
      <c r="V529" s="2"/>
      <c r="W529" s="2"/>
      <c r="X529" s="2"/>
      <c r="Y529" s="2"/>
      <c r="Z529" s="2"/>
    </row>
    <row r="530" ht="13.5" customHeight="1">
      <c r="A530" s="2"/>
      <c r="B530" s="2"/>
      <c r="C530" s="2"/>
      <c r="D530" s="2"/>
      <c r="E530" s="2"/>
      <c r="F530" s="2"/>
      <c r="G530" s="2"/>
      <c r="H530" s="2"/>
      <c r="I530" s="2"/>
      <c r="J530" s="2"/>
      <c r="K530" s="2"/>
      <c r="L530" s="2"/>
      <c r="M530" s="2"/>
      <c r="N530" s="2"/>
      <c r="O530" s="2"/>
      <c r="P530" s="2"/>
      <c r="Q530" s="144"/>
      <c r="R530" s="144"/>
      <c r="S530" s="144"/>
      <c r="T530" s="214"/>
      <c r="U530" s="2"/>
      <c r="V530" s="2"/>
      <c r="W530" s="2"/>
      <c r="X530" s="2"/>
      <c r="Y530" s="2"/>
      <c r="Z530" s="2"/>
    </row>
    <row r="531" ht="13.5" customHeight="1">
      <c r="A531" s="2"/>
      <c r="B531" s="2"/>
      <c r="C531" s="2"/>
      <c r="D531" s="2"/>
      <c r="E531" s="2"/>
      <c r="F531" s="2"/>
      <c r="G531" s="2"/>
      <c r="H531" s="2"/>
      <c r="I531" s="2"/>
      <c r="J531" s="2"/>
      <c r="K531" s="2"/>
      <c r="L531" s="2"/>
      <c r="M531" s="2"/>
      <c r="N531" s="2"/>
      <c r="O531" s="2"/>
      <c r="P531" s="2"/>
      <c r="Q531" s="144"/>
      <c r="R531" s="144"/>
      <c r="S531" s="144"/>
      <c r="T531" s="214"/>
      <c r="U531" s="2"/>
      <c r="V531" s="2"/>
      <c r="W531" s="2"/>
      <c r="X531" s="2"/>
      <c r="Y531" s="2"/>
      <c r="Z531" s="2"/>
    </row>
    <row r="532" ht="13.5" customHeight="1">
      <c r="A532" s="2"/>
      <c r="B532" s="2"/>
      <c r="C532" s="2"/>
      <c r="D532" s="2"/>
      <c r="E532" s="2"/>
      <c r="F532" s="2"/>
      <c r="G532" s="2"/>
      <c r="H532" s="2"/>
      <c r="I532" s="2"/>
      <c r="J532" s="2"/>
      <c r="K532" s="2"/>
      <c r="L532" s="2"/>
      <c r="M532" s="2"/>
      <c r="N532" s="2"/>
      <c r="O532" s="2"/>
      <c r="P532" s="2"/>
      <c r="Q532" s="144"/>
      <c r="R532" s="144"/>
      <c r="S532" s="144"/>
      <c r="T532" s="214"/>
      <c r="U532" s="2"/>
      <c r="V532" s="2"/>
      <c r="W532" s="2"/>
      <c r="X532" s="2"/>
      <c r="Y532" s="2"/>
      <c r="Z532" s="2"/>
    </row>
    <row r="533" ht="13.5" customHeight="1">
      <c r="A533" s="2"/>
      <c r="B533" s="2"/>
      <c r="C533" s="2"/>
      <c r="D533" s="2"/>
      <c r="E533" s="2"/>
      <c r="F533" s="2"/>
      <c r="G533" s="2"/>
      <c r="H533" s="2"/>
      <c r="I533" s="2"/>
      <c r="J533" s="2"/>
      <c r="K533" s="2"/>
      <c r="L533" s="2"/>
      <c r="M533" s="2"/>
      <c r="N533" s="2"/>
      <c r="O533" s="2"/>
      <c r="P533" s="2"/>
      <c r="Q533" s="144"/>
      <c r="R533" s="144"/>
      <c r="S533" s="144"/>
      <c r="T533" s="214"/>
      <c r="U533" s="2"/>
      <c r="V533" s="2"/>
      <c r="W533" s="2"/>
      <c r="X533" s="2"/>
      <c r="Y533" s="2"/>
      <c r="Z533" s="2"/>
    </row>
    <row r="534" ht="13.5" customHeight="1">
      <c r="A534" s="2"/>
      <c r="B534" s="2"/>
      <c r="C534" s="2"/>
      <c r="D534" s="2"/>
      <c r="E534" s="2"/>
      <c r="F534" s="2"/>
      <c r="G534" s="2"/>
      <c r="H534" s="2"/>
      <c r="I534" s="2"/>
      <c r="J534" s="2"/>
      <c r="K534" s="2"/>
      <c r="L534" s="2"/>
      <c r="M534" s="2"/>
      <c r="N534" s="2"/>
      <c r="O534" s="2"/>
      <c r="P534" s="2"/>
      <c r="Q534" s="144"/>
      <c r="R534" s="144"/>
      <c r="S534" s="144"/>
      <c r="T534" s="214"/>
      <c r="U534" s="2"/>
      <c r="V534" s="2"/>
      <c r="W534" s="2"/>
      <c r="X534" s="2"/>
      <c r="Y534" s="2"/>
      <c r="Z534" s="2"/>
    </row>
    <row r="535" ht="13.5" customHeight="1">
      <c r="A535" s="2"/>
      <c r="B535" s="2"/>
      <c r="C535" s="2"/>
      <c r="D535" s="2"/>
      <c r="E535" s="2"/>
      <c r="F535" s="2"/>
      <c r="G535" s="2"/>
      <c r="H535" s="2"/>
      <c r="I535" s="2"/>
      <c r="J535" s="2"/>
      <c r="K535" s="2"/>
      <c r="L535" s="2"/>
      <c r="M535" s="2"/>
      <c r="N535" s="2"/>
      <c r="O535" s="2"/>
      <c r="P535" s="2"/>
      <c r="Q535" s="144"/>
      <c r="R535" s="144"/>
      <c r="S535" s="144"/>
      <c r="T535" s="214"/>
      <c r="U535" s="2"/>
      <c r="V535" s="2"/>
      <c r="W535" s="2"/>
      <c r="X535" s="2"/>
      <c r="Y535" s="2"/>
      <c r="Z535" s="2"/>
    </row>
    <row r="536" ht="13.5" customHeight="1">
      <c r="A536" s="2"/>
      <c r="B536" s="2"/>
      <c r="C536" s="2"/>
      <c r="D536" s="2"/>
      <c r="E536" s="2"/>
      <c r="F536" s="2"/>
      <c r="G536" s="2"/>
      <c r="H536" s="2"/>
      <c r="I536" s="2"/>
      <c r="J536" s="2"/>
      <c r="K536" s="2"/>
      <c r="L536" s="2"/>
      <c r="M536" s="2"/>
      <c r="N536" s="2"/>
      <c r="O536" s="2"/>
      <c r="P536" s="2"/>
      <c r="Q536" s="144"/>
      <c r="R536" s="144"/>
      <c r="S536" s="144"/>
      <c r="T536" s="214"/>
      <c r="U536" s="2"/>
      <c r="V536" s="2"/>
      <c r="W536" s="2"/>
      <c r="X536" s="2"/>
      <c r="Y536" s="2"/>
      <c r="Z536" s="2"/>
    </row>
    <row r="537" ht="13.5" customHeight="1">
      <c r="A537" s="2"/>
      <c r="B537" s="2"/>
      <c r="C537" s="2"/>
      <c r="D537" s="2"/>
      <c r="E537" s="2"/>
      <c r="F537" s="2"/>
      <c r="G537" s="2"/>
      <c r="H537" s="2"/>
      <c r="I537" s="2"/>
      <c r="J537" s="2"/>
      <c r="K537" s="2"/>
      <c r="L537" s="2"/>
      <c r="M537" s="2"/>
      <c r="N537" s="2"/>
      <c r="O537" s="2"/>
      <c r="P537" s="2"/>
      <c r="Q537" s="144"/>
      <c r="R537" s="144"/>
      <c r="S537" s="144"/>
      <c r="T537" s="214"/>
      <c r="U537" s="2"/>
      <c r="V537" s="2"/>
      <c r="W537" s="2"/>
      <c r="X537" s="2"/>
      <c r="Y537" s="2"/>
      <c r="Z537" s="2"/>
    </row>
    <row r="538" ht="13.5" customHeight="1">
      <c r="A538" s="2"/>
      <c r="B538" s="2"/>
      <c r="C538" s="2"/>
      <c r="D538" s="2"/>
      <c r="E538" s="2"/>
      <c r="F538" s="2"/>
      <c r="G538" s="2"/>
      <c r="H538" s="2"/>
      <c r="I538" s="2"/>
      <c r="J538" s="2"/>
      <c r="K538" s="2"/>
      <c r="L538" s="2"/>
      <c r="M538" s="2"/>
      <c r="N538" s="2"/>
      <c r="O538" s="2"/>
      <c r="P538" s="2"/>
      <c r="Q538" s="144"/>
      <c r="R538" s="144"/>
      <c r="S538" s="144"/>
      <c r="T538" s="214"/>
      <c r="U538" s="2"/>
      <c r="V538" s="2"/>
      <c r="W538" s="2"/>
      <c r="X538" s="2"/>
      <c r="Y538" s="2"/>
      <c r="Z538" s="2"/>
    </row>
    <row r="539" ht="13.5" customHeight="1">
      <c r="A539" s="2"/>
      <c r="B539" s="2"/>
      <c r="C539" s="2"/>
      <c r="D539" s="2"/>
      <c r="E539" s="2"/>
      <c r="F539" s="2"/>
      <c r="G539" s="2"/>
      <c r="H539" s="2"/>
      <c r="I539" s="2"/>
      <c r="J539" s="2"/>
      <c r="K539" s="2"/>
      <c r="L539" s="2"/>
      <c r="M539" s="2"/>
      <c r="N539" s="2"/>
      <c r="O539" s="2"/>
      <c r="P539" s="2"/>
      <c r="Q539" s="144"/>
      <c r="R539" s="144"/>
      <c r="S539" s="144"/>
      <c r="T539" s="214"/>
      <c r="U539" s="2"/>
      <c r="V539" s="2"/>
      <c r="W539" s="2"/>
      <c r="X539" s="2"/>
      <c r="Y539" s="2"/>
      <c r="Z539" s="2"/>
    </row>
    <row r="540" ht="13.5" customHeight="1">
      <c r="A540" s="2"/>
      <c r="B540" s="2"/>
      <c r="C540" s="2"/>
      <c r="D540" s="2"/>
      <c r="E540" s="2"/>
      <c r="F540" s="2"/>
      <c r="G540" s="2"/>
      <c r="H540" s="2"/>
      <c r="I540" s="2"/>
      <c r="J540" s="2"/>
      <c r="K540" s="2"/>
      <c r="L540" s="2"/>
      <c r="M540" s="2"/>
      <c r="N540" s="2"/>
      <c r="O540" s="2"/>
      <c r="P540" s="2"/>
      <c r="Q540" s="144"/>
      <c r="R540" s="144"/>
      <c r="S540" s="144"/>
      <c r="T540" s="214"/>
      <c r="U540" s="2"/>
      <c r="V540" s="2"/>
      <c r="W540" s="2"/>
      <c r="X540" s="2"/>
      <c r="Y540" s="2"/>
      <c r="Z540" s="2"/>
    </row>
    <row r="541" ht="13.5" customHeight="1">
      <c r="A541" s="2"/>
      <c r="B541" s="2"/>
      <c r="C541" s="2"/>
      <c r="D541" s="2"/>
      <c r="E541" s="2"/>
      <c r="F541" s="2"/>
      <c r="G541" s="2"/>
      <c r="H541" s="2"/>
      <c r="I541" s="2"/>
      <c r="J541" s="2"/>
      <c r="K541" s="2"/>
      <c r="L541" s="2"/>
      <c r="M541" s="2"/>
      <c r="N541" s="2"/>
      <c r="O541" s="2"/>
      <c r="P541" s="2"/>
      <c r="Q541" s="144"/>
      <c r="R541" s="144"/>
      <c r="S541" s="144"/>
      <c r="T541" s="214"/>
      <c r="U541" s="2"/>
      <c r="V541" s="2"/>
      <c r="W541" s="2"/>
      <c r="X541" s="2"/>
      <c r="Y541" s="2"/>
      <c r="Z541" s="2"/>
    </row>
    <row r="542" ht="13.5" customHeight="1">
      <c r="A542" s="2"/>
      <c r="B542" s="2"/>
      <c r="C542" s="2"/>
      <c r="D542" s="2"/>
      <c r="E542" s="2"/>
      <c r="F542" s="2"/>
      <c r="G542" s="2"/>
      <c r="H542" s="2"/>
      <c r="I542" s="2"/>
      <c r="J542" s="2"/>
      <c r="K542" s="2"/>
      <c r="L542" s="2"/>
      <c r="M542" s="2"/>
      <c r="N542" s="2"/>
      <c r="O542" s="2"/>
      <c r="P542" s="2"/>
      <c r="Q542" s="144"/>
      <c r="R542" s="144"/>
      <c r="S542" s="144"/>
      <c r="T542" s="214"/>
      <c r="U542" s="2"/>
      <c r="V542" s="2"/>
      <c r="W542" s="2"/>
      <c r="X542" s="2"/>
      <c r="Y542" s="2"/>
      <c r="Z542" s="2"/>
    </row>
    <row r="543" ht="13.5" customHeight="1">
      <c r="A543" s="2"/>
      <c r="B543" s="2"/>
      <c r="C543" s="2"/>
      <c r="D543" s="2"/>
      <c r="E543" s="2"/>
      <c r="F543" s="2"/>
      <c r="G543" s="2"/>
      <c r="H543" s="2"/>
      <c r="I543" s="2"/>
      <c r="J543" s="2"/>
      <c r="K543" s="2"/>
      <c r="L543" s="2"/>
      <c r="M543" s="2"/>
      <c r="N543" s="2"/>
      <c r="O543" s="2"/>
      <c r="P543" s="2"/>
      <c r="Q543" s="144"/>
      <c r="R543" s="144"/>
      <c r="S543" s="144"/>
      <c r="T543" s="214"/>
      <c r="U543" s="2"/>
      <c r="V543" s="2"/>
      <c r="W543" s="2"/>
      <c r="X543" s="2"/>
      <c r="Y543" s="2"/>
      <c r="Z543" s="2"/>
    </row>
    <row r="544" ht="13.5" customHeight="1">
      <c r="A544" s="2"/>
      <c r="B544" s="2"/>
      <c r="C544" s="2"/>
      <c r="D544" s="2"/>
      <c r="E544" s="2"/>
      <c r="F544" s="2"/>
      <c r="G544" s="2"/>
      <c r="H544" s="2"/>
      <c r="I544" s="2"/>
      <c r="J544" s="2"/>
      <c r="K544" s="2"/>
      <c r="L544" s="2"/>
      <c r="M544" s="2"/>
      <c r="N544" s="2"/>
      <c r="O544" s="2"/>
      <c r="P544" s="2"/>
      <c r="Q544" s="144"/>
      <c r="R544" s="144"/>
      <c r="S544" s="144"/>
      <c r="T544" s="214"/>
      <c r="U544" s="2"/>
      <c r="V544" s="2"/>
      <c r="W544" s="2"/>
      <c r="X544" s="2"/>
      <c r="Y544" s="2"/>
      <c r="Z544" s="2"/>
    </row>
    <row r="545" ht="13.5" customHeight="1">
      <c r="A545" s="2"/>
      <c r="B545" s="2"/>
      <c r="C545" s="2"/>
      <c r="D545" s="2"/>
      <c r="E545" s="2"/>
      <c r="F545" s="2"/>
      <c r="G545" s="2"/>
      <c r="H545" s="2"/>
      <c r="I545" s="2"/>
      <c r="J545" s="2"/>
      <c r="K545" s="2"/>
      <c r="L545" s="2"/>
      <c r="M545" s="2"/>
      <c r="N545" s="2"/>
      <c r="O545" s="2"/>
      <c r="P545" s="2"/>
      <c r="Q545" s="144"/>
      <c r="R545" s="144"/>
      <c r="S545" s="144"/>
      <c r="T545" s="214"/>
      <c r="U545" s="2"/>
      <c r="V545" s="2"/>
      <c r="W545" s="2"/>
      <c r="X545" s="2"/>
      <c r="Y545" s="2"/>
      <c r="Z545" s="2"/>
    </row>
    <row r="546" ht="13.5" customHeight="1">
      <c r="A546" s="2"/>
      <c r="B546" s="2"/>
      <c r="C546" s="2"/>
      <c r="D546" s="2"/>
      <c r="E546" s="2"/>
      <c r="F546" s="2"/>
      <c r="G546" s="2"/>
      <c r="H546" s="2"/>
      <c r="I546" s="2"/>
      <c r="J546" s="2"/>
      <c r="K546" s="2"/>
      <c r="L546" s="2"/>
      <c r="M546" s="2"/>
      <c r="N546" s="2"/>
      <c r="O546" s="2"/>
      <c r="P546" s="2"/>
      <c r="Q546" s="144"/>
      <c r="R546" s="144"/>
      <c r="S546" s="144"/>
      <c r="T546" s="214"/>
      <c r="U546" s="2"/>
      <c r="V546" s="2"/>
      <c r="W546" s="2"/>
      <c r="X546" s="2"/>
      <c r="Y546" s="2"/>
      <c r="Z546" s="2"/>
    </row>
    <row r="547" ht="13.5" customHeight="1">
      <c r="A547" s="2"/>
      <c r="B547" s="2"/>
      <c r="C547" s="2"/>
      <c r="D547" s="2"/>
      <c r="E547" s="2"/>
      <c r="F547" s="2"/>
      <c r="G547" s="2"/>
      <c r="H547" s="2"/>
      <c r="I547" s="2"/>
      <c r="J547" s="2"/>
      <c r="K547" s="2"/>
      <c r="L547" s="2"/>
      <c r="M547" s="2"/>
      <c r="N547" s="2"/>
      <c r="O547" s="2"/>
      <c r="P547" s="2"/>
      <c r="Q547" s="144"/>
      <c r="R547" s="144"/>
      <c r="S547" s="144"/>
      <c r="T547" s="214"/>
      <c r="U547" s="2"/>
      <c r="V547" s="2"/>
      <c r="W547" s="2"/>
      <c r="X547" s="2"/>
      <c r="Y547" s="2"/>
      <c r="Z547" s="2"/>
    </row>
    <row r="548" ht="13.5" customHeight="1">
      <c r="A548" s="2"/>
      <c r="B548" s="2"/>
      <c r="C548" s="2"/>
      <c r="D548" s="2"/>
      <c r="E548" s="2"/>
      <c r="F548" s="2"/>
      <c r="G548" s="2"/>
      <c r="H548" s="2"/>
      <c r="I548" s="2"/>
      <c r="J548" s="2"/>
      <c r="K548" s="2"/>
      <c r="L548" s="2"/>
      <c r="M548" s="2"/>
      <c r="N548" s="2"/>
      <c r="O548" s="2"/>
      <c r="P548" s="2"/>
      <c r="Q548" s="144"/>
      <c r="R548" s="144"/>
      <c r="S548" s="144"/>
      <c r="T548" s="214"/>
      <c r="U548" s="2"/>
      <c r="V548" s="2"/>
      <c r="W548" s="2"/>
      <c r="X548" s="2"/>
      <c r="Y548" s="2"/>
      <c r="Z548" s="2"/>
    </row>
    <row r="549" ht="13.5" customHeight="1">
      <c r="A549" s="2"/>
      <c r="B549" s="2"/>
      <c r="C549" s="2"/>
      <c r="D549" s="2"/>
      <c r="E549" s="2"/>
      <c r="F549" s="2"/>
      <c r="G549" s="2"/>
      <c r="H549" s="2"/>
      <c r="I549" s="2"/>
      <c r="J549" s="2"/>
      <c r="K549" s="2"/>
      <c r="L549" s="2"/>
      <c r="M549" s="2"/>
      <c r="N549" s="2"/>
      <c r="O549" s="2"/>
      <c r="P549" s="2"/>
      <c r="Q549" s="144"/>
      <c r="R549" s="144"/>
      <c r="S549" s="144"/>
      <c r="T549" s="214"/>
      <c r="U549" s="2"/>
      <c r="V549" s="2"/>
      <c r="W549" s="2"/>
      <c r="X549" s="2"/>
      <c r="Y549" s="2"/>
      <c r="Z549" s="2"/>
    </row>
    <row r="550" ht="13.5" customHeight="1">
      <c r="A550" s="2"/>
      <c r="B550" s="2"/>
      <c r="C550" s="2"/>
      <c r="D550" s="2"/>
      <c r="E550" s="2"/>
      <c r="F550" s="2"/>
      <c r="G550" s="2"/>
      <c r="H550" s="2"/>
      <c r="I550" s="2"/>
      <c r="J550" s="2"/>
      <c r="K550" s="2"/>
      <c r="L550" s="2"/>
      <c r="M550" s="2"/>
      <c r="N550" s="2"/>
      <c r="O550" s="2"/>
      <c r="P550" s="2"/>
      <c r="Q550" s="144"/>
      <c r="R550" s="144"/>
      <c r="S550" s="144"/>
      <c r="T550" s="214"/>
      <c r="U550" s="2"/>
      <c r="V550" s="2"/>
      <c r="W550" s="2"/>
      <c r="X550" s="2"/>
      <c r="Y550" s="2"/>
      <c r="Z550" s="2"/>
    </row>
    <row r="551" ht="13.5" customHeight="1">
      <c r="A551" s="2"/>
      <c r="B551" s="2"/>
      <c r="C551" s="2"/>
      <c r="D551" s="2"/>
      <c r="E551" s="2"/>
      <c r="F551" s="2"/>
      <c r="G551" s="2"/>
      <c r="H551" s="2"/>
      <c r="I551" s="2"/>
      <c r="J551" s="2"/>
      <c r="K551" s="2"/>
      <c r="L551" s="2"/>
      <c r="M551" s="2"/>
      <c r="N551" s="2"/>
      <c r="O551" s="2"/>
      <c r="P551" s="2"/>
      <c r="Q551" s="144"/>
      <c r="R551" s="144"/>
      <c r="S551" s="144"/>
      <c r="T551" s="214"/>
      <c r="U551" s="2"/>
      <c r="V551" s="2"/>
      <c r="W551" s="2"/>
      <c r="X551" s="2"/>
      <c r="Y551" s="2"/>
      <c r="Z551" s="2"/>
    </row>
    <row r="552" ht="13.5" customHeight="1">
      <c r="A552" s="2"/>
      <c r="B552" s="2"/>
      <c r="C552" s="2"/>
      <c r="D552" s="2"/>
      <c r="E552" s="2"/>
      <c r="F552" s="2"/>
      <c r="G552" s="2"/>
      <c r="H552" s="2"/>
      <c r="I552" s="2"/>
      <c r="J552" s="2"/>
      <c r="K552" s="2"/>
      <c r="L552" s="2"/>
      <c r="M552" s="2"/>
      <c r="N552" s="2"/>
      <c r="O552" s="2"/>
      <c r="P552" s="2"/>
      <c r="Q552" s="144"/>
      <c r="R552" s="144"/>
      <c r="S552" s="144"/>
      <c r="T552" s="214"/>
      <c r="U552" s="2"/>
      <c r="V552" s="2"/>
      <c r="W552" s="2"/>
      <c r="X552" s="2"/>
      <c r="Y552" s="2"/>
      <c r="Z552" s="2"/>
    </row>
    <row r="553" ht="13.5" customHeight="1">
      <c r="A553" s="2"/>
      <c r="B553" s="2"/>
      <c r="C553" s="2"/>
      <c r="D553" s="2"/>
      <c r="E553" s="2"/>
      <c r="F553" s="2"/>
      <c r="G553" s="2"/>
      <c r="H553" s="2"/>
      <c r="I553" s="2"/>
      <c r="J553" s="2"/>
      <c r="K553" s="2"/>
      <c r="L553" s="2"/>
      <c r="M553" s="2"/>
      <c r="N553" s="2"/>
      <c r="O553" s="2"/>
      <c r="P553" s="2"/>
      <c r="Q553" s="144"/>
      <c r="R553" s="144"/>
      <c r="S553" s="144"/>
      <c r="T553" s="214"/>
      <c r="U553" s="2"/>
      <c r="V553" s="2"/>
      <c r="W553" s="2"/>
      <c r="X553" s="2"/>
      <c r="Y553" s="2"/>
      <c r="Z553" s="2"/>
    </row>
    <row r="554" ht="13.5" customHeight="1">
      <c r="A554" s="2"/>
      <c r="B554" s="2"/>
      <c r="C554" s="2"/>
      <c r="D554" s="2"/>
      <c r="E554" s="2"/>
      <c r="F554" s="2"/>
      <c r="G554" s="2"/>
      <c r="H554" s="2"/>
      <c r="I554" s="2"/>
      <c r="J554" s="2"/>
      <c r="K554" s="2"/>
      <c r="L554" s="2"/>
      <c r="M554" s="2"/>
      <c r="N554" s="2"/>
      <c r="O554" s="2"/>
      <c r="P554" s="2"/>
      <c r="Q554" s="144"/>
      <c r="R554" s="144"/>
      <c r="S554" s="144"/>
      <c r="T554" s="214"/>
      <c r="U554" s="2"/>
      <c r="V554" s="2"/>
      <c r="W554" s="2"/>
      <c r="X554" s="2"/>
      <c r="Y554" s="2"/>
      <c r="Z554" s="2"/>
    </row>
    <row r="555" ht="13.5" customHeight="1">
      <c r="A555" s="2"/>
      <c r="B555" s="2"/>
      <c r="C555" s="2"/>
      <c r="D555" s="2"/>
      <c r="E555" s="2"/>
      <c r="F555" s="2"/>
      <c r="G555" s="2"/>
      <c r="H555" s="2"/>
      <c r="I555" s="2"/>
      <c r="J555" s="2"/>
      <c r="K555" s="2"/>
      <c r="L555" s="2"/>
      <c r="M555" s="2"/>
      <c r="N555" s="2"/>
      <c r="O555" s="2"/>
      <c r="P555" s="2"/>
      <c r="Q555" s="144"/>
      <c r="R555" s="144"/>
      <c r="S555" s="144"/>
      <c r="T555" s="214"/>
      <c r="U555" s="2"/>
      <c r="V555" s="2"/>
      <c r="W555" s="2"/>
      <c r="X555" s="2"/>
      <c r="Y555" s="2"/>
      <c r="Z555" s="2"/>
    </row>
    <row r="556" ht="13.5" customHeight="1">
      <c r="A556" s="2"/>
      <c r="B556" s="2"/>
      <c r="C556" s="2"/>
      <c r="D556" s="2"/>
      <c r="E556" s="2"/>
      <c r="F556" s="2"/>
      <c r="G556" s="2"/>
      <c r="H556" s="2"/>
      <c r="I556" s="2"/>
      <c r="J556" s="2"/>
      <c r="K556" s="2"/>
      <c r="L556" s="2"/>
      <c r="M556" s="2"/>
      <c r="N556" s="2"/>
      <c r="O556" s="2"/>
      <c r="P556" s="2"/>
      <c r="Q556" s="144"/>
      <c r="R556" s="144"/>
      <c r="S556" s="144"/>
      <c r="T556" s="214"/>
      <c r="U556" s="2"/>
      <c r="V556" s="2"/>
      <c r="W556" s="2"/>
      <c r="X556" s="2"/>
      <c r="Y556" s="2"/>
      <c r="Z556" s="2"/>
    </row>
    <row r="557" ht="13.5" customHeight="1">
      <c r="A557" s="2"/>
      <c r="B557" s="2"/>
      <c r="C557" s="2"/>
      <c r="D557" s="2"/>
      <c r="E557" s="2"/>
      <c r="F557" s="2"/>
      <c r="G557" s="2"/>
      <c r="H557" s="2"/>
      <c r="I557" s="2"/>
      <c r="J557" s="2"/>
      <c r="K557" s="2"/>
      <c r="L557" s="2"/>
      <c r="M557" s="2"/>
      <c r="N557" s="2"/>
      <c r="O557" s="2"/>
      <c r="P557" s="2"/>
      <c r="Q557" s="144"/>
      <c r="R557" s="144"/>
      <c r="S557" s="144"/>
      <c r="T557" s="214"/>
      <c r="U557" s="2"/>
      <c r="V557" s="2"/>
      <c r="W557" s="2"/>
      <c r="X557" s="2"/>
      <c r="Y557" s="2"/>
      <c r="Z557" s="2"/>
    </row>
    <row r="558" ht="13.5" customHeight="1">
      <c r="A558" s="2"/>
      <c r="B558" s="2"/>
      <c r="C558" s="2"/>
      <c r="D558" s="2"/>
      <c r="E558" s="2"/>
      <c r="F558" s="2"/>
      <c r="G558" s="2"/>
      <c r="H558" s="2"/>
      <c r="I558" s="2"/>
      <c r="J558" s="2"/>
      <c r="K558" s="2"/>
      <c r="L558" s="2"/>
      <c r="M558" s="2"/>
      <c r="N558" s="2"/>
      <c r="O558" s="2"/>
      <c r="P558" s="2"/>
      <c r="Q558" s="144"/>
      <c r="R558" s="144"/>
      <c r="S558" s="144"/>
      <c r="T558" s="214"/>
      <c r="U558" s="2"/>
      <c r="V558" s="2"/>
      <c r="W558" s="2"/>
      <c r="X558" s="2"/>
      <c r="Y558" s="2"/>
      <c r="Z558" s="2"/>
    </row>
    <row r="559" ht="13.5" customHeight="1">
      <c r="A559" s="2"/>
      <c r="B559" s="2"/>
      <c r="C559" s="2"/>
      <c r="D559" s="2"/>
      <c r="E559" s="2"/>
      <c r="F559" s="2"/>
      <c r="G559" s="2"/>
      <c r="H559" s="2"/>
      <c r="I559" s="2"/>
      <c r="J559" s="2"/>
      <c r="K559" s="2"/>
      <c r="L559" s="2"/>
      <c r="M559" s="2"/>
      <c r="N559" s="2"/>
      <c r="O559" s="2"/>
      <c r="P559" s="2"/>
      <c r="Q559" s="144"/>
      <c r="R559" s="144"/>
      <c r="S559" s="144"/>
      <c r="T559" s="214"/>
      <c r="U559" s="2"/>
      <c r="V559" s="2"/>
      <c r="W559" s="2"/>
      <c r="X559" s="2"/>
      <c r="Y559" s="2"/>
      <c r="Z559" s="2"/>
    </row>
    <row r="560" ht="13.5" customHeight="1">
      <c r="A560" s="2"/>
      <c r="B560" s="2"/>
      <c r="C560" s="2"/>
      <c r="D560" s="2"/>
      <c r="E560" s="2"/>
      <c r="F560" s="2"/>
      <c r="G560" s="2"/>
      <c r="H560" s="2"/>
      <c r="I560" s="2"/>
      <c r="J560" s="2"/>
      <c r="K560" s="2"/>
      <c r="L560" s="2"/>
      <c r="M560" s="2"/>
      <c r="N560" s="2"/>
      <c r="O560" s="2"/>
      <c r="P560" s="2"/>
      <c r="Q560" s="144"/>
      <c r="R560" s="144"/>
      <c r="S560" s="144"/>
      <c r="T560" s="214"/>
      <c r="U560" s="2"/>
      <c r="V560" s="2"/>
      <c r="W560" s="2"/>
      <c r="X560" s="2"/>
      <c r="Y560" s="2"/>
      <c r="Z560" s="2"/>
    </row>
    <row r="561" ht="13.5" customHeight="1">
      <c r="A561" s="2"/>
      <c r="B561" s="2"/>
      <c r="C561" s="2"/>
      <c r="D561" s="2"/>
      <c r="E561" s="2"/>
      <c r="F561" s="2"/>
      <c r="G561" s="2"/>
      <c r="H561" s="2"/>
      <c r="I561" s="2"/>
      <c r="J561" s="2"/>
      <c r="K561" s="2"/>
      <c r="L561" s="2"/>
      <c r="M561" s="2"/>
      <c r="N561" s="2"/>
      <c r="O561" s="2"/>
      <c r="P561" s="2"/>
      <c r="Q561" s="144"/>
      <c r="R561" s="144"/>
      <c r="S561" s="144"/>
      <c r="T561" s="214"/>
      <c r="U561" s="2"/>
      <c r="V561" s="2"/>
      <c r="W561" s="2"/>
      <c r="X561" s="2"/>
      <c r="Y561" s="2"/>
      <c r="Z561" s="2"/>
    </row>
    <row r="562" ht="13.5" customHeight="1">
      <c r="A562" s="2"/>
      <c r="B562" s="2"/>
      <c r="C562" s="2"/>
      <c r="D562" s="2"/>
      <c r="E562" s="2"/>
      <c r="F562" s="2"/>
      <c r="G562" s="2"/>
      <c r="H562" s="2"/>
      <c r="I562" s="2"/>
      <c r="J562" s="2"/>
      <c r="K562" s="2"/>
      <c r="L562" s="2"/>
      <c r="M562" s="2"/>
      <c r="N562" s="2"/>
      <c r="O562" s="2"/>
      <c r="P562" s="2"/>
      <c r="Q562" s="144"/>
      <c r="R562" s="144"/>
      <c r="S562" s="144"/>
      <c r="T562" s="214"/>
      <c r="U562" s="2"/>
      <c r="V562" s="2"/>
      <c r="W562" s="2"/>
      <c r="X562" s="2"/>
      <c r="Y562" s="2"/>
      <c r="Z562" s="2"/>
    </row>
    <row r="563" ht="13.5" customHeight="1">
      <c r="A563" s="2"/>
      <c r="B563" s="2"/>
      <c r="C563" s="2"/>
      <c r="D563" s="2"/>
      <c r="E563" s="2"/>
      <c r="F563" s="2"/>
      <c r="G563" s="2"/>
      <c r="H563" s="2"/>
      <c r="I563" s="2"/>
      <c r="J563" s="2"/>
      <c r="K563" s="2"/>
      <c r="L563" s="2"/>
      <c r="M563" s="2"/>
      <c r="N563" s="2"/>
      <c r="O563" s="2"/>
      <c r="P563" s="2"/>
      <c r="Q563" s="144"/>
      <c r="R563" s="144"/>
      <c r="S563" s="144"/>
      <c r="T563" s="214"/>
      <c r="U563" s="2"/>
      <c r="V563" s="2"/>
      <c r="W563" s="2"/>
      <c r="X563" s="2"/>
      <c r="Y563" s="2"/>
      <c r="Z563" s="2"/>
    </row>
    <row r="564" ht="13.5" customHeight="1">
      <c r="A564" s="2"/>
      <c r="B564" s="2"/>
      <c r="C564" s="2"/>
      <c r="D564" s="2"/>
      <c r="E564" s="2"/>
      <c r="F564" s="2"/>
      <c r="G564" s="2"/>
      <c r="H564" s="2"/>
      <c r="I564" s="2"/>
      <c r="J564" s="2"/>
      <c r="K564" s="2"/>
      <c r="L564" s="2"/>
      <c r="M564" s="2"/>
      <c r="N564" s="2"/>
      <c r="O564" s="2"/>
      <c r="P564" s="2"/>
      <c r="Q564" s="144"/>
      <c r="R564" s="144"/>
      <c r="S564" s="144"/>
      <c r="T564" s="214"/>
      <c r="U564" s="2"/>
      <c r="V564" s="2"/>
      <c r="W564" s="2"/>
      <c r="X564" s="2"/>
      <c r="Y564" s="2"/>
      <c r="Z564" s="2"/>
    </row>
    <row r="565" ht="13.5" customHeight="1">
      <c r="A565" s="2"/>
      <c r="B565" s="2"/>
      <c r="C565" s="2"/>
      <c r="D565" s="2"/>
      <c r="E565" s="2"/>
      <c r="F565" s="2"/>
      <c r="G565" s="2"/>
      <c r="H565" s="2"/>
      <c r="I565" s="2"/>
      <c r="J565" s="2"/>
      <c r="K565" s="2"/>
      <c r="L565" s="2"/>
      <c r="M565" s="2"/>
      <c r="N565" s="2"/>
      <c r="O565" s="2"/>
      <c r="P565" s="2"/>
      <c r="Q565" s="144"/>
      <c r="R565" s="144"/>
      <c r="S565" s="144"/>
      <c r="T565" s="214"/>
      <c r="U565" s="2"/>
      <c r="V565" s="2"/>
      <c r="W565" s="2"/>
      <c r="X565" s="2"/>
      <c r="Y565" s="2"/>
      <c r="Z565" s="2"/>
    </row>
    <row r="566" ht="13.5" customHeight="1">
      <c r="A566" s="2"/>
      <c r="B566" s="2"/>
      <c r="C566" s="2"/>
      <c r="D566" s="2"/>
      <c r="E566" s="2"/>
      <c r="F566" s="2"/>
      <c r="G566" s="2"/>
      <c r="H566" s="2"/>
      <c r="I566" s="2"/>
      <c r="J566" s="2"/>
      <c r="K566" s="2"/>
      <c r="L566" s="2"/>
      <c r="M566" s="2"/>
      <c r="N566" s="2"/>
      <c r="O566" s="2"/>
      <c r="P566" s="2"/>
      <c r="Q566" s="144"/>
      <c r="R566" s="144"/>
      <c r="S566" s="144"/>
      <c r="T566" s="214"/>
      <c r="U566" s="2"/>
      <c r="V566" s="2"/>
      <c r="W566" s="2"/>
      <c r="X566" s="2"/>
      <c r="Y566" s="2"/>
      <c r="Z566" s="2"/>
    </row>
    <row r="567" ht="13.5" customHeight="1">
      <c r="A567" s="2"/>
      <c r="B567" s="2"/>
      <c r="C567" s="2"/>
      <c r="D567" s="2"/>
      <c r="E567" s="2"/>
      <c r="F567" s="2"/>
      <c r="G567" s="2"/>
      <c r="H567" s="2"/>
      <c r="I567" s="2"/>
      <c r="J567" s="2"/>
      <c r="K567" s="2"/>
      <c r="L567" s="2"/>
      <c r="M567" s="2"/>
      <c r="N567" s="2"/>
      <c r="O567" s="2"/>
      <c r="P567" s="2"/>
      <c r="Q567" s="144"/>
      <c r="R567" s="144"/>
      <c r="S567" s="144"/>
      <c r="T567" s="214"/>
      <c r="U567" s="2"/>
      <c r="V567" s="2"/>
      <c r="W567" s="2"/>
      <c r="X567" s="2"/>
      <c r="Y567" s="2"/>
      <c r="Z567" s="2"/>
    </row>
    <row r="568" ht="13.5" customHeight="1">
      <c r="A568" s="2"/>
      <c r="B568" s="2"/>
      <c r="C568" s="2"/>
      <c r="D568" s="2"/>
      <c r="E568" s="2"/>
      <c r="F568" s="2"/>
      <c r="G568" s="2"/>
      <c r="H568" s="2"/>
      <c r="I568" s="2"/>
      <c r="J568" s="2"/>
      <c r="K568" s="2"/>
      <c r="L568" s="2"/>
      <c r="M568" s="2"/>
      <c r="N568" s="2"/>
      <c r="O568" s="2"/>
      <c r="P568" s="2"/>
      <c r="Q568" s="144"/>
      <c r="R568" s="144"/>
      <c r="S568" s="144"/>
      <c r="T568" s="214"/>
      <c r="U568" s="2"/>
      <c r="V568" s="2"/>
      <c r="W568" s="2"/>
      <c r="X568" s="2"/>
      <c r="Y568" s="2"/>
      <c r="Z568" s="2"/>
    </row>
    <row r="569" ht="13.5" customHeight="1">
      <c r="A569" s="2"/>
      <c r="B569" s="2"/>
      <c r="C569" s="2"/>
      <c r="D569" s="2"/>
      <c r="E569" s="2"/>
      <c r="F569" s="2"/>
      <c r="G569" s="2"/>
      <c r="H569" s="2"/>
      <c r="I569" s="2"/>
      <c r="J569" s="2"/>
      <c r="K569" s="2"/>
      <c r="L569" s="2"/>
      <c r="M569" s="2"/>
      <c r="N569" s="2"/>
      <c r="O569" s="2"/>
      <c r="P569" s="2"/>
      <c r="Q569" s="144"/>
      <c r="R569" s="144"/>
      <c r="S569" s="144"/>
      <c r="T569" s="214"/>
      <c r="U569" s="2"/>
      <c r="V569" s="2"/>
      <c r="W569" s="2"/>
      <c r="X569" s="2"/>
      <c r="Y569" s="2"/>
      <c r="Z569" s="2"/>
    </row>
    <row r="570" ht="13.5" customHeight="1">
      <c r="A570" s="2"/>
      <c r="B570" s="2"/>
      <c r="C570" s="2"/>
      <c r="D570" s="2"/>
      <c r="E570" s="2"/>
      <c r="F570" s="2"/>
      <c r="G570" s="2"/>
      <c r="H570" s="2"/>
      <c r="I570" s="2"/>
      <c r="J570" s="2"/>
      <c r="K570" s="2"/>
      <c r="L570" s="2"/>
      <c r="M570" s="2"/>
      <c r="N570" s="2"/>
      <c r="O570" s="2"/>
      <c r="P570" s="2"/>
      <c r="Q570" s="144"/>
      <c r="R570" s="144"/>
      <c r="S570" s="144"/>
      <c r="T570" s="214"/>
      <c r="U570" s="2"/>
      <c r="V570" s="2"/>
      <c r="W570" s="2"/>
      <c r="X570" s="2"/>
      <c r="Y570" s="2"/>
      <c r="Z570" s="2"/>
    </row>
    <row r="571" ht="13.5" customHeight="1">
      <c r="A571" s="2"/>
      <c r="B571" s="2"/>
      <c r="C571" s="2"/>
      <c r="D571" s="2"/>
      <c r="E571" s="2"/>
      <c r="F571" s="2"/>
      <c r="G571" s="2"/>
      <c r="H571" s="2"/>
      <c r="I571" s="2"/>
      <c r="J571" s="2"/>
      <c r="K571" s="2"/>
      <c r="L571" s="2"/>
      <c r="M571" s="2"/>
      <c r="N571" s="2"/>
      <c r="O571" s="2"/>
      <c r="P571" s="2"/>
      <c r="Q571" s="144"/>
      <c r="R571" s="144"/>
      <c r="S571" s="144"/>
      <c r="T571" s="214"/>
      <c r="U571" s="2"/>
      <c r="V571" s="2"/>
      <c r="W571" s="2"/>
      <c r="X571" s="2"/>
      <c r="Y571" s="2"/>
      <c r="Z571" s="2"/>
    </row>
    <row r="572" ht="13.5" customHeight="1">
      <c r="A572" s="2"/>
      <c r="B572" s="2"/>
      <c r="C572" s="2"/>
      <c r="D572" s="2"/>
      <c r="E572" s="2"/>
      <c r="F572" s="2"/>
      <c r="G572" s="2"/>
      <c r="H572" s="2"/>
      <c r="I572" s="2"/>
      <c r="J572" s="2"/>
      <c r="K572" s="2"/>
      <c r="L572" s="2"/>
      <c r="M572" s="2"/>
      <c r="N572" s="2"/>
      <c r="O572" s="2"/>
      <c r="P572" s="2"/>
      <c r="Q572" s="144"/>
      <c r="R572" s="144"/>
      <c r="S572" s="144"/>
      <c r="T572" s="214"/>
      <c r="U572" s="2"/>
      <c r="V572" s="2"/>
      <c r="W572" s="2"/>
      <c r="X572" s="2"/>
      <c r="Y572" s="2"/>
      <c r="Z572" s="2"/>
    </row>
    <row r="573" ht="13.5" customHeight="1">
      <c r="A573" s="2"/>
      <c r="B573" s="2"/>
      <c r="C573" s="2"/>
      <c r="D573" s="2"/>
      <c r="E573" s="2"/>
      <c r="F573" s="2"/>
      <c r="G573" s="2"/>
      <c r="H573" s="2"/>
      <c r="I573" s="2"/>
      <c r="J573" s="2"/>
      <c r="K573" s="2"/>
      <c r="L573" s="2"/>
      <c r="M573" s="2"/>
      <c r="N573" s="2"/>
      <c r="O573" s="2"/>
      <c r="P573" s="2"/>
      <c r="Q573" s="144"/>
      <c r="R573" s="144"/>
      <c r="S573" s="144"/>
      <c r="T573" s="214"/>
      <c r="U573" s="2"/>
      <c r="V573" s="2"/>
      <c r="W573" s="2"/>
      <c r="X573" s="2"/>
      <c r="Y573" s="2"/>
      <c r="Z573" s="2"/>
    </row>
    <row r="574" ht="13.5" customHeight="1">
      <c r="A574" s="2"/>
      <c r="B574" s="2"/>
      <c r="C574" s="2"/>
      <c r="D574" s="2"/>
      <c r="E574" s="2"/>
      <c r="F574" s="2"/>
      <c r="G574" s="2"/>
      <c r="H574" s="2"/>
      <c r="I574" s="2"/>
      <c r="J574" s="2"/>
      <c r="K574" s="2"/>
      <c r="L574" s="2"/>
      <c r="M574" s="2"/>
      <c r="N574" s="2"/>
      <c r="O574" s="2"/>
      <c r="P574" s="2"/>
      <c r="Q574" s="144"/>
      <c r="R574" s="144"/>
      <c r="S574" s="144"/>
      <c r="T574" s="214"/>
      <c r="U574" s="2"/>
      <c r="V574" s="2"/>
      <c r="W574" s="2"/>
      <c r="X574" s="2"/>
      <c r="Y574" s="2"/>
      <c r="Z574" s="2"/>
    </row>
    <row r="575" ht="13.5" customHeight="1">
      <c r="A575" s="2"/>
      <c r="B575" s="2"/>
      <c r="C575" s="2"/>
      <c r="D575" s="2"/>
      <c r="E575" s="2"/>
      <c r="F575" s="2"/>
      <c r="G575" s="2"/>
      <c r="H575" s="2"/>
      <c r="I575" s="2"/>
      <c r="J575" s="2"/>
      <c r="K575" s="2"/>
      <c r="L575" s="2"/>
      <c r="M575" s="2"/>
      <c r="N575" s="2"/>
      <c r="O575" s="2"/>
      <c r="P575" s="2"/>
      <c r="Q575" s="144"/>
      <c r="R575" s="144"/>
      <c r="S575" s="144"/>
      <c r="T575" s="214"/>
      <c r="U575" s="2"/>
      <c r="V575" s="2"/>
      <c r="W575" s="2"/>
      <c r="X575" s="2"/>
      <c r="Y575" s="2"/>
      <c r="Z575" s="2"/>
    </row>
    <row r="576" ht="13.5" customHeight="1">
      <c r="A576" s="2"/>
      <c r="B576" s="2"/>
      <c r="C576" s="2"/>
      <c r="D576" s="2"/>
      <c r="E576" s="2"/>
      <c r="F576" s="2"/>
      <c r="G576" s="2"/>
      <c r="H576" s="2"/>
      <c r="I576" s="2"/>
      <c r="J576" s="2"/>
      <c r="K576" s="2"/>
      <c r="L576" s="2"/>
      <c r="M576" s="2"/>
      <c r="N576" s="2"/>
      <c r="O576" s="2"/>
      <c r="P576" s="2"/>
      <c r="Q576" s="144"/>
      <c r="R576" s="144"/>
      <c r="S576" s="144"/>
      <c r="T576" s="214"/>
      <c r="U576" s="2"/>
      <c r="V576" s="2"/>
      <c r="W576" s="2"/>
      <c r="X576" s="2"/>
      <c r="Y576" s="2"/>
      <c r="Z576" s="2"/>
    </row>
    <row r="577" ht="13.5" customHeight="1">
      <c r="A577" s="2"/>
      <c r="B577" s="2"/>
      <c r="C577" s="2"/>
      <c r="D577" s="2"/>
      <c r="E577" s="2"/>
      <c r="F577" s="2"/>
      <c r="G577" s="2"/>
      <c r="H577" s="2"/>
      <c r="I577" s="2"/>
      <c r="J577" s="2"/>
      <c r="K577" s="2"/>
      <c r="L577" s="2"/>
      <c r="M577" s="2"/>
      <c r="N577" s="2"/>
      <c r="O577" s="2"/>
      <c r="P577" s="2"/>
      <c r="Q577" s="144"/>
      <c r="R577" s="144"/>
      <c r="S577" s="144"/>
      <c r="T577" s="214"/>
      <c r="U577" s="2"/>
      <c r="V577" s="2"/>
      <c r="W577" s="2"/>
      <c r="X577" s="2"/>
      <c r="Y577" s="2"/>
      <c r="Z577" s="2"/>
    </row>
    <row r="578" ht="13.5" customHeight="1">
      <c r="A578" s="2"/>
      <c r="B578" s="2"/>
      <c r="C578" s="2"/>
      <c r="D578" s="2"/>
      <c r="E578" s="2"/>
      <c r="F578" s="2"/>
      <c r="G578" s="2"/>
      <c r="H578" s="2"/>
      <c r="I578" s="2"/>
      <c r="J578" s="2"/>
      <c r="K578" s="2"/>
      <c r="L578" s="2"/>
      <c r="M578" s="2"/>
      <c r="N578" s="2"/>
      <c r="O578" s="2"/>
      <c r="P578" s="2"/>
      <c r="Q578" s="144"/>
      <c r="R578" s="144"/>
      <c r="S578" s="144"/>
      <c r="T578" s="214"/>
      <c r="U578" s="2"/>
      <c r="V578" s="2"/>
      <c r="W578" s="2"/>
      <c r="X578" s="2"/>
      <c r="Y578" s="2"/>
      <c r="Z578" s="2"/>
    </row>
    <row r="579" ht="13.5" customHeight="1">
      <c r="A579" s="2"/>
      <c r="B579" s="2"/>
      <c r="C579" s="2"/>
      <c r="D579" s="2"/>
      <c r="E579" s="2"/>
      <c r="F579" s="2"/>
      <c r="G579" s="2"/>
      <c r="H579" s="2"/>
      <c r="I579" s="2"/>
      <c r="J579" s="2"/>
      <c r="K579" s="2"/>
      <c r="L579" s="2"/>
      <c r="M579" s="2"/>
      <c r="N579" s="2"/>
      <c r="O579" s="2"/>
      <c r="P579" s="2"/>
      <c r="Q579" s="144"/>
      <c r="R579" s="144"/>
      <c r="S579" s="144"/>
      <c r="T579" s="214"/>
      <c r="U579" s="2"/>
      <c r="V579" s="2"/>
      <c r="W579" s="2"/>
      <c r="X579" s="2"/>
      <c r="Y579" s="2"/>
      <c r="Z579" s="2"/>
    </row>
    <row r="580" ht="13.5" customHeight="1">
      <c r="A580" s="2"/>
      <c r="B580" s="2"/>
      <c r="C580" s="2"/>
      <c r="D580" s="2"/>
      <c r="E580" s="2"/>
      <c r="F580" s="2"/>
      <c r="G580" s="2"/>
      <c r="H580" s="2"/>
      <c r="I580" s="2"/>
      <c r="J580" s="2"/>
      <c r="K580" s="2"/>
      <c r="L580" s="2"/>
      <c r="M580" s="2"/>
      <c r="N580" s="2"/>
      <c r="O580" s="2"/>
      <c r="P580" s="2"/>
      <c r="Q580" s="144"/>
      <c r="R580" s="144"/>
      <c r="S580" s="144"/>
      <c r="T580" s="214"/>
      <c r="U580" s="2"/>
      <c r="V580" s="2"/>
      <c r="W580" s="2"/>
      <c r="X580" s="2"/>
      <c r="Y580" s="2"/>
      <c r="Z580" s="2"/>
    </row>
    <row r="581" ht="13.5" customHeight="1">
      <c r="A581" s="2"/>
      <c r="B581" s="2"/>
      <c r="C581" s="2"/>
      <c r="D581" s="2"/>
      <c r="E581" s="2"/>
      <c r="F581" s="2"/>
      <c r="G581" s="2"/>
      <c r="H581" s="2"/>
      <c r="I581" s="2"/>
      <c r="J581" s="2"/>
      <c r="K581" s="2"/>
      <c r="L581" s="2"/>
      <c r="M581" s="2"/>
      <c r="N581" s="2"/>
      <c r="O581" s="2"/>
      <c r="P581" s="2"/>
      <c r="Q581" s="144"/>
      <c r="R581" s="144"/>
      <c r="S581" s="144"/>
      <c r="T581" s="214"/>
      <c r="U581" s="2"/>
      <c r="V581" s="2"/>
      <c r="W581" s="2"/>
      <c r="X581" s="2"/>
      <c r="Y581" s="2"/>
      <c r="Z581" s="2"/>
    </row>
    <row r="582" ht="13.5" customHeight="1">
      <c r="A582" s="2"/>
      <c r="B582" s="2"/>
      <c r="C582" s="2"/>
      <c r="D582" s="2"/>
      <c r="E582" s="2"/>
      <c r="F582" s="2"/>
      <c r="G582" s="2"/>
      <c r="H582" s="2"/>
      <c r="I582" s="2"/>
      <c r="J582" s="2"/>
      <c r="K582" s="2"/>
      <c r="L582" s="2"/>
      <c r="M582" s="2"/>
      <c r="N582" s="2"/>
      <c r="O582" s="2"/>
      <c r="P582" s="2"/>
      <c r="Q582" s="144"/>
      <c r="R582" s="144"/>
      <c r="S582" s="144"/>
      <c r="T582" s="214"/>
      <c r="U582" s="2"/>
      <c r="V582" s="2"/>
      <c r="W582" s="2"/>
      <c r="X582" s="2"/>
      <c r="Y582" s="2"/>
      <c r="Z582" s="2"/>
    </row>
    <row r="583" ht="13.5" customHeight="1">
      <c r="A583" s="2"/>
      <c r="B583" s="2"/>
      <c r="C583" s="2"/>
      <c r="D583" s="2"/>
      <c r="E583" s="2"/>
      <c r="F583" s="2"/>
      <c r="G583" s="2"/>
      <c r="H583" s="2"/>
      <c r="I583" s="2"/>
      <c r="J583" s="2"/>
      <c r="K583" s="2"/>
      <c r="L583" s="2"/>
      <c r="M583" s="2"/>
      <c r="N583" s="2"/>
      <c r="O583" s="2"/>
      <c r="P583" s="2"/>
      <c r="Q583" s="144"/>
      <c r="R583" s="144"/>
      <c r="S583" s="144"/>
      <c r="T583" s="214"/>
      <c r="U583" s="2"/>
      <c r="V583" s="2"/>
      <c r="W583" s="2"/>
      <c r="X583" s="2"/>
      <c r="Y583" s="2"/>
      <c r="Z583" s="2"/>
    </row>
    <row r="584" ht="13.5" customHeight="1">
      <c r="A584" s="2"/>
      <c r="B584" s="2"/>
      <c r="C584" s="2"/>
      <c r="D584" s="2"/>
      <c r="E584" s="2"/>
      <c r="F584" s="2"/>
      <c r="G584" s="2"/>
      <c r="H584" s="2"/>
      <c r="I584" s="2"/>
      <c r="J584" s="2"/>
      <c r="K584" s="2"/>
      <c r="L584" s="2"/>
      <c r="M584" s="2"/>
      <c r="N584" s="2"/>
      <c r="O584" s="2"/>
      <c r="P584" s="2"/>
      <c r="Q584" s="144"/>
      <c r="R584" s="144"/>
      <c r="S584" s="144"/>
      <c r="T584" s="214"/>
      <c r="U584" s="2"/>
      <c r="V584" s="2"/>
      <c r="W584" s="2"/>
      <c r="X584" s="2"/>
      <c r="Y584" s="2"/>
      <c r="Z584" s="2"/>
    </row>
    <row r="585" ht="13.5" customHeight="1">
      <c r="A585" s="2"/>
      <c r="B585" s="2"/>
      <c r="C585" s="2"/>
      <c r="D585" s="2"/>
      <c r="E585" s="2"/>
      <c r="F585" s="2"/>
      <c r="G585" s="2"/>
      <c r="H585" s="2"/>
      <c r="I585" s="2"/>
      <c r="J585" s="2"/>
      <c r="K585" s="2"/>
      <c r="L585" s="2"/>
      <c r="M585" s="2"/>
      <c r="N585" s="2"/>
      <c r="O585" s="2"/>
      <c r="P585" s="2"/>
      <c r="Q585" s="144"/>
      <c r="R585" s="144"/>
      <c r="S585" s="144"/>
      <c r="T585" s="214"/>
      <c r="U585" s="2"/>
      <c r="V585" s="2"/>
      <c r="W585" s="2"/>
      <c r="X585" s="2"/>
      <c r="Y585" s="2"/>
      <c r="Z585" s="2"/>
    </row>
    <row r="586" ht="13.5" customHeight="1">
      <c r="A586" s="2"/>
      <c r="B586" s="2"/>
      <c r="C586" s="2"/>
      <c r="D586" s="2"/>
      <c r="E586" s="2"/>
      <c r="F586" s="2"/>
      <c r="G586" s="2"/>
      <c r="H586" s="2"/>
      <c r="I586" s="2"/>
      <c r="J586" s="2"/>
      <c r="K586" s="2"/>
      <c r="L586" s="2"/>
      <c r="M586" s="2"/>
      <c r="N586" s="2"/>
      <c r="O586" s="2"/>
      <c r="P586" s="2"/>
      <c r="Q586" s="144"/>
      <c r="R586" s="144"/>
      <c r="S586" s="144"/>
      <c r="T586" s="214"/>
      <c r="U586" s="2"/>
      <c r="V586" s="2"/>
      <c r="W586" s="2"/>
      <c r="X586" s="2"/>
      <c r="Y586" s="2"/>
      <c r="Z586" s="2"/>
    </row>
    <row r="587" ht="13.5" customHeight="1">
      <c r="A587" s="2"/>
      <c r="B587" s="2"/>
      <c r="C587" s="2"/>
      <c r="D587" s="2"/>
      <c r="E587" s="2"/>
      <c r="F587" s="2"/>
      <c r="G587" s="2"/>
      <c r="H587" s="2"/>
      <c r="I587" s="2"/>
      <c r="J587" s="2"/>
      <c r="K587" s="2"/>
      <c r="L587" s="2"/>
      <c r="M587" s="2"/>
      <c r="N587" s="2"/>
      <c r="O587" s="2"/>
      <c r="P587" s="2"/>
      <c r="Q587" s="144"/>
      <c r="R587" s="144"/>
      <c r="S587" s="144"/>
      <c r="T587" s="214"/>
      <c r="U587" s="2"/>
      <c r="V587" s="2"/>
      <c r="W587" s="2"/>
      <c r="X587" s="2"/>
      <c r="Y587" s="2"/>
      <c r="Z587" s="2"/>
    </row>
    <row r="588" ht="13.5" customHeight="1">
      <c r="A588" s="2"/>
      <c r="B588" s="2"/>
      <c r="C588" s="2"/>
      <c r="D588" s="2"/>
      <c r="E588" s="2"/>
      <c r="F588" s="2"/>
      <c r="G588" s="2"/>
      <c r="H588" s="2"/>
      <c r="I588" s="2"/>
      <c r="J588" s="2"/>
      <c r="K588" s="2"/>
      <c r="L588" s="2"/>
      <c r="M588" s="2"/>
      <c r="N588" s="2"/>
      <c r="O588" s="2"/>
      <c r="P588" s="2"/>
      <c r="Q588" s="144"/>
      <c r="R588" s="144"/>
      <c r="S588" s="144"/>
      <c r="T588" s="214"/>
      <c r="U588" s="2"/>
      <c r="V588" s="2"/>
      <c r="W588" s="2"/>
      <c r="X588" s="2"/>
      <c r="Y588" s="2"/>
      <c r="Z588" s="2"/>
    </row>
    <row r="589" ht="13.5" customHeight="1">
      <c r="A589" s="2"/>
      <c r="B589" s="2"/>
      <c r="C589" s="2"/>
      <c r="D589" s="2"/>
      <c r="E589" s="2"/>
      <c r="F589" s="2"/>
      <c r="G589" s="2"/>
      <c r="H589" s="2"/>
      <c r="I589" s="2"/>
      <c r="J589" s="2"/>
      <c r="K589" s="2"/>
      <c r="L589" s="2"/>
      <c r="M589" s="2"/>
      <c r="N589" s="2"/>
      <c r="O589" s="2"/>
      <c r="P589" s="2"/>
      <c r="Q589" s="144"/>
      <c r="R589" s="144"/>
      <c r="S589" s="144"/>
      <c r="T589" s="214"/>
      <c r="U589" s="2"/>
      <c r="V589" s="2"/>
      <c r="W589" s="2"/>
      <c r="X589" s="2"/>
      <c r="Y589" s="2"/>
      <c r="Z589" s="2"/>
    </row>
    <row r="590" ht="13.5" customHeight="1">
      <c r="A590" s="2"/>
      <c r="B590" s="2"/>
      <c r="C590" s="2"/>
      <c r="D590" s="2"/>
      <c r="E590" s="2"/>
      <c r="F590" s="2"/>
      <c r="G590" s="2"/>
      <c r="H590" s="2"/>
      <c r="I590" s="2"/>
      <c r="J590" s="2"/>
      <c r="K590" s="2"/>
      <c r="L590" s="2"/>
      <c r="M590" s="2"/>
      <c r="N590" s="2"/>
      <c r="O590" s="2"/>
      <c r="P590" s="2"/>
      <c r="Q590" s="144"/>
      <c r="R590" s="144"/>
      <c r="S590" s="144"/>
      <c r="T590" s="214"/>
      <c r="U590" s="2"/>
      <c r="V590" s="2"/>
      <c r="W590" s="2"/>
      <c r="X590" s="2"/>
      <c r="Y590" s="2"/>
      <c r="Z590" s="2"/>
    </row>
    <row r="591" ht="13.5" customHeight="1">
      <c r="A591" s="2"/>
      <c r="B591" s="2"/>
      <c r="C591" s="2"/>
      <c r="D591" s="2"/>
      <c r="E591" s="2"/>
      <c r="F591" s="2"/>
      <c r="G591" s="2"/>
      <c r="H591" s="2"/>
      <c r="I591" s="2"/>
      <c r="J591" s="2"/>
      <c r="K591" s="2"/>
      <c r="L591" s="2"/>
      <c r="M591" s="2"/>
      <c r="N591" s="2"/>
      <c r="O591" s="2"/>
      <c r="P591" s="2"/>
      <c r="Q591" s="144"/>
      <c r="R591" s="144"/>
      <c r="S591" s="144"/>
      <c r="T591" s="214"/>
      <c r="U591" s="2"/>
      <c r="V591" s="2"/>
      <c r="W591" s="2"/>
      <c r="X591" s="2"/>
      <c r="Y591" s="2"/>
      <c r="Z591" s="2"/>
    </row>
    <row r="592" ht="13.5" customHeight="1">
      <c r="A592" s="2"/>
      <c r="B592" s="2"/>
      <c r="C592" s="2"/>
      <c r="D592" s="2"/>
      <c r="E592" s="2"/>
      <c r="F592" s="2"/>
      <c r="G592" s="2"/>
      <c r="H592" s="2"/>
      <c r="I592" s="2"/>
      <c r="J592" s="2"/>
      <c r="K592" s="2"/>
      <c r="L592" s="2"/>
      <c r="M592" s="2"/>
      <c r="N592" s="2"/>
      <c r="O592" s="2"/>
      <c r="P592" s="2"/>
      <c r="Q592" s="144"/>
      <c r="R592" s="144"/>
      <c r="S592" s="144"/>
      <c r="T592" s="214"/>
      <c r="U592" s="2"/>
      <c r="V592" s="2"/>
      <c r="W592" s="2"/>
      <c r="X592" s="2"/>
      <c r="Y592" s="2"/>
      <c r="Z592" s="2"/>
    </row>
    <row r="593" ht="13.5" customHeight="1">
      <c r="A593" s="2"/>
      <c r="B593" s="2"/>
      <c r="C593" s="2"/>
      <c r="D593" s="2"/>
      <c r="E593" s="2"/>
      <c r="F593" s="2"/>
      <c r="G593" s="2"/>
      <c r="H593" s="2"/>
      <c r="I593" s="2"/>
      <c r="J593" s="2"/>
      <c r="K593" s="2"/>
      <c r="L593" s="2"/>
      <c r="M593" s="2"/>
      <c r="N593" s="2"/>
      <c r="O593" s="2"/>
      <c r="P593" s="2"/>
      <c r="Q593" s="144"/>
      <c r="R593" s="144"/>
      <c r="S593" s="144"/>
      <c r="T593" s="214"/>
      <c r="U593" s="2"/>
      <c r="V593" s="2"/>
      <c r="W593" s="2"/>
      <c r="X593" s="2"/>
      <c r="Y593" s="2"/>
      <c r="Z593" s="2"/>
    </row>
    <row r="594" ht="13.5" customHeight="1">
      <c r="A594" s="2"/>
      <c r="B594" s="2"/>
      <c r="C594" s="2"/>
      <c r="D594" s="2"/>
      <c r="E594" s="2"/>
      <c r="F594" s="2"/>
      <c r="G594" s="2"/>
      <c r="H594" s="2"/>
      <c r="I594" s="2"/>
      <c r="J594" s="2"/>
      <c r="K594" s="2"/>
      <c r="L594" s="2"/>
      <c r="M594" s="2"/>
      <c r="N594" s="2"/>
      <c r="O594" s="2"/>
      <c r="P594" s="2"/>
      <c r="Q594" s="144"/>
      <c r="R594" s="144"/>
      <c r="S594" s="144"/>
      <c r="T594" s="214"/>
      <c r="U594" s="2"/>
      <c r="V594" s="2"/>
      <c r="W594" s="2"/>
      <c r="X594" s="2"/>
      <c r="Y594" s="2"/>
      <c r="Z594" s="2"/>
    </row>
    <row r="595" ht="13.5" customHeight="1">
      <c r="A595" s="2"/>
      <c r="B595" s="2"/>
      <c r="C595" s="2"/>
      <c r="D595" s="2"/>
      <c r="E595" s="2"/>
      <c r="F595" s="2"/>
      <c r="G595" s="2"/>
      <c r="H595" s="2"/>
      <c r="I595" s="2"/>
      <c r="J595" s="2"/>
      <c r="K595" s="2"/>
      <c r="L595" s="2"/>
      <c r="M595" s="2"/>
      <c r="N595" s="2"/>
      <c r="O595" s="2"/>
      <c r="P595" s="2"/>
      <c r="Q595" s="144"/>
      <c r="R595" s="144"/>
      <c r="S595" s="144"/>
      <c r="T595" s="214"/>
      <c r="U595" s="2"/>
      <c r="V595" s="2"/>
      <c r="W595" s="2"/>
      <c r="X595" s="2"/>
      <c r="Y595" s="2"/>
      <c r="Z595" s="2"/>
    </row>
    <row r="596" ht="13.5" customHeight="1">
      <c r="A596" s="2"/>
      <c r="B596" s="2"/>
      <c r="C596" s="2"/>
      <c r="D596" s="2"/>
      <c r="E596" s="2"/>
      <c r="F596" s="2"/>
      <c r="G596" s="2"/>
      <c r="H596" s="2"/>
      <c r="I596" s="2"/>
      <c r="J596" s="2"/>
      <c r="K596" s="2"/>
      <c r="L596" s="2"/>
      <c r="M596" s="2"/>
      <c r="N596" s="2"/>
      <c r="O596" s="2"/>
      <c r="P596" s="2"/>
      <c r="Q596" s="144"/>
      <c r="R596" s="144"/>
      <c r="S596" s="144"/>
      <c r="T596" s="214"/>
      <c r="U596" s="2"/>
      <c r="V596" s="2"/>
      <c r="W596" s="2"/>
      <c r="X596" s="2"/>
      <c r="Y596" s="2"/>
      <c r="Z596" s="2"/>
    </row>
    <row r="597" ht="13.5" customHeight="1">
      <c r="A597" s="2"/>
      <c r="B597" s="2"/>
      <c r="C597" s="2"/>
      <c r="D597" s="2"/>
      <c r="E597" s="2"/>
      <c r="F597" s="2"/>
      <c r="G597" s="2"/>
      <c r="H597" s="2"/>
      <c r="I597" s="2"/>
      <c r="J597" s="2"/>
      <c r="K597" s="2"/>
      <c r="L597" s="2"/>
      <c r="M597" s="2"/>
      <c r="N597" s="2"/>
      <c r="O597" s="2"/>
      <c r="P597" s="2"/>
      <c r="Q597" s="144"/>
      <c r="R597" s="144"/>
      <c r="S597" s="144"/>
      <c r="T597" s="214"/>
      <c r="U597" s="2"/>
      <c r="V597" s="2"/>
      <c r="W597" s="2"/>
      <c r="X597" s="2"/>
      <c r="Y597" s="2"/>
      <c r="Z597" s="2"/>
    </row>
    <row r="598" ht="13.5" customHeight="1">
      <c r="A598" s="2"/>
      <c r="B598" s="2"/>
      <c r="C598" s="2"/>
      <c r="D598" s="2"/>
      <c r="E598" s="2"/>
      <c r="F598" s="2"/>
      <c r="G598" s="2"/>
      <c r="H598" s="2"/>
      <c r="I598" s="2"/>
      <c r="J598" s="2"/>
      <c r="K598" s="2"/>
      <c r="L598" s="2"/>
      <c r="M598" s="2"/>
      <c r="N598" s="2"/>
      <c r="O598" s="2"/>
      <c r="P598" s="2"/>
      <c r="Q598" s="144"/>
      <c r="R598" s="144"/>
      <c r="S598" s="144"/>
      <c r="T598" s="214"/>
      <c r="U598" s="2"/>
      <c r="V598" s="2"/>
      <c r="W598" s="2"/>
      <c r="X598" s="2"/>
      <c r="Y598" s="2"/>
      <c r="Z598" s="2"/>
    </row>
    <row r="599" ht="13.5" customHeight="1">
      <c r="A599" s="2"/>
      <c r="B599" s="2"/>
      <c r="C599" s="2"/>
      <c r="D599" s="2"/>
      <c r="E599" s="2"/>
      <c r="F599" s="2"/>
      <c r="G599" s="2"/>
      <c r="H599" s="2"/>
      <c r="I599" s="2"/>
      <c r="J599" s="2"/>
      <c r="K599" s="2"/>
      <c r="L599" s="2"/>
      <c r="M599" s="2"/>
      <c r="N599" s="2"/>
      <c r="O599" s="2"/>
      <c r="P599" s="2"/>
      <c r="Q599" s="144"/>
      <c r="R599" s="144"/>
      <c r="S599" s="144"/>
      <c r="T599" s="214"/>
      <c r="U599" s="2"/>
      <c r="V599" s="2"/>
      <c r="W599" s="2"/>
      <c r="X599" s="2"/>
      <c r="Y599" s="2"/>
      <c r="Z599" s="2"/>
    </row>
    <row r="600" ht="13.5" customHeight="1">
      <c r="A600" s="2"/>
      <c r="B600" s="2"/>
      <c r="C600" s="2"/>
      <c r="D600" s="2"/>
      <c r="E600" s="2"/>
      <c r="F600" s="2"/>
      <c r="G600" s="2"/>
      <c r="H600" s="2"/>
      <c r="I600" s="2"/>
      <c r="J600" s="2"/>
      <c r="K600" s="2"/>
      <c r="L600" s="2"/>
      <c r="M600" s="2"/>
      <c r="N600" s="2"/>
      <c r="O600" s="2"/>
      <c r="P600" s="2"/>
      <c r="Q600" s="144"/>
      <c r="R600" s="144"/>
      <c r="S600" s="144"/>
      <c r="T600" s="214"/>
      <c r="U600" s="2"/>
      <c r="V600" s="2"/>
      <c r="W600" s="2"/>
      <c r="X600" s="2"/>
      <c r="Y600" s="2"/>
      <c r="Z600" s="2"/>
    </row>
    <row r="601" ht="13.5" customHeight="1">
      <c r="A601" s="2"/>
      <c r="B601" s="2"/>
      <c r="C601" s="2"/>
      <c r="D601" s="2"/>
      <c r="E601" s="2"/>
      <c r="F601" s="2"/>
      <c r="G601" s="2"/>
      <c r="H601" s="2"/>
      <c r="I601" s="2"/>
      <c r="J601" s="2"/>
      <c r="K601" s="2"/>
      <c r="L601" s="2"/>
      <c r="M601" s="2"/>
      <c r="N601" s="2"/>
      <c r="O601" s="2"/>
      <c r="P601" s="2"/>
      <c r="Q601" s="144"/>
      <c r="R601" s="144"/>
      <c r="S601" s="144"/>
      <c r="T601" s="214"/>
      <c r="U601" s="2"/>
      <c r="V601" s="2"/>
      <c r="W601" s="2"/>
      <c r="X601" s="2"/>
      <c r="Y601" s="2"/>
      <c r="Z601" s="2"/>
    </row>
    <row r="602" ht="13.5" customHeight="1">
      <c r="A602" s="2"/>
      <c r="B602" s="2"/>
      <c r="C602" s="2"/>
      <c r="D602" s="2"/>
      <c r="E602" s="2"/>
      <c r="F602" s="2"/>
      <c r="G602" s="2"/>
      <c r="H602" s="2"/>
      <c r="I602" s="2"/>
      <c r="J602" s="2"/>
      <c r="K602" s="2"/>
      <c r="L602" s="2"/>
      <c r="M602" s="2"/>
      <c r="N602" s="2"/>
      <c r="O602" s="2"/>
      <c r="P602" s="2"/>
      <c r="Q602" s="144"/>
      <c r="R602" s="144"/>
      <c r="S602" s="144"/>
      <c r="T602" s="214"/>
      <c r="U602" s="2"/>
      <c r="V602" s="2"/>
      <c r="W602" s="2"/>
      <c r="X602" s="2"/>
      <c r="Y602" s="2"/>
      <c r="Z602" s="2"/>
    </row>
    <row r="603" ht="13.5" customHeight="1">
      <c r="A603" s="2"/>
      <c r="B603" s="2"/>
      <c r="C603" s="2"/>
      <c r="D603" s="2"/>
      <c r="E603" s="2"/>
      <c r="F603" s="2"/>
      <c r="G603" s="2"/>
      <c r="H603" s="2"/>
      <c r="I603" s="2"/>
      <c r="J603" s="2"/>
      <c r="K603" s="2"/>
      <c r="L603" s="2"/>
      <c r="M603" s="2"/>
      <c r="N603" s="2"/>
      <c r="O603" s="2"/>
      <c r="P603" s="2"/>
      <c r="Q603" s="144"/>
      <c r="R603" s="144"/>
      <c r="S603" s="144"/>
      <c r="T603" s="214"/>
      <c r="U603" s="2"/>
      <c r="V603" s="2"/>
      <c r="W603" s="2"/>
      <c r="X603" s="2"/>
      <c r="Y603" s="2"/>
      <c r="Z603" s="2"/>
    </row>
    <row r="604" ht="13.5" customHeight="1">
      <c r="A604" s="2"/>
      <c r="B604" s="2"/>
      <c r="C604" s="2"/>
      <c r="D604" s="2"/>
      <c r="E604" s="2"/>
      <c r="F604" s="2"/>
      <c r="G604" s="2"/>
      <c r="H604" s="2"/>
      <c r="I604" s="2"/>
      <c r="J604" s="2"/>
      <c r="K604" s="2"/>
      <c r="L604" s="2"/>
      <c r="M604" s="2"/>
      <c r="N604" s="2"/>
      <c r="O604" s="2"/>
      <c r="P604" s="2"/>
      <c r="Q604" s="144"/>
      <c r="R604" s="144"/>
      <c r="S604" s="144"/>
      <c r="T604" s="214"/>
      <c r="U604" s="2"/>
      <c r="V604" s="2"/>
      <c r="W604" s="2"/>
      <c r="X604" s="2"/>
      <c r="Y604" s="2"/>
      <c r="Z604" s="2"/>
    </row>
    <row r="605" ht="13.5" customHeight="1">
      <c r="A605" s="2"/>
      <c r="B605" s="2"/>
      <c r="C605" s="2"/>
      <c r="D605" s="2"/>
      <c r="E605" s="2"/>
      <c r="F605" s="2"/>
      <c r="G605" s="2"/>
      <c r="H605" s="2"/>
      <c r="I605" s="2"/>
      <c r="J605" s="2"/>
      <c r="K605" s="2"/>
      <c r="L605" s="2"/>
      <c r="M605" s="2"/>
      <c r="N605" s="2"/>
      <c r="O605" s="2"/>
      <c r="P605" s="2"/>
      <c r="Q605" s="144"/>
      <c r="R605" s="144"/>
      <c r="S605" s="144"/>
      <c r="T605" s="214"/>
      <c r="U605" s="2"/>
      <c r="V605" s="2"/>
      <c r="W605" s="2"/>
      <c r="X605" s="2"/>
      <c r="Y605" s="2"/>
      <c r="Z605" s="2"/>
    </row>
    <row r="606" ht="13.5" customHeight="1">
      <c r="A606" s="2"/>
      <c r="B606" s="2"/>
      <c r="C606" s="2"/>
      <c r="D606" s="2"/>
      <c r="E606" s="2"/>
      <c r="F606" s="2"/>
      <c r="G606" s="2"/>
      <c r="H606" s="2"/>
      <c r="I606" s="2"/>
      <c r="J606" s="2"/>
      <c r="K606" s="2"/>
      <c r="L606" s="2"/>
      <c r="M606" s="2"/>
      <c r="N606" s="2"/>
      <c r="O606" s="2"/>
      <c r="P606" s="2"/>
      <c r="Q606" s="144"/>
      <c r="R606" s="144"/>
      <c r="S606" s="144"/>
      <c r="T606" s="214"/>
      <c r="U606" s="2"/>
      <c r="V606" s="2"/>
      <c r="W606" s="2"/>
      <c r="X606" s="2"/>
      <c r="Y606" s="2"/>
      <c r="Z606" s="2"/>
    </row>
    <row r="607" ht="13.5" customHeight="1">
      <c r="A607" s="2"/>
      <c r="B607" s="2"/>
      <c r="C607" s="2"/>
      <c r="D607" s="2"/>
      <c r="E607" s="2"/>
      <c r="F607" s="2"/>
      <c r="G607" s="2"/>
      <c r="H607" s="2"/>
      <c r="I607" s="2"/>
      <c r="J607" s="2"/>
      <c r="K607" s="2"/>
      <c r="L607" s="2"/>
      <c r="M607" s="2"/>
      <c r="N607" s="2"/>
      <c r="O607" s="2"/>
      <c r="P607" s="2"/>
      <c r="Q607" s="144"/>
      <c r="R607" s="144"/>
      <c r="S607" s="144"/>
      <c r="T607" s="214"/>
      <c r="U607" s="2"/>
      <c r="V607" s="2"/>
      <c r="W607" s="2"/>
      <c r="X607" s="2"/>
      <c r="Y607" s="2"/>
      <c r="Z607" s="2"/>
    </row>
    <row r="608" ht="13.5" customHeight="1">
      <c r="A608" s="2"/>
      <c r="B608" s="2"/>
      <c r="C608" s="2"/>
      <c r="D608" s="2"/>
      <c r="E608" s="2"/>
      <c r="F608" s="2"/>
      <c r="G608" s="2"/>
      <c r="H608" s="2"/>
      <c r="I608" s="2"/>
      <c r="J608" s="2"/>
      <c r="K608" s="2"/>
      <c r="L608" s="2"/>
      <c r="M608" s="2"/>
      <c r="N608" s="2"/>
      <c r="O608" s="2"/>
      <c r="P608" s="2"/>
      <c r="Q608" s="144"/>
      <c r="R608" s="144"/>
      <c r="S608" s="144"/>
      <c r="T608" s="214"/>
      <c r="U608" s="2"/>
      <c r="V608" s="2"/>
      <c r="W608" s="2"/>
      <c r="X608" s="2"/>
      <c r="Y608" s="2"/>
      <c r="Z608" s="2"/>
    </row>
    <row r="609" ht="13.5" customHeight="1">
      <c r="A609" s="2"/>
      <c r="B609" s="2"/>
      <c r="C609" s="2"/>
      <c r="D609" s="2"/>
      <c r="E609" s="2"/>
      <c r="F609" s="2"/>
      <c r="G609" s="2"/>
      <c r="H609" s="2"/>
      <c r="I609" s="2"/>
      <c r="J609" s="2"/>
      <c r="K609" s="2"/>
      <c r="L609" s="2"/>
      <c r="M609" s="2"/>
      <c r="N609" s="2"/>
      <c r="O609" s="2"/>
      <c r="P609" s="2"/>
      <c r="Q609" s="144"/>
      <c r="R609" s="144"/>
      <c r="S609" s="144"/>
      <c r="T609" s="214"/>
      <c r="U609" s="2"/>
      <c r="V609" s="2"/>
      <c r="W609" s="2"/>
      <c r="X609" s="2"/>
      <c r="Y609" s="2"/>
      <c r="Z609" s="2"/>
    </row>
    <row r="610" ht="13.5" customHeight="1">
      <c r="A610" s="2"/>
      <c r="B610" s="2"/>
      <c r="C610" s="2"/>
      <c r="D610" s="2"/>
      <c r="E610" s="2"/>
      <c r="F610" s="2"/>
      <c r="G610" s="2"/>
      <c r="H610" s="2"/>
      <c r="I610" s="2"/>
      <c r="J610" s="2"/>
      <c r="K610" s="2"/>
      <c r="L610" s="2"/>
      <c r="M610" s="2"/>
      <c r="N610" s="2"/>
      <c r="O610" s="2"/>
      <c r="P610" s="2"/>
      <c r="Q610" s="144"/>
      <c r="R610" s="144"/>
      <c r="S610" s="144"/>
      <c r="T610" s="214"/>
      <c r="U610" s="2"/>
      <c r="V610" s="2"/>
      <c r="W610" s="2"/>
      <c r="X610" s="2"/>
      <c r="Y610" s="2"/>
      <c r="Z610" s="2"/>
    </row>
    <row r="611" ht="13.5" customHeight="1">
      <c r="A611" s="2"/>
      <c r="B611" s="2"/>
      <c r="C611" s="2"/>
      <c r="D611" s="2"/>
      <c r="E611" s="2"/>
      <c r="F611" s="2"/>
      <c r="G611" s="2"/>
      <c r="H611" s="2"/>
      <c r="I611" s="2"/>
      <c r="J611" s="2"/>
      <c r="K611" s="2"/>
      <c r="L611" s="2"/>
      <c r="M611" s="2"/>
      <c r="N611" s="2"/>
      <c r="O611" s="2"/>
      <c r="P611" s="2"/>
      <c r="Q611" s="144"/>
      <c r="R611" s="144"/>
      <c r="S611" s="144"/>
      <c r="T611" s="214"/>
      <c r="U611" s="2"/>
      <c r="V611" s="2"/>
      <c r="W611" s="2"/>
      <c r="X611" s="2"/>
      <c r="Y611" s="2"/>
      <c r="Z611" s="2"/>
    </row>
    <row r="612" ht="13.5" customHeight="1">
      <c r="A612" s="2"/>
      <c r="B612" s="2"/>
      <c r="C612" s="2"/>
      <c r="D612" s="2"/>
      <c r="E612" s="2"/>
      <c r="F612" s="2"/>
      <c r="G612" s="2"/>
      <c r="H612" s="2"/>
      <c r="I612" s="2"/>
      <c r="J612" s="2"/>
      <c r="K612" s="2"/>
      <c r="L612" s="2"/>
      <c r="M612" s="2"/>
      <c r="N612" s="2"/>
      <c r="O612" s="2"/>
      <c r="P612" s="2"/>
      <c r="Q612" s="144"/>
      <c r="R612" s="144"/>
      <c r="S612" s="144"/>
      <c r="T612" s="214"/>
      <c r="U612" s="2"/>
      <c r="V612" s="2"/>
      <c r="W612" s="2"/>
      <c r="X612" s="2"/>
      <c r="Y612" s="2"/>
      <c r="Z612" s="2"/>
    </row>
    <row r="613" ht="13.5" customHeight="1">
      <c r="A613" s="2"/>
      <c r="B613" s="2"/>
      <c r="C613" s="2"/>
      <c r="D613" s="2"/>
      <c r="E613" s="2"/>
      <c r="F613" s="2"/>
      <c r="G613" s="2"/>
      <c r="H613" s="2"/>
      <c r="I613" s="2"/>
      <c r="J613" s="2"/>
      <c r="K613" s="2"/>
      <c r="L613" s="2"/>
      <c r="M613" s="2"/>
      <c r="N613" s="2"/>
      <c r="O613" s="2"/>
      <c r="P613" s="2"/>
      <c r="Q613" s="144"/>
      <c r="R613" s="144"/>
      <c r="S613" s="144"/>
      <c r="T613" s="214"/>
      <c r="U613" s="2"/>
      <c r="V613" s="2"/>
      <c r="W613" s="2"/>
      <c r="X613" s="2"/>
      <c r="Y613" s="2"/>
      <c r="Z613" s="2"/>
    </row>
    <row r="614" ht="13.5" customHeight="1">
      <c r="A614" s="2"/>
      <c r="B614" s="2"/>
      <c r="C614" s="2"/>
      <c r="D614" s="2"/>
      <c r="E614" s="2"/>
      <c r="F614" s="2"/>
      <c r="G614" s="2"/>
      <c r="H614" s="2"/>
      <c r="I614" s="2"/>
      <c r="J614" s="2"/>
      <c r="K614" s="2"/>
      <c r="L614" s="2"/>
      <c r="M614" s="2"/>
      <c r="N614" s="2"/>
      <c r="O614" s="2"/>
      <c r="P614" s="2"/>
      <c r="Q614" s="144"/>
      <c r="R614" s="144"/>
      <c r="S614" s="144"/>
      <c r="T614" s="214"/>
      <c r="U614" s="2"/>
      <c r="V614" s="2"/>
      <c r="W614" s="2"/>
      <c r="X614" s="2"/>
      <c r="Y614" s="2"/>
      <c r="Z614" s="2"/>
    </row>
    <row r="615" ht="13.5" customHeight="1">
      <c r="A615" s="2"/>
      <c r="B615" s="2"/>
      <c r="C615" s="2"/>
      <c r="D615" s="2"/>
      <c r="E615" s="2"/>
      <c r="F615" s="2"/>
      <c r="G615" s="2"/>
      <c r="H615" s="2"/>
      <c r="I615" s="2"/>
      <c r="J615" s="2"/>
      <c r="K615" s="2"/>
      <c r="L615" s="2"/>
      <c r="M615" s="2"/>
      <c r="N615" s="2"/>
      <c r="O615" s="2"/>
      <c r="P615" s="2"/>
      <c r="Q615" s="144"/>
      <c r="R615" s="144"/>
      <c r="S615" s="144"/>
      <c r="T615" s="214"/>
      <c r="U615" s="2"/>
      <c r="V615" s="2"/>
      <c r="W615" s="2"/>
      <c r="X615" s="2"/>
      <c r="Y615" s="2"/>
      <c r="Z615" s="2"/>
    </row>
    <row r="616" ht="13.5" customHeight="1">
      <c r="A616" s="2"/>
      <c r="B616" s="2"/>
      <c r="C616" s="2"/>
      <c r="D616" s="2"/>
      <c r="E616" s="2"/>
      <c r="F616" s="2"/>
      <c r="G616" s="2"/>
      <c r="H616" s="2"/>
      <c r="I616" s="2"/>
      <c r="J616" s="2"/>
      <c r="K616" s="2"/>
      <c r="L616" s="2"/>
      <c r="M616" s="2"/>
      <c r="N616" s="2"/>
      <c r="O616" s="2"/>
      <c r="P616" s="2"/>
      <c r="Q616" s="144"/>
      <c r="R616" s="144"/>
      <c r="S616" s="144"/>
      <c r="T616" s="214"/>
      <c r="U616" s="2"/>
      <c r="V616" s="2"/>
      <c r="W616" s="2"/>
      <c r="X616" s="2"/>
      <c r="Y616" s="2"/>
      <c r="Z616" s="2"/>
    </row>
    <row r="617" ht="13.5" customHeight="1">
      <c r="A617" s="2"/>
      <c r="B617" s="2"/>
      <c r="C617" s="2"/>
      <c r="D617" s="2"/>
      <c r="E617" s="2"/>
      <c r="F617" s="2"/>
      <c r="G617" s="2"/>
      <c r="H617" s="2"/>
      <c r="I617" s="2"/>
      <c r="J617" s="2"/>
      <c r="K617" s="2"/>
      <c r="L617" s="2"/>
      <c r="M617" s="2"/>
      <c r="N617" s="2"/>
      <c r="O617" s="2"/>
      <c r="P617" s="2"/>
      <c r="Q617" s="144"/>
      <c r="R617" s="144"/>
      <c r="S617" s="144"/>
      <c r="T617" s="214"/>
      <c r="U617" s="2"/>
      <c r="V617" s="2"/>
      <c r="W617" s="2"/>
      <c r="X617" s="2"/>
      <c r="Y617" s="2"/>
      <c r="Z617" s="2"/>
    </row>
    <row r="618" ht="13.5" customHeight="1">
      <c r="A618" s="2"/>
      <c r="B618" s="2"/>
      <c r="C618" s="2"/>
      <c r="D618" s="2"/>
      <c r="E618" s="2"/>
      <c r="F618" s="2"/>
      <c r="G618" s="2"/>
      <c r="H618" s="2"/>
      <c r="I618" s="2"/>
      <c r="J618" s="2"/>
      <c r="K618" s="2"/>
      <c r="L618" s="2"/>
      <c r="M618" s="2"/>
      <c r="N618" s="2"/>
      <c r="O618" s="2"/>
      <c r="P618" s="2"/>
      <c r="Q618" s="144"/>
      <c r="R618" s="144"/>
      <c r="S618" s="144"/>
      <c r="T618" s="214"/>
      <c r="U618" s="2"/>
      <c r="V618" s="2"/>
      <c r="W618" s="2"/>
      <c r="X618" s="2"/>
      <c r="Y618" s="2"/>
      <c r="Z618" s="2"/>
    </row>
    <row r="619" ht="13.5" customHeight="1">
      <c r="A619" s="2"/>
      <c r="B619" s="2"/>
      <c r="C619" s="2"/>
      <c r="D619" s="2"/>
      <c r="E619" s="2"/>
      <c r="F619" s="2"/>
      <c r="G619" s="2"/>
      <c r="H619" s="2"/>
      <c r="I619" s="2"/>
      <c r="J619" s="2"/>
      <c r="K619" s="2"/>
      <c r="L619" s="2"/>
      <c r="M619" s="2"/>
      <c r="N619" s="2"/>
      <c r="O619" s="2"/>
      <c r="P619" s="2"/>
      <c r="Q619" s="144"/>
      <c r="R619" s="144"/>
      <c r="S619" s="144"/>
      <c r="T619" s="214"/>
      <c r="U619" s="2"/>
      <c r="V619" s="2"/>
      <c r="W619" s="2"/>
      <c r="X619" s="2"/>
      <c r="Y619" s="2"/>
      <c r="Z619" s="2"/>
    </row>
    <row r="620" ht="13.5" customHeight="1">
      <c r="A620" s="2"/>
      <c r="B620" s="2"/>
      <c r="C620" s="2"/>
      <c r="D620" s="2"/>
      <c r="E620" s="2"/>
      <c r="F620" s="2"/>
      <c r="G620" s="2"/>
      <c r="H620" s="2"/>
      <c r="I620" s="2"/>
      <c r="J620" s="2"/>
      <c r="K620" s="2"/>
      <c r="L620" s="2"/>
      <c r="M620" s="2"/>
      <c r="N620" s="2"/>
      <c r="O620" s="2"/>
      <c r="P620" s="2"/>
      <c r="Q620" s="144"/>
      <c r="R620" s="144"/>
      <c r="S620" s="144"/>
      <c r="T620" s="214"/>
      <c r="U620" s="2"/>
      <c r="V620" s="2"/>
      <c r="W620" s="2"/>
      <c r="X620" s="2"/>
      <c r="Y620" s="2"/>
      <c r="Z620" s="2"/>
    </row>
    <row r="621" ht="13.5" customHeight="1">
      <c r="A621" s="2"/>
      <c r="B621" s="2"/>
      <c r="C621" s="2"/>
      <c r="D621" s="2"/>
      <c r="E621" s="2"/>
      <c r="F621" s="2"/>
      <c r="G621" s="2"/>
      <c r="H621" s="2"/>
      <c r="I621" s="2"/>
      <c r="J621" s="2"/>
      <c r="K621" s="2"/>
      <c r="L621" s="2"/>
      <c r="M621" s="2"/>
      <c r="N621" s="2"/>
      <c r="O621" s="2"/>
      <c r="P621" s="2"/>
      <c r="Q621" s="144"/>
      <c r="R621" s="144"/>
      <c r="S621" s="144"/>
      <c r="T621" s="214"/>
      <c r="U621" s="2"/>
      <c r="V621" s="2"/>
      <c r="W621" s="2"/>
      <c r="X621" s="2"/>
      <c r="Y621" s="2"/>
      <c r="Z621" s="2"/>
    </row>
    <row r="622" ht="13.5" customHeight="1">
      <c r="A622" s="2"/>
      <c r="B622" s="2"/>
      <c r="C622" s="2"/>
      <c r="D622" s="2"/>
      <c r="E622" s="2"/>
      <c r="F622" s="2"/>
      <c r="G622" s="2"/>
      <c r="H622" s="2"/>
      <c r="I622" s="2"/>
      <c r="J622" s="2"/>
      <c r="K622" s="2"/>
      <c r="L622" s="2"/>
      <c r="M622" s="2"/>
      <c r="N622" s="2"/>
      <c r="O622" s="2"/>
      <c r="P622" s="2"/>
      <c r="Q622" s="144"/>
      <c r="R622" s="144"/>
      <c r="S622" s="144"/>
      <c r="T622" s="214"/>
      <c r="U622" s="2"/>
      <c r="V622" s="2"/>
      <c r="W622" s="2"/>
      <c r="X622" s="2"/>
      <c r="Y622" s="2"/>
      <c r="Z622" s="2"/>
    </row>
    <row r="623" ht="13.5" customHeight="1">
      <c r="A623" s="2"/>
      <c r="B623" s="2"/>
      <c r="C623" s="2"/>
      <c r="D623" s="2"/>
      <c r="E623" s="2"/>
      <c r="F623" s="2"/>
      <c r="G623" s="2"/>
      <c r="H623" s="2"/>
      <c r="I623" s="2"/>
      <c r="J623" s="2"/>
      <c r="K623" s="2"/>
      <c r="L623" s="2"/>
      <c r="M623" s="2"/>
      <c r="N623" s="2"/>
      <c r="O623" s="2"/>
      <c r="P623" s="2"/>
      <c r="Q623" s="144"/>
      <c r="R623" s="144"/>
      <c r="S623" s="144"/>
      <c r="T623" s="214"/>
      <c r="U623" s="2"/>
      <c r="V623" s="2"/>
      <c r="W623" s="2"/>
      <c r="X623" s="2"/>
      <c r="Y623" s="2"/>
      <c r="Z623" s="2"/>
    </row>
    <row r="624" ht="13.5" customHeight="1">
      <c r="A624" s="2"/>
      <c r="B624" s="2"/>
      <c r="C624" s="2"/>
      <c r="D624" s="2"/>
      <c r="E624" s="2"/>
      <c r="F624" s="2"/>
      <c r="G624" s="2"/>
      <c r="H624" s="2"/>
      <c r="I624" s="2"/>
      <c r="J624" s="2"/>
      <c r="K624" s="2"/>
      <c r="L624" s="2"/>
      <c r="M624" s="2"/>
      <c r="N624" s="2"/>
      <c r="O624" s="2"/>
      <c r="P624" s="2"/>
      <c r="Q624" s="144"/>
      <c r="R624" s="144"/>
      <c r="S624" s="144"/>
      <c r="T624" s="214"/>
      <c r="U624" s="2"/>
      <c r="V624" s="2"/>
      <c r="W624" s="2"/>
      <c r="X624" s="2"/>
      <c r="Y624" s="2"/>
      <c r="Z624" s="2"/>
    </row>
    <row r="625" ht="13.5" customHeight="1">
      <c r="A625" s="2"/>
      <c r="B625" s="2"/>
      <c r="C625" s="2"/>
      <c r="D625" s="2"/>
      <c r="E625" s="2"/>
      <c r="F625" s="2"/>
      <c r="G625" s="2"/>
      <c r="H625" s="2"/>
      <c r="I625" s="2"/>
      <c r="J625" s="2"/>
      <c r="K625" s="2"/>
      <c r="L625" s="2"/>
      <c r="M625" s="2"/>
      <c r="N625" s="2"/>
      <c r="O625" s="2"/>
      <c r="P625" s="2"/>
      <c r="Q625" s="144"/>
      <c r="R625" s="144"/>
      <c r="S625" s="144"/>
      <c r="T625" s="214"/>
      <c r="U625" s="2"/>
      <c r="V625" s="2"/>
      <c r="W625" s="2"/>
      <c r="X625" s="2"/>
      <c r="Y625" s="2"/>
      <c r="Z625" s="2"/>
    </row>
    <row r="626" ht="13.5" customHeight="1">
      <c r="A626" s="2"/>
      <c r="B626" s="2"/>
      <c r="C626" s="2"/>
      <c r="D626" s="2"/>
      <c r="E626" s="2"/>
      <c r="F626" s="2"/>
      <c r="G626" s="2"/>
      <c r="H626" s="2"/>
      <c r="I626" s="2"/>
      <c r="J626" s="2"/>
      <c r="K626" s="2"/>
      <c r="L626" s="2"/>
      <c r="M626" s="2"/>
      <c r="N626" s="2"/>
      <c r="O626" s="2"/>
      <c r="P626" s="2"/>
      <c r="Q626" s="144"/>
      <c r="R626" s="144"/>
      <c r="S626" s="144"/>
      <c r="T626" s="214"/>
      <c r="U626" s="2"/>
      <c r="V626" s="2"/>
      <c r="W626" s="2"/>
      <c r="X626" s="2"/>
      <c r="Y626" s="2"/>
      <c r="Z626" s="2"/>
    </row>
    <row r="627" ht="13.5" customHeight="1">
      <c r="A627" s="2"/>
      <c r="B627" s="2"/>
      <c r="C627" s="2"/>
      <c r="D627" s="2"/>
      <c r="E627" s="2"/>
      <c r="F627" s="2"/>
      <c r="G627" s="2"/>
      <c r="H627" s="2"/>
      <c r="I627" s="2"/>
      <c r="J627" s="2"/>
      <c r="K627" s="2"/>
      <c r="L627" s="2"/>
      <c r="M627" s="2"/>
      <c r="N627" s="2"/>
      <c r="O627" s="2"/>
      <c r="P627" s="2"/>
      <c r="Q627" s="144"/>
      <c r="R627" s="144"/>
      <c r="S627" s="144"/>
      <c r="T627" s="214"/>
      <c r="U627" s="2"/>
      <c r="V627" s="2"/>
      <c r="W627" s="2"/>
      <c r="X627" s="2"/>
      <c r="Y627" s="2"/>
      <c r="Z627" s="2"/>
    </row>
    <row r="628" ht="13.5" customHeight="1">
      <c r="A628" s="2"/>
      <c r="B628" s="2"/>
      <c r="C628" s="2"/>
      <c r="D628" s="2"/>
      <c r="E628" s="2"/>
      <c r="F628" s="2"/>
      <c r="G628" s="2"/>
      <c r="H628" s="2"/>
      <c r="I628" s="2"/>
      <c r="J628" s="2"/>
      <c r="K628" s="2"/>
      <c r="L628" s="2"/>
      <c r="M628" s="2"/>
      <c r="N628" s="2"/>
      <c r="O628" s="2"/>
      <c r="P628" s="2"/>
      <c r="Q628" s="144"/>
      <c r="R628" s="144"/>
      <c r="S628" s="144"/>
      <c r="T628" s="214"/>
      <c r="U628" s="2"/>
      <c r="V628" s="2"/>
      <c r="W628" s="2"/>
      <c r="X628" s="2"/>
      <c r="Y628" s="2"/>
      <c r="Z628" s="2"/>
    </row>
    <row r="629" ht="13.5" customHeight="1">
      <c r="A629" s="2"/>
      <c r="B629" s="2"/>
      <c r="C629" s="2"/>
      <c r="D629" s="2"/>
      <c r="E629" s="2"/>
      <c r="F629" s="2"/>
      <c r="G629" s="2"/>
      <c r="H629" s="2"/>
      <c r="I629" s="2"/>
      <c r="J629" s="2"/>
      <c r="K629" s="2"/>
      <c r="L629" s="2"/>
      <c r="M629" s="2"/>
      <c r="N629" s="2"/>
      <c r="O629" s="2"/>
      <c r="P629" s="2"/>
      <c r="Q629" s="144"/>
      <c r="R629" s="144"/>
      <c r="S629" s="144"/>
      <c r="T629" s="214"/>
      <c r="U629" s="2"/>
      <c r="V629" s="2"/>
      <c r="W629" s="2"/>
      <c r="X629" s="2"/>
      <c r="Y629" s="2"/>
      <c r="Z629" s="2"/>
    </row>
    <row r="630" ht="13.5" customHeight="1">
      <c r="A630" s="2"/>
      <c r="B630" s="2"/>
      <c r="C630" s="2"/>
      <c r="D630" s="2"/>
      <c r="E630" s="2"/>
      <c r="F630" s="2"/>
      <c r="G630" s="2"/>
      <c r="H630" s="2"/>
      <c r="I630" s="2"/>
      <c r="J630" s="2"/>
      <c r="K630" s="2"/>
      <c r="L630" s="2"/>
      <c r="M630" s="2"/>
      <c r="N630" s="2"/>
      <c r="O630" s="2"/>
      <c r="P630" s="2"/>
      <c r="Q630" s="144"/>
      <c r="R630" s="144"/>
      <c r="S630" s="144"/>
      <c r="T630" s="214"/>
      <c r="U630" s="2"/>
      <c r="V630" s="2"/>
      <c r="W630" s="2"/>
      <c r="X630" s="2"/>
      <c r="Y630" s="2"/>
      <c r="Z630" s="2"/>
    </row>
    <row r="631" ht="13.5" customHeight="1">
      <c r="A631" s="2"/>
      <c r="B631" s="2"/>
      <c r="C631" s="2"/>
      <c r="D631" s="2"/>
      <c r="E631" s="2"/>
      <c r="F631" s="2"/>
      <c r="G631" s="2"/>
      <c r="H631" s="2"/>
      <c r="I631" s="2"/>
      <c r="J631" s="2"/>
      <c r="K631" s="2"/>
      <c r="L631" s="2"/>
      <c r="M631" s="2"/>
      <c r="N631" s="2"/>
      <c r="O631" s="2"/>
      <c r="P631" s="2"/>
      <c r="Q631" s="144"/>
      <c r="R631" s="144"/>
      <c r="S631" s="144"/>
      <c r="T631" s="214"/>
      <c r="U631" s="2"/>
      <c r="V631" s="2"/>
      <c r="W631" s="2"/>
      <c r="X631" s="2"/>
      <c r="Y631" s="2"/>
      <c r="Z631" s="2"/>
    </row>
    <row r="632" ht="13.5" customHeight="1">
      <c r="A632" s="2"/>
      <c r="B632" s="2"/>
      <c r="C632" s="2"/>
      <c r="D632" s="2"/>
      <c r="E632" s="2"/>
      <c r="F632" s="2"/>
      <c r="G632" s="2"/>
      <c r="H632" s="2"/>
      <c r="I632" s="2"/>
      <c r="J632" s="2"/>
      <c r="K632" s="2"/>
      <c r="L632" s="2"/>
      <c r="M632" s="2"/>
      <c r="N632" s="2"/>
      <c r="O632" s="2"/>
      <c r="P632" s="2"/>
      <c r="Q632" s="144"/>
      <c r="R632" s="144"/>
      <c r="S632" s="144"/>
      <c r="T632" s="214"/>
      <c r="U632" s="2"/>
      <c r="V632" s="2"/>
      <c r="W632" s="2"/>
      <c r="X632" s="2"/>
      <c r="Y632" s="2"/>
      <c r="Z632" s="2"/>
    </row>
    <row r="633" ht="13.5" customHeight="1">
      <c r="A633" s="2"/>
      <c r="B633" s="2"/>
      <c r="C633" s="2"/>
      <c r="D633" s="2"/>
      <c r="E633" s="2"/>
      <c r="F633" s="2"/>
      <c r="G633" s="2"/>
      <c r="H633" s="2"/>
      <c r="I633" s="2"/>
      <c r="J633" s="2"/>
      <c r="K633" s="2"/>
      <c r="L633" s="2"/>
      <c r="M633" s="2"/>
      <c r="N633" s="2"/>
      <c r="O633" s="2"/>
      <c r="P633" s="2"/>
      <c r="Q633" s="144"/>
      <c r="R633" s="144"/>
      <c r="S633" s="144"/>
      <c r="T633" s="214"/>
      <c r="U633" s="2"/>
      <c r="V633" s="2"/>
      <c r="W633" s="2"/>
      <c r="X633" s="2"/>
      <c r="Y633" s="2"/>
      <c r="Z633" s="2"/>
    </row>
    <row r="634" ht="13.5" customHeight="1">
      <c r="A634" s="2"/>
      <c r="B634" s="2"/>
      <c r="C634" s="2"/>
      <c r="D634" s="2"/>
      <c r="E634" s="2"/>
      <c r="F634" s="2"/>
      <c r="G634" s="2"/>
      <c r="H634" s="2"/>
      <c r="I634" s="2"/>
      <c r="J634" s="2"/>
      <c r="K634" s="2"/>
      <c r="L634" s="2"/>
      <c r="M634" s="2"/>
      <c r="N634" s="2"/>
      <c r="O634" s="2"/>
      <c r="P634" s="2"/>
      <c r="Q634" s="144"/>
      <c r="R634" s="144"/>
      <c r="S634" s="144"/>
      <c r="T634" s="214"/>
      <c r="U634" s="2"/>
      <c r="V634" s="2"/>
      <c r="W634" s="2"/>
      <c r="X634" s="2"/>
      <c r="Y634" s="2"/>
      <c r="Z634" s="2"/>
    </row>
    <row r="635" ht="13.5" customHeight="1">
      <c r="A635" s="2"/>
      <c r="B635" s="2"/>
      <c r="C635" s="2"/>
      <c r="D635" s="2"/>
      <c r="E635" s="2"/>
      <c r="F635" s="2"/>
      <c r="G635" s="2"/>
      <c r="H635" s="2"/>
      <c r="I635" s="2"/>
      <c r="J635" s="2"/>
      <c r="K635" s="2"/>
      <c r="L635" s="2"/>
      <c r="M635" s="2"/>
      <c r="N635" s="2"/>
      <c r="O635" s="2"/>
      <c r="P635" s="2"/>
      <c r="Q635" s="144"/>
      <c r="R635" s="144"/>
      <c r="S635" s="144"/>
      <c r="T635" s="214"/>
      <c r="U635" s="2"/>
      <c r="V635" s="2"/>
      <c r="W635" s="2"/>
      <c r="X635" s="2"/>
      <c r="Y635" s="2"/>
      <c r="Z635" s="2"/>
    </row>
    <row r="636" ht="13.5" customHeight="1">
      <c r="A636" s="2"/>
      <c r="B636" s="2"/>
      <c r="C636" s="2"/>
      <c r="D636" s="2"/>
      <c r="E636" s="2"/>
      <c r="F636" s="2"/>
      <c r="G636" s="2"/>
      <c r="H636" s="2"/>
      <c r="I636" s="2"/>
      <c r="J636" s="2"/>
      <c r="K636" s="2"/>
      <c r="L636" s="2"/>
      <c r="M636" s="2"/>
      <c r="N636" s="2"/>
      <c r="O636" s="2"/>
      <c r="P636" s="2"/>
      <c r="Q636" s="144"/>
      <c r="R636" s="144"/>
      <c r="S636" s="144"/>
      <c r="T636" s="214"/>
      <c r="U636" s="2"/>
      <c r="V636" s="2"/>
      <c r="W636" s="2"/>
      <c r="X636" s="2"/>
      <c r="Y636" s="2"/>
      <c r="Z636" s="2"/>
    </row>
    <row r="637" ht="13.5" customHeight="1">
      <c r="A637" s="2"/>
      <c r="B637" s="2"/>
      <c r="C637" s="2"/>
      <c r="D637" s="2"/>
      <c r="E637" s="2"/>
      <c r="F637" s="2"/>
      <c r="G637" s="2"/>
      <c r="H637" s="2"/>
      <c r="I637" s="2"/>
      <c r="J637" s="2"/>
      <c r="K637" s="2"/>
      <c r="L637" s="2"/>
      <c r="M637" s="2"/>
      <c r="N637" s="2"/>
      <c r="O637" s="2"/>
      <c r="P637" s="2"/>
      <c r="Q637" s="144"/>
      <c r="R637" s="144"/>
      <c r="S637" s="144"/>
      <c r="T637" s="214"/>
      <c r="U637" s="2"/>
      <c r="V637" s="2"/>
      <c r="W637" s="2"/>
      <c r="X637" s="2"/>
      <c r="Y637" s="2"/>
      <c r="Z637" s="2"/>
    </row>
    <row r="638" ht="13.5" customHeight="1">
      <c r="A638" s="2"/>
      <c r="B638" s="2"/>
      <c r="C638" s="2"/>
      <c r="D638" s="2"/>
      <c r="E638" s="2"/>
      <c r="F638" s="2"/>
      <c r="G638" s="2"/>
      <c r="H638" s="2"/>
      <c r="I638" s="2"/>
      <c r="J638" s="2"/>
      <c r="K638" s="2"/>
      <c r="L638" s="2"/>
      <c r="M638" s="2"/>
      <c r="N638" s="2"/>
      <c r="O638" s="2"/>
      <c r="P638" s="2"/>
      <c r="Q638" s="144"/>
      <c r="R638" s="144"/>
      <c r="S638" s="144"/>
      <c r="T638" s="214"/>
      <c r="U638" s="2"/>
      <c r="V638" s="2"/>
      <c r="W638" s="2"/>
      <c r="X638" s="2"/>
      <c r="Y638" s="2"/>
      <c r="Z638" s="2"/>
    </row>
    <row r="639" ht="13.5" customHeight="1">
      <c r="A639" s="2"/>
      <c r="B639" s="2"/>
      <c r="C639" s="2"/>
      <c r="D639" s="2"/>
      <c r="E639" s="2"/>
      <c r="F639" s="2"/>
      <c r="G639" s="2"/>
      <c r="H639" s="2"/>
      <c r="I639" s="2"/>
      <c r="J639" s="2"/>
      <c r="K639" s="2"/>
      <c r="L639" s="2"/>
      <c r="M639" s="2"/>
      <c r="N639" s="2"/>
      <c r="O639" s="2"/>
      <c r="P639" s="2"/>
      <c r="Q639" s="144"/>
      <c r="R639" s="144"/>
      <c r="S639" s="144"/>
      <c r="T639" s="214"/>
      <c r="U639" s="2"/>
      <c r="V639" s="2"/>
      <c r="W639" s="2"/>
      <c r="X639" s="2"/>
      <c r="Y639" s="2"/>
      <c r="Z639" s="2"/>
    </row>
    <row r="640" ht="13.5" customHeight="1">
      <c r="A640" s="2"/>
      <c r="B640" s="2"/>
      <c r="C640" s="2"/>
      <c r="D640" s="2"/>
      <c r="E640" s="2"/>
      <c r="F640" s="2"/>
      <c r="G640" s="2"/>
      <c r="H640" s="2"/>
      <c r="I640" s="2"/>
      <c r="J640" s="2"/>
      <c r="K640" s="2"/>
      <c r="L640" s="2"/>
      <c r="M640" s="2"/>
      <c r="N640" s="2"/>
      <c r="O640" s="2"/>
      <c r="P640" s="2"/>
      <c r="Q640" s="144"/>
      <c r="R640" s="144"/>
      <c r="S640" s="144"/>
      <c r="T640" s="214"/>
      <c r="U640" s="2"/>
      <c r="V640" s="2"/>
      <c r="W640" s="2"/>
      <c r="X640" s="2"/>
      <c r="Y640" s="2"/>
      <c r="Z640" s="2"/>
    </row>
    <row r="641" ht="13.5" customHeight="1">
      <c r="A641" s="2"/>
      <c r="B641" s="2"/>
      <c r="C641" s="2"/>
      <c r="D641" s="2"/>
      <c r="E641" s="2"/>
      <c r="F641" s="2"/>
      <c r="G641" s="2"/>
      <c r="H641" s="2"/>
      <c r="I641" s="2"/>
      <c r="J641" s="2"/>
      <c r="K641" s="2"/>
      <c r="L641" s="2"/>
      <c r="M641" s="2"/>
      <c r="N641" s="2"/>
      <c r="O641" s="2"/>
      <c r="P641" s="2"/>
      <c r="Q641" s="144"/>
      <c r="R641" s="144"/>
      <c r="S641" s="144"/>
      <c r="T641" s="214"/>
      <c r="U641" s="2"/>
      <c r="V641" s="2"/>
      <c r="W641" s="2"/>
      <c r="X641" s="2"/>
      <c r="Y641" s="2"/>
      <c r="Z641" s="2"/>
    </row>
    <row r="642" ht="13.5" customHeight="1">
      <c r="A642" s="2"/>
      <c r="B642" s="2"/>
      <c r="C642" s="2"/>
      <c r="D642" s="2"/>
      <c r="E642" s="2"/>
      <c r="F642" s="2"/>
      <c r="G642" s="2"/>
      <c r="H642" s="2"/>
      <c r="I642" s="2"/>
      <c r="J642" s="2"/>
      <c r="K642" s="2"/>
      <c r="L642" s="2"/>
      <c r="M642" s="2"/>
      <c r="N642" s="2"/>
      <c r="O642" s="2"/>
      <c r="P642" s="2"/>
      <c r="Q642" s="144"/>
      <c r="R642" s="144"/>
      <c r="S642" s="144"/>
      <c r="T642" s="214"/>
      <c r="U642" s="2"/>
      <c r="V642" s="2"/>
      <c r="W642" s="2"/>
      <c r="X642" s="2"/>
      <c r="Y642" s="2"/>
      <c r="Z642" s="2"/>
    </row>
    <row r="643" ht="13.5" customHeight="1">
      <c r="A643" s="2"/>
      <c r="B643" s="2"/>
      <c r="C643" s="2"/>
      <c r="D643" s="2"/>
      <c r="E643" s="2"/>
      <c r="F643" s="2"/>
      <c r="G643" s="2"/>
      <c r="H643" s="2"/>
      <c r="I643" s="2"/>
      <c r="J643" s="2"/>
      <c r="K643" s="2"/>
      <c r="L643" s="2"/>
      <c r="M643" s="2"/>
      <c r="N643" s="2"/>
      <c r="O643" s="2"/>
      <c r="P643" s="2"/>
      <c r="Q643" s="144"/>
      <c r="R643" s="144"/>
      <c r="S643" s="144"/>
      <c r="T643" s="214"/>
      <c r="U643" s="2"/>
      <c r="V643" s="2"/>
      <c r="W643" s="2"/>
      <c r="X643" s="2"/>
      <c r="Y643" s="2"/>
      <c r="Z643" s="2"/>
    </row>
    <row r="644" ht="13.5" customHeight="1">
      <c r="A644" s="2"/>
      <c r="B644" s="2"/>
      <c r="C644" s="2"/>
      <c r="D644" s="2"/>
      <c r="E644" s="2"/>
      <c r="F644" s="2"/>
      <c r="G644" s="2"/>
      <c r="H644" s="2"/>
      <c r="I644" s="2"/>
      <c r="J644" s="2"/>
      <c r="K644" s="2"/>
      <c r="L644" s="2"/>
      <c r="M644" s="2"/>
      <c r="N644" s="2"/>
      <c r="O644" s="2"/>
      <c r="P644" s="2"/>
      <c r="Q644" s="144"/>
      <c r="R644" s="144"/>
      <c r="S644" s="144"/>
      <c r="T644" s="214"/>
      <c r="U644" s="2"/>
      <c r="V644" s="2"/>
      <c r="W644" s="2"/>
      <c r="X644" s="2"/>
      <c r="Y644" s="2"/>
      <c r="Z644" s="2"/>
    </row>
    <row r="645" ht="13.5" customHeight="1">
      <c r="A645" s="2"/>
      <c r="B645" s="2"/>
      <c r="C645" s="2"/>
      <c r="D645" s="2"/>
      <c r="E645" s="2"/>
      <c r="F645" s="2"/>
      <c r="G645" s="2"/>
      <c r="H645" s="2"/>
      <c r="I645" s="2"/>
      <c r="J645" s="2"/>
      <c r="K645" s="2"/>
      <c r="L645" s="2"/>
      <c r="M645" s="2"/>
      <c r="N645" s="2"/>
      <c r="O645" s="2"/>
      <c r="P645" s="2"/>
      <c r="Q645" s="144"/>
      <c r="R645" s="144"/>
      <c r="S645" s="144"/>
      <c r="T645" s="214"/>
      <c r="U645" s="2"/>
      <c r="V645" s="2"/>
      <c r="W645" s="2"/>
      <c r="X645" s="2"/>
      <c r="Y645" s="2"/>
      <c r="Z645" s="2"/>
    </row>
    <row r="646" ht="13.5" customHeight="1">
      <c r="A646" s="2"/>
      <c r="B646" s="2"/>
      <c r="C646" s="2"/>
      <c r="D646" s="2"/>
      <c r="E646" s="2"/>
      <c r="F646" s="2"/>
      <c r="G646" s="2"/>
      <c r="H646" s="2"/>
      <c r="I646" s="2"/>
      <c r="J646" s="2"/>
      <c r="K646" s="2"/>
      <c r="L646" s="2"/>
      <c r="M646" s="2"/>
      <c r="N646" s="2"/>
      <c r="O646" s="2"/>
      <c r="P646" s="2"/>
      <c r="Q646" s="144"/>
      <c r="R646" s="144"/>
      <c r="S646" s="144"/>
      <c r="T646" s="214"/>
      <c r="U646" s="2"/>
      <c r="V646" s="2"/>
      <c r="W646" s="2"/>
      <c r="X646" s="2"/>
      <c r="Y646" s="2"/>
      <c r="Z646" s="2"/>
    </row>
    <row r="647" ht="13.5" customHeight="1">
      <c r="A647" s="2"/>
      <c r="B647" s="2"/>
      <c r="C647" s="2"/>
      <c r="D647" s="2"/>
      <c r="E647" s="2"/>
      <c r="F647" s="2"/>
      <c r="G647" s="2"/>
      <c r="H647" s="2"/>
      <c r="I647" s="2"/>
      <c r="J647" s="2"/>
      <c r="K647" s="2"/>
      <c r="L647" s="2"/>
      <c r="M647" s="2"/>
      <c r="N647" s="2"/>
      <c r="O647" s="2"/>
      <c r="P647" s="2"/>
      <c r="Q647" s="144"/>
      <c r="R647" s="144"/>
      <c r="S647" s="144"/>
      <c r="T647" s="214"/>
      <c r="U647" s="2"/>
      <c r="V647" s="2"/>
      <c r="W647" s="2"/>
      <c r="X647" s="2"/>
      <c r="Y647" s="2"/>
      <c r="Z647" s="2"/>
    </row>
    <row r="648" ht="13.5" customHeight="1">
      <c r="A648" s="2"/>
      <c r="B648" s="2"/>
      <c r="C648" s="2"/>
      <c r="D648" s="2"/>
      <c r="E648" s="2"/>
      <c r="F648" s="2"/>
      <c r="G648" s="2"/>
      <c r="H648" s="2"/>
      <c r="I648" s="2"/>
      <c r="J648" s="2"/>
      <c r="K648" s="2"/>
      <c r="L648" s="2"/>
      <c r="M648" s="2"/>
      <c r="N648" s="2"/>
      <c r="O648" s="2"/>
      <c r="P648" s="2"/>
      <c r="Q648" s="144"/>
      <c r="R648" s="144"/>
      <c r="S648" s="144"/>
      <c r="T648" s="214"/>
      <c r="U648" s="2"/>
      <c r="V648" s="2"/>
      <c r="W648" s="2"/>
      <c r="X648" s="2"/>
      <c r="Y648" s="2"/>
      <c r="Z648" s="2"/>
    </row>
    <row r="649" ht="13.5" customHeight="1">
      <c r="A649" s="2"/>
      <c r="B649" s="2"/>
      <c r="C649" s="2"/>
      <c r="D649" s="2"/>
      <c r="E649" s="2"/>
      <c r="F649" s="2"/>
      <c r="G649" s="2"/>
      <c r="H649" s="2"/>
      <c r="I649" s="2"/>
      <c r="J649" s="2"/>
      <c r="K649" s="2"/>
      <c r="L649" s="2"/>
      <c r="M649" s="2"/>
      <c r="N649" s="2"/>
      <c r="O649" s="2"/>
      <c r="P649" s="2"/>
      <c r="Q649" s="144"/>
      <c r="R649" s="144"/>
      <c r="S649" s="144"/>
      <c r="T649" s="214"/>
      <c r="U649" s="2"/>
      <c r="V649" s="2"/>
      <c r="W649" s="2"/>
      <c r="X649" s="2"/>
      <c r="Y649" s="2"/>
      <c r="Z649" s="2"/>
    </row>
    <row r="650" ht="13.5" customHeight="1">
      <c r="A650" s="2"/>
      <c r="B650" s="2"/>
      <c r="C650" s="2"/>
      <c r="D650" s="2"/>
      <c r="E650" s="2"/>
      <c r="F650" s="2"/>
      <c r="G650" s="2"/>
      <c r="H650" s="2"/>
      <c r="I650" s="2"/>
      <c r="J650" s="2"/>
      <c r="K650" s="2"/>
      <c r="L650" s="2"/>
      <c r="M650" s="2"/>
      <c r="N650" s="2"/>
      <c r="O650" s="2"/>
      <c r="P650" s="2"/>
      <c r="Q650" s="144"/>
      <c r="R650" s="144"/>
      <c r="S650" s="144"/>
      <c r="T650" s="214"/>
      <c r="U650" s="2"/>
      <c r="V650" s="2"/>
      <c r="W650" s="2"/>
      <c r="X650" s="2"/>
      <c r="Y650" s="2"/>
      <c r="Z650" s="2"/>
    </row>
    <row r="651" ht="13.5" customHeight="1">
      <c r="A651" s="2"/>
      <c r="B651" s="2"/>
      <c r="C651" s="2"/>
      <c r="D651" s="2"/>
      <c r="E651" s="2"/>
      <c r="F651" s="2"/>
      <c r="G651" s="2"/>
      <c r="H651" s="2"/>
      <c r="I651" s="2"/>
      <c r="J651" s="2"/>
      <c r="K651" s="2"/>
      <c r="L651" s="2"/>
      <c r="M651" s="2"/>
      <c r="N651" s="2"/>
      <c r="O651" s="2"/>
      <c r="P651" s="2"/>
      <c r="Q651" s="144"/>
      <c r="R651" s="144"/>
      <c r="S651" s="144"/>
      <c r="T651" s="214"/>
      <c r="U651" s="2"/>
      <c r="V651" s="2"/>
      <c r="W651" s="2"/>
      <c r="X651" s="2"/>
      <c r="Y651" s="2"/>
      <c r="Z651" s="2"/>
    </row>
    <row r="652" ht="13.5" customHeight="1">
      <c r="A652" s="2"/>
      <c r="B652" s="2"/>
      <c r="C652" s="2"/>
      <c r="D652" s="2"/>
      <c r="E652" s="2"/>
      <c r="F652" s="2"/>
      <c r="G652" s="2"/>
      <c r="H652" s="2"/>
      <c r="I652" s="2"/>
      <c r="J652" s="2"/>
      <c r="K652" s="2"/>
      <c r="L652" s="2"/>
      <c r="M652" s="2"/>
      <c r="N652" s="2"/>
      <c r="O652" s="2"/>
      <c r="P652" s="2"/>
      <c r="Q652" s="144"/>
      <c r="R652" s="144"/>
      <c r="S652" s="144"/>
      <c r="T652" s="214"/>
      <c r="U652" s="2"/>
      <c r="V652" s="2"/>
      <c r="W652" s="2"/>
      <c r="X652" s="2"/>
      <c r="Y652" s="2"/>
      <c r="Z652" s="2"/>
    </row>
    <row r="653" ht="13.5" customHeight="1">
      <c r="A653" s="2"/>
      <c r="B653" s="2"/>
      <c r="C653" s="2"/>
      <c r="D653" s="2"/>
      <c r="E653" s="2"/>
      <c r="F653" s="2"/>
      <c r="G653" s="2"/>
      <c r="H653" s="2"/>
      <c r="I653" s="2"/>
      <c r="J653" s="2"/>
      <c r="K653" s="2"/>
      <c r="L653" s="2"/>
      <c r="M653" s="2"/>
      <c r="N653" s="2"/>
      <c r="O653" s="2"/>
      <c r="P653" s="2"/>
      <c r="Q653" s="144"/>
      <c r="R653" s="144"/>
      <c r="S653" s="144"/>
      <c r="T653" s="214"/>
      <c r="U653" s="2"/>
      <c r="V653" s="2"/>
      <c r="W653" s="2"/>
      <c r="X653" s="2"/>
      <c r="Y653" s="2"/>
      <c r="Z653" s="2"/>
    </row>
    <row r="654" ht="13.5" customHeight="1">
      <c r="A654" s="2"/>
      <c r="B654" s="2"/>
      <c r="C654" s="2"/>
      <c r="D654" s="2"/>
      <c r="E654" s="2"/>
      <c r="F654" s="2"/>
      <c r="G654" s="2"/>
      <c r="H654" s="2"/>
      <c r="I654" s="2"/>
      <c r="J654" s="2"/>
      <c r="K654" s="2"/>
      <c r="L654" s="2"/>
      <c r="M654" s="2"/>
      <c r="N654" s="2"/>
      <c r="O654" s="2"/>
      <c r="P654" s="2"/>
      <c r="Q654" s="144"/>
      <c r="R654" s="144"/>
      <c r="S654" s="144"/>
      <c r="T654" s="214"/>
      <c r="U654" s="2"/>
      <c r="V654" s="2"/>
      <c r="W654" s="2"/>
      <c r="X654" s="2"/>
      <c r="Y654" s="2"/>
      <c r="Z654" s="2"/>
    </row>
    <row r="655" ht="13.5" customHeight="1">
      <c r="A655" s="2"/>
      <c r="B655" s="2"/>
      <c r="C655" s="2"/>
      <c r="D655" s="2"/>
      <c r="E655" s="2"/>
      <c r="F655" s="2"/>
      <c r="G655" s="2"/>
      <c r="H655" s="2"/>
      <c r="I655" s="2"/>
      <c r="J655" s="2"/>
      <c r="K655" s="2"/>
      <c r="L655" s="2"/>
      <c r="M655" s="2"/>
      <c r="N655" s="2"/>
      <c r="O655" s="2"/>
      <c r="P655" s="2"/>
      <c r="Q655" s="144"/>
      <c r="R655" s="144"/>
      <c r="S655" s="144"/>
      <c r="T655" s="214"/>
      <c r="U655" s="2"/>
      <c r="V655" s="2"/>
      <c r="W655" s="2"/>
      <c r="X655" s="2"/>
      <c r="Y655" s="2"/>
      <c r="Z655" s="2"/>
    </row>
    <row r="656" ht="13.5" customHeight="1">
      <c r="A656" s="2"/>
      <c r="B656" s="2"/>
      <c r="C656" s="2"/>
      <c r="D656" s="2"/>
      <c r="E656" s="2"/>
      <c r="F656" s="2"/>
      <c r="G656" s="2"/>
      <c r="H656" s="2"/>
      <c r="I656" s="2"/>
      <c r="J656" s="2"/>
      <c r="K656" s="2"/>
      <c r="L656" s="2"/>
      <c r="M656" s="2"/>
      <c r="N656" s="2"/>
      <c r="O656" s="2"/>
      <c r="P656" s="2"/>
      <c r="Q656" s="144"/>
      <c r="R656" s="144"/>
      <c r="S656" s="144"/>
      <c r="T656" s="214"/>
      <c r="U656" s="2"/>
      <c r="V656" s="2"/>
      <c r="W656" s="2"/>
      <c r="X656" s="2"/>
      <c r="Y656" s="2"/>
      <c r="Z656" s="2"/>
    </row>
    <row r="657" ht="13.5" customHeight="1">
      <c r="A657" s="2"/>
      <c r="B657" s="2"/>
      <c r="C657" s="2"/>
      <c r="D657" s="2"/>
      <c r="E657" s="2"/>
      <c r="F657" s="2"/>
      <c r="G657" s="2"/>
      <c r="H657" s="2"/>
      <c r="I657" s="2"/>
      <c r="J657" s="2"/>
      <c r="K657" s="2"/>
      <c r="L657" s="2"/>
      <c r="M657" s="2"/>
      <c r="N657" s="2"/>
      <c r="O657" s="2"/>
      <c r="P657" s="2"/>
      <c r="Q657" s="144"/>
      <c r="R657" s="144"/>
      <c r="S657" s="144"/>
      <c r="T657" s="214"/>
      <c r="U657" s="2"/>
      <c r="V657" s="2"/>
      <c r="W657" s="2"/>
      <c r="X657" s="2"/>
      <c r="Y657" s="2"/>
      <c r="Z657" s="2"/>
    </row>
    <row r="658" ht="13.5" customHeight="1">
      <c r="A658" s="2"/>
      <c r="B658" s="2"/>
      <c r="C658" s="2"/>
      <c r="D658" s="2"/>
      <c r="E658" s="2"/>
      <c r="F658" s="2"/>
      <c r="G658" s="2"/>
      <c r="H658" s="2"/>
      <c r="I658" s="2"/>
      <c r="J658" s="2"/>
      <c r="K658" s="2"/>
      <c r="L658" s="2"/>
      <c r="M658" s="2"/>
      <c r="N658" s="2"/>
      <c r="O658" s="2"/>
      <c r="P658" s="2"/>
      <c r="Q658" s="144"/>
      <c r="R658" s="144"/>
      <c r="S658" s="144"/>
      <c r="T658" s="214"/>
      <c r="U658" s="2"/>
      <c r="V658" s="2"/>
      <c r="W658" s="2"/>
      <c r="X658" s="2"/>
      <c r="Y658" s="2"/>
      <c r="Z658" s="2"/>
    </row>
    <row r="659" ht="13.5" customHeight="1">
      <c r="A659" s="2"/>
      <c r="B659" s="2"/>
      <c r="C659" s="2"/>
      <c r="D659" s="2"/>
      <c r="E659" s="2"/>
      <c r="F659" s="2"/>
      <c r="G659" s="2"/>
      <c r="H659" s="2"/>
      <c r="I659" s="2"/>
      <c r="J659" s="2"/>
      <c r="K659" s="2"/>
      <c r="L659" s="2"/>
      <c r="M659" s="2"/>
      <c r="N659" s="2"/>
      <c r="O659" s="2"/>
      <c r="P659" s="2"/>
      <c r="Q659" s="144"/>
      <c r="R659" s="144"/>
      <c r="S659" s="144"/>
      <c r="T659" s="214"/>
      <c r="U659" s="2"/>
      <c r="V659" s="2"/>
      <c r="W659" s="2"/>
      <c r="X659" s="2"/>
      <c r="Y659" s="2"/>
      <c r="Z659" s="2"/>
    </row>
    <row r="660" ht="13.5" customHeight="1">
      <c r="A660" s="2"/>
      <c r="B660" s="2"/>
      <c r="C660" s="2"/>
      <c r="D660" s="2"/>
      <c r="E660" s="2"/>
      <c r="F660" s="2"/>
      <c r="G660" s="2"/>
      <c r="H660" s="2"/>
      <c r="I660" s="2"/>
      <c r="J660" s="2"/>
      <c r="K660" s="2"/>
      <c r="L660" s="2"/>
      <c r="M660" s="2"/>
      <c r="N660" s="2"/>
      <c r="O660" s="2"/>
      <c r="P660" s="2"/>
      <c r="Q660" s="144"/>
      <c r="R660" s="144"/>
      <c r="S660" s="144"/>
      <c r="T660" s="214"/>
      <c r="U660" s="2"/>
      <c r="V660" s="2"/>
      <c r="W660" s="2"/>
      <c r="X660" s="2"/>
      <c r="Y660" s="2"/>
      <c r="Z660" s="2"/>
    </row>
    <row r="661" ht="13.5" customHeight="1">
      <c r="A661" s="2"/>
      <c r="B661" s="2"/>
      <c r="C661" s="2"/>
      <c r="D661" s="2"/>
      <c r="E661" s="2"/>
      <c r="F661" s="2"/>
      <c r="G661" s="2"/>
      <c r="H661" s="2"/>
      <c r="I661" s="2"/>
      <c r="J661" s="2"/>
      <c r="K661" s="2"/>
      <c r="L661" s="2"/>
      <c r="M661" s="2"/>
      <c r="N661" s="2"/>
      <c r="O661" s="2"/>
      <c r="P661" s="2"/>
      <c r="Q661" s="144"/>
      <c r="R661" s="144"/>
      <c r="S661" s="144"/>
      <c r="T661" s="214"/>
      <c r="U661" s="2"/>
      <c r="V661" s="2"/>
      <c r="W661" s="2"/>
      <c r="X661" s="2"/>
      <c r="Y661" s="2"/>
      <c r="Z661" s="2"/>
    </row>
    <row r="662" ht="13.5" customHeight="1">
      <c r="A662" s="2"/>
      <c r="B662" s="2"/>
      <c r="C662" s="2"/>
      <c r="D662" s="2"/>
      <c r="E662" s="2"/>
      <c r="F662" s="2"/>
      <c r="G662" s="2"/>
      <c r="H662" s="2"/>
      <c r="I662" s="2"/>
      <c r="J662" s="2"/>
      <c r="K662" s="2"/>
      <c r="L662" s="2"/>
      <c r="M662" s="2"/>
      <c r="N662" s="2"/>
      <c r="O662" s="2"/>
      <c r="P662" s="2"/>
      <c r="Q662" s="144"/>
      <c r="R662" s="144"/>
      <c r="S662" s="144"/>
      <c r="T662" s="214"/>
      <c r="U662" s="2"/>
      <c r="V662" s="2"/>
      <c r="W662" s="2"/>
      <c r="X662" s="2"/>
      <c r="Y662" s="2"/>
      <c r="Z662" s="2"/>
    </row>
    <row r="663" ht="13.5" customHeight="1">
      <c r="A663" s="2"/>
      <c r="B663" s="2"/>
      <c r="C663" s="2"/>
      <c r="D663" s="2"/>
      <c r="E663" s="2"/>
      <c r="F663" s="2"/>
      <c r="G663" s="2"/>
      <c r="H663" s="2"/>
      <c r="I663" s="2"/>
      <c r="J663" s="2"/>
      <c r="K663" s="2"/>
      <c r="L663" s="2"/>
      <c r="M663" s="2"/>
      <c r="N663" s="2"/>
      <c r="O663" s="2"/>
      <c r="P663" s="2"/>
      <c r="Q663" s="144"/>
      <c r="R663" s="144"/>
      <c r="S663" s="144"/>
      <c r="T663" s="214"/>
      <c r="U663" s="2"/>
      <c r="V663" s="2"/>
      <c r="W663" s="2"/>
      <c r="X663" s="2"/>
      <c r="Y663" s="2"/>
      <c r="Z663" s="2"/>
    </row>
    <row r="664" ht="13.5" customHeight="1">
      <c r="A664" s="2"/>
      <c r="B664" s="2"/>
      <c r="C664" s="2"/>
      <c r="D664" s="2"/>
      <c r="E664" s="2"/>
      <c r="F664" s="2"/>
      <c r="G664" s="2"/>
      <c r="H664" s="2"/>
      <c r="I664" s="2"/>
      <c r="J664" s="2"/>
      <c r="K664" s="2"/>
      <c r="L664" s="2"/>
      <c r="M664" s="2"/>
      <c r="N664" s="2"/>
      <c r="O664" s="2"/>
      <c r="P664" s="2"/>
      <c r="Q664" s="144"/>
      <c r="R664" s="144"/>
      <c r="S664" s="144"/>
      <c r="T664" s="214"/>
      <c r="U664" s="2"/>
      <c r="V664" s="2"/>
      <c r="W664" s="2"/>
      <c r="X664" s="2"/>
      <c r="Y664" s="2"/>
      <c r="Z664" s="2"/>
    </row>
    <row r="665" ht="13.5" customHeight="1">
      <c r="A665" s="2"/>
      <c r="B665" s="2"/>
      <c r="C665" s="2"/>
      <c r="D665" s="2"/>
      <c r="E665" s="2"/>
      <c r="F665" s="2"/>
      <c r="G665" s="2"/>
      <c r="H665" s="2"/>
      <c r="I665" s="2"/>
      <c r="J665" s="2"/>
      <c r="K665" s="2"/>
      <c r="L665" s="2"/>
      <c r="M665" s="2"/>
      <c r="N665" s="2"/>
      <c r="O665" s="2"/>
      <c r="P665" s="2"/>
      <c r="Q665" s="144"/>
      <c r="R665" s="144"/>
      <c r="S665" s="144"/>
      <c r="T665" s="214"/>
      <c r="U665" s="2"/>
      <c r="V665" s="2"/>
      <c r="W665" s="2"/>
      <c r="X665" s="2"/>
      <c r="Y665" s="2"/>
      <c r="Z665" s="2"/>
    </row>
    <row r="666" ht="13.5" customHeight="1">
      <c r="A666" s="2"/>
      <c r="B666" s="2"/>
      <c r="C666" s="2"/>
      <c r="D666" s="2"/>
      <c r="E666" s="2"/>
      <c r="F666" s="2"/>
      <c r="G666" s="2"/>
      <c r="H666" s="2"/>
      <c r="I666" s="2"/>
      <c r="J666" s="2"/>
      <c r="K666" s="2"/>
      <c r="L666" s="2"/>
      <c r="M666" s="2"/>
      <c r="N666" s="2"/>
      <c r="O666" s="2"/>
      <c r="P666" s="2"/>
      <c r="Q666" s="144"/>
      <c r="R666" s="144"/>
      <c r="S666" s="144"/>
      <c r="T666" s="214"/>
      <c r="U666" s="2"/>
      <c r="V666" s="2"/>
      <c r="W666" s="2"/>
      <c r="X666" s="2"/>
      <c r="Y666" s="2"/>
      <c r="Z666" s="2"/>
    </row>
    <row r="667" ht="13.5" customHeight="1">
      <c r="A667" s="2"/>
      <c r="B667" s="2"/>
      <c r="C667" s="2"/>
      <c r="D667" s="2"/>
      <c r="E667" s="2"/>
      <c r="F667" s="2"/>
      <c r="G667" s="2"/>
      <c r="H667" s="2"/>
      <c r="I667" s="2"/>
      <c r="J667" s="2"/>
      <c r="K667" s="2"/>
      <c r="L667" s="2"/>
      <c r="M667" s="2"/>
      <c r="N667" s="2"/>
      <c r="O667" s="2"/>
      <c r="P667" s="2"/>
      <c r="Q667" s="144"/>
      <c r="R667" s="144"/>
      <c r="S667" s="144"/>
      <c r="T667" s="214"/>
      <c r="U667" s="2"/>
      <c r="V667" s="2"/>
      <c r="W667" s="2"/>
      <c r="X667" s="2"/>
      <c r="Y667" s="2"/>
      <c r="Z667" s="2"/>
    </row>
    <row r="668" ht="13.5" customHeight="1">
      <c r="A668" s="2"/>
      <c r="B668" s="2"/>
      <c r="C668" s="2"/>
      <c r="D668" s="2"/>
      <c r="E668" s="2"/>
      <c r="F668" s="2"/>
      <c r="G668" s="2"/>
      <c r="H668" s="2"/>
      <c r="I668" s="2"/>
      <c r="J668" s="2"/>
      <c r="K668" s="2"/>
      <c r="L668" s="2"/>
      <c r="M668" s="2"/>
      <c r="N668" s="2"/>
      <c r="O668" s="2"/>
      <c r="P668" s="2"/>
      <c r="Q668" s="144"/>
      <c r="R668" s="144"/>
      <c r="S668" s="144"/>
      <c r="T668" s="214"/>
      <c r="U668" s="2"/>
      <c r="V668" s="2"/>
      <c r="W668" s="2"/>
      <c r="X668" s="2"/>
      <c r="Y668" s="2"/>
      <c r="Z668" s="2"/>
    </row>
    <row r="669" ht="13.5" customHeight="1">
      <c r="A669" s="2"/>
      <c r="B669" s="2"/>
      <c r="C669" s="2"/>
      <c r="D669" s="2"/>
      <c r="E669" s="2"/>
      <c r="F669" s="2"/>
      <c r="G669" s="2"/>
      <c r="H669" s="2"/>
      <c r="I669" s="2"/>
      <c r="J669" s="2"/>
      <c r="K669" s="2"/>
      <c r="L669" s="2"/>
      <c r="M669" s="2"/>
      <c r="N669" s="2"/>
      <c r="O669" s="2"/>
      <c r="P669" s="2"/>
      <c r="Q669" s="144"/>
      <c r="R669" s="144"/>
      <c r="S669" s="144"/>
      <c r="T669" s="214"/>
      <c r="U669" s="2"/>
      <c r="V669" s="2"/>
      <c r="W669" s="2"/>
      <c r="X669" s="2"/>
      <c r="Y669" s="2"/>
      <c r="Z669" s="2"/>
    </row>
    <row r="670" ht="13.5" customHeight="1">
      <c r="A670" s="2"/>
      <c r="B670" s="2"/>
      <c r="C670" s="2"/>
      <c r="D670" s="2"/>
      <c r="E670" s="2"/>
      <c r="F670" s="2"/>
      <c r="G670" s="2"/>
      <c r="H670" s="2"/>
      <c r="I670" s="2"/>
      <c r="J670" s="2"/>
      <c r="K670" s="2"/>
      <c r="L670" s="2"/>
      <c r="M670" s="2"/>
      <c r="N670" s="2"/>
      <c r="O670" s="2"/>
      <c r="P670" s="2"/>
      <c r="Q670" s="144"/>
      <c r="R670" s="144"/>
      <c r="S670" s="144"/>
      <c r="T670" s="214"/>
      <c r="U670" s="2"/>
      <c r="V670" s="2"/>
      <c r="W670" s="2"/>
      <c r="X670" s="2"/>
      <c r="Y670" s="2"/>
      <c r="Z670" s="2"/>
    </row>
    <row r="671" ht="13.5" customHeight="1">
      <c r="A671" s="2"/>
      <c r="B671" s="2"/>
      <c r="C671" s="2"/>
      <c r="D671" s="2"/>
      <c r="E671" s="2"/>
      <c r="F671" s="2"/>
      <c r="G671" s="2"/>
      <c r="H671" s="2"/>
      <c r="I671" s="2"/>
      <c r="J671" s="2"/>
      <c r="K671" s="2"/>
      <c r="L671" s="2"/>
      <c r="M671" s="2"/>
      <c r="N671" s="2"/>
      <c r="O671" s="2"/>
      <c r="P671" s="2"/>
      <c r="Q671" s="144"/>
      <c r="R671" s="144"/>
      <c r="S671" s="144"/>
      <c r="T671" s="214"/>
      <c r="U671" s="2"/>
      <c r="V671" s="2"/>
      <c r="W671" s="2"/>
      <c r="X671" s="2"/>
      <c r="Y671" s="2"/>
      <c r="Z671" s="2"/>
    </row>
    <row r="672" ht="13.5" customHeight="1">
      <c r="A672" s="2"/>
      <c r="B672" s="2"/>
      <c r="C672" s="2"/>
      <c r="D672" s="2"/>
      <c r="E672" s="2"/>
      <c r="F672" s="2"/>
      <c r="G672" s="2"/>
      <c r="H672" s="2"/>
      <c r="I672" s="2"/>
      <c r="J672" s="2"/>
      <c r="K672" s="2"/>
      <c r="L672" s="2"/>
      <c r="M672" s="2"/>
      <c r="N672" s="2"/>
      <c r="O672" s="2"/>
      <c r="P672" s="2"/>
      <c r="Q672" s="144"/>
      <c r="R672" s="144"/>
      <c r="S672" s="144"/>
      <c r="T672" s="214"/>
      <c r="U672" s="2"/>
      <c r="V672" s="2"/>
      <c r="W672" s="2"/>
      <c r="X672" s="2"/>
      <c r="Y672" s="2"/>
      <c r="Z672" s="2"/>
    </row>
    <row r="673" ht="13.5" customHeight="1">
      <c r="A673" s="2"/>
      <c r="B673" s="2"/>
      <c r="C673" s="2"/>
      <c r="D673" s="2"/>
      <c r="E673" s="2"/>
      <c r="F673" s="2"/>
      <c r="G673" s="2"/>
      <c r="H673" s="2"/>
      <c r="I673" s="2"/>
      <c r="J673" s="2"/>
      <c r="K673" s="2"/>
      <c r="L673" s="2"/>
      <c r="M673" s="2"/>
      <c r="N673" s="2"/>
      <c r="O673" s="2"/>
      <c r="P673" s="2"/>
      <c r="Q673" s="144"/>
      <c r="R673" s="144"/>
      <c r="S673" s="144"/>
      <c r="T673" s="214"/>
      <c r="U673" s="2"/>
      <c r="V673" s="2"/>
      <c r="W673" s="2"/>
      <c r="X673" s="2"/>
      <c r="Y673" s="2"/>
      <c r="Z673" s="2"/>
    </row>
    <row r="674" ht="13.5" customHeight="1">
      <c r="A674" s="2"/>
      <c r="B674" s="2"/>
      <c r="C674" s="2"/>
      <c r="D674" s="2"/>
      <c r="E674" s="2"/>
      <c r="F674" s="2"/>
      <c r="G674" s="2"/>
      <c r="H674" s="2"/>
      <c r="I674" s="2"/>
      <c r="J674" s="2"/>
      <c r="K674" s="2"/>
      <c r="L674" s="2"/>
      <c r="M674" s="2"/>
      <c r="N674" s="2"/>
      <c r="O674" s="2"/>
      <c r="P674" s="2"/>
      <c r="Q674" s="144"/>
      <c r="R674" s="144"/>
      <c r="S674" s="144"/>
      <c r="T674" s="214"/>
      <c r="U674" s="2"/>
      <c r="V674" s="2"/>
      <c r="W674" s="2"/>
      <c r="X674" s="2"/>
      <c r="Y674" s="2"/>
      <c r="Z674" s="2"/>
    </row>
    <row r="675" ht="13.5" customHeight="1">
      <c r="A675" s="2"/>
      <c r="B675" s="2"/>
      <c r="C675" s="2"/>
      <c r="D675" s="2"/>
      <c r="E675" s="2"/>
      <c r="F675" s="2"/>
      <c r="G675" s="2"/>
      <c r="H675" s="2"/>
      <c r="I675" s="2"/>
      <c r="J675" s="2"/>
      <c r="K675" s="2"/>
      <c r="L675" s="2"/>
      <c r="M675" s="2"/>
      <c r="N675" s="2"/>
      <c r="O675" s="2"/>
      <c r="P675" s="2"/>
      <c r="Q675" s="144"/>
      <c r="R675" s="144"/>
      <c r="S675" s="144"/>
      <c r="T675" s="214"/>
      <c r="U675" s="2"/>
      <c r="V675" s="2"/>
      <c r="W675" s="2"/>
      <c r="X675" s="2"/>
      <c r="Y675" s="2"/>
      <c r="Z675" s="2"/>
    </row>
    <row r="676" ht="13.5" customHeight="1">
      <c r="A676" s="2"/>
      <c r="B676" s="2"/>
      <c r="C676" s="2"/>
      <c r="D676" s="2"/>
      <c r="E676" s="2"/>
      <c r="F676" s="2"/>
      <c r="G676" s="2"/>
      <c r="H676" s="2"/>
      <c r="I676" s="2"/>
      <c r="J676" s="2"/>
      <c r="K676" s="2"/>
      <c r="L676" s="2"/>
      <c r="M676" s="2"/>
      <c r="N676" s="2"/>
      <c r="O676" s="2"/>
      <c r="P676" s="2"/>
      <c r="Q676" s="144"/>
      <c r="R676" s="144"/>
      <c r="S676" s="144"/>
      <c r="T676" s="214"/>
      <c r="U676" s="2"/>
      <c r="V676" s="2"/>
      <c r="W676" s="2"/>
      <c r="X676" s="2"/>
      <c r="Y676" s="2"/>
      <c r="Z676" s="2"/>
    </row>
    <row r="677" ht="13.5" customHeight="1">
      <c r="A677" s="2"/>
      <c r="B677" s="2"/>
      <c r="C677" s="2"/>
      <c r="D677" s="2"/>
      <c r="E677" s="2"/>
      <c r="F677" s="2"/>
      <c r="G677" s="2"/>
      <c r="H677" s="2"/>
      <c r="I677" s="2"/>
      <c r="J677" s="2"/>
      <c r="K677" s="2"/>
      <c r="L677" s="2"/>
      <c r="M677" s="2"/>
      <c r="N677" s="2"/>
      <c r="O677" s="2"/>
      <c r="P677" s="2"/>
      <c r="Q677" s="144"/>
      <c r="R677" s="144"/>
      <c r="S677" s="144"/>
      <c r="T677" s="214"/>
      <c r="U677" s="2"/>
      <c r="V677" s="2"/>
      <c r="W677" s="2"/>
      <c r="X677" s="2"/>
      <c r="Y677" s="2"/>
      <c r="Z677" s="2"/>
    </row>
    <row r="678" ht="13.5" customHeight="1">
      <c r="A678" s="2"/>
      <c r="B678" s="2"/>
      <c r="C678" s="2"/>
      <c r="D678" s="2"/>
      <c r="E678" s="2"/>
      <c r="F678" s="2"/>
      <c r="G678" s="2"/>
      <c r="H678" s="2"/>
      <c r="I678" s="2"/>
      <c r="J678" s="2"/>
      <c r="K678" s="2"/>
      <c r="L678" s="2"/>
      <c r="M678" s="2"/>
      <c r="N678" s="2"/>
      <c r="O678" s="2"/>
      <c r="P678" s="2"/>
      <c r="Q678" s="144"/>
      <c r="R678" s="144"/>
      <c r="S678" s="144"/>
      <c r="T678" s="214"/>
      <c r="U678" s="2"/>
      <c r="V678" s="2"/>
      <c r="W678" s="2"/>
      <c r="X678" s="2"/>
      <c r="Y678" s="2"/>
      <c r="Z678" s="2"/>
    </row>
    <row r="679" ht="13.5" customHeight="1">
      <c r="A679" s="2"/>
      <c r="B679" s="2"/>
      <c r="C679" s="2"/>
      <c r="D679" s="2"/>
      <c r="E679" s="2"/>
      <c r="F679" s="2"/>
      <c r="G679" s="2"/>
      <c r="H679" s="2"/>
      <c r="I679" s="2"/>
      <c r="J679" s="2"/>
      <c r="K679" s="2"/>
      <c r="L679" s="2"/>
      <c r="M679" s="2"/>
      <c r="N679" s="2"/>
      <c r="O679" s="2"/>
      <c r="P679" s="2"/>
      <c r="Q679" s="144"/>
      <c r="R679" s="144"/>
      <c r="S679" s="144"/>
      <c r="T679" s="214"/>
      <c r="U679" s="2"/>
      <c r="V679" s="2"/>
      <c r="W679" s="2"/>
      <c r="X679" s="2"/>
      <c r="Y679" s="2"/>
      <c r="Z679" s="2"/>
    </row>
    <row r="680" ht="13.5" customHeight="1">
      <c r="A680" s="2"/>
      <c r="B680" s="2"/>
      <c r="C680" s="2"/>
      <c r="D680" s="2"/>
      <c r="E680" s="2"/>
      <c r="F680" s="2"/>
      <c r="G680" s="2"/>
      <c r="H680" s="2"/>
      <c r="I680" s="2"/>
      <c r="J680" s="2"/>
      <c r="K680" s="2"/>
      <c r="L680" s="2"/>
      <c r="M680" s="2"/>
      <c r="N680" s="2"/>
      <c r="O680" s="2"/>
      <c r="P680" s="2"/>
      <c r="Q680" s="144"/>
      <c r="R680" s="144"/>
      <c r="S680" s="144"/>
      <c r="T680" s="214"/>
      <c r="U680" s="2"/>
      <c r="V680" s="2"/>
      <c r="W680" s="2"/>
      <c r="X680" s="2"/>
      <c r="Y680" s="2"/>
      <c r="Z680" s="2"/>
    </row>
    <row r="681" ht="13.5" customHeight="1">
      <c r="A681" s="2"/>
      <c r="B681" s="2"/>
      <c r="C681" s="2"/>
      <c r="D681" s="2"/>
      <c r="E681" s="2"/>
      <c r="F681" s="2"/>
      <c r="G681" s="2"/>
      <c r="H681" s="2"/>
      <c r="I681" s="2"/>
      <c r="J681" s="2"/>
      <c r="K681" s="2"/>
      <c r="L681" s="2"/>
      <c r="M681" s="2"/>
      <c r="N681" s="2"/>
      <c r="O681" s="2"/>
      <c r="P681" s="2"/>
      <c r="Q681" s="144"/>
      <c r="R681" s="144"/>
      <c r="S681" s="144"/>
      <c r="T681" s="214"/>
      <c r="U681" s="2"/>
      <c r="V681" s="2"/>
      <c r="W681" s="2"/>
      <c r="X681" s="2"/>
      <c r="Y681" s="2"/>
      <c r="Z681" s="2"/>
    </row>
    <row r="682" ht="13.5" customHeight="1">
      <c r="A682" s="2"/>
      <c r="B682" s="2"/>
      <c r="C682" s="2"/>
      <c r="D682" s="2"/>
      <c r="E682" s="2"/>
      <c r="F682" s="2"/>
      <c r="G682" s="2"/>
      <c r="H682" s="2"/>
      <c r="I682" s="2"/>
      <c r="J682" s="2"/>
      <c r="K682" s="2"/>
      <c r="L682" s="2"/>
      <c r="M682" s="2"/>
      <c r="N682" s="2"/>
      <c r="O682" s="2"/>
      <c r="P682" s="2"/>
      <c r="Q682" s="144"/>
      <c r="R682" s="144"/>
      <c r="S682" s="144"/>
      <c r="T682" s="214"/>
      <c r="U682" s="2"/>
      <c r="V682" s="2"/>
      <c r="W682" s="2"/>
      <c r="X682" s="2"/>
      <c r="Y682" s="2"/>
      <c r="Z682" s="2"/>
    </row>
    <row r="683" ht="13.5" customHeight="1">
      <c r="A683" s="2"/>
      <c r="B683" s="2"/>
      <c r="C683" s="2"/>
      <c r="D683" s="2"/>
      <c r="E683" s="2"/>
      <c r="F683" s="2"/>
      <c r="G683" s="2"/>
      <c r="H683" s="2"/>
      <c r="I683" s="2"/>
      <c r="J683" s="2"/>
      <c r="K683" s="2"/>
      <c r="L683" s="2"/>
      <c r="M683" s="2"/>
      <c r="N683" s="2"/>
      <c r="O683" s="2"/>
      <c r="P683" s="2"/>
      <c r="Q683" s="144"/>
      <c r="R683" s="144"/>
      <c r="S683" s="144"/>
      <c r="T683" s="214"/>
      <c r="U683" s="2"/>
      <c r="V683" s="2"/>
      <c r="W683" s="2"/>
      <c r="X683" s="2"/>
      <c r="Y683" s="2"/>
      <c r="Z683" s="2"/>
    </row>
    <row r="684" ht="13.5" customHeight="1">
      <c r="A684" s="2"/>
      <c r="B684" s="2"/>
      <c r="C684" s="2"/>
      <c r="D684" s="2"/>
      <c r="E684" s="2"/>
      <c r="F684" s="2"/>
      <c r="G684" s="2"/>
      <c r="H684" s="2"/>
      <c r="I684" s="2"/>
      <c r="J684" s="2"/>
      <c r="K684" s="2"/>
      <c r="L684" s="2"/>
      <c r="M684" s="2"/>
      <c r="N684" s="2"/>
      <c r="O684" s="2"/>
      <c r="P684" s="2"/>
      <c r="Q684" s="144"/>
      <c r="R684" s="144"/>
      <c r="S684" s="144"/>
      <c r="T684" s="214"/>
      <c r="U684" s="2"/>
      <c r="V684" s="2"/>
      <c r="W684" s="2"/>
      <c r="X684" s="2"/>
      <c r="Y684" s="2"/>
      <c r="Z684" s="2"/>
    </row>
    <row r="685" ht="13.5" customHeight="1">
      <c r="A685" s="2"/>
      <c r="B685" s="2"/>
      <c r="C685" s="2"/>
      <c r="D685" s="2"/>
      <c r="E685" s="2"/>
      <c r="F685" s="2"/>
      <c r="G685" s="2"/>
      <c r="H685" s="2"/>
      <c r="I685" s="2"/>
      <c r="J685" s="2"/>
      <c r="K685" s="2"/>
      <c r="L685" s="2"/>
      <c r="M685" s="2"/>
      <c r="N685" s="2"/>
      <c r="O685" s="2"/>
      <c r="P685" s="2"/>
      <c r="Q685" s="144"/>
      <c r="R685" s="144"/>
      <c r="S685" s="144"/>
      <c r="T685" s="214"/>
      <c r="U685" s="2"/>
      <c r="V685" s="2"/>
      <c r="W685" s="2"/>
      <c r="X685" s="2"/>
      <c r="Y685" s="2"/>
      <c r="Z685" s="2"/>
    </row>
    <row r="686" ht="13.5" customHeight="1">
      <c r="A686" s="2"/>
      <c r="B686" s="2"/>
      <c r="C686" s="2"/>
      <c r="D686" s="2"/>
      <c r="E686" s="2"/>
      <c r="F686" s="2"/>
      <c r="G686" s="2"/>
      <c r="H686" s="2"/>
      <c r="I686" s="2"/>
      <c r="J686" s="2"/>
      <c r="K686" s="2"/>
      <c r="L686" s="2"/>
      <c r="M686" s="2"/>
      <c r="N686" s="2"/>
      <c r="O686" s="2"/>
      <c r="P686" s="2"/>
      <c r="Q686" s="144"/>
      <c r="R686" s="144"/>
      <c r="S686" s="144"/>
      <c r="T686" s="214"/>
      <c r="U686" s="2"/>
      <c r="V686" s="2"/>
      <c r="W686" s="2"/>
      <c r="X686" s="2"/>
      <c r="Y686" s="2"/>
      <c r="Z686" s="2"/>
    </row>
    <row r="687" ht="13.5" customHeight="1">
      <c r="A687" s="2"/>
      <c r="B687" s="2"/>
      <c r="C687" s="2"/>
      <c r="D687" s="2"/>
      <c r="E687" s="2"/>
      <c r="F687" s="2"/>
      <c r="G687" s="2"/>
      <c r="H687" s="2"/>
      <c r="I687" s="2"/>
      <c r="J687" s="2"/>
      <c r="K687" s="2"/>
      <c r="L687" s="2"/>
      <c r="M687" s="2"/>
      <c r="N687" s="2"/>
      <c r="O687" s="2"/>
      <c r="P687" s="2"/>
      <c r="Q687" s="144"/>
      <c r="R687" s="144"/>
      <c r="S687" s="144"/>
      <c r="T687" s="214"/>
      <c r="U687" s="2"/>
      <c r="V687" s="2"/>
      <c r="W687" s="2"/>
      <c r="X687" s="2"/>
      <c r="Y687" s="2"/>
      <c r="Z687" s="2"/>
    </row>
    <row r="688" ht="13.5" customHeight="1">
      <c r="A688" s="2"/>
      <c r="B688" s="2"/>
      <c r="C688" s="2"/>
      <c r="D688" s="2"/>
      <c r="E688" s="2"/>
      <c r="F688" s="2"/>
      <c r="G688" s="2"/>
      <c r="H688" s="2"/>
      <c r="I688" s="2"/>
      <c r="J688" s="2"/>
      <c r="K688" s="2"/>
      <c r="L688" s="2"/>
      <c r="M688" s="2"/>
      <c r="N688" s="2"/>
      <c r="O688" s="2"/>
      <c r="P688" s="2"/>
      <c r="Q688" s="144"/>
      <c r="R688" s="144"/>
      <c r="S688" s="144"/>
      <c r="T688" s="214"/>
      <c r="U688" s="2"/>
      <c r="V688" s="2"/>
      <c r="W688" s="2"/>
      <c r="X688" s="2"/>
      <c r="Y688" s="2"/>
      <c r="Z688" s="2"/>
    </row>
    <row r="689" ht="13.5" customHeight="1">
      <c r="A689" s="2"/>
      <c r="B689" s="2"/>
      <c r="C689" s="2"/>
      <c r="D689" s="2"/>
      <c r="E689" s="2"/>
      <c r="F689" s="2"/>
      <c r="G689" s="2"/>
      <c r="H689" s="2"/>
      <c r="I689" s="2"/>
      <c r="J689" s="2"/>
      <c r="K689" s="2"/>
      <c r="L689" s="2"/>
      <c r="M689" s="2"/>
      <c r="N689" s="2"/>
      <c r="O689" s="2"/>
      <c r="P689" s="2"/>
      <c r="Q689" s="144"/>
      <c r="R689" s="144"/>
      <c r="S689" s="144"/>
      <c r="T689" s="214"/>
      <c r="U689" s="2"/>
      <c r="V689" s="2"/>
      <c r="W689" s="2"/>
      <c r="X689" s="2"/>
      <c r="Y689" s="2"/>
      <c r="Z689" s="2"/>
    </row>
    <row r="690" ht="13.5" customHeight="1">
      <c r="A690" s="2"/>
      <c r="B690" s="2"/>
      <c r="C690" s="2"/>
      <c r="D690" s="2"/>
      <c r="E690" s="2"/>
      <c r="F690" s="2"/>
      <c r="G690" s="2"/>
      <c r="H690" s="2"/>
      <c r="I690" s="2"/>
      <c r="J690" s="2"/>
      <c r="K690" s="2"/>
      <c r="L690" s="2"/>
      <c r="M690" s="2"/>
      <c r="N690" s="2"/>
      <c r="O690" s="2"/>
      <c r="P690" s="2"/>
      <c r="Q690" s="144"/>
      <c r="R690" s="144"/>
      <c r="S690" s="144"/>
      <c r="T690" s="214"/>
      <c r="U690" s="2"/>
      <c r="V690" s="2"/>
      <c r="W690" s="2"/>
      <c r="X690" s="2"/>
      <c r="Y690" s="2"/>
      <c r="Z690" s="2"/>
    </row>
    <row r="691" ht="13.5" customHeight="1">
      <c r="A691" s="2"/>
      <c r="B691" s="2"/>
      <c r="C691" s="2"/>
      <c r="D691" s="2"/>
      <c r="E691" s="2"/>
      <c r="F691" s="2"/>
      <c r="G691" s="2"/>
      <c r="H691" s="2"/>
      <c r="I691" s="2"/>
      <c r="J691" s="2"/>
      <c r="K691" s="2"/>
      <c r="L691" s="2"/>
      <c r="M691" s="2"/>
      <c r="N691" s="2"/>
      <c r="O691" s="2"/>
      <c r="P691" s="2"/>
      <c r="Q691" s="144"/>
      <c r="R691" s="144"/>
      <c r="S691" s="144"/>
      <c r="T691" s="214"/>
      <c r="U691" s="2"/>
      <c r="V691" s="2"/>
      <c r="W691" s="2"/>
      <c r="X691" s="2"/>
      <c r="Y691" s="2"/>
      <c r="Z691" s="2"/>
    </row>
    <row r="692" ht="13.5" customHeight="1">
      <c r="A692" s="2"/>
      <c r="B692" s="2"/>
      <c r="C692" s="2"/>
      <c r="D692" s="2"/>
      <c r="E692" s="2"/>
      <c r="F692" s="2"/>
      <c r="G692" s="2"/>
      <c r="H692" s="2"/>
      <c r="I692" s="2"/>
      <c r="J692" s="2"/>
      <c r="K692" s="2"/>
      <c r="L692" s="2"/>
      <c r="M692" s="2"/>
      <c r="N692" s="2"/>
      <c r="O692" s="2"/>
      <c r="P692" s="2"/>
      <c r="Q692" s="144"/>
      <c r="R692" s="144"/>
      <c r="S692" s="144"/>
      <c r="T692" s="214"/>
      <c r="U692" s="2"/>
      <c r="V692" s="2"/>
      <c r="W692" s="2"/>
      <c r="X692" s="2"/>
      <c r="Y692" s="2"/>
      <c r="Z692" s="2"/>
    </row>
    <row r="693" ht="13.5" customHeight="1">
      <c r="A693" s="2"/>
      <c r="B693" s="2"/>
      <c r="C693" s="2"/>
      <c r="D693" s="2"/>
      <c r="E693" s="2"/>
      <c r="F693" s="2"/>
      <c r="G693" s="2"/>
      <c r="H693" s="2"/>
      <c r="I693" s="2"/>
      <c r="J693" s="2"/>
      <c r="K693" s="2"/>
      <c r="L693" s="2"/>
      <c r="M693" s="2"/>
      <c r="N693" s="2"/>
      <c r="O693" s="2"/>
      <c r="P693" s="2"/>
      <c r="Q693" s="144"/>
      <c r="R693" s="144"/>
      <c r="S693" s="144"/>
      <c r="T693" s="214"/>
      <c r="U693" s="2"/>
      <c r="V693" s="2"/>
      <c r="W693" s="2"/>
      <c r="X693" s="2"/>
      <c r="Y693" s="2"/>
      <c r="Z693" s="2"/>
    </row>
    <row r="694" ht="13.5" customHeight="1">
      <c r="A694" s="2"/>
      <c r="B694" s="2"/>
      <c r="C694" s="2"/>
      <c r="D694" s="2"/>
      <c r="E694" s="2"/>
      <c r="F694" s="2"/>
      <c r="G694" s="2"/>
      <c r="H694" s="2"/>
      <c r="I694" s="2"/>
      <c r="J694" s="2"/>
      <c r="K694" s="2"/>
      <c r="L694" s="2"/>
      <c r="M694" s="2"/>
      <c r="N694" s="2"/>
      <c r="O694" s="2"/>
      <c r="P694" s="2"/>
      <c r="Q694" s="144"/>
      <c r="R694" s="144"/>
      <c r="S694" s="144"/>
      <c r="T694" s="214"/>
      <c r="U694" s="2"/>
      <c r="V694" s="2"/>
      <c r="W694" s="2"/>
      <c r="X694" s="2"/>
      <c r="Y694" s="2"/>
      <c r="Z694" s="2"/>
    </row>
    <row r="695" ht="13.5" customHeight="1">
      <c r="A695" s="2"/>
      <c r="B695" s="2"/>
      <c r="C695" s="2"/>
      <c r="D695" s="2"/>
      <c r="E695" s="2"/>
      <c r="F695" s="2"/>
      <c r="G695" s="2"/>
      <c r="H695" s="2"/>
      <c r="I695" s="2"/>
      <c r="J695" s="2"/>
      <c r="K695" s="2"/>
      <c r="L695" s="2"/>
      <c r="M695" s="2"/>
      <c r="N695" s="2"/>
      <c r="O695" s="2"/>
      <c r="P695" s="2"/>
      <c r="Q695" s="144"/>
      <c r="R695" s="144"/>
      <c r="S695" s="144"/>
      <c r="T695" s="214"/>
      <c r="U695" s="2"/>
      <c r="V695" s="2"/>
      <c r="W695" s="2"/>
      <c r="X695" s="2"/>
      <c r="Y695" s="2"/>
      <c r="Z695" s="2"/>
    </row>
    <row r="696" ht="13.5" customHeight="1">
      <c r="A696" s="2"/>
      <c r="B696" s="2"/>
      <c r="C696" s="2"/>
      <c r="D696" s="2"/>
      <c r="E696" s="2"/>
      <c r="F696" s="2"/>
      <c r="G696" s="2"/>
      <c r="H696" s="2"/>
      <c r="I696" s="2"/>
      <c r="J696" s="2"/>
      <c r="K696" s="2"/>
      <c r="L696" s="2"/>
      <c r="M696" s="2"/>
      <c r="N696" s="2"/>
      <c r="O696" s="2"/>
      <c r="P696" s="2"/>
      <c r="Q696" s="144"/>
      <c r="R696" s="144"/>
      <c r="S696" s="144"/>
      <c r="T696" s="214"/>
      <c r="U696" s="2"/>
      <c r="V696" s="2"/>
      <c r="W696" s="2"/>
      <c r="X696" s="2"/>
      <c r="Y696" s="2"/>
      <c r="Z696" s="2"/>
    </row>
    <row r="697" ht="13.5" customHeight="1">
      <c r="A697" s="2"/>
      <c r="B697" s="2"/>
      <c r="C697" s="2"/>
      <c r="D697" s="2"/>
      <c r="E697" s="2"/>
      <c r="F697" s="2"/>
      <c r="G697" s="2"/>
      <c r="H697" s="2"/>
      <c r="I697" s="2"/>
      <c r="J697" s="2"/>
      <c r="K697" s="2"/>
      <c r="L697" s="2"/>
      <c r="M697" s="2"/>
      <c r="N697" s="2"/>
      <c r="O697" s="2"/>
      <c r="P697" s="2"/>
      <c r="Q697" s="144"/>
      <c r="R697" s="144"/>
      <c r="S697" s="144"/>
      <c r="T697" s="214"/>
      <c r="U697" s="2"/>
      <c r="V697" s="2"/>
      <c r="W697" s="2"/>
      <c r="X697" s="2"/>
      <c r="Y697" s="2"/>
      <c r="Z697" s="2"/>
    </row>
    <row r="698" ht="13.5" customHeight="1">
      <c r="A698" s="2"/>
      <c r="B698" s="2"/>
      <c r="C698" s="2"/>
      <c r="D698" s="2"/>
      <c r="E698" s="2"/>
      <c r="F698" s="2"/>
      <c r="G698" s="2"/>
      <c r="H698" s="2"/>
      <c r="I698" s="2"/>
      <c r="J698" s="2"/>
      <c r="K698" s="2"/>
      <c r="L698" s="2"/>
      <c r="M698" s="2"/>
      <c r="N698" s="2"/>
      <c r="O698" s="2"/>
      <c r="P698" s="2"/>
      <c r="Q698" s="144"/>
      <c r="R698" s="144"/>
      <c r="S698" s="144"/>
      <c r="T698" s="214"/>
      <c r="U698" s="2"/>
      <c r="V698" s="2"/>
      <c r="W698" s="2"/>
      <c r="X698" s="2"/>
      <c r="Y698" s="2"/>
      <c r="Z698" s="2"/>
    </row>
    <row r="699" ht="13.5" customHeight="1">
      <c r="A699" s="2"/>
      <c r="B699" s="2"/>
      <c r="C699" s="2"/>
      <c r="D699" s="2"/>
      <c r="E699" s="2"/>
      <c r="F699" s="2"/>
      <c r="G699" s="2"/>
      <c r="H699" s="2"/>
      <c r="I699" s="2"/>
      <c r="J699" s="2"/>
      <c r="K699" s="2"/>
      <c r="L699" s="2"/>
      <c r="M699" s="2"/>
      <c r="N699" s="2"/>
      <c r="O699" s="2"/>
      <c r="P699" s="2"/>
      <c r="Q699" s="144"/>
      <c r="R699" s="144"/>
      <c r="S699" s="144"/>
      <c r="T699" s="214"/>
      <c r="U699" s="2"/>
      <c r="V699" s="2"/>
      <c r="W699" s="2"/>
      <c r="X699" s="2"/>
      <c r="Y699" s="2"/>
      <c r="Z699" s="2"/>
    </row>
    <row r="700" ht="13.5" customHeight="1">
      <c r="A700" s="2"/>
      <c r="B700" s="2"/>
      <c r="C700" s="2"/>
      <c r="D700" s="2"/>
      <c r="E700" s="2"/>
      <c r="F700" s="2"/>
      <c r="G700" s="2"/>
      <c r="H700" s="2"/>
      <c r="I700" s="2"/>
      <c r="J700" s="2"/>
      <c r="K700" s="2"/>
      <c r="L700" s="2"/>
      <c r="M700" s="2"/>
      <c r="N700" s="2"/>
      <c r="O700" s="2"/>
      <c r="P700" s="2"/>
      <c r="Q700" s="144"/>
      <c r="R700" s="144"/>
      <c r="S700" s="144"/>
      <c r="T700" s="214"/>
      <c r="U700" s="2"/>
      <c r="V700" s="2"/>
      <c r="W700" s="2"/>
      <c r="X700" s="2"/>
      <c r="Y700" s="2"/>
      <c r="Z700" s="2"/>
    </row>
    <row r="701" ht="13.5" customHeight="1">
      <c r="A701" s="2"/>
      <c r="B701" s="2"/>
      <c r="C701" s="2"/>
      <c r="D701" s="2"/>
      <c r="E701" s="2"/>
      <c r="F701" s="2"/>
      <c r="G701" s="2"/>
      <c r="H701" s="2"/>
      <c r="I701" s="2"/>
      <c r="J701" s="2"/>
      <c r="K701" s="2"/>
      <c r="L701" s="2"/>
      <c r="M701" s="2"/>
      <c r="N701" s="2"/>
      <c r="O701" s="2"/>
      <c r="P701" s="2"/>
      <c r="Q701" s="144"/>
      <c r="R701" s="144"/>
      <c r="S701" s="144"/>
      <c r="T701" s="214"/>
      <c r="U701" s="2"/>
      <c r="V701" s="2"/>
      <c r="W701" s="2"/>
      <c r="X701" s="2"/>
      <c r="Y701" s="2"/>
      <c r="Z701" s="2"/>
    </row>
    <row r="702" ht="13.5" customHeight="1">
      <c r="A702" s="2"/>
      <c r="B702" s="2"/>
      <c r="C702" s="2"/>
      <c r="D702" s="2"/>
      <c r="E702" s="2"/>
      <c r="F702" s="2"/>
      <c r="G702" s="2"/>
      <c r="H702" s="2"/>
      <c r="I702" s="2"/>
      <c r="J702" s="2"/>
      <c r="K702" s="2"/>
      <c r="L702" s="2"/>
      <c r="M702" s="2"/>
      <c r="N702" s="2"/>
      <c r="O702" s="2"/>
      <c r="P702" s="2"/>
      <c r="Q702" s="144"/>
      <c r="R702" s="144"/>
      <c r="S702" s="144"/>
      <c r="T702" s="214"/>
      <c r="U702" s="2"/>
      <c r="V702" s="2"/>
      <c r="W702" s="2"/>
      <c r="X702" s="2"/>
      <c r="Y702" s="2"/>
      <c r="Z702" s="2"/>
    </row>
    <row r="703" ht="13.5" customHeight="1">
      <c r="A703" s="2"/>
      <c r="B703" s="2"/>
      <c r="C703" s="2"/>
      <c r="D703" s="2"/>
      <c r="E703" s="2"/>
      <c r="F703" s="2"/>
      <c r="G703" s="2"/>
      <c r="H703" s="2"/>
      <c r="I703" s="2"/>
      <c r="J703" s="2"/>
      <c r="K703" s="2"/>
      <c r="L703" s="2"/>
      <c r="M703" s="2"/>
      <c r="N703" s="2"/>
      <c r="O703" s="2"/>
      <c r="P703" s="2"/>
      <c r="Q703" s="144"/>
      <c r="R703" s="144"/>
      <c r="S703" s="144"/>
      <c r="T703" s="214"/>
      <c r="U703" s="2"/>
      <c r="V703" s="2"/>
      <c r="W703" s="2"/>
      <c r="X703" s="2"/>
      <c r="Y703" s="2"/>
      <c r="Z703" s="2"/>
    </row>
    <row r="704" ht="13.5" customHeight="1">
      <c r="A704" s="2"/>
      <c r="B704" s="2"/>
      <c r="C704" s="2"/>
      <c r="D704" s="2"/>
      <c r="E704" s="2"/>
      <c r="F704" s="2"/>
      <c r="G704" s="2"/>
      <c r="H704" s="2"/>
      <c r="I704" s="2"/>
      <c r="J704" s="2"/>
      <c r="K704" s="2"/>
      <c r="L704" s="2"/>
      <c r="M704" s="2"/>
      <c r="N704" s="2"/>
      <c r="O704" s="2"/>
      <c r="P704" s="2"/>
      <c r="Q704" s="144"/>
      <c r="R704" s="144"/>
      <c r="S704" s="144"/>
      <c r="T704" s="214"/>
      <c r="U704" s="2"/>
      <c r="V704" s="2"/>
      <c r="W704" s="2"/>
      <c r="X704" s="2"/>
      <c r="Y704" s="2"/>
      <c r="Z704" s="2"/>
    </row>
    <row r="705" ht="13.5" customHeight="1">
      <c r="A705" s="2"/>
      <c r="B705" s="2"/>
      <c r="C705" s="2"/>
      <c r="D705" s="2"/>
      <c r="E705" s="2"/>
      <c r="F705" s="2"/>
      <c r="G705" s="2"/>
      <c r="H705" s="2"/>
      <c r="I705" s="2"/>
      <c r="J705" s="2"/>
      <c r="K705" s="2"/>
      <c r="L705" s="2"/>
      <c r="M705" s="2"/>
      <c r="N705" s="2"/>
      <c r="O705" s="2"/>
      <c r="P705" s="2"/>
      <c r="Q705" s="144"/>
      <c r="R705" s="144"/>
      <c r="S705" s="144"/>
      <c r="T705" s="214"/>
      <c r="U705" s="2"/>
      <c r="V705" s="2"/>
      <c r="W705" s="2"/>
      <c r="X705" s="2"/>
      <c r="Y705" s="2"/>
      <c r="Z705" s="2"/>
    </row>
    <row r="706" ht="13.5" customHeight="1">
      <c r="A706" s="2"/>
      <c r="B706" s="2"/>
      <c r="C706" s="2"/>
      <c r="D706" s="2"/>
      <c r="E706" s="2"/>
      <c r="F706" s="2"/>
      <c r="G706" s="2"/>
      <c r="H706" s="2"/>
      <c r="I706" s="2"/>
      <c r="J706" s="2"/>
      <c r="K706" s="2"/>
      <c r="L706" s="2"/>
      <c r="M706" s="2"/>
      <c r="N706" s="2"/>
      <c r="O706" s="2"/>
      <c r="P706" s="2"/>
      <c r="Q706" s="144"/>
      <c r="R706" s="144"/>
      <c r="S706" s="144"/>
      <c r="T706" s="214"/>
      <c r="U706" s="2"/>
      <c r="V706" s="2"/>
      <c r="W706" s="2"/>
      <c r="X706" s="2"/>
      <c r="Y706" s="2"/>
      <c r="Z706" s="2"/>
    </row>
    <row r="707" ht="13.5" customHeight="1">
      <c r="A707" s="2"/>
      <c r="B707" s="2"/>
      <c r="C707" s="2"/>
      <c r="D707" s="2"/>
      <c r="E707" s="2"/>
      <c r="F707" s="2"/>
      <c r="G707" s="2"/>
      <c r="H707" s="2"/>
      <c r="I707" s="2"/>
      <c r="J707" s="2"/>
      <c r="K707" s="2"/>
      <c r="L707" s="2"/>
      <c r="M707" s="2"/>
      <c r="N707" s="2"/>
      <c r="O707" s="2"/>
      <c r="P707" s="2"/>
      <c r="Q707" s="144"/>
      <c r="R707" s="144"/>
      <c r="S707" s="144"/>
      <c r="T707" s="214"/>
      <c r="U707" s="2"/>
      <c r="V707" s="2"/>
      <c r="W707" s="2"/>
      <c r="X707" s="2"/>
      <c r="Y707" s="2"/>
      <c r="Z707" s="2"/>
    </row>
    <row r="708" ht="13.5" customHeight="1">
      <c r="A708" s="2"/>
      <c r="B708" s="2"/>
      <c r="C708" s="2"/>
      <c r="D708" s="2"/>
      <c r="E708" s="2"/>
      <c r="F708" s="2"/>
      <c r="G708" s="2"/>
      <c r="H708" s="2"/>
      <c r="I708" s="2"/>
      <c r="J708" s="2"/>
      <c r="K708" s="2"/>
      <c r="L708" s="2"/>
      <c r="M708" s="2"/>
      <c r="N708" s="2"/>
      <c r="O708" s="2"/>
      <c r="P708" s="2"/>
      <c r="Q708" s="144"/>
      <c r="R708" s="144"/>
      <c r="S708" s="144"/>
      <c r="T708" s="214"/>
      <c r="U708" s="2"/>
      <c r="V708" s="2"/>
      <c r="W708" s="2"/>
      <c r="X708" s="2"/>
      <c r="Y708" s="2"/>
      <c r="Z708" s="2"/>
    </row>
    <row r="709" ht="13.5" customHeight="1">
      <c r="A709" s="2"/>
      <c r="B709" s="2"/>
      <c r="C709" s="2"/>
      <c r="D709" s="2"/>
      <c r="E709" s="2"/>
      <c r="F709" s="2"/>
      <c r="G709" s="2"/>
      <c r="H709" s="2"/>
      <c r="I709" s="2"/>
      <c r="J709" s="2"/>
      <c r="K709" s="2"/>
      <c r="L709" s="2"/>
      <c r="M709" s="2"/>
      <c r="N709" s="2"/>
      <c r="O709" s="2"/>
      <c r="P709" s="2"/>
      <c r="Q709" s="144"/>
      <c r="R709" s="144"/>
      <c r="S709" s="144"/>
      <c r="T709" s="214"/>
      <c r="U709" s="2"/>
      <c r="V709" s="2"/>
      <c r="W709" s="2"/>
      <c r="X709" s="2"/>
      <c r="Y709" s="2"/>
      <c r="Z709" s="2"/>
    </row>
    <row r="710" ht="13.5" customHeight="1">
      <c r="A710" s="2"/>
      <c r="B710" s="2"/>
      <c r="C710" s="2"/>
      <c r="D710" s="2"/>
      <c r="E710" s="2"/>
      <c r="F710" s="2"/>
      <c r="G710" s="2"/>
      <c r="H710" s="2"/>
      <c r="I710" s="2"/>
      <c r="J710" s="2"/>
      <c r="K710" s="2"/>
      <c r="L710" s="2"/>
      <c r="M710" s="2"/>
      <c r="N710" s="2"/>
      <c r="O710" s="2"/>
      <c r="P710" s="2"/>
      <c r="Q710" s="144"/>
      <c r="R710" s="144"/>
      <c r="S710" s="144"/>
      <c r="T710" s="214"/>
      <c r="U710" s="2"/>
      <c r="V710" s="2"/>
      <c r="W710" s="2"/>
      <c r="X710" s="2"/>
      <c r="Y710" s="2"/>
      <c r="Z710" s="2"/>
    </row>
    <row r="711" ht="13.5" customHeight="1">
      <c r="A711" s="2"/>
      <c r="B711" s="2"/>
      <c r="C711" s="2"/>
      <c r="D711" s="2"/>
      <c r="E711" s="2"/>
      <c r="F711" s="2"/>
      <c r="G711" s="2"/>
      <c r="H711" s="2"/>
      <c r="I711" s="2"/>
      <c r="J711" s="2"/>
      <c r="K711" s="2"/>
      <c r="L711" s="2"/>
      <c r="M711" s="2"/>
      <c r="N711" s="2"/>
      <c r="O711" s="2"/>
      <c r="P711" s="2"/>
      <c r="Q711" s="144"/>
      <c r="R711" s="144"/>
      <c r="S711" s="144"/>
      <c r="T711" s="214"/>
      <c r="U711" s="2"/>
      <c r="V711" s="2"/>
      <c r="W711" s="2"/>
      <c r="X711" s="2"/>
      <c r="Y711" s="2"/>
      <c r="Z711" s="2"/>
    </row>
    <row r="712" ht="13.5" customHeight="1">
      <c r="A712" s="2"/>
      <c r="B712" s="2"/>
      <c r="C712" s="2"/>
      <c r="D712" s="2"/>
      <c r="E712" s="2"/>
      <c r="F712" s="2"/>
      <c r="G712" s="2"/>
      <c r="H712" s="2"/>
      <c r="I712" s="2"/>
      <c r="J712" s="2"/>
      <c r="K712" s="2"/>
      <c r="L712" s="2"/>
      <c r="M712" s="2"/>
      <c r="N712" s="2"/>
      <c r="O712" s="2"/>
      <c r="P712" s="2"/>
      <c r="Q712" s="144"/>
      <c r="R712" s="144"/>
      <c r="S712" s="144"/>
      <c r="T712" s="214"/>
      <c r="U712" s="2"/>
      <c r="V712" s="2"/>
      <c r="W712" s="2"/>
      <c r="X712" s="2"/>
      <c r="Y712" s="2"/>
      <c r="Z712" s="2"/>
    </row>
    <row r="713" ht="13.5" customHeight="1">
      <c r="A713" s="2"/>
      <c r="B713" s="2"/>
      <c r="C713" s="2"/>
      <c r="D713" s="2"/>
      <c r="E713" s="2"/>
      <c r="F713" s="2"/>
      <c r="G713" s="2"/>
      <c r="H713" s="2"/>
      <c r="I713" s="2"/>
      <c r="J713" s="2"/>
      <c r="K713" s="2"/>
      <c r="L713" s="2"/>
      <c r="M713" s="2"/>
      <c r="N713" s="2"/>
      <c r="O713" s="2"/>
      <c r="P713" s="2"/>
      <c r="Q713" s="144"/>
      <c r="R713" s="144"/>
      <c r="S713" s="144"/>
      <c r="T713" s="214"/>
      <c r="U713" s="2"/>
      <c r="V713" s="2"/>
      <c r="W713" s="2"/>
      <c r="X713" s="2"/>
      <c r="Y713" s="2"/>
      <c r="Z713" s="2"/>
    </row>
    <row r="714" ht="13.5" customHeight="1">
      <c r="A714" s="2"/>
      <c r="B714" s="2"/>
      <c r="C714" s="2"/>
      <c r="D714" s="2"/>
      <c r="E714" s="2"/>
      <c r="F714" s="2"/>
      <c r="G714" s="2"/>
      <c r="H714" s="2"/>
      <c r="I714" s="2"/>
      <c r="J714" s="2"/>
      <c r="K714" s="2"/>
      <c r="L714" s="2"/>
      <c r="M714" s="2"/>
      <c r="N714" s="2"/>
      <c r="O714" s="2"/>
      <c r="P714" s="2"/>
      <c r="Q714" s="144"/>
      <c r="R714" s="144"/>
      <c r="S714" s="144"/>
      <c r="T714" s="214"/>
      <c r="U714" s="2"/>
      <c r="V714" s="2"/>
      <c r="W714" s="2"/>
      <c r="X714" s="2"/>
      <c r="Y714" s="2"/>
      <c r="Z714" s="2"/>
    </row>
    <row r="715" ht="13.5" customHeight="1">
      <c r="A715" s="2"/>
      <c r="B715" s="2"/>
      <c r="C715" s="2"/>
      <c r="D715" s="2"/>
      <c r="E715" s="2"/>
      <c r="F715" s="2"/>
      <c r="G715" s="2"/>
      <c r="H715" s="2"/>
      <c r="I715" s="2"/>
      <c r="J715" s="2"/>
      <c r="K715" s="2"/>
      <c r="L715" s="2"/>
      <c r="M715" s="2"/>
      <c r="N715" s="2"/>
      <c r="O715" s="2"/>
      <c r="P715" s="2"/>
      <c r="Q715" s="144"/>
      <c r="R715" s="144"/>
      <c r="S715" s="144"/>
      <c r="T715" s="214"/>
      <c r="U715" s="2"/>
      <c r="V715" s="2"/>
      <c r="W715" s="2"/>
      <c r="X715" s="2"/>
      <c r="Y715" s="2"/>
      <c r="Z715" s="2"/>
    </row>
    <row r="716" ht="13.5" customHeight="1">
      <c r="A716" s="2"/>
      <c r="B716" s="2"/>
      <c r="C716" s="2"/>
      <c r="D716" s="2"/>
      <c r="E716" s="2"/>
      <c r="F716" s="2"/>
      <c r="G716" s="2"/>
      <c r="H716" s="2"/>
      <c r="I716" s="2"/>
      <c r="J716" s="2"/>
      <c r="K716" s="2"/>
      <c r="L716" s="2"/>
      <c r="M716" s="2"/>
      <c r="N716" s="2"/>
      <c r="O716" s="2"/>
      <c r="P716" s="2"/>
      <c r="Q716" s="144"/>
      <c r="R716" s="144"/>
      <c r="S716" s="144"/>
      <c r="T716" s="214"/>
      <c r="U716" s="2"/>
      <c r="V716" s="2"/>
      <c r="W716" s="2"/>
      <c r="X716" s="2"/>
      <c r="Y716" s="2"/>
      <c r="Z716" s="2"/>
    </row>
    <row r="717" ht="13.5" customHeight="1">
      <c r="A717" s="2"/>
      <c r="B717" s="2"/>
      <c r="C717" s="2"/>
      <c r="D717" s="2"/>
      <c r="E717" s="2"/>
      <c r="F717" s="2"/>
      <c r="G717" s="2"/>
      <c r="H717" s="2"/>
      <c r="I717" s="2"/>
      <c r="J717" s="2"/>
      <c r="K717" s="2"/>
      <c r="L717" s="2"/>
      <c r="M717" s="2"/>
      <c r="N717" s="2"/>
      <c r="O717" s="2"/>
      <c r="P717" s="2"/>
      <c r="Q717" s="144"/>
      <c r="R717" s="144"/>
      <c r="S717" s="144"/>
      <c r="T717" s="214"/>
      <c r="U717" s="2"/>
      <c r="V717" s="2"/>
      <c r="W717" s="2"/>
      <c r="X717" s="2"/>
      <c r="Y717" s="2"/>
      <c r="Z717" s="2"/>
    </row>
    <row r="718" ht="13.5" customHeight="1">
      <c r="A718" s="2"/>
      <c r="B718" s="2"/>
      <c r="C718" s="2"/>
      <c r="D718" s="2"/>
      <c r="E718" s="2"/>
      <c r="F718" s="2"/>
      <c r="G718" s="2"/>
      <c r="H718" s="2"/>
      <c r="I718" s="2"/>
      <c r="J718" s="2"/>
      <c r="K718" s="2"/>
      <c r="L718" s="2"/>
      <c r="M718" s="2"/>
      <c r="N718" s="2"/>
      <c r="O718" s="2"/>
      <c r="P718" s="2"/>
      <c r="Q718" s="144"/>
      <c r="R718" s="144"/>
      <c r="S718" s="144"/>
      <c r="T718" s="214"/>
      <c r="U718" s="2"/>
      <c r="V718" s="2"/>
      <c r="W718" s="2"/>
      <c r="X718" s="2"/>
      <c r="Y718" s="2"/>
      <c r="Z718" s="2"/>
    </row>
    <row r="719" ht="13.5" customHeight="1">
      <c r="A719" s="2"/>
      <c r="B719" s="2"/>
      <c r="C719" s="2"/>
      <c r="D719" s="2"/>
      <c r="E719" s="2"/>
      <c r="F719" s="2"/>
      <c r="G719" s="2"/>
      <c r="H719" s="2"/>
      <c r="I719" s="2"/>
      <c r="J719" s="2"/>
      <c r="K719" s="2"/>
      <c r="L719" s="2"/>
      <c r="M719" s="2"/>
      <c r="N719" s="2"/>
      <c r="O719" s="2"/>
      <c r="P719" s="2"/>
      <c r="Q719" s="144"/>
      <c r="R719" s="144"/>
      <c r="S719" s="144"/>
      <c r="T719" s="214"/>
      <c r="U719" s="2"/>
      <c r="V719" s="2"/>
      <c r="W719" s="2"/>
      <c r="X719" s="2"/>
      <c r="Y719" s="2"/>
      <c r="Z719" s="2"/>
    </row>
    <row r="720" ht="13.5" customHeight="1">
      <c r="A720" s="2"/>
      <c r="B720" s="2"/>
      <c r="C720" s="2"/>
      <c r="D720" s="2"/>
      <c r="E720" s="2"/>
      <c r="F720" s="2"/>
      <c r="G720" s="2"/>
      <c r="H720" s="2"/>
      <c r="I720" s="2"/>
      <c r="J720" s="2"/>
      <c r="K720" s="2"/>
      <c r="L720" s="2"/>
      <c r="M720" s="2"/>
      <c r="N720" s="2"/>
      <c r="O720" s="2"/>
      <c r="P720" s="2"/>
      <c r="Q720" s="144"/>
      <c r="R720" s="144"/>
      <c r="S720" s="144"/>
      <c r="T720" s="214"/>
      <c r="U720" s="2"/>
      <c r="V720" s="2"/>
      <c r="W720" s="2"/>
      <c r="X720" s="2"/>
      <c r="Y720" s="2"/>
      <c r="Z720" s="2"/>
    </row>
    <row r="721" ht="13.5" customHeight="1">
      <c r="A721" s="2"/>
      <c r="B721" s="2"/>
      <c r="C721" s="2"/>
      <c r="D721" s="2"/>
      <c r="E721" s="2"/>
      <c r="F721" s="2"/>
      <c r="G721" s="2"/>
      <c r="H721" s="2"/>
      <c r="I721" s="2"/>
      <c r="J721" s="2"/>
      <c r="K721" s="2"/>
      <c r="L721" s="2"/>
      <c r="M721" s="2"/>
      <c r="N721" s="2"/>
      <c r="O721" s="2"/>
      <c r="P721" s="2"/>
      <c r="Q721" s="144"/>
      <c r="R721" s="144"/>
      <c r="S721" s="144"/>
      <c r="T721" s="214"/>
      <c r="U721" s="2"/>
      <c r="V721" s="2"/>
      <c r="W721" s="2"/>
      <c r="X721" s="2"/>
      <c r="Y721" s="2"/>
      <c r="Z721" s="2"/>
    </row>
    <row r="722" ht="13.5" customHeight="1">
      <c r="A722" s="2"/>
      <c r="B722" s="2"/>
      <c r="C722" s="2"/>
      <c r="D722" s="2"/>
      <c r="E722" s="2"/>
      <c r="F722" s="2"/>
      <c r="G722" s="2"/>
      <c r="H722" s="2"/>
      <c r="I722" s="2"/>
      <c r="J722" s="2"/>
      <c r="K722" s="2"/>
      <c r="L722" s="2"/>
      <c r="M722" s="2"/>
      <c r="N722" s="2"/>
      <c r="O722" s="2"/>
      <c r="P722" s="2"/>
      <c r="Q722" s="144"/>
      <c r="R722" s="144"/>
      <c r="S722" s="144"/>
      <c r="T722" s="214"/>
      <c r="U722" s="2"/>
      <c r="V722" s="2"/>
      <c r="W722" s="2"/>
      <c r="X722" s="2"/>
      <c r="Y722" s="2"/>
      <c r="Z722" s="2"/>
    </row>
    <row r="723" ht="13.5" customHeight="1">
      <c r="A723" s="2"/>
      <c r="B723" s="2"/>
      <c r="C723" s="2"/>
      <c r="D723" s="2"/>
      <c r="E723" s="2"/>
      <c r="F723" s="2"/>
      <c r="G723" s="2"/>
      <c r="H723" s="2"/>
      <c r="I723" s="2"/>
      <c r="J723" s="2"/>
      <c r="K723" s="2"/>
      <c r="L723" s="2"/>
      <c r="M723" s="2"/>
      <c r="N723" s="2"/>
      <c r="O723" s="2"/>
      <c r="P723" s="2"/>
      <c r="Q723" s="144"/>
      <c r="R723" s="144"/>
      <c r="S723" s="144"/>
      <c r="T723" s="214"/>
      <c r="U723" s="2"/>
      <c r="V723" s="2"/>
      <c r="W723" s="2"/>
      <c r="X723" s="2"/>
      <c r="Y723" s="2"/>
      <c r="Z723" s="2"/>
    </row>
    <row r="724" ht="13.5" customHeight="1">
      <c r="A724" s="2"/>
      <c r="B724" s="2"/>
      <c r="C724" s="2"/>
      <c r="D724" s="2"/>
      <c r="E724" s="2"/>
      <c r="F724" s="2"/>
      <c r="G724" s="2"/>
      <c r="H724" s="2"/>
      <c r="I724" s="2"/>
      <c r="J724" s="2"/>
      <c r="K724" s="2"/>
      <c r="L724" s="2"/>
      <c r="M724" s="2"/>
      <c r="N724" s="2"/>
      <c r="O724" s="2"/>
      <c r="P724" s="2"/>
      <c r="Q724" s="144"/>
      <c r="R724" s="144"/>
      <c r="S724" s="144"/>
      <c r="T724" s="214"/>
      <c r="U724" s="2"/>
      <c r="V724" s="2"/>
      <c r="W724" s="2"/>
      <c r="X724" s="2"/>
      <c r="Y724" s="2"/>
      <c r="Z724" s="2"/>
    </row>
    <row r="725" ht="13.5" customHeight="1">
      <c r="A725" s="2"/>
      <c r="B725" s="2"/>
      <c r="C725" s="2"/>
      <c r="D725" s="2"/>
      <c r="E725" s="2"/>
      <c r="F725" s="2"/>
      <c r="G725" s="2"/>
      <c r="H725" s="2"/>
      <c r="I725" s="2"/>
      <c r="J725" s="2"/>
      <c r="K725" s="2"/>
      <c r="L725" s="2"/>
      <c r="M725" s="2"/>
      <c r="N725" s="2"/>
      <c r="O725" s="2"/>
      <c r="P725" s="2"/>
      <c r="Q725" s="144"/>
      <c r="R725" s="144"/>
      <c r="S725" s="144"/>
      <c r="T725" s="214"/>
      <c r="U725" s="2"/>
      <c r="V725" s="2"/>
      <c r="W725" s="2"/>
      <c r="X725" s="2"/>
      <c r="Y725" s="2"/>
      <c r="Z725" s="2"/>
    </row>
    <row r="726" ht="13.5" customHeight="1">
      <c r="A726" s="2"/>
      <c r="B726" s="2"/>
      <c r="C726" s="2"/>
      <c r="D726" s="2"/>
      <c r="E726" s="2"/>
      <c r="F726" s="2"/>
      <c r="G726" s="2"/>
      <c r="H726" s="2"/>
      <c r="I726" s="2"/>
      <c r="J726" s="2"/>
      <c r="K726" s="2"/>
      <c r="L726" s="2"/>
      <c r="M726" s="2"/>
      <c r="N726" s="2"/>
      <c r="O726" s="2"/>
      <c r="P726" s="2"/>
      <c r="Q726" s="144"/>
      <c r="R726" s="144"/>
      <c r="S726" s="144"/>
      <c r="T726" s="214"/>
      <c r="U726" s="2"/>
      <c r="V726" s="2"/>
      <c r="W726" s="2"/>
      <c r="X726" s="2"/>
      <c r="Y726" s="2"/>
      <c r="Z726" s="2"/>
    </row>
    <row r="727" ht="13.5" customHeight="1">
      <c r="A727" s="2"/>
      <c r="B727" s="2"/>
      <c r="C727" s="2"/>
      <c r="D727" s="2"/>
      <c r="E727" s="2"/>
      <c r="F727" s="2"/>
      <c r="G727" s="2"/>
      <c r="H727" s="2"/>
      <c r="I727" s="2"/>
      <c r="J727" s="2"/>
      <c r="K727" s="2"/>
      <c r="L727" s="2"/>
      <c r="M727" s="2"/>
      <c r="N727" s="2"/>
      <c r="O727" s="2"/>
      <c r="P727" s="2"/>
      <c r="Q727" s="144"/>
      <c r="R727" s="144"/>
      <c r="S727" s="144"/>
      <c r="T727" s="214"/>
      <c r="U727" s="2"/>
      <c r="V727" s="2"/>
      <c r="W727" s="2"/>
      <c r="X727" s="2"/>
      <c r="Y727" s="2"/>
      <c r="Z727" s="2"/>
    </row>
    <row r="728" ht="13.5" customHeight="1">
      <c r="A728" s="2"/>
      <c r="B728" s="2"/>
      <c r="C728" s="2"/>
      <c r="D728" s="2"/>
      <c r="E728" s="2"/>
      <c r="F728" s="2"/>
      <c r="G728" s="2"/>
      <c r="H728" s="2"/>
      <c r="I728" s="2"/>
      <c r="J728" s="2"/>
      <c r="K728" s="2"/>
      <c r="L728" s="2"/>
      <c r="M728" s="2"/>
      <c r="N728" s="2"/>
      <c r="O728" s="2"/>
      <c r="P728" s="2"/>
      <c r="Q728" s="144"/>
      <c r="R728" s="144"/>
      <c r="S728" s="144"/>
      <c r="T728" s="214"/>
      <c r="U728" s="2"/>
      <c r="V728" s="2"/>
      <c r="W728" s="2"/>
      <c r="X728" s="2"/>
      <c r="Y728" s="2"/>
      <c r="Z728" s="2"/>
    </row>
    <row r="729" ht="13.5" customHeight="1">
      <c r="A729" s="2"/>
      <c r="B729" s="2"/>
      <c r="C729" s="2"/>
      <c r="D729" s="2"/>
      <c r="E729" s="2"/>
      <c r="F729" s="2"/>
      <c r="G729" s="2"/>
      <c r="H729" s="2"/>
      <c r="I729" s="2"/>
      <c r="J729" s="2"/>
      <c r="K729" s="2"/>
      <c r="L729" s="2"/>
      <c r="M729" s="2"/>
      <c r="N729" s="2"/>
      <c r="O729" s="2"/>
      <c r="P729" s="2"/>
      <c r="Q729" s="144"/>
      <c r="R729" s="144"/>
      <c r="S729" s="144"/>
      <c r="T729" s="214"/>
      <c r="U729" s="2"/>
      <c r="V729" s="2"/>
      <c r="W729" s="2"/>
      <c r="X729" s="2"/>
      <c r="Y729" s="2"/>
      <c r="Z729" s="2"/>
    </row>
    <row r="730" ht="13.5" customHeight="1">
      <c r="A730" s="2"/>
      <c r="B730" s="2"/>
      <c r="C730" s="2"/>
      <c r="D730" s="2"/>
      <c r="E730" s="2"/>
      <c r="F730" s="2"/>
      <c r="G730" s="2"/>
      <c r="H730" s="2"/>
      <c r="I730" s="2"/>
      <c r="J730" s="2"/>
      <c r="K730" s="2"/>
      <c r="L730" s="2"/>
      <c r="M730" s="2"/>
      <c r="N730" s="2"/>
      <c r="O730" s="2"/>
      <c r="P730" s="2"/>
      <c r="Q730" s="144"/>
      <c r="R730" s="144"/>
      <c r="S730" s="144"/>
      <c r="T730" s="214"/>
      <c r="U730" s="2"/>
      <c r="V730" s="2"/>
      <c r="W730" s="2"/>
      <c r="X730" s="2"/>
      <c r="Y730" s="2"/>
      <c r="Z730" s="2"/>
    </row>
    <row r="731" ht="13.5" customHeight="1">
      <c r="A731" s="2"/>
      <c r="B731" s="2"/>
      <c r="C731" s="2"/>
      <c r="D731" s="2"/>
      <c r="E731" s="2"/>
      <c r="F731" s="2"/>
      <c r="G731" s="2"/>
      <c r="H731" s="2"/>
      <c r="I731" s="2"/>
      <c r="J731" s="2"/>
      <c r="K731" s="2"/>
      <c r="L731" s="2"/>
      <c r="M731" s="2"/>
      <c r="N731" s="2"/>
      <c r="O731" s="2"/>
      <c r="P731" s="2"/>
      <c r="Q731" s="144"/>
      <c r="R731" s="144"/>
      <c r="S731" s="144"/>
      <c r="T731" s="214"/>
      <c r="U731" s="2"/>
      <c r="V731" s="2"/>
      <c r="W731" s="2"/>
      <c r="X731" s="2"/>
      <c r="Y731" s="2"/>
      <c r="Z731" s="2"/>
    </row>
    <row r="732" ht="13.5" customHeight="1">
      <c r="A732" s="2"/>
      <c r="B732" s="2"/>
      <c r="C732" s="2"/>
      <c r="D732" s="2"/>
      <c r="E732" s="2"/>
      <c r="F732" s="2"/>
      <c r="G732" s="2"/>
      <c r="H732" s="2"/>
      <c r="I732" s="2"/>
      <c r="J732" s="2"/>
      <c r="K732" s="2"/>
      <c r="L732" s="2"/>
      <c r="M732" s="2"/>
      <c r="N732" s="2"/>
      <c r="O732" s="2"/>
      <c r="P732" s="2"/>
      <c r="Q732" s="144"/>
      <c r="R732" s="144"/>
      <c r="S732" s="144"/>
      <c r="T732" s="214"/>
      <c r="U732" s="2"/>
      <c r="V732" s="2"/>
      <c r="W732" s="2"/>
      <c r="X732" s="2"/>
      <c r="Y732" s="2"/>
      <c r="Z732" s="2"/>
    </row>
    <row r="733" ht="13.5" customHeight="1">
      <c r="A733" s="2"/>
      <c r="B733" s="2"/>
      <c r="C733" s="2"/>
      <c r="D733" s="2"/>
      <c r="E733" s="2"/>
      <c r="F733" s="2"/>
      <c r="G733" s="2"/>
      <c r="H733" s="2"/>
      <c r="I733" s="2"/>
      <c r="J733" s="2"/>
      <c r="K733" s="2"/>
      <c r="L733" s="2"/>
      <c r="M733" s="2"/>
      <c r="N733" s="2"/>
      <c r="O733" s="2"/>
      <c r="P733" s="2"/>
      <c r="Q733" s="144"/>
      <c r="R733" s="144"/>
      <c r="S733" s="144"/>
      <c r="T733" s="214"/>
      <c r="U733" s="2"/>
      <c r="V733" s="2"/>
      <c r="W733" s="2"/>
      <c r="X733" s="2"/>
      <c r="Y733" s="2"/>
      <c r="Z733" s="2"/>
    </row>
    <row r="734" ht="13.5" customHeight="1">
      <c r="A734" s="2"/>
      <c r="B734" s="2"/>
      <c r="C734" s="2"/>
      <c r="D734" s="2"/>
      <c r="E734" s="2"/>
      <c r="F734" s="2"/>
      <c r="G734" s="2"/>
      <c r="H734" s="2"/>
      <c r="I734" s="2"/>
      <c r="J734" s="2"/>
      <c r="K734" s="2"/>
      <c r="L734" s="2"/>
      <c r="M734" s="2"/>
      <c r="N734" s="2"/>
      <c r="O734" s="2"/>
      <c r="P734" s="2"/>
      <c r="Q734" s="144"/>
      <c r="R734" s="144"/>
      <c r="S734" s="144"/>
      <c r="T734" s="214"/>
      <c r="U734" s="2"/>
      <c r="V734" s="2"/>
      <c r="W734" s="2"/>
      <c r="X734" s="2"/>
      <c r="Y734" s="2"/>
      <c r="Z734" s="2"/>
    </row>
    <row r="735" ht="13.5" customHeight="1">
      <c r="A735" s="2"/>
      <c r="B735" s="2"/>
      <c r="C735" s="2"/>
      <c r="D735" s="2"/>
      <c r="E735" s="2"/>
      <c r="F735" s="2"/>
      <c r="G735" s="2"/>
      <c r="H735" s="2"/>
      <c r="I735" s="2"/>
      <c r="J735" s="2"/>
      <c r="K735" s="2"/>
      <c r="L735" s="2"/>
      <c r="M735" s="2"/>
      <c r="N735" s="2"/>
      <c r="O735" s="2"/>
      <c r="P735" s="2"/>
      <c r="Q735" s="144"/>
      <c r="R735" s="144"/>
      <c r="S735" s="144"/>
      <c r="T735" s="214"/>
      <c r="U735" s="2"/>
      <c r="V735" s="2"/>
      <c r="W735" s="2"/>
      <c r="X735" s="2"/>
      <c r="Y735" s="2"/>
      <c r="Z735" s="2"/>
    </row>
    <row r="736" ht="13.5" customHeight="1">
      <c r="A736" s="2"/>
      <c r="B736" s="2"/>
      <c r="C736" s="2"/>
      <c r="D736" s="2"/>
      <c r="E736" s="2"/>
      <c r="F736" s="2"/>
      <c r="G736" s="2"/>
      <c r="H736" s="2"/>
      <c r="I736" s="2"/>
      <c r="J736" s="2"/>
      <c r="K736" s="2"/>
      <c r="L736" s="2"/>
      <c r="M736" s="2"/>
      <c r="N736" s="2"/>
      <c r="O736" s="2"/>
      <c r="P736" s="2"/>
      <c r="Q736" s="144"/>
      <c r="R736" s="144"/>
      <c r="S736" s="144"/>
      <c r="T736" s="214"/>
      <c r="U736" s="2"/>
      <c r="V736" s="2"/>
      <c r="W736" s="2"/>
      <c r="X736" s="2"/>
      <c r="Y736" s="2"/>
      <c r="Z736" s="2"/>
    </row>
    <row r="737" ht="13.5" customHeight="1">
      <c r="A737" s="2"/>
      <c r="B737" s="2"/>
      <c r="C737" s="2"/>
      <c r="D737" s="2"/>
      <c r="E737" s="2"/>
      <c r="F737" s="2"/>
      <c r="G737" s="2"/>
      <c r="H737" s="2"/>
      <c r="I737" s="2"/>
      <c r="J737" s="2"/>
      <c r="K737" s="2"/>
      <c r="L737" s="2"/>
      <c r="M737" s="2"/>
      <c r="N737" s="2"/>
      <c r="O737" s="2"/>
      <c r="P737" s="2"/>
      <c r="Q737" s="144"/>
      <c r="R737" s="144"/>
      <c r="S737" s="144"/>
      <c r="T737" s="214"/>
      <c r="U737" s="2"/>
      <c r="V737" s="2"/>
      <c r="W737" s="2"/>
      <c r="X737" s="2"/>
      <c r="Y737" s="2"/>
      <c r="Z737" s="2"/>
    </row>
    <row r="738" ht="13.5" customHeight="1">
      <c r="A738" s="2"/>
      <c r="B738" s="2"/>
      <c r="C738" s="2"/>
      <c r="D738" s="2"/>
      <c r="E738" s="2"/>
      <c r="F738" s="2"/>
      <c r="G738" s="2"/>
      <c r="H738" s="2"/>
      <c r="I738" s="2"/>
      <c r="J738" s="2"/>
      <c r="K738" s="2"/>
      <c r="L738" s="2"/>
      <c r="M738" s="2"/>
      <c r="N738" s="2"/>
      <c r="O738" s="2"/>
      <c r="P738" s="2"/>
      <c r="Q738" s="144"/>
      <c r="R738" s="144"/>
      <c r="S738" s="144"/>
      <c r="T738" s="214"/>
      <c r="U738" s="2"/>
      <c r="V738" s="2"/>
      <c r="W738" s="2"/>
      <c r="X738" s="2"/>
      <c r="Y738" s="2"/>
      <c r="Z738" s="2"/>
    </row>
    <row r="739" ht="13.5" customHeight="1">
      <c r="A739" s="2"/>
      <c r="B739" s="2"/>
      <c r="C739" s="2"/>
      <c r="D739" s="2"/>
      <c r="E739" s="2"/>
      <c r="F739" s="2"/>
      <c r="G739" s="2"/>
      <c r="H739" s="2"/>
      <c r="I739" s="2"/>
      <c r="J739" s="2"/>
      <c r="K739" s="2"/>
      <c r="L739" s="2"/>
      <c r="M739" s="2"/>
      <c r="N739" s="2"/>
      <c r="O739" s="2"/>
      <c r="P739" s="2"/>
      <c r="Q739" s="144"/>
      <c r="R739" s="144"/>
      <c r="S739" s="144"/>
      <c r="T739" s="214"/>
      <c r="U739" s="2"/>
      <c r="V739" s="2"/>
      <c r="W739" s="2"/>
      <c r="X739" s="2"/>
      <c r="Y739" s="2"/>
      <c r="Z739" s="2"/>
    </row>
    <row r="740" ht="13.5" customHeight="1">
      <c r="A740" s="2"/>
      <c r="B740" s="2"/>
      <c r="C740" s="2"/>
      <c r="D740" s="2"/>
      <c r="E740" s="2"/>
      <c r="F740" s="2"/>
      <c r="G740" s="2"/>
      <c r="H740" s="2"/>
      <c r="I740" s="2"/>
      <c r="J740" s="2"/>
      <c r="K740" s="2"/>
      <c r="L740" s="2"/>
      <c r="M740" s="2"/>
      <c r="N740" s="2"/>
      <c r="O740" s="2"/>
      <c r="P740" s="2"/>
      <c r="Q740" s="144"/>
      <c r="R740" s="144"/>
      <c r="S740" s="144"/>
      <c r="T740" s="214"/>
      <c r="U740" s="2"/>
      <c r="V740" s="2"/>
      <c r="W740" s="2"/>
      <c r="X740" s="2"/>
      <c r="Y740" s="2"/>
      <c r="Z740" s="2"/>
    </row>
    <row r="741" ht="13.5" customHeight="1">
      <c r="A741" s="2"/>
      <c r="B741" s="2"/>
      <c r="C741" s="2"/>
      <c r="D741" s="2"/>
      <c r="E741" s="2"/>
      <c r="F741" s="2"/>
      <c r="G741" s="2"/>
      <c r="H741" s="2"/>
      <c r="I741" s="2"/>
      <c r="J741" s="2"/>
      <c r="K741" s="2"/>
      <c r="L741" s="2"/>
      <c r="M741" s="2"/>
      <c r="N741" s="2"/>
      <c r="O741" s="2"/>
      <c r="P741" s="2"/>
      <c r="Q741" s="144"/>
      <c r="R741" s="144"/>
      <c r="S741" s="144"/>
      <c r="T741" s="214"/>
      <c r="U741" s="2"/>
      <c r="V741" s="2"/>
      <c r="W741" s="2"/>
      <c r="X741" s="2"/>
      <c r="Y741" s="2"/>
      <c r="Z741" s="2"/>
    </row>
    <row r="742" ht="13.5" customHeight="1">
      <c r="A742" s="2"/>
      <c r="B742" s="2"/>
      <c r="C742" s="2"/>
      <c r="D742" s="2"/>
      <c r="E742" s="2"/>
      <c r="F742" s="2"/>
      <c r="G742" s="2"/>
      <c r="H742" s="2"/>
      <c r="I742" s="2"/>
      <c r="J742" s="2"/>
      <c r="K742" s="2"/>
      <c r="L742" s="2"/>
      <c r="M742" s="2"/>
      <c r="N742" s="2"/>
      <c r="O742" s="2"/>
      <c r="P742" s="2"/>
      <c r="Q742" s="144"/>
      <c r="R742" s="144"/>
      <c r="S742" s="144"/>
      <c r="T742" s="214"/>
      <c r="U742" s="2"/>
      <c r="V742" s="2"/>
      <c r="W742" s="2"/>
      <c r="X742" s="2"/>
      <c r="Y742" s="2"/>
      <c r="Z742" s="2"/>
    </row>
    <row r="743" ht="13.5" customHeight="1">
      <c r="A743" s="2"/>
      <c r="B743" s="2"/>
      <c r="C743" s="2"/>
      <c r="D743" s="2"/>
      <c r="E743" s="2"/>
      <c r="F743" s="2"/>
      <c r="G743" s="2"/>
      <c r="H743" s="2"/>
      <c r="I743" s="2"/>
      <c r="J743" s="2"/>
      <c r="K743" s="2"/>
      <c r="L743" s="2"/>
      <c r="M743" s="2"/>
      <c r="N743" s="2"/>
      <c r="O743" s="2"/>
      <c r="P743" s="2"/>
      <c r="Q743" s="144"/>
      <c r="R743" s="144"/>
      <c r="S743" s="144"/>
      <c r="T743" s="214"/>
      <c r="U743" s="2"/>
      <c r="V743" s="2"/>
      <c r="W743" s="2"/>
      <c r="X743" s="2"/>
      <c r="Y743" s="2"/>
      <c r="Z743" s="2"/>
    </row>
    <row r="744" ht="13.5" customHeight="1">
      <c r="A744" s="2"/>
      <c r="B744" s="2"/>
      <c r="C744" s="2"/>
      <c r="D744" s="2"/>
      <c r="E744" s="2"/>
      <c r="F744" s="2"/>
      <c r="G744" s="2"/>
      <c r="H744" s="2"/>
      <c r="I744" s="2"/>
      <c r="J744" s="2"/>
      <c r="K744" s="2"/>
      <c r="L744" s="2"/>
      <c r="M744" s="2"/>
      <c r="N744" s="2"/>
      <c r="O744" s="2"/>
      <c r="P744" s="2"/>
      <c r="Q744" s="144"/>
      <c r="R744" s="144"/>
      <c r="S744" s="144"/>
      <c r="T744" s="214"/>
      <c r="U744" s="2"/>
      <c r="V744" s="2"/>
      <c r="W744" s="2"/>
      <c r="X744" s="2"/>
      <c r="Y744" s="2"/>
      <c r="Z744" s="2"/>
    </row>
    <row r="745" ht="13.5" customHeight="1">
      <c r="A745" s="2"/>
      <c r="B745" s="2"/>
      <c r="C745" s="2"/>
      <c r="D745" s="2"/>
      <c r="E745" s="2"/>
      <c r="F745" s="2"/>
      <c r="G745" s="2"/>
      <c r="H745" s="2"/>
      <c r="I745" s="2"/>
      <c r="J745" s="2"/>
      <c r="K745" s="2"/>
      <c r="L745" s="2"/>
      <c r="M745" s="2"/>
      <c r="N745" s="2"/>
      <c r="O745" s="2"/>
      <c r="P745" s="2"/>
      <c r="Q745" s="144"/>
      <c r="R745" s="144"/>
      <c r="S745" s="144"/>
      <c r="T745" s="214"/>
      <c r="U745" s="2"/>
      <c r="V745" s="2"/>
      <c r="W745" s="2"/>
      <c r="X745" s="2"/>
      <c r="Y745" s="2"/>
      <c r="Z745" s="2"/>
    </row>
    <row r="746" ht="13.5" customHeight="1">
      <c r="A746" s="2"/>
      <c r="B746" s="2"/>
      <c r="C746" s="2"/>
      <c r="D746" s="2"/>
      <c r="E746" s="2"/>
      <c r="F746" s="2"/>
      <c r="G746" s="2"/>
      <c r="H746" s="2"/>
      <c r="I746" s="2"/>
      <c r="J746" s="2"/>
      <c r="K746" s="2"/>
      <c r="L746" s="2"/>
      <c r="M746" s="2"/>
      <c r="N746" s="2"/>
      <c r="O746" s="2"/>
      <c r="P746" s="2"/>
      <c r="Q746" s="144"/>
      <c r="R746" s="144"/>
      <c r="S746" s="144"/>
      <c r="T746" s="214"/>
      <c r="U746" s="2"/>
      <c r="V746" s="2"/>
      <c r="W746" s="2"/>
      <c r="X746" s="2"/>
      <c r="Y746" s="2"/>
      <c r="Z746" s="2"/>
    </row>
    <row r="747" ht="13.5" customHeight="1">
      <c r="A747" s="2"/>
      <c r="B747" s="2"/>
      <c r="C747" s="2"/>
      <c r="D747" s="2"/>
      <c r="E747" s="2"/>
      <c r="F747" s="2"/>
      <c r="G747" s="2"/>
      <c r="H747" s="2"/>
      <c r="I747" s="2"/>
      <c r="J747" s="2"/>
      <c r="K747" s="2"/>
      <c r="L747" s="2"/>
      <c r="M747" s="2"/>
      <c r="N747" s="2"/>
      <c r="O747" s="2"/>
      <c r="P747" s="2"/>
      <c r="Q747" s="144"/>
      <c r="R747" s="144"/>
      <c r="S747" s="144"/>
      <c r="T747" s="214"/>
      <c r="U747" s="2"/>
      <c r="V747" s="2"/>
      <c r="W747" s="2"/>
      <c r="X747" s="2"/>
      <c r="Y747" s="2"/>
      <c r="Z747" s="2"/>
    </row>
    <row r="748" ht="13.5" customHeight="1">
      <c r="A748" s="2"/>
      <c r="B748" s="2"/>
      <c r="C748" s="2"/>
      <c r="D748" s="2"/>
      <c r="E748" s="2"/>
      <c r="F748" s="2"/>
      <c r="G748" s="2"/>
      <c r="H748" s="2"/>
      <c r="I748" s="2"/>
      <c r="J748" s="2"/>
      <c r="K748" s="2"/>
      <c r="L748" s="2"/>
      <c r="M748" s="2"/>
      <c r="N748" s="2"/>
      <c r="O748" s="2"/>
      <c r="P748" s="2"/>
      <c r="Q748" s="144"/>
      <c r="R748" s="144"/>
      <c r="S748" s="144"/>
      <c r="T748" s="214"/>
      <c r="U748" s="2"/>
      <c r="V748" s="2"/>
      <c r="W748" s="2"/>
      <c r="X748" s="2"/>
      <c r="Y748" s="2"/>
      <c r="Z748" s="2"/>
    </row>
    <row r="749" ht="13.5" customHeight="1">
      <c r="A749" s="2"/>
      <c r="B749" s="2"/>
      <c r="C749" s="2"/>
      <c r="D749" s="2"/>
      <c r="E749" s="2"/>
      <c r="F749" s="2"/>
      <c r="G749" s="2"/>
      <c r="H749" s="2"/>
      <c r="I749" s="2"/>
      <c r="J749" s="2"/>
      <c r="K749" s="2"/>
      <c r="L749" s="2"/>
      <c r="M749" s="2"/>
      <c r="N749" s="2"/>
      <c r="O749" s="2"/>
      <c r="P749" s="2"/>
      <c r="Q749" s="144"/>
      <c r="R749" s="144"/>
      <c r="S749" s="144"/>
      <c r="T749" s="214"/>
      <c r="U749" s="2"/>
      <c r="V749" s="2"/>
      <c r="W749" s="2"/>
      <c r="X749" s="2"/>
      <c r="Y749" s="2"/>
      <c r="Z749" s="2"/>
    </row>
    <row r="750" ht="13.5" customHeight="1">
      <c r="A750" s="2"/>
      <c r="B750" s="2"/>
      <c r="C750" s="2"/>
      <c r="D750" s="2"/>
      <c r="E750" s="2"/>
      <c r="F750" s="2"/>
      <c r="G750" s="2"/>
      <c r="H750" s="2"/>
      <c r="I750" s="2"/>
      <c r="J750" s="2"/>
      <c r="K750" s="2"/>
      <c r="L750" s="2"/>
      <c r="M750" s="2"/>
      <c r="N750" s="2"/>
      <c r="O750" s="2"/>
      <c r="P750" s="2"/>
      <c r="Q750" s="144"/>
      <c r="R750" s="144"/>
      <c r="S750" s="144"/>
      <c r="T750" s="214"/>
      <c r="U750" s="2"/>
      <c r="V750" s="2"/>
      <c r="W750" s="2"/>
      <c r="X750" s="2"/>
      <c r="Y750" s="2"/>
      <c r="Z750" s="2"/>
    </row>
    <row r="751" ht="13.5" customHeight="1">
      <c r="A751" s="2"/>
      <c r="B751" s="2"/>
      <c r="C751" s="2"/>
      <c r="D751" s="2"/>
      <c r="E751" s="2"/>
      <c r="F751" s="2"/>
      <c r="G751" s="2"/>
      <c r="H751" s="2"/>
      <c r="I751" s="2"/>
      <c r="J751" s="2"/>
      <c r="K751" s="2"/>
      <c r="L751" s="2"/>
      <c r="M751" s="2"/>
      <c r="N751" s="2"/>
      <c r="O751" s="2"/>
      <c r="P751" s="2"/>
      <c r="Q751" s="144"/>
      <c r="R751" s="144"/>
      <c r="S751" s="144"/>
      <c r="T751" s="214"/>
      <c r="U751" s="2"/>
      <c r="V751" s="2"/>
      <c r="W751" s="2"/>
      <c r="X751" s="2"/>
      <c r="Y751" s="2"/>
      <c r="Z751" s="2"/>
    </row>
    <row r="752" ht="13.5" customHeight="1">
      <c r="A752" s="2"/>
      <c r="B752" s="2"/>
      <c r="C752" s="2"/>
      <c r="D752" s="2"/>
      <c r="E752" s="2"/>
      <c r="F752" s="2"/>
      <c r="G752" s="2"/>
      <c r="H752" s="2"/>
      <c r="I752" s="2"/>
      <c r="J752" s="2"/>
      <c r="K752" s="2"/>
      <c r="L752" s="2"/>
      <c r="M752" s="2"/>
      <c r="N752" s="2"/>
      <c r="O752" s="2"/>
      <c r="P752" s="2"/>
      <c r="Q752" s="144"/>
      <c r="R752" s="144"/>
      <c r="S752" s="144"/>
      <c r="T752" s="214"/>
      <c r="U752" s="2"/>
      <c r="V752" s="2"/>
      <c r="W752" s="2"/>
      <c r="X752" s="2"/>
      <c r="Y752" s="2"/>
      <c r="Z752" s="2"/>
    </row>
    <row r="753" ht="13.5" customHeight="1">
      <c r="A753" s="2"/>
      <c r="B753" s="2"/>
      <c r="C753" s="2"/>
      <c r="D753" s="2"/>
      <c r="E753" s="2"/>
      <c r="F753" s="2"/>
      <c r="G753" s="2"/>
      <c r="H753" s="2"/>
      <c r="I753" s="2"/>
      <c r="J753" s="2"/>
      <c r="K753" s="2"/>
      <c r="L753" s="2"/>
      <c r="M753" s="2"/>
      <c r="N753" s="2"/>
      <c r="O753" s="2"/>
      <c r="P753" s="2"/>
      <c r="Q753" s="144"/>
      <c r="R753" s="144"/>
      <c r="S753" s="144"/>
      <c r="T753" s="214"/>
      <c r="U753" s="2"/>
      <c r="V753" s="2"/>
      <c r="W753" s="2"/>
      <c r="X753" s="2"/>
      <c r="Y753" s="2"/>
      <c r="Z753" s="2"/>
    </row>
    <row r="754" ht="13.5" customHeight="1">
      <c r="A754" s="2"/>
      <c r="B754" s="2"/>
      <c r="C754" s="2"/>
      <c r="D754" s="2"/>
      <c r="E754" s="2"/>
      <c r="F754" s="2"/>
      <c r="G754" s="2"/>
      <c r="H754" s="2"/>
      <c r="I754" s="2"/>
      <c r="J754" s="2"/>
      <c r="K754" s="2"/>
      <c r="L754" s="2"/>
      <c r="M754" s="2"/>
      <c r="N754" s="2"/>
      <c r="O754" s="2"/>
      <c r="P754" s="2"/>
      <c r="Q754" s="144"/>
      <c r="R754" s="144"/>
      <c r="S754" s="144"/>
      <c r="T754" s="214"/>
      <c r="U754" s="2"/>
      <c r="V754" s="2"/>
      <c r="W754" s="2"/>
      <c r="X754" s="2"/>
      <c r="Y754" s="2"/>
      <c r="Z754" s="2"/>
    </row>
    <row r="755" ht="13.5" customHeight="1">
      <c r="A755" s="2"/>
      <c r="B755" s="2"/>
      <c r="C755" s="2"/>
      <c r="D755" s="2"/>
      <c r="E755" s="2"/>
      <c r="F755" s="2"/>
      <c r="G755" s="2"/>
      <c r="H755" s="2"/>
      <c r="I755" s="2"/>
      <c r="J755" s="2"/>
      <c r="K755" s="2"/>
      <c r="L755" s="2"/>
      <c r="M755" s="2"/>
      <c r="N755" s="2"/>
      <c r="O755" s="2"/>
      <c r="P755" s="2"/>
      <c r="Q755" s="144"/>
      <c r="R755" s="144"/>
      <c r="S755" s="144"/>
      <c r="T755" s="214"/>
      <c r="U755" s="2"/>
      <c r="V755" s="2"/>
      <c r="W755" s="2"/>
      <c r="X755" s="2"/>
      <c r="Y755" s="2"/>
      <c r="Z755" s="2"/>
    </row>
    <row r="756" ht="13.5" customHeight="1">
      <c r="A756" s="2"/>
      <c r="B756" s="2"/>
      <c r="C756" s="2"/>
      <c r="D756" s="2"/>
      <c r="E756" s="2"/>
      <c r="F756" s="2"/>
      <c r="G756" s="2"/>
      <c r="H756" s="2"/>
      <c r="I756" s="2"/>
      <c r="J756" s="2"/>
      <c r="K756" s="2"/>
      <c r="L756" s="2"/>
      <c r="M756" s="2"/>
      <c r="N756" s="2"/>
      <c r="O756" s="2"/>
      <c r="P756" s="2"/>
      <c r="Q756" s="144"/>
      <c r="R756" s="144"/>
      <c r="S756" s="144"/>
      <c r="T756" s="214"/>
      <c r="U756" s="2"/>
      <c r="V756" s="2"/>
      <c r="W756" s="2"/>
      <c r="X756" s="2"/>
      <c r="Y756" s="2"/>
      <c r="Z756" s="2"/>
    </row>
    <row r="757" ht="13.5" customHeight="1">
      <c r="A757" s="2"/>
      <c r="B757" s="2"/>
      <c r="C757" s="2"/>
      <c r="D757" s="2"/>
      <c r="E757" s="2"/>
      <c r="F757" s="2"/>
      <c r="G757" s="2"/>
      <c r="H757" s="2"/>
      <c r="I757" s="2"/>
      <c r="J757" s="2"/>
      <c r="K757" s="2"/>
      <c r="L757" s="2"/>
      <c r="M757" s="2"/>
      <c r="N757" s="2"/>
      <c r="O757" s="2"/>
      <c r="P757" s="2"/>
      <c r="Q757" s="144"/>
      <c r="R757" s="144"/>
      <c r="S757" s="144"/>
      <c r="T757" s="214"/>
      <c r="U757" s="2"/>
      <c r="V757" s="2"/>
      <c r="W757" s="2"/>
      <c r="X757" s="2"/>
      <c r="Y757" s="2"/>
      <c r="Z757" s="2"/>
    </row>
    <row r="758" ht="13.5" customHeight="1">
      <c r="A758" s="2"/>
      <c r="B758" s="2"/>
      <c r="C758" s="2"/>
      <c r="D758" s="2"/>
      <c r="E758" s="2"/>
      <c r="F758" s="2"/>
      <c r="G758" s="2"/>
      <c r="H758" s="2"/>
      <c r="I758" s="2"/>
      <c r="J758" s="2"/>
      <c r="K758" s="2"/>
      <c r="L758" s="2"/>
      <c r="M758" s="2"/>
      <c r="N758" s="2"/>
      <c r="O758" s="2"/>
      <c r="P758" s="2"/>
      <c r="Q758" s="144"/>
      <c r="R758" s="144"/>
      <c r="S758" s="144"/>
      <c r="T758" s="214"/>
      <c r="U758" s="2"/>
      <c r="V758" s="2"/>
      <c r="W758" s="2"/>
      <c r="X758" s="2"/>
      <c r="Y758" s="2"/>
      <c r="Z758" s="2"/>
    </row>
    <row r="759" ht="13.5" customHeight="1">
      <c r="A759" s="2"/>
      <c r="B759" s="2"/>
      <c r="C759" s="2"/>
      <c r="D759" s="2"/>
      <c r="E759" s="2"/>
      <c r="F759" s="2"/>
      <c r="G759" s="2"/>
      <c r="H759" s="2"/>
      <c r="I759" s="2"/>
      <c r="J759" s="2"/>
      <c r="K759" s="2"/>
      <c r="L759" s="2"/>
      <c r="M759" s="2"/>
      <c r="N759" s="2"/>
      <c r="O759" s="2"/>
      <c r="P759" s="2"/>
      <c r="Q759" s="144"/>
      <c r="R759" s="144"/>
      <c r="S759" s="144"/>
      <c r="T759" s="214"/>
      <c r="U759" s="2"/>
      <c r="V759" s="2"/>
      <c r="W759" s="2"/>
      <c r="X759" s="2"/>
      <c r="Y759" s="2"/>
      <c r="Z759" s="2"/>
    </row>
    <row r="760" ht="13.5" customHeight="1">
      <c r="A760" s="2"/>
      <c r="B760" s="2"/>
      <c r="C760" s="2"/>
      <c r="D760" s="2"/>
      <c r="E760" s="2"/>
      <c r="F760" s="2"/>
      <c r="G760" s="2"/>
      <c r="H760" s="2"/>
      <c r="I760" s="2"/>
      <c r="J760" s="2"/>
      <c r="K760" s="2"/>
      <c r="L760" s="2"/>
      <c r="M760" s="2"/>
      <c r="N760" s="2"/>
      <c r="O760" s="2"/>
      <c r="P760" s="2"/>
      <c r="Q760" s="144"/>
      <c r="R760" s="144"/>
      <c r="S760" s="144"/>
      <c r="T760" s="214"/>
      <c r="U760" s="2"/>
      <c r="V760" s="2"/>
      <c r="W760" s="2"/>
      <c r="X760" s="2"/>
      <c r="Y760" s="2"/>
      <c r="Z760" s="2"/>
    </row>
    <row r="761" ht="13.5" customHeight="1">
      <c r="A761" s="2"/>
      <c r="B761" s="2"/>
      <c r="C761" s="2"/>
      <c r="D761" s="2"/>
      <c r="E761" s="2"/>
      <c r="F761" s="2"/>
      <c r="G761" s="2"/>
      <c r="H761" s="2"/>
      <c r="I761" s="2"/>
      <c r="J761" s="2"/>
      <c r="K761" s="2"/>
      <c r="L761" s="2"/>
      <c r="M761" s="2"/>
      <c r="N761" s="2"/>
      <c r="O761" s="2"/>
      <c r="P761" s="2"/>
      <c r="Q761" s="144"/>
      <c r="R761" s="144"/>
      <c r="S761" s="144"/>
      <c r="T761" s="214"/>
      <c r="U761" s="2"/>
      <c r="V761" s="2"/>
      <c r="W761" s="2"/>
      <c r="X761" s="2"/>
      <c r="Y761" s="2"/>
      <c r="Z761" s="2"/>
    </row>
    <row r="762" ht="13.5" customHeight="1">
      <c r="A762" s="2"/>
      <c r="B762" s="2"/>
      <c r="C762" s="2"/>
      <c r="D762" s="2"/>
      <c r="E762" s="2"/>
      <c r="F762" s="2"/>
      <c r="G762" s="2"/>
      <c r="H762" s="2"/>
      <c r="I762" s="2"/>
      <c r="J762" s="2"/>
      <c r="K762" s="2"/>
      <c r="L762" s="2"/>
      <c r="M762" s="2"/>
      <c r="N762" s="2"/>
      <c r="O762" s="2"/>
      <c r="P762" s="2"/>
      <c r="Q762" s="144"/>
      <c r="R762" s="144"/>
      <c r="S762" s="144"/>
      <c r="T762" s="214"/>
      <c r="U762" s="2"/>
      <c r="V762" s="2"/>
      <c r="W762" s="2"/>
      <c r="X762" s="2"/>
      <c r="Y762" s="2"/>
      <c r="Z762" s="2"/>
    </row>
    <row r="763" ht="13.5" customHeight="1">
      <c r="A763" s="2"/>
      <c r="B763" s="2"/>
      <c r="C763" s="2"/>
      <c r="D763" s="2"/>
      <c r="E763" s="2"/>
      <c r="F763" s="2"/>
      <c r="G763" s="2"/>
      <c r="H763" s="2"/>
      <c r="I763" s="2"/>
      <c r="J763" s="2"/>
      <c r="K763" s="2"/>
      <c r="L763" s="2"/>
      <c r="M763" s="2"/>
      <c r="N763" s="2"/>
      <c r="O763" s="2"/>
      <c r="P763" s="2"/>
      <c r="Q763" s="144"/>
      <c r="R763" s="144"/>
      <c r="S763" s="144"/>
      <c r="T763" s="214"/>
      <c r="U763" s="2"/>
      <c r="V763" s="2"/>
      <c r="W763" s="2"/>
      <c r="X763" s="2"/>
      <c r="Y763" s="2"/>
      <c r="Z763" s="2"/>
    </row>
    <row r="764" ht="13.5" customHeight="1">
      <c r="A764" s="2"/>
      <c r="B764" s="2"/>
      <c r="C764" s="2"/>
      <c r="D764" s="2"/>
      <c r="E764" s="2"/>
      <c r="F764" s="2"/>
      <c r="G764" s="2"/>
      <c r="H764" s="2"/>
      <c r="I764" s="2"/>
      <c r="J764" s="2"/>
      <c r="K764" s="2"/>
      <c r="L764" s="2"/>
      <c r="M764" s="2"/>
      <c r="N764" s="2"/>
      <c r="O764" s="2"/>
      <c r="P764" s="2"/>
      <c r="Q764" s="144"/>
      <c r="R764" s="144"/>
      <c r="S764" s="144"/>
      <c r="T764" s="214"/>
      <c r="U764" s="2"/>
      <c r="V764" s="2"/>
      <c r="W764" s="2"/>
      <c r="X764" s="2"/>
      <c r="Y764" s="2"/>
      <c r="Z764" s="2"/>
    </row>
    <row r="765" ht="13.5" customHeight="1">
      <c r="A765" s="2"/>
      <c r="B765" s="2"/>
      <c r="C765" s="2"/>
      <c r="D765" s="2"/>
      <c r="E765" s="2"/>
      <c r="F765" s="2"/>
      <c r="G765" s="2"/>
      <c r="H765" s="2"/>
      <c r="I765" s="2"/>
      <c r="J765" s="2"/>
      <c r="K765" s="2"/>
      <c r="L765" s="2"/>
      <c r="M765" s="2"/>
      <c r="N765" s="2"/>
      <c r="O765" s="2"/>
      <c r="P765" s="2"/>
      <c r="Q765" s="144"/>
      <c r="R765" s="144"/>
      <c r="S765" s="144"/>
      <c r="T765" s="214"/>
      <c r="U765" s="2"/>
      <c r="V765" s="2"/>
      <c r="W765" s="2"/>
      <c r="X765" s="2"/>
      <c r="Y765" s="2"/>
      <c r="Z765" s="2"/>
    </row>
    <row r="766" ht="13.5" customHeight="1">
      <c r="A766" s="2"/>
      <c r="B766" s="2"/>
      <c r="C766" s="2"/>
      <c r="D766" s="2"/>
      <c r="E766" s="2"/>
      <c r="F766" s="2"/>
      <c r="G766" s="2"/>
      <c r="H766" s="2"/>
      <c r="I766" s="2"/>
      <c r="J766" s="2"/>
      <c r="K766" s="2"/>
      <c r="L766" s="2"/>
      <c r="M766" s="2"/>
      <c r="N766" s="2"/>
      <c r="O766" s="2"/>
      <c r="P766" s="2"/>
      <c r="Q766" s="144"/>
      <c r="R766" s="144"/>
      <c r="S766" s="144"/>
      <c r="T766" s="214"/>
      <c r="U766" s="2"/>
      <c r="V766" s="2"/>
      <c r="W766" s="2"/>
      <c r="X766" s="2"/>
      <c r="Y766" s="2"/>
      <c r="Z766" s="2"/>
    </row>
    <row r="767" ht="13.5" customHeight="1">
      <c r="A767" s="2"/>
      <c r="B767" s="2"/>
      <c r="C767" s="2"/>
      <c r="D767" s="2"/>
      <c r="E767" s="2"/>
      <c r="F767" s="2"/>
      <c r="G767" s="2"/>
      <c r="H767" s="2"/>
      <c r="I767" s="2"/>
      <c r="J767" s="2"/>
      <c r="K767" s="2"/>
      <c r="L767" s="2"/>
      <c r="M767" s="2"/>
      <c r="N767" s="2"/>
      <c r="O767" s="2"/>
      <c r="P767" s="2"/>
      <c r="Q767" s="144"/>
      <c r="R767" s="144"/>
      <c r="S767" s="144"/>
      <c r="T767" s="214"/>
      <c r="U767" s="2"/>
      <c r="V767" s="2"/>
      <c r="W767" s="2"/>
      <c r="X767" s="2"/>
      <c r="Y767" s="2"/>
      <c r="Z767" s="2"/>
    </row>
    <row r="768" ht="13.5" customHeight="1">
      <c r="A768" s="2"/>
      <c r="B768" s="2"/>
      <c r="C768" s="2"/>
      <c r="D768" s="2"/>
      <c r="E768" s="2"/>
      <c r="F768" s="2"/>
      <c r="G768" s="2"/>
      <c r="H768" s="2"/>
      <c r="I768" s="2"/>
      <c r="J768" s="2"/>
      <c r="K768" s="2"/>
      <c r="L768" s="2"/>
      <c r="M768" s="2"/>
      <c r="N768" s="2"/>
      <c r="O768" s="2"/>
      <c r="P768" s="2"/>
      <c r="Q768" s="144"/>
      <c r="R768" s="144"/>
      <c r="S768" s="144"/>
      <c r="T768" s="214"/>
      <c r="U768" s="2"/>
      <c r="V768" s="2"/>
      <c r="W768" s="2"/>
      <c r="X768" s="2"/>
      <c r="Y768" s="2"/>
      <c r="Z768" s="2"/>
    </row>
    <row r="769" ht="13.5" customHeight="1">
      <c r="A769" s="2"/>
      <c r="B769" s="2"/>
      <c r="C769" s="2"/>
      <c r="D769" s="2"/>
      <c r="E769" s="2"/>
      <c r="F769" s="2"/>
      <c r="G769" s="2"/>
      <c r="H769" s="2"/>
      <c r="I769" s="2"/>
      <c r="J769" s="2"/>
      <c r="K769" s="2"/>
      <c r="L769" s="2"/>
      <c r="M769" s="2"/>
      <c r="N769" s="2"/>
      <c r="O769" s="2"/>
      <c r="P769" s="2"/>
      <c r="Q769" s="144"/>
      <c r="R769" s="144"/>
      <c r="S769" s="144"/>
      <c r="T769" s="214"/>
      <c r="U769" s="2"/>
      <c r="V769" s="2"/>
      <c r="W769" s="2"/>
      <c r="X769" s="2"/>
      <c r="Y769" s="2"/>
      <c r="Z769" s="2"/>
    </row>
    <row r="770" ht="13.5" customHeight="1">
      <c r="A770" s="2"/>
      <c r="B770" s="2"/>
      <c r="C770" s="2"/>
      <c r="D770" s="2"/>
      <c r="E770" s="2"/>
      <c r="F770" s="2"/>
      <c r="G770" s="2"/>
      <c r="H770" s="2"/>
      <c r="I770" s="2"/>
      <c r="J770" s="2"/>
      <c r="K770" s="2"/>
      <c r="L770" s="2"/>
      <c r="M770" s="2"/>
      <c r="N770" s="2"/>
      <c r="O770" s="2"/>
      <c r="P770" s="2"/>
      <c r="Q770" s="144"/>
      <c r="R770" s="144"/>
      <c r="S770" s="144"/>
      <c r="T770" s="214"/>
      <c r="U770" s="2"/>
      <c r="V770" s="2"/>
      <c r="W770" s="2"/>
      <c r="X770" s="2"/>
      <c r="Y770" s="2"/>
      <c r="Z770" s="2"/>
    </row>
    <row r="771" ht="13.5" customHeight="1">
      <c r="A771" s="2"/>
      <c r="B771" s="2"/>
      <c r="C771" s="2"/>
      <c r="D771" s="2"/>
      <c r="E771" s="2"/>
      <c r="F771" s="2"/>
      <c r="G771" s="2"/>
      <c r="H771" s="2"/>
      <c r="I771" s="2"/>
      <c r="J771" s="2"/>
      <c r="K771" s="2"/>
      <c r="L771" s="2"/>
      <c r="M771" s="2"/>
      <c r="N771" s="2"/>
      <c r="O771" s="2"/>
      <c r="P771" s="2"/>
      <c r="Q771" s="144"/>
      <c r="R771" s="144"/>
      <c r="S771" s="144"/>
      <c r="T771" s="214"/>
      <c r="U771" s="2"/>
      <c r="V771" s="2"/>
      <c r="W771" s="2"/>
      <c r="X771" s="2"/>
      <c r="Y771" s="2"/>
      <c r="Z771" s="2"/>
    </row>
    <row r="772" ht="13.5" customHeight="1">
      <c r="A772" s="2"/>
      <c r="B772" s="2"/>
      <c r="C772" s="2"/>
      <c r="D772" s="2"/>
      <c r="E772" s="2"/>
      <c r="F772" s="2"/>
      <c r="G772" s="2"/>
      <c r="H772" s="2"/>
      <c r="I772" s="2"/>
      <c r="J772" s="2"/>
      <c r="K772" s="2"/>
      <c r="L772" s="2"/>
      <c r="M772" s="2"/>
      <c r="N772" s="2"/>
      <c r="O772" s="2"/>
      <c r="P772" s="2"/>
      <c r="Q772" s="144"/>
      <c r="R772" s="144"/>
      <c r="S772" s="144"/>
      <c r="T772" s="214"/>
      <c r="U772" s="2"/>
      <c r="V772" s="2"/>
      <c r="W772" s="2"/>
      <c r="X772" s="2"/>
      <c r="Y772" s="2"/>
      <c r="Z772" s="2"/>
    </row>
    <row r="773" ht="13.5" customHeight="1">
      <c r="A773" s="2"/>
      <c r="B773" s="2"/>
      <c r="C773" s="2"/>
      <c r="D773" s="2"/>
      <c r="E773" s="2"/>
      <c r="F773" s="2"/>
      <c r="G773" s="2"/>
      <c r="H773" s="2"/>
      <c r="I773" s="2"/>
      <c r="J773" s="2"/>
      <c r="K773" s="2"/>
      <c r="L773" s="2"/>
      <c r="M773" s="2"/>
      <c r="N773" s="2"/>
      <c r="O773" s="2"/>
      <c r="P773" s="2"/>
      <c r="Q773" s="144"/>
      <c r="R773" s="144"/>
      <c r="S773" s="144"/>
      <c r="T773" s="214"/>
      <c r="U773" s="2"/>
      <c r="V773" s="2"/>
      <c r="W773" s="2"/>
      <c r="X773" s="2"/>
      <c r="Y773" s="2"/>
      <c r="Z773" s="2"/>
    </row>
    <row r="774" ht="13.5" customHeight="1">
      <c r="A774" s="2"/>
      <c r="B774" s="2"/>
      <c r="C774" s="2"/>
      <c r="D774" s="2"/>
      <c r="E774" s="2"/>
      <c r="F774" s="2"/>
      <c r="G774" s="2"/>
      <c r="H774" s="2"/>
      <c r="I774" s="2"/>
      <c r="J774" s="2"/>
      <c r="K774" s="2"/>
      <c r="L774" s="2"/>
      <c r="M774" s="2"/>
      <c r="N774" s="2"/>
      <c r="O774" s="2"/>
      <c r="P774" s="2"/>
      <c r="Q774" s="144"/>
      <c r="R774" s="144"/>
      <c r="S774" s="144"/>
      <c r="T774" s="214"/>
      <c r="U774" s="2"/>
      <c r="V774" s="2"/>
      <c r="W774" s="2"/>
      <c r="X774" s="2"/>
      <c r="Y774" s="2"/>
      <c r="Z774" s="2"/>
    </row>
    <row r="775" ht="13.5" customHeight="1">
      <c r="A775" s="2"/>
      <c r="B775" s="2"/>
      <c r="C775" s="2"/>
      <c r="D775" s="2"/>
      <c r="E775" s="2"/>
      <c r="F775" s="2"/>
      <c r="G775" s="2"/>
      <c r="H775" s="2"/>
      <c r="I775" s="2"/>
      <c r="J775" s="2"/>
      <c r="K775" s="2"/>
      <c r="L775" s="2"/>
      <c r="M775" s="2"/>
      <c r="N775" s="2"/>
      <c r="O775" s="2"/>
      <c r="P775" s="2"/>
      <c r="Q775" s="144"/>
      <c r="R775" s="144"/>
      <c r="S775" s="144"/>
      <c r="T775" s="214"/>
      <c r="U775" s="2"/>
      <c r="V775" s="2"/>
      <c r="W775" s="2"/>
      <c r="X775" s="2"/>
      <c r="Y775" s="2"/>
      <c r="Z775" s="2"/>
    </row>
    <row r="776" ht="13.5" customHeight="1">
      <c r="A776" s="2"/>
      <c r="B776" s="2"/>
      <c r="C776" s="2"/>
      <c r="D776" s="2"/>
      <c r="E776" s="2"/>
      <c r="F776" s="2"/>
      <c r="G776" s="2"/>
      <c r="H776" s="2"/>
      <c r="I776" s="2"/>
      <c r="J776" s="2"/>
      <c r="K776" s="2"/>
      <c r="L776" s="2"/>
      <c r="M776" s="2"/>
      <c r="N776" s="2"/>
      <c r="O776" s="2"/>
      <c r="P776" s="2"/>
      <c r="Q776" s="144"/>
      <c r="R776" s="144"/>
      <c r="S776" s="144"/>
      <c r="T776" s="214"/>
      <c r="U776" s="2"/>
      <c r="V776" s="2"/>
      <c r="W776" s="2"/>
      <c r="X776" s="2"/>
      <c r="Y776" s="2"/>
      <c r="Z776" s="2"/>
    </row>
    <row r="777" ht="13.5" customHeight="1">
      <c r="A777" s="2"/>
      <c r="B777" s="2"/>
      <c r="C777" s="2"/>
      <c r="D777" s="2"/>
      <c r="E777" s="2"/>
      <c r="F777" s="2"/>
      <c r="G777" s="2"/>
      <c r="H777" s="2"/>
      <c r="I777" s="2"/>
      <c r="J777" s="2"/>
      <c r="K777" s="2"/>
      <c r="L777" s="2"/>
      <c r="M777" s="2"/>
      <c r="N777" s="2"/>
      <c r="O777" s="2"/>
      <c r="P777" s="2"/>
      <c r="Q777" s="144"/>
      <c r="R777" s="144"/>
      <c r="S777" s="144"/>
      <c r="T777" s="214"/>
      <c r="U777" s="2"/>
      <c r="V777" s="2"/>
      <c r="W777" s="2"/>
      <c r="X777" s="2"/>
      <c r="Y777" s="2"/>
      <c r="Z777" s="2"/>
    </row>
    <row r="778" ht="13.5" customHeight="1">
      <c r="A778" s="2"/>
      <c r="B778" s="2"/>
      <c r="C778" s="2"/>
      <c r="D778" s="2"/>
      <c r="E778" s="2"/>
      <c r="F778" s="2"/>
      <c r="G778" s="2"/>
      <c r="H778" s="2"/>
      <c r="I778" s="2"/>
      <c r="J778" s="2"/>
      <c r="K778" s="2"/>
      <c r="L778" s="2"/>
      <c r="M778" s="2"/>
      <c r="N778" s="2"/>
      <c r="O778" s="2"/>
      <c r="P778" s="2"/>
      <c r="Q778" s="144"/>
      <c r="R778" s="144"/>
      <c r="S778" s="144"/>
      <c r="T778" s="214"/>
      <c r="U778" s="2"/>
      <c r="V778" s="2"/>
      <c r="W778" s="2"/>
      <c r="X778" s="2"/>
      <c r="Y778" s="2"/>
      <c r="Z778" s="2"/>
    </row>
    <row r="779" ht="13.5" customHeight="1">
      <c r="A779" s="2"/>
      <c r="B779" s="2"/>
      <c r="C779" s="2"/>
      <c r="D779" s="2"/>
      <c r="E779" s="2"/>
      <c r="F779" s="2"/>
      <c r="G779" s="2"/>
      <c r="H779" s="2"/>
      <c r="I779" s="2"/>
      <c r="J779" s="2"/>
      <c r="K779" s="2"/>
      <c r="L779" s="2"/>
      <c r="M779" s="2"/>
      <c r="N779" s="2"/>
      <c r="O779" s="2"/>
      <c r="P779" s="2"/>
      <c r="Q779" s="144"/>
      <c r="R779" s="144"/>
      <c r="S779" s="144"/>
      <c r="T779" s="214"/>
      <c r="U779" s="2"/>
      <c r="V779" s="2"/>
      <c r="W779" s="2"/>
      <c r="X779" s="2"/>
      <c r="Y779" s="2"/>
      <c r="Z779" s="2"/>
    </row>
    <row r="780" ht="13.5" customHeight="1">
      <c r="A780" s="2"/>
      <c r="B780" s="2"/>
      <c r="C780" s="2"/>
      <c r="D780" s="2"/>
      <c r="E780" s="2"/>
      <c r="F780" s="2"/>
      <c r="G780" s="2"/>
      <c r="H780" s="2"/>
      <c r="I780" s="2"/>
      <c r="J780" s="2"/>
      <c r="K780" s="2"/>
      <c r="L780" s="2"/>
      <c r="M780" s="2"/>
      <c r="N780" s="2"/>
      <c r="O780" s="2"/>
      <c r="P780" s="2"/>
      <c r="Q780" s="144"/>
      <c r="R780" s="144"/>
      <c r="S780" s="144"/>
      <c r="T780" s="214"/>
      <c r="U780" s="2"/>
      <c r="V780" s="2"/>
      <c r="W780" s="2"/>
      <c r="X780" s="2"/>
      <c r="Y780" s="2"/>
      <c r="Z780" s="2"/>
    </row>
    <row r="781" ht="13.5" customHeight="1">
      <c r="A781" s="2"/>
      <c r="B781" s="2"/>
      <c r="C781" s="2"/>
      <c r="D781" s="2"/>
      <c r="E781" s="2"/>
      <c r="F781" s="2"/>
      <c r="G781" s="2"/>
      <c r="H781" s="2"/>
      <c r="I781" s="2"/>
      <c r="J781" s="2"/>
      <c r="K781" s="2"/>
      <c r="L781" s="2"/>
      <c r="M781" s="2"/>
      <c r="N781" s="2"/>
      <c r="O781" s="2"/>
      <c r="P781" s="2"/>
      <c r="Q781" s="144"/>
      <c r="R781" s="144"/>
      <c r="S781" s="144"/>
      <c r="T781" s="214"/>
      <c r="U781" s="2"/>
      <c r="V781" s="2"/>
      <c r="W781" s="2"/>
      <c r="X781" s="2"/>
      <c r="Y781" s="2"/>
      <c r="Z781" s="2"/>
    </row>
    <row r="782" ht="13.5" customHeight="1">
      <c r="A782" s="2"/>
      <c r="B782" s="2"/>
      <c r="C782" s="2"/>
      <c r="D782" s="2"/>
      <c r="E782" s="2"/>
      <c r="F782" s="2"/>
      <c r="G782" s="2"/>
      <c r="H782" s="2"/>
      <c r="I782" s="2"/>
      <c r="J782" s="2"/>
      <c r="K782" s="2"/>
      <c r="L782" s="2"/>
      <c r="M782" s="2"/>
      <c r="N782" s="2"/>
      <c r="O782" s="2"/>
      <c r="P782" s="2"/>
      <c r="Q782" s="144"/>
      <c r="R782" s="144"/>
      <c r="S782" s="144"/>
      <c r="T782" s="214"/>
      <c r="U782" s="2"/>
      <c r="V782" s="2"/>
      <c r="W782" s="2"/>
      <c r="X782" s="2"/>
      <c r="Y782" s="2"/>
      <c r="Z782" s="2"/>
    </row>
    <row r="783" ht="13.5" customHeight="1">
      <c r="A783" s="2"/>
      <c r="B783" s="2"/>
      <c r="C783" s="2"/>
      <c r="D783" s="2"/>
      <c r="E783" s="2"/>
      <c r="F783" s="2"/>
      <c r="G783" s="2"/>
      <c r="H783" s="2"/>
      <c r="I783" s="2"/>
      <c r="J783" s="2"/>
      <c r="K783" s="2"/>
      <c r="L783" s="2"/>
      <c r="M783" s="2"/>
      <c r="N783" s="2"/>
      <c r="O783" s="2"/>
      <c r="P783" s="2"/>
      <c r="Q783" s="144"/>
      <c r="R783" s="144"/>
      <c r="S783" s="144"/>
      <c r="T783" s="214"/>
      <c r="U783" s="2"/>
      <c r="V783" s="2"/>
      <c r="W783" s="2"/>
      <c r="X783" s="2"/>
      <c r="Y783" s="2"/>
      <c r="Z783" s="2"/>
    </row>
    <row r="784" ht="13.5" customHeight="1">
      <c r="A784" s="2"/>
      <c r="B784" s="2"/>
      <c r="C784" s="2"/>
      <c r="D784" s="2"/>
      <c r="E784" s="2"/>
      <c r="F784" s="2"/>
      <c r="G784" s="2"/>
      <c r="H784" s="2"/>
      <c r="I784" s="2"/>
      <c r="J784" s="2"/>
      <c r="K784" s="2"/>
      <c r="L784" s="2"/>
      <c r="M784" s="2"/>
      <c r="N784" s="2"/>
      <c r="O784" s="2"/>
      <c r="P784" s="2"/>
      <c r="Q784" s="144"/>
      <c r="R784" s="144"/>
      <c r="S784" s="144"/>
      <c r="T784" s="214"/>
      <c r="U784" s="2"/>
      <c r="V784" s="2"/>
      <c r="W784" s="2"/>
      <c r="X784" s="2"/>
      <c r="Y784" s="2"/>
      <c r="Z784" s="2"/>
    </row>
    <row r="785" ht="13.5" customHeight="1">
      <c r="A785" s="2"/>
      <c r="B785" s="2"/>
      <c r="C785" s="2"/>
      <c r="D785" s="2"/>
      <c r="E785" s="2"/>
      <c r="F785" s="2"/>
      <c r="G785" s="2"/>
      <c r="H785" s="2"/>
      <c r="I785" s="2"/>
      <c r="J785" s="2"/>
      <c r="K785" s="2"/>
      <c r="L785" s="2"/>
      <c r="M785" s="2"/>
      <c r="N785" s="2"/>
      <c r="O785" s="2"/>
      <c r="P785" s="2"/>
      <c r="Q785" s="144"/>
      <c r="R785" s="144"/>
      <c r="S785" s="144"/>
      <c r="T785" s="214"/>
      <c r="U785" s="2"/>
      <c r="V785" s="2"/>
      <c r="W785" s="2"/>
      <c r="X785" s="2"/>
      <c r="Y785" s="2"/>
      <c r="Z785" s="2"/>
    </row>
    <row r="786" ht="13.5" customHeight="1">
      <c r="A786" s="2"/>
      <c r="B786" s="2"/>
      <c r="C786" s="2"/>
      <c r="D786" s="2"/>
      <c r="E786" s="2"/>
      <c r="F786" s="2"/>
      <c r="G786" s="2"/>
      <c r="H786" s="2"/>
      <c r="I786" s="2"/>
      <c r="J786" s="2"/>
      <c r="K786" s="2"/>
      <c r="L786" s="2"/>
      <c r="M786" s="2"/>
      <c r="N786" s="2"/>
      <c r="O786" s="2"/>
      <c r="P786" s="2"/>
      <c r="Q786" s="144"/>
      <c r="R786" s="144"/>
      <c r="S786" s="144"/>
      <c r="T786" s="214"/>
      <c r="U786" s="2"/>
      <c r="V786" s="2"/>
      <c r="W786" s="2"/>
      <c r="X786" s="2"/>
      <c r="Y786" s="2"/>
      <c r="Z786" s="2"/>
    </row>
    <row r="787" ht="13.5" customHeight="1">
      <c r="A787" s="2"/>
      <c r="B787" s="2"/>
      <c r="C787" s="2"/>
      <c r="D787" s="2"/>
      <c r="E787" s="2"/>
      <c r="F787" s="2"/>
      <c r="G787" s="2"/>
      <c r="H787" s="2"/>
      <c r="I787" s="2"/>
      <c r="J787" s="2"/>
      <c r="K787" s="2"/>
      <c r="L787" s="2"/>
      <c r="M787" s="2"/>
      <c r="N787" s="2"/>
      <c r="O787" s="2"/>
      <c r="P787" s="2"/>
      <c r="Q787" s="144"/>
      <c r="R787" s="144"/>
      <c r="S787" s="144"/>
      <c r="T787" s="214"/>
      <c r="U787" s="2"/>
      <c r="V787" s="2"/>
      <c r="W787" s="2"/>
      <c r="X787" s="2"/>
      <c r="Y787" s="2"/>
      <c r="Z787" s="2"/>
    </row>
    <row r="788" ht="13.5" customHeight="1">
      <c r="A788" s="2"/>
      <c r="B788" s="2"/>
      <c r="C788" s="2"/>
      <c r="D788" s="2"/>
      <c r="E788" s="2"/>
      <c r="F788" s="2"/>
      <c r="G788" s="2"/>
      <c r="H788" s="2"/>
      <c r="I788" s="2"/>
      <c r="J788" s="2"/>
      <c r="K788" s="2"/>
      <c r="L788" s="2"/>
      <c r="M788" s="2"/>
      <c r="N788" s="2"/>
      <c r="O788" s="2"/>
      <c r="P788" s="2"/>
      <c r="Q788" s="144"/>
      <c r="R788" s="144"/>
      <c r="S788" s="144"/>
      <c r="T788" s="214"/>
      <c r="U788" s="2"/>
      <c r="V788" s="2"/>
      <c r="W788" s="2"/>
      <c r="X788" s="2"/>
      <c r="Y788" s="2"/>
      <c r="Z788" s="2"/>
    </row>
    <row r="789" ht="13.5" customHeight="1">
      <c r="A789" s="2"/>
      <c r="B789" s="2"/>
      <c r="C789" s="2"/>
      <c r="D789" s="2"/>
      <c r="E789" s="2"/>
      <c r="F789" s="2"/>
      <c r="G789" s="2"/>
      <c r="H789" s="2"/>
      <c r="I789" s="2"/>
      <c r="J789" s="2"/>
      <c r="K789" s="2"/>
      <c r="L789" s="2"/>
      <c r="M789" s="2"/>
      <c r="N789" s="2"/>
      <c r="O789" s="2"/>
      <c r="P789" s="2"/>
      <c r="Q789" s="144"/>
      <c r="R789" s="144"/>
      <c r="S789" s="144"/>
      <c r="T789" s="214"/>
      <c r="U789" s="2"/>
      <c r="V789" s="2"/>
      <c r="W789" s="2"/>
      <c r="X789" s="2"/>
      <c r="Y789" s="2"/>
      <c r="Z789" s="2"/>
    </row>
    <row r="790" ht="13.5" customHeight="1">
      <c r="A790" s="2"/>
      <c r="B790" s="2"/>
      <c r="C790" s="2"/>
      <c r="D790" s="2"/>
      <c r="E790" s="2"/>
      <c r="F790" s="2"/>
      <c r="G790" s="2"/>
      <c r="H790" s="2"/>
      <c r="I790" s="2"/>
      <c r="J790" s="2"/>
      <c r="K790" s="2"/>
      <c r="L790" s="2"/>
      <c r="M790" s="2"/>
      <c r="N790" s="2"/>
      <c r="O790" s="2"/>
      <c r="P790" s="2"/>
      <c r="Q790" s="144"/>
      <c r="R790" s="144"/>
      <c r="S790" s="144"/>
      <c r="T790" s="214"/>
      <c r="U790" s="2"/>
      <c r="V790" s="2"/>
      <c r="W790" s="2"/>
      <c r="X790" s="2"/>
      <c r="Y790" s="2"/>
      <c r="Z790" s="2"/>
    </row>
    <row r="791" ht="13.5" customHeight="1">
      <c r="A791" s="2"/>
      <c r="B791" s="2"/>
      <c r="C791" s="2"/>
      <c r="D791" s="2"/>
      <c r="E791" s="2"/>
      <c r="F791" s="2"/>
      <c r="G791" s="2"/>
      <c r="H791" s="2"/>
      <c r="I791" s="2"/>
      <c r="J791" s="2"/>
      <c r="K791" s="2"/>
      <c r="L791" s="2"/>
      <c r="M791" s="2"/>
      <c r="N791" s="2"/>
      <c r="O791" s="2"/>
      <c r="P791" s="2"/>
      <c r="Q791" s="144"/>
      <c r="R791" s="144"/>
      <c r="S791" s="144"/>
      <c r="T791" s="214"/>
      <c r="U791" s="2"/>
      <c r="V791" s="2"/>
      <c r="W791" s="2"/>
      <c r="X791" s="2"/>
      <c r="Y791" s="2"/>
      <c r="Z791" s="2"/>
    </row>
    <row r="792" ht="13.5" customHeight="1">
      <c r="A792" s="2"/>
      <c r="B792" s="2"/>
      <c r="C792" s="2"/>
      <c r="D792" s="2"/>
      <c r="E792" s="2"/>
      <c r="F792" s="2"/>
      <c r="G792" s="2"/>
      <c r="H792" s="2"/>
      <c r="I792" s="2"/>
      <c r="J792" s="2"/>
      <c r="K792" s="2"/>
      <c r="L792" s="2"/>
      <c r="M792" s="2"/>
      <c r="N792" s="2"/>
      <c r="O792" s="2"/>
      <c r="P792" s="2"/>
      <c r="Q792" s="144"/>
      <c r="R792" s="144"/>
      <c r="S792" s="144"/>
      <c r="T792" s="214"/>
      <c r="U792" s="2"/>
      <c r="V792" s="2"/>
      <c r="W792" s="2"/>
      <c r="X792" s="2"/>
      <c r="Y792" s="2"/>
      <c r="Z792" s="2"/>
    </row>
    <row r="793" ht="13.5" customHeight="1">
      <c r="A793" s="2"/>
      <c r="B793" s="2"/>
      <c r="C793" s="2"/>
      <c r="D793" s="2"/>
      <c r="E793" s="2"/>
      <c r="F793" s="2"/>
      <c r="G793" s="2"/>
      <c r="H793" s="2"/>
      <c r="I793" s="2"/>
      <c r="J793" s="2"/>
      <c r="K793" s="2"/>
      <c r="L793" s="2"/>
      <c r="M793" s="2"/>
      <c r="N793" s="2"/>
      <c r="O793" s="2"/>
      <c r="P793" s="2"/>
      <c r="Q793" s="144"/>
      <c r="R793" s="144"/>
      <c r="S793" s="144"/>
      <c r="T793" s="214"/>
      <c r="U793" s="2"/>
      <c r="V793" s="2"/>
      <c r="W793" s="2"/>
      <c r="X793" s="2"/>
      <c r="Y793" s="2"/>
      <c r="Z793" s="2"/>
    </row>
    <row r="794" ht="13.5" customHeight="1">
      <c r="A794" s="2"/>
      <c r="B794" s="2"/>
      <c r="C794" s="2"/>
      <c r="D794" s="2"/>
      <c r="E794" s="2"/>
      <c r="F794" s="2"/>
      <c r="G794" s="2"/>
      <c r="H794" s="2"/>
      <c r="I794" s="2"/>
      <c r="J794" s="2"/>
      <c r="K794" s="2"/>
      <c r="L794" s="2"/>
      <c r="M794" s="2"/>
      <c r="N794" s="2"/>
      <c r="O794" s="2"/>
      <c r="P794" s="2"/>
      <c r="Q794" s="144"/>
      <c r="R794" s="144"/>
      <c r="S794" s="144"/>
      <c r="T794" s="214"/>
      <c r="U794" s="2"/>
      <c r="V794" s="2"/>
      <c r="W794" s="2"/>
      <c r="X794" s="2"/>
      <c r="Y794" s="2"/>
      <c r="Z794" s="2"/>
    </row>
    <row r="795" ht="13.5" customHeight="1">
      <c r="A795" s="2"/>
      <c r="B795" s="2"/>
      <c r="C795" s="2"/>
      <c r="D795" s="2"/>
      <c r="E795" s="2"/>
      <c r="F795" s="2"/>
      <c r="G795" s="2"/>
      <c r="H795" s="2"/>
      <c r="I795" s="2"/>
      <c r="J795" s="2"/>
      <c r="K795" s="2"/>
      <c r="L795" s="2"/>
      <c r="M795" s="2"/>
      <c r="N795" s="2"/>
      <c r="O795" s="2"/>
      <c r="P795" s="2"/>
      <c r="Q795" s="144"/>
      <c r="R795" s="144"/>
      <c r="S795" s="144"/>
      <c r="T795" s="214"/>
      <c r="U795" s="2"/>
      <c r="V795" s="2"/>
      <c r="W795" s="2"/>
      <c r="X795" s="2"/>
      <c r="Y795" s="2"/>
      <c r="Z795" s="2"/>
    </row>
    <row r="796" ht="13.5" customHeight="1">
      <c r="A796" s="2"/>
      <c r="B796" s="2"/>
      <c r="C796" s="2"/>
      <c r="D796" s="2"/>
      <c r="E796" s="2"/>
      <c r="F796" s="2"/>
      <c r="G796" s="2"/>
      <c r="H796" s="2"/>
      <c r="I796" s="2"/>
      <c r="J796" s="2"/>
      <c r="K796" s="2"/>
      <c r="L796" s="2"/>
      <c r="M796" s="2"/>
      <c r="N796" s="2"/>
      <c r="O796" s="2"/>
      <c r="P796" s="2"/>
      <c r="Q796" s="144"/>
      <c r="R796" s="144"/>
      <c r="S796" s="144"/>
      <c r="T796" s="214"/>
      <c r="U796" s="2"/>
      <c r="V796" s="2"/>
      <c r="W796" s="2"/>
      <c r="X796" s="2"/>
      <c r="Y796" s="2"/>
      <c r="Z796" s="2"/>
    </row>
    <row r="797" ht="13.5" customHeight="1">
      <c r="A797" s="2"/>
      <c r="B797" s="2"/>
      <c r="C797" s="2"/>
      <c r="D797" s="2"/>
      <c r="E797" s="2"/>
      <c r="F797" s="2"/>
      <c r="G797" s="2"/>
      <c r="H797" s="2"/>
      <c r="I797" s="2"/>
      <c r="J797" s="2"/>
      <c r="K797" s="2"/>
      <c r="L797" s="2"/>
      <c r="M797" s="2"/>
      <c r="N797" s="2"/>
      <c r="O797" s="2"/>
      <c r="P797" s="2"/>
      <c r="Q797" s="144"/>
      <c r="R797" s="144"/>
      <c r="S797" s="144"/>
      <c r="T797" s="214"/>
      <c r="U797" s="2"/>
      <c r="V797" s="2"/>
      <c r="W797" s="2"/>
      <c r="X797" s="2"/>
      <c r="Y797" s="2"/>
      <c r="Z797" s="2"/>
    </row>
    <row r="798" ht="13.5" customHeight="1">
      <c r="A798" s="2"/>
      <c r="B798" s="2"/>
      <c r="C798" s="2"/>
      <c r="D798" s="2"/>
      <c r="E798" s="2"/>
      <c r="F798" s="2"/>
      <c r="G798" s="2"/>
      <c r="H798" s="2"/>
      <c r="I798" s="2"/>
      <c r="J798" s="2"/>
      <c r="K798" s="2"/>
      <c r="L798" s="2"/>
      <c r="M798" s="2"/>
      <c r="N798" s="2"/>
      <c r="O798" s="2"/>
      <c r="P798" s="2"/>
      <c r="Q798" s="144"/>
      <c r="R798" s="144"/>
      <c r="S798" s="144"/>
      <c r="T798" s="214"/>
      <c r="U798" s="2"/>
      <c r="V798" s="2"/>
      <c r="W798" s="2"/>
      <c r="X798" s="2"/>
      <c r="Y798" s="2"/>
      <c r="Z798" s="2"/>
    </row>
    <row r="799" ht="13.5" customHeight="1">
      <c r="A799" s="2"/>
      <c r="B799" s="2"/>
      <c r="C799" s="2"/>
      <c r="D799" s="2"/>
      <c r="E799" s="2"/>
      <c r="F799" s="2"/>
      <c r="G799" s="2"/>
      <c r="H799" s="2"/>
      <c r="I799" s="2"/>
      <c r="J799" s="2"/>
      <c r="K799" s="2"/>
      <c r="L799" s="2"/>
      <c r="M799" s="2"/>
      <c r="N799" s="2"/>
      <c r="O799" s="2"/>
      <c r="P799" s="2"/>
      <c r="Q799" s="144"/>
      <c r="R799" s="144"/>
      <c r="S799" s="144"/>
      <c r="T799" s="214"/>
      <c r="U799" s="2"/>
      <c r="V799" s="2"/>
      <c r="W799" s="2"/>
      <c r="X799" s="2"/>
      <c r="Y799" s="2"/>
      <c r="Z799" s="2"/>
    </row>
    <row r="800" ht="13.5" customHeight="1">
      <c r="A800" s="2"/>
      <c r="B800" s="2"/>
      <c r="C800" s="2"/>
      <c r="D800" s="2"/>
      <c r="E800" s="2"/>
      <c r="F800" s="2"/>
      <c r="G800" s="2"/>
      <c r="H800" s="2"/>
      <c r="I800" s="2"/>
      <c r="J800" s="2"/>
      <c r="K800" s="2"/>
      <c r="L800" s="2"/>
      <c r="M800" s="2"/>
      <c r="N800" s="2"/>
      <c r="O800" s="2"/>
      <c r="P800" s="2"/>
      <c r="Q800" s="144"/>
      <c r="R800" s="144"/>
      <c r="S800" s="144"/>
      <c r="T800" s="214"/>
      <c r="U800" s="2"/>
      <c r="V800" s="2"/>
      <c r="W800" s="2"/>
      <c r="X800" s="2"/>
      <c r="Y800" s="2"/>
      <c r="Z800" s="2"/>
    </row>
    <row r="801" ht="13.5" customHeight="1">
      <c r="A801" s="2"/>
      <c r="B801" s="2"/>
      <c r="C801" s="2"/>
      <c r="D801" s="2"/>
      <c r="E801" s="2"/>
      <c r="F801" s="2"/>
      <c r="G801" s="2"/>
      <c r="H801" s="2"/>
      <c r="I801" s="2"/>
      <c r="J801" s="2"/>
      <c r="K801" s="2"/>
      <c r="L801" s="2"/>
      <c r="M801" s="2"/>
      <c r="N801" s="2"/>
      <c r="O801" s="2"/>
      <c r="P801" s="2"/>
      <c r="Q801" s="144"/>
      <c r="R801" s="144"/>
      <c r="S801" s="144"/>
      <c r="T801" s="214"/>
      <c r="U801" s="2"/>
      <c r="V801" s="2"/>
      <c r="W801" s="2"/>
      <c r="X801" s="2"/>
      <c r="Y801" s="2"/>
      <c r="Z801" s="2"/>
    </row>
    <row r="802" ht="13.5" customHeight="1">
      <c r="A802" s="2"/>
      <c r="B802" s="2"/>
      <c r="C802" s="2"/>
      <c r="D802" s="2"/>
      <c r="E802" s="2"/>
      <c r="F802" s="2"/>
      <c r="G802" s="2"/>
      <c r="H802" s="2"/>
      <c r="I802" s="2"/>
      <c r="J802" s="2"/>
      <c r="K802" s="2"/>
      <c r="L802" s="2"/>
      <c r="M802" s="2"/>
      <c r="N802" s="2"/>
      <c r="O802" s="2"/>
      <c r="P802" s="2"/>
      <c r="Q802" s="144"/>
      <c r="R802" s="144"/>
      <c r="S802" s="144"/>
      <c r="T802" s="214"/>
      <c r="U802" s="2"/>
      <c r="V802" s="2"/>
      <c r="W802" s="2"/>
      <c r="X802" s="2"/>
      <c r="Y802" s="2"/>
      <c r="Z802" s="2"/>
    </row>
    <row r="803" ht="13.5" customHeight="1">
      <c r="A803" s="2"/>
      <c r="B803" s="2"/>
      <c r="C803" s="2"/>
      <c r="D803" s="2"/>
      <c r="E803" s="2"/>
      <c r="F803" s="2"/>
      <c r="G803" s="2"/>
      <c r="H803" s="2"/>
      <c r="I803" s="2"/>
      <c r="J803" s="2"/>
      <c r="K803" s="2"/>
      <c r="L803" s="2"/>
      <c r="M803" s="2"/>
      <c r="N803" s="2"/>
      <c r="O803" s="2"/>
      <c r="P803" s="2"/>
      <c r="Q803" s="144"/>
      <c r="R803" s="144"/>
      <c r="S803" s="144"/>
      <c r="T803" s="214"/>
      <c r="U803" s="2"/>
      <c r="V803" s="2"/>
      <c r="W803" s="2"/>
      <c r="X803" s="2"/>
      <c r="Y803" s="2"/>
      <c r="Z803" s="2"/>
    </row>
    <row r="804" ht="13.5" customHeight="1">
      <c r="A804" s="2"/>
      <c r="B804" s="2"/>
      <c r="C804" s="2"/>
      <c r="D804" s="2"/>
      <c r="E804" s="2"/>
      <c r="F804" s="2"/>
      <c r="G804" s="2"/>
      <c r="H804" s="2"/>
      <c r="I804" s="2"/>
      <c r="J804" s="2"/>
      <c r="K804" s="2"/>
      <c r="L804" s="2"/>
      <c r="M804" s="2"/>
      <c r="N804" s="2"/>
      <c r="O804" s="2"/>
      <c r="P804" s="2"/>
      <c r="Q804" s="144"/>
      <c r="R804" s="144"/>
      <c r="S804" s="144"/>
      <c r="T804" s="214"/>
      <c r="U804" s="2"/>
      <c r="V804" s="2"/>
      <c r="W804" s="2"/>
      <c r="X804" s="2"/>
      <c r="Y804" s="2"/>
      <c r="Z804" s="2"/>
    </row>
    <row r="805" ht="13.5" customHeight="1">
      <c r="A805" s="2"/>
      <c r="B805" s="2"/>
      <c r="C805" s="2"/>
      <c r="D805" s="2"/>
      <c r="E805" s="2"/>
      <c r="F805" s="2"/>
      <c r="G805" s="2"/>
      <c r="H805" s="2"/>
      <c r="I805" s="2"/>
      <c r="J805" s="2"/>
      <c r="K805" s="2"/>
      <c r="L805" s="2"/>
      <c r="M805" s="2"/>
      <c r="N805" s="2"/>
      <c r="O805" s="2"/>
      <c r="P805" s="2"/>
      <c r="Q805" s="144"/>
      <c r="R805" s="144"/>
      <c r="S805" s="144"/>
      <c r="T805" s="214"/>
      <c r="U805" s="2"/>
      <c r="V805" s="2"/>
      <c r="W805" s="2"/>
      <c r="X805" s="2"/>
      <c r="Y805" s="2"/>
      <c r="Z805" s="2"/>
    </row>
    <row r="806" ht="13.5" customHeight="1">
      <c r="A806" s="2"/>
      <c r="B806" s="2"/>
      <c r="C806" s="2"/>
      <c r="D806" s="2"/>
      <c r="E806" s="2"/>
      <c r="F806" s="2"/>
      <c r="G806" s="2"/>
      <c r="H806" s="2"/>
      <c r="I806" s="2"/>
      <c r="J806" s="2"/>
      <c r="K806" s="2"/>
      <c r="L806" s="2"/>
      <c r="M806" s="2"/>
      <c r="N806" s="2"/>
      <c r="O806" s="2"/>
      <c r="P806" s="2"/>
      <c r="Q806" s="144"/>
      <c r="R806" s="144"/>
      <c r="S806" s="144"/>
      <c r="T806" s="214"/>
      <c r="U806" s="2"/>
      <c r="V806" s="2"/>
      <c r="W806" s="2"/>
      <c r="X806" s="2"/>
      <c r="Y806" s="2"/>
      <c r="Z806" s="2"/>
    </row>
    <row r="807" ht="13.5" customHeight="1">
      <c r="A807" s="2"/>
      <c r="B807" s="2"/>
      <c r="C807" s="2"/>
      <c r="D807" s="2"/>
      <c r="E807" s="2"/>
      <c r="F807" s="2"/>
      <c r="G807" s="2"/>
      <c r="H807" s="2"/>
      <c r="I807" s="2"/>
      <c r="J807" s="2"/>
      <c r="K807" s="2"/>
      <c r="L807" s="2"/>
      <c r="M807" s="2"/>
      <c r="N807" s="2"/>
      <c r="O807" s="2"/>
      <c r="P807" s="2"/>
      <c r="Q807" s="144"/>
      <c r="R807" s="144"/>
      <c r="S807" s="144"/>
      <c r="T807" s="214"/>
      <c r="U807" s="2"/>
      <c r="V807" s="2"/>
      <c r="W807" s="2"/>
      <c r="X807" s="2"/>
      <c r="Y807" s="2"/>
      <c r="Z807" s="2"/>
    </row>
    <row r="808" ht="13.5" customHeight="1">
      <c r="A808" s="2"/>
      <c r="B808" s="2"/>
      <c r="C808" s="2"/>
      <c r="D808" s="2"/>
      <c r="E808" s="2"/>
      <c r="F808" s="2"/>
      <c r="G808" s="2"/>
      <c r="H808" s="2"/>
      <c r="I808" s="2"/>
      <c r="J808" s="2"/>
      <c r="K808" s="2"/>
      <c r="L808" s="2"/>
      <c r="M808" s="2"/>
      <c r="N808" s="2"/>
      <c r="O808" s="2"/>
      <c r="P808" s="2"/>
      <c r="Q808" s="144"/>
      <c r="R808" s="144"/>
      <c r="S808" s="144"/>
      <c r="T808" s="214"/>
      <c r="U808" s="2"/>
      <c r="V808" s="2"/>
      <c r="W808" s="2"/>
      <c r="X808" s="2"/>
      <c r="Y808" s="2"/>
      <c r="Z808" s="2"/>
    </row>
    <row r="809" ht="13.5" customHeight="1">
      <c r="A809" s="2"/>
      <c r="B809" s="2"/>
      <c r="C809" s="2"/>
      <c r="D809" s="2"/>
      <c r="E809" s="2"/>
      <c r="F809" s="2"/>
      <c r="G809" s="2"/>
      <c r="H809" s="2"/>
      <c r="I809" s="2"/>
      <c r="J809" s="2"/>
      <c r="K809" s="2"/>
      <c r="L809" s="2"/>
      <c r="M809" s="2"/>
      <c r="N809" s="2"/>
      <c r="O809" s="2"/>
      <c r="P809" s="2"/>
      <c r="Q809" s="144"/>
      <c r="R809" s="144"/>
      <c r="S809" s="144"/>
      <c r="T809" s="214"/>
      <c r="U809" s="2"/>
      <c r="V809" s="2"/>
      <c r="W809" s="2"/>
      <c r="X809" s="2"/>
      <c r="Y809" s="2"/>
      <c r="Z809" s="2"/>
    </row>
    <row r="810" ht="13.5" customHeight="1">
      <c r="A810" s="2"/>
      <c r="B810" s="2"/>
      <c r="C810" s="2"/>
      <c r="D810" s="2"/>
      <c r="E810" s="2"/>
      <c r="F810" s="2"/>
      <c r="G810" s="2"/>
      <c r="H810" s="2"/>
      <c r="I810" s="2"/>
      <c r="J810" s="2"/>
      <c r="K810" s="2"/>
      <c r="L810" s="2"/>
      <c r="M810" s="2"/>
      <c r="N810" s="2"/>
      <c r="O810" s="2"/>
      <c r="P810" s="2"/>
      <c r="Q810" s="144"/>
      <c r="R810" s="144"/>
      <c r="S810" s="144"/>
      <c r="T810" s="214"/>
      <c r="U810" s="2"/>
      <c r="V810" s="2"/>
      <c r="W810" s="2"/>
      <c r="X810" s="2"/>
      <c r="Y810" s="2"/>
      <c r="Z810" s="2"/>
    </row>
    <row r="811" ht="13.5" customHeight="1">
      <c r="A811" s="2"/>
      <c r="B811" s="2"/>
      <c r="C811" s="2"/>
      <c r="D811" s="2"/>
      <c r="E811" s="2"/>
      <c r="F811" s="2"/>
      <c r="G811" s="2"/>
      <c r="H811" s="2"/>
      <c r="I811" s="2"/>
      <c r="J811" s="2"/>
      <c r="K811" s="2"/>
      <c r="L811" s="2"/>
      <c r="M811" s="2"/>
      <c r="N811" s="2"/>
      <c r="O811" s="2"/>
      <c r="P811" s="2"/>
      <c r="Q811" s="144"/>
      <c r="R811" s="144"/>
      <c r="S811" s="144"/>
      <c r="T811" s="214"/>
      <c r="U811" s="2"/>
      <c r="V811" s="2"/>
      <c r="W811" s="2"/>
      <c r="X811" s="2"/>
      <c r="Y811" s="2"/>
      <c r="Z811" s="2"/>
    </row>
    <row r="812" ht="13.5" customHeight="1">
      <c r="A812" s="2"/>
      <c r="B812" s="2"/>
      <c r="C812" s="2"/>
      <c r="D812" s="2"/>
      <c r="E812" s="2"/>
      <c r="F812" s="2"/>
      <c r="G812" s="2"/>
      <c r="H812" s="2"/>
      <c r="I812" s="2"/>
      <c r="J812" s="2"/>
      <c r="K812" s="2"/>
      <c r="L812" s="2"/>
      <c r="M812" s="2"/>
      <c r="N812" s="2"/>
      <c r="O812" s="2"/>
      <c r="P812" s="2"/>
      <c r="Q812" s="144"/>
      <c r="R812" s="144"/>
      <c r="S812" s="144"/>
      <c r="T812" s="214"/>
      <c r="U812" s="2"/>
      <c r="V812" s="2"/>
      <c r="W812" s="2"/>
      <c r="X812" s="2"/>
      <c r="Y812" s="2"/>
      <c r="Z812" s="2"/>
    </row>
    <row r="813" ht="13.5" customHeight="1">
      <c r="A813" s="2"/>
      <c r="B813" s="2"/>
      <c r="C813" s="2"/>
      <c r="D813" s="2"/>
      <c r="E813" s="2"/>
      <c r="F813" s="2"/>
      <c r="G813" s="2"/>
      <c r="H813" s="2"/>
      <c r="I813" s="2"/>
      <c r="J813" s="2"/>
      <c r="K813" s="2"/>
      <c r="L813" s="2"/>
      <c r="M813" s="2"/>
      <c r="N813" s="2"/>
      <c r="O813" s="2"/>
      <c r="P813" s="2"/>
      <c r="Q813" s="144"/>
      <c r="R813" s="144"/>
      <c r="S813" s="144"/>
      <c r="T813" s="214"/>
      <c r="U813" s="2"/>
      <c r="V813" s="2"/>
      <c r="W813" s="2"/>
      <c r="X813" s="2"/>
      <c r="Y813" s="2"/>
      <c r="Z813" s="2"/>
    </row>
    <row r="814" ht="13.5" customHeight="1">
      <c r="A814" s="2"/>
      <c r="B814" s="2"/>
      <c r="C814" s="2"/>
      <c r="D814" s="2"/>
      <c r="E814" s="2"/>
      <c r="F814" s="2"/>
      <c r="G814" s="2"/>
      <c r="H814" s="2"/>
      <c r="I814" s="2"/>
      <c r="J814" s="2"/>
      <c r="K814" s="2"/>
      <c r="L814" s="2"/>
      <c r="M814" s="2"/>
      <c r="N814" s="2"/>
      <c r="O814" s="2"/>
      <c r="P814" s="2"/>
      <c r="Q814" s="144"/>
      <c r="R814" s="144"/>
      <c r="S814" s="144"/>
      <c r="T814" s="214"/>
      <c r="U814" s="2"/>
      <c r="V814" s="2"/>
      <c r="W814" s="2"/>
      <c r="X814" s="2"/>
      <c r="Y814" s="2"/>
      <c r="Z814" s="2"/>
    </row>
    <row r="815" ht="13.5" customHeight="1">
      <c r="A815" s="2"/>
      <c r="B815" s="2"/>
      <c r="C815" s="2"/>
      <c r="D815" s="2"/>
      <c r="E815" s="2"/>
      <c r="F815" s="2"/>
      <c r="G815" s="2"/>
      <c r="H815" s="2"/>
      <c r="I815" s="2"/>
      <c r="J815" s="2"/>
      <c r="K815" s="2"/>
      <c r="L815" s="2"/>
      <c r="M815" s="2"/>
      <c r="N815" s="2"/>
      <c r="O815" s="2"/>
      <c r="P815" s="2"/>
      <c r="Q815" s="144"/>
      <c r="R815" s="144"/>
      <c r="S815" s="144"/>
      <c r="T815" s="214"/>
      <c r="U815" s="2"/>
      <c r="V815" s="2"/>
      <c r="W815" s="2"/>
      <c r="X815" s="2"/>
      <c r="Y815" s="2"/>
      <c r="Z815" s="2"/>
    </row>
    <row r="816" ht="13.5" customHeight="1">
      <c r="A816" s="2"/>
      <c r="B816" s="2"/>
      <c r="C816" s="2"/>
      <c r="D816" s="2"/>
      <c r="E816" s="2"/>
      <c r="F816" s="2"/>
      <c r="G816" s="2"/>
      <c r="H816" s="2"/>
      <c r="I816" s="2"/>
      <c r="J816" s="2"/>
      <c r="K816" s="2"/>
      <c r="L816" s="2"/>
      <c r="M816" s="2"/>
      <c r="N816" s="2"/>
      <c r="O816" s="2"/>
      <c r="P816" s="2"/>
      <c r="Q816" s="144"/>
      <c r="R816" s="144"/>
      <c r="S816" s="144"/>
      <c r="T816" s="214"/>
      <c r="U816" s="2"/>
      <c r="V816" s="2"/>
      <c r="W816" s="2"/>
      <c r="X816" s="2"/>
      <c r="Y816" s="2"/>
      <c r="Z816" s="2"/>
    </row>
    <row r="817" ht="13.5" customHeight="1">
      <c r="A817" s="2"/>
      <c r="B817" s="2"/>
      <c r="C817" s="2"/>
      <c r="D817" s="2"/>
      <c r="E817" s="2"/>
      <c r="F817" s="2"/>
      <c r="G817" s="2"/>
      <c r="H817" s="2"/>
      <c r="I817" s="2"/>
      <c r="J817" s="2"/>
      <c r="K817" s="2"/>
      <c r="L817" s="2"/>
      <c r="M817" s="2"/>
      <c r="N817" s="2"/>
      <c r="O817" s="2"/>
      <c r="P817" s="2"/>
      <c r="Q817" s="144"/>
      <c r="R817" s="144"/>
      <c r="S817" s="144"/>
      <c r="T817" s="214"/>
      <c r="U817" s="2"/>
      <c r="V817" s="2"/>
      <c r="W817" s="2"/>
      <c r="X817" s="2"/>
      <c r="Y817" s="2"/>
      <c r="Z817" s="2"/>
    </row>
    <row r="818" ht="13.5" customHeight="1">
      <c r="A818" s="2"/>
      <c r="B818" s="2"/>
      <c r="C818" s="2"/>
      <c r="D818" s="2"/>
      <c r="E818" s="2"/>
      <c r="F818" s="2"/>
      <c r="G818" s="2"/>
      <c r="H818" s="2"/>
      <c r="I818" s="2"/>
      <c r="J818" s="2"/>
      <c r="K818" s="2"/>
      <c r="L818" s="2"/>
      <c r="M818" s="2"/>
      <c r="N818" s="2"/>
      <c r="O818" s="2"/>
      <c r="P818" s="2"/>
      <c r="Q818" s="144"/>
      <c r="R818" s="144"/>
      <c r="S818" s="144"/>
      <c r="T818" s="214"/>
      <c r="U818" s="2"/>
      <c r="V818" s="2"/>
      <c r="W818" s="2"/>
      <c r="X818" s="2"/>
      <c r="Y818" s="2"/>
      <c r="Z818" s="2"/>
    </row>
    <row r="819" ht="13.5" customHeight="1">
      <c r="A819" s="2"/>
      <c r="B819" s="2"/>
      <c r="C819" s="2"/>
      <c r="D819" s="2"/>
      <c r="E819" s="2"/>
      <c r="F819" s="2"/>
      <c r="G819" s="2"/>
      <c r="H819" s="2"/>
      <c r="I819" s="2"/>
      <c r="J819" s="2"/>
      <c r="K819" s="2"/>
      <c r="L819" s="2"/>
      <c r="M819" s="2"/>
      <c r="N819" s="2"/>
      <c r="O819" s="2"/>
      <c r="P819" s="2"/>
      <c r="Q819" s="144"/>
      <c r="R819" s="144"/>
      <c r="S819" s="144"/>
      <c r="T819" s="214"/>
      <c r="U819" s="2"/>
      <c r="V819" s="2"/>
      <c r="W819" s="2"/>
      <c r="X819" s="2"/>
      <c r="Y819" s="2"/>
      <c r="Z819" s="2"/>
    </row>
    <row r="820" ht="13.5" customHeight="1">
      <c r="A820" s="2"/>
      <c r="B820" s="2"/>
      <c r="C820" s="2"/>
      <c r="D820" s="2"/>
      <c r="E820" s="2"/>
      <c r="F820" s="2"/>
      <c r="G820" s="2"/>
      <c r="H820" s="2"/>
      <c r="I820" s="2"/>
      <c r="J820" s="2"/>
      <c r="K820" s="2"/>
      <c r="L820" s="2"/>
      <c r="M820" s="2"/>
      <c r="N820" s="2"/>
      <c r="O820" s="2"/>
      <c r="P820" s="2"/>
      <c r="Q820" s="144"/>
      <c r="R820" s="144"/>
      <c r="S820" s="144"/>
      <c r="T820" s="214"/>
      <c r="U820" s="2"/>
      <c r="V820" s="2"/>
      <c r="W820" s="2"/>
      <c r="X820" s="2"/>
      <c r="Y820" s="2"/>
      <c r="Z820" s="2"/>
    </row>
    <row r="821" ht="13.5" customHeight="1">
      <c r="A821" s="2"/>
      <c r="B821" s="2"/>
      <c r="C821" s="2"/>
      <c r="D821" s="2"/>
      <c r="E821" s="2"/>
      <c r="F821" s="2"/>
      <c r="G821" s="2"/>
      <c r="H821" s="2"/>
      <c r="I821" s="2"/>
      <c r="J821" s="2"/>
      <c r="K821" s="2"/>
      <c r="L821" s="2"/>
      <c r="M821" s="2"/>
      <c r="N821" s="2"/>
      <c r="O821" s="2"/>
      <c r="P821" s="2"/>
      <c r="Q821" s="144"/>
      <c r="R821" s="144"/>
      <c r="S821" s="144"/>
      <c r="T821" s="214"/>
      <c r="U821" s="2"/>
      <c r="V821" s="2"/>
      <c r="W821" s="2"/>
      <c r="X821" s="2"/>
      <c r="Y821" s="2"/>
      <c r="Z821" s="2"/>
    </row>
    <row r="822" ht="13.5" customHeight="1">
      <c r="A822" s="2"/>
      <c r="B822" s="2"/>
      <c r="C822" s="2"/>
      <c r="D822" s="2"/>
      <c r="E822" s="2"/>
      <c r="F822" s="2"/>
      <c r="G822" s="2"/>
      <c r="H822" s="2"/>
      <c r="I822" s="2"/>
      <c r="J822" s="2"/>
      <c r="K822" s="2"/>
      <c r="L822" s="2"/>
      <c r="M822" s="2"/>
      <c r="N822" s="2"/>
      <c r="O822" s="2"/>
      <c r="P822" s="2"/>
      <c r="Q822" s="144"/>
      <c r="R822" s="144"/>
      <c r="S822" s="144"/>
      <c r="T822" s="214"/>
      <c r="U822" s="2"/>
      <c r="V822" s="2"/>
      <c r="W822" s="2"/>
      <c r="X822" s="2"/>
      <c r="Y822" s="2"/>
      <c r="Z822" s="2"/>
    </row>
    <row r="823" ht="13.5" customHeight="1">
      <c r="A823" s="2"/>
      <c r="B823" s="2"/>
      <c r="C823" s="2"/>
      <c r="D823" s="2"/>
      <c r="E823" s="2"/>
      <c r="F823" s="2"/>
      <c r="G823" s="2"/>
      <c r="H823" s="2"/>
      <c r="I823" s="2"/>
      <c r="J823" s="2"/>
      <c r="K823" s="2"/>
      <c r="L823" s="2"/>
      <c r="M823" s="2"/>
      <c r="N823" s="2"/>
      <c r="O823" s="2"/>
      <c r="P823" s="2"/>
      <c r="Q823" s="144"/>
      <c r="R823" s="144"/>
      <c r="S823" s="144"/>
      <c r="T823" s="214"/>
      <c r="U823" s="2"/>
      <c r="V823" s="2"/>
      <c r="W823" s="2"/>
      <c r="X823" s="2"/>
      <c r="Y823" s="2"/>
      <c r="Z823" s="2"/>
    </row>
    <row r="824" ht="13.5" customHeight="1">
      <c r="A824" s="2"/>
      <c r="B824" s="2"/>
      <c r="C824" s="2"/>
      <c r="D824" s="2"/>
      <c r="E824" s="2"/>
      <c r="F824" s="2"/>
      <c r="G824" s="2"/>
      <c r="H824" s="2"/>
      <c r="I824" s="2"/>
      <c r="J824" s="2"/>
      <c r="K824" s="2"/>
      <c r="L824" s="2"/>
      <c r="M824" s="2"/>
      <c r="N824" s="2"/>
      <c r="O824" s="2"/>
      <c r="P824" s="2"/>
      <c r="Q824" s="144"/>
      <c r="R824" s="144"/>
      <c r="S824" s="144"/>
      <c r="T824" s="214"/>
      <c r="U824" s="2"/>
      <c r="V824" s="2"/>
      <c r="W824" s="2"/>
      <c r="X824" s="2"/>
      <c r="Y824" s="2"/>
      <c r="Z824" s="2"/>
    </row>
    <row r="825" ht="13.5" customHeight="1">
      <c r="A825" s="2"/>
      <c r="B825" s="2"/>
      <c r="C825" s="2"/>
      <c r="D825" s="2"/>
      <c r="E825" s="2"/>
      <c r="F825" s="2"/>
      <c r="G825" s="2"/>
      <c r="H825" s="2"/>
      <c r="I825" s="2"/>
      <c r="J825" s="2"/>
      <c r="K825" s="2"/>
      <c r="L825" s="2"/>
      <c r="M825" s="2"/>
      <c r="N825" s="2"/>
      <c r="O825" s="2"/>
      <c r="P825" s="2"/>
      <c r="Q825" s="144"/>
      <c r="R825" s="144"/>
      <c r="S825" s="144"/>
      <c r="T825" s="214"/>
      <c r="U825" s="2"/>
      <c r="V825" s="2"/>
      <c r="W825" s="2"/>
      <c r="X825" s="2"/>
      <c r="Y825" s="2"/>
      <c r="Z825" s="2"/>
    </row>
    <row r="826" ht="13.5" customHeight="1">
      <c r="A826" s="2"/>
      <c r="B826" s="2"/>
      <c r="C826" s="2"/>
      <c r="D826" s="2"/>
      <c r="E826" s="2"/>
      <c r="F826" s="2"/>
      <c r="G826" s="2"/>
      <c r="H826" s="2"/>
      <c r="I826" s="2"/>
      <c r="J826" s="2"/>
      <c r="K826" s="2"/>
      <c r="L826" s="2"/>
      <c r="M826" s="2"/>
      <c r="N826" s="2"/>
      <c r="O826" s="2"/>
      <c r="P826" s="2"/>
      <c r="Q826" s="144"/>
      <c r="R826" s="144"/>
      <c r="S826" s="144"/>
      <c r="T826" s="214"/>
      <c r="U826" s="2"/>
      <c r="V826" s="2"/>
      <c r="W826" s="2"/>
      <c r="X826" s="2"/>
      <c r="Y826" s="2"/>
      <c r="Z826" s="2"/>
    </row>
    <row r="827" ht="13.5" customHeight="1">
      <c r="A827" s="2"/>
      <c r="B827" s="2"/>
      <c r="C827" s="2"/>
      <c r="D827" s="2"/>
      <c r="E827" s="2"/>
      <c r="F827" s="2"/>
      <c r="G827" s="2"/>
      <c r="H827" s="2"/>
      <c r="I827" s="2"/>
      <c r="J827" s="2"/>
      <c r="K827" s="2"/>
      <c r="L827" s="2"/>
      <c r="M827" s="2"/>
      <c r="N827" s="2"/>
      <c r="O827" s="2"/>
      <c r="P827" s="2"/>
      <c r="Q827" s="144"/>
      <c r="R827" s="144"/>
      <c r="S827" s="144"/>
      <c r="T827" s="214"/>
      <c r="U827" s="2"/>
      <c r="V827" s="2"/>
      <c r="W827" s="2"/>
      <c r="X827" s="2"/>
      <c r="Y827" s="2"/>
      <c r="Z827" s="2"/>
    </row>
    <row r="828" ht="13.5" customHeight="1">
      <c r="A828" s="2"/>
      <c r="B828" s="2"/>
      <c r="C828" s="2"/>
      <c r="D828" s="2"/>
      <c r="E828" s="2"/>
      <c r="F828" s="2"/>
      <c r="G828" s="2"/>
      <c r="H828" s="2"/>
      <c r="I828" s="2"/>
      <c r="J828" s="2"/>
      <c r="K828" s="2"/>
      <c r="L828" s="2"/>
      <c r="M828" s="2"/>
      <c r="N828" s="2"/>
      <c r="O828" s="2"/>
      <c r="P828" s="2"/>
      <c r="Q828" s="144"/>
      <c r="R828" s="144"/>
      <c r="S828" s="144"/>
      <c r="T828" s="214"/>
      <c r="U828" s="2"/>
      <c r="V828" s="2"/>
      <c r="W828" s="2"/>
      <c r="X828" s="2"/>
      <c r="Y828" s="2"/>
      <c r="Z828" s="2"/>
    </row>
    <row r="829" ht="13.5" customHeight="1">
      <c r="A829" s="2"/>
      <c r="B829" s="2"/>
      <c r="C829" s="2"/>
      <c r="D829" s="2"/>
      <c r="E829" s="2"/>
      <c r="F829" s="2"/>
      <c r="G829" s="2"/>
      <c r="H829" s="2"/>
      <c r="I829" s="2"/>
      <c r="J829" s="2"/>
      <c r="K829" s="2"/>
      <c r="L829" s="2"/>
      <c r="M829" s="2"/>
      <c r="N829" s="2"/>
      <c r="O829" s="2"/>
      <c r="P829" s="2"/>
      <c r="Q829" s="144"/>
      <c r="R829" s="144"/>
      <c r="S829" s="144"/>
      <c r="T829" s="214"/>
      <c r="U829" s="2"/>
      <c r="V829" s="2"/>
      <c r="W829" s="2"/>
      <c r="X829" s="2"/>
      <c r="Y829" s="2"/>
      <c r="Z829" s="2"/>
    </row>
    <row r="830" ht="13.5" customHeight="1">
      <c r="A830" s="2"/>
      <c r="B830" s="2"/>
      <c r="C830" s="2"/>
      <c r="D830" s="2"/>
      <c r="E830" s="2"/>
      <c r="F830" s="2"/>
      <c r="G830" s="2"/>
      <c r="H830" s="2"/>
      <c r="I830" s="2"/>
      <c r="J830" s="2"/>
      <c r="K830" s="2"/>
      <c r="L830" s="2"/>
      <c r="M830" s="2"/>
      <c r="N830" s="2"/>
      <c r="O830" s="2"/>
      <c r="P830" s="2"/>
      <c r="Q830" s="144"/>
      <c r="R830" s="144"/>
      <c r="S830" s="144"/>
      <c r="T830" s="214"/>
      <c r="U830" s="2"/>
      <c r="V830" s="2"/>
      <c r="W830" s="2"/>
      <c r="X830" s="2"/>
      <c r="Y830" s="2"/>
      <c r="Z830" s="2"/>
    </row>
    <row r="831" ht="13.5" customHeight="1">
      <c r="A831" s="2"/>
      <c r="B831" s="2"/>
      <c r="C831" s="2"/>
      <c r="D831" s="2"/>
      <c r="E831" s="2"/>
      <c r="F831" s="2"/>
      <c r="G831" s="2"/>
      <c r="H831" s="2"/>
      <c r="I831" s="2"/>
      <c r="J831" s="2"/>
      <c r="K831" s="2"/>
      <c r="L831" s="2"/>
      <c r="M831" s="2"/>
      <c r="N831" s="2"/>
      <c r="O831" s="2"/>
      <c r="P831" s="2"/>
      <c r="Q831" s="144"/>
      <c r="R831" s="144"/>
      <c r="S831" s="144"/>
      <c r="T831" s="214"/>
      <c r="U831" s="2"/>
      <c r="V831" s="2"/>
      <c r="W831" s="2"/>
      <c r="X831" s="2"/>
      <c r="Y831" s="2"/>
      <c r="Z831" s="2"/>
    </row>
    <row r="832" ht="13.5" customHeight="1">
      <c r="A832" s="2"/>
      <c r="B832" s="2"/>
      <c r="C832" s="2"/>
      <c r="D832" s="2"/>
      <c r="E832" s="2"/>
      <c r="F832" s="2"/>
      <c r="G832" s="2"/>
      <c r="H832" s="2"/>
      <c r="I832" s="2"/>
      <c r="J832" s="2"/>
      <c r="K832" s="2"/>
      <c r="L832" s="2"/>
      <c r="M832" s="2"/>
      <c r="N832" s="2"/>
      <c r="O832" s="2"/>
      <c r="P832" s="2"/>
      <c r="Q832" s="144"/>
      <c r="R832" s="144"/>
      <c r="S832" s="144"/>
      <c r="T832" s="214"/>
      <c r="U832" s="2"/>
      <c r="V832" s="2"/>
      <c r="W832" s="2"/>
      <c r="X832" s="2"/>
      <c r="Y832" s="2"/>
      <c r="Z832" s="2"/>
    </row>
    <row r="833" ht="13.5" customHeight="1">
      <c r="A833" s="2"/>
      <c r="B833" s="2"/>
      <c r="C833" s="2"/>
      <c r="D833" s="2"/>
      <c r="E833" s="2"/>
      <c r="F833" s="2"/>
      <c r="G833" s="2"/>
      <c r="H833" s="2"/>
      <c r="I833" s="2"/>
      <c r="J833" s="2"/>
      <c r="K833" s="2"/>
      <c r="L833" s="2"/>
      <c r="M833" s="2"/>
      <c r="N833" s="2"/>
      <c r="O833" s="2"/>
      <c r="P833" s="2"/>
      <c r="Q833" s="144"/>
      <c r="R833" s="144"/>
      <c r="S833" s="144"/>
      <c r="T833" s="214"/>
      <c r="U833" s="2"/>
      <c r="V833" s="2"/>
      <c r="W833" s="2"/>
      <c r="X833" s="2"/>
      <c r="Y833" s="2"/>
      <c r="Z833" s="2"/>
    </row>
    <row r="834" ht="13.5" customHeight="1">
      <c r="A834" s="2"/>
      <c r="B834" s="2"/>
      <c r="C834" s="2"/>
      <c r="D834" s="2"/>
      <c r="E834" s="2"/>
      <c r="F834" s="2"/>
      <c r="G834" s="2"/>
      <c r="H834" s="2"/>
      <c r="I834" s="2"/>
      <c r="J834" s="2"/>
      <c r="K834" s="2"/>
      <c r="L834" s="2"/>
      <c r="M834" s="2"/>
      <c r="N834" s="2"/>
      <c r="O834" s="2"/>
      <c r="P834" s="2"/>
      <c r="Q834" s="144"/>
      <c r="R834" s="144"/>
      <c r="S834" s="144"/>
      <c r="T834" s="214"/>
      <c r="U834" s="2"/>
      <c r="V834" s="2"/>
      <c r="W834" s="2"/>
      <c r="X834" s="2"/>
      <c r="Y834" s="2"/>
      <c r="Z834" s="2"/>
    </row>
    <row r="835" ht="13.5" customHeight="1">
      <c r="A835" s="2"/>
      <c r="B835" s="2"/>
      <c r="C835" s="2"/>
      <c r="D835" s="2"/>
      <c r="E835" s="2"/>
      <c r="F835" s="2"/>
      <c r="G835" s="2"/>
      <c r="H835" s="2"/>
      <c r="I835" s="2"/>
      <c r="J835" s="2"/>
      <c r="K835" s="2"/>
      <c r="L835" s="2"/>
      <c r="M835" s="2"/>
      <c r="N835" s="2"/>
      <c r="O835" s="2"/>
      <c r="P835" s="2"/>
      <c r="Q835" s="144"/>
      <c r="R835" s="144"/>
      <c r="S835" s="144"/>
      <c r="T835" s="214"/>
      <c r="U835" s="2"/>
      <c r="V835" s="2"/>
      <c r="W835" s="2"/>
      <c r="X835" s="2"/>
      <c r="Y835" s="2"/>
      <c r="Z835" s="2"/>
    </row>
    <row r="836" ht="13.5" customHeight="1">
      <c r="A836" s="2"/>
      <c r="B836" s="2"/>
      <c r="C836" s="2"/>
      <c r="D836" s="2"/>
      <c r="E836" s="2"/>
      <c r="F836" s="2"/>
      <c r="G836" s="2"/>
      <c r="H836" s="2"/>
      <c r="I836" s="2"/>
      <c r="J836" s="2"/>
      <c r="K836" s="2"/>
      <c r="L836" s="2"/>
      <c r="M836" s="2"/>
      <c r="N836" s="2"/>
      <c r="O836" s="2"/>
      <c r="P836" s="2"/>
      <c r="Q836" s="144"/>
      <c r="R836" s="144"/>
      <c r="S836" s="144"/>
      <c r="T836" s="214"/>
      <c r="U836" s="2"/>
      <c r="V836" s="2"/>
      <c r="W836" s="2"/>
      <c r="X836" s="2"/>
      <c r="Y836" s="2"/>
      <c r="Z836" s="2"/>
    </row>
    <row r="837" ht="13.5" customHeight="1">
      <c r="A837" s="2"/>
      <c r="B837" s="2"/>
      <c r="C837" s="2"/>
      <c r="D837" s="2"/>
      <c r="E837" s="2"/>
      <c r="F837" s="2"/>
      <c r="G837" s="2"/>
      <c r="H837" s="2"/>
      <c r="I837" s="2"/>
      <c r="J837" s="2"/>
      <c r="K837" s="2"/>
      <c r="L837" s="2"/>
      <c r="M837" s="2"/>
      <c r="N837" s="2"/>
      <c r="O837" s="2"/>
      <c r="P837" s="2"/>
      <c r="Q837" s="144"/>
      <c r="R837" s="144"/>
      <c r="S837" s="144"/>
      <c r="T837" s="214"/>
      <c r="U837" s="2"/>
      <c r="V837" s="2"/>
      <c r="W837" s="2"/>
      <c r="X837" s="2"/>
      <c r="Y837" s="2"/>
      <c r="Z837" s="2"/>
    </row>
    <row r="838" ht="13.5" customHeight="1">
      <c r="A838" s="2"/>
      <c r="B838" s="2"/>
      <c r="C838" s="2"/>
      <c r="D838" s="2"/>
      <c r="E838" s="2"/>
      <c r="F838" s="2"/>
      <c r="G838" s="2"/>
      <c r="H838" s="2"/>
      <c r="I838" s="2"/>
      <c r="J838" s="2"/>
      <c r="K838" s="2"/>
      <c r="L838" s="2"/>
      <c r="M838" s="2"/>
      <c r="N838" s="2"/>
      <c r="O838" s="2"/>
      <c r="P838" s="2"/>
      <c r="Q838" s="144"/>
      <c r="R838" s="144"/>
      <c r="S838" s="144"/>
      <c r="T838" s="214"/>
      <c r="U838" s="2"/>
      <c r="V838" s="2"/>
      <c r="W838" s="2"/>
      <c r="X838" s="2"/>
      <c r="Y838" s="2"/>
      <c r="Z838" s="2"/>
    </row>
    <row r="839" ht="13.5" customHeight="1">
      <c r="A839" s="2"/>
      <c r="B839" s="2"/>
      <c r="C839" s="2"/>
      <c r="D839" s="2"/>
      <c r="E839" s="2"/>
      <c r="F839" s="2"/>
      <c r="G839" s="2"/>
      <c r="H839" s="2"/>
      <c r="I839" s="2"/>
      <c r="J839" s="2"/>
      <c r="K839" s="2"/>
      <c r="L839" s="2"/>
      <c r="M839" s="2"/>
      <c r="N839" s="2"/>
      <c r="O839" s="2"/>
      <c r="P839" s="2"/>
      <c r="Q839" s="144"/>
      <c r="R839" s="144"/>
      <c r="S839" s="144"/>
      <c r="T839" s="214"/>
      <c r="U839" s="2"/>
      <c r="V839" s="2"/>
      <c r="W839" s="2"/>
      <c r="X839" s="2"/>
      <c r="Y839" s="2"/>
      <c r="Z839" s="2"/>
    </row>
    <row r="840" ht="13.5" customHeight="1">
      <c r="A840" s="2"/>
      <c r="B840" s="2"/>
      <c r="C840" s="2"/>
      <c r="D840" s="2"/>
      <c r="E840" s="2"/>
      <c r="F840" s="2"/>
      <c r="G840" s="2"/>
      <c r="H840" s="2"/>
      <c r="I840" s="2"/>
      <c r="J840" s="2"/>
      <c r="K840" s="2"/>
      <c r="L840" s="2"/>
      <c r="M840" s="2"/>
      <c r="N840" s="2"/>
      <c r="O840" s="2"/>
      <c r="P840" s="2"/>
      <c r="Q840" s="144"/>
      <c r="R840" s="144"/>
      <c r="S840" s="144"/>
      <c r="T840" s="214"/>
      <c r="U840" s="2"/>
      <c r="V840" s="2"/>
      <c r="W840" s="2"/>
      <c r="X840" s="2"/>
      <c r="Y840" s="2"/>
      <c r="Z840" s="2"/>
    </row>
    <row r="841" ht="13.5" customHeight="1">
      <c r="A841" s="2"/>
      <c r="B841" s="2"/>
      <c r="C841" s="2"/>
      <c r="D841" s="2"/>
      <c r="E841" s="2"/>
      <c r="F841" s="2"/>
      <c r="G841" s="2"/>
      <c r="H841" s="2"/>
      <c r="I841" s="2"/>
      <c r="J841" s="2"/>
      <c r="K841" s="2"/>
      <c r="L841" s="2"/>
      <c r="M841" s="2"/>
      <c r="N841" s="2"/>
      <c r="O841" s="2"/>
      <c r="P841" s="2"/>
      <c r="Q841" s="144"/>
      <c r="R841" s="144"/>
      <c r="S841" s="144"/>
      <c r="T841" s="214"/>
      <c r="U841" s="2"/>
      <c r="V841" s="2"/>
      <c r="W841" s="2"/>
      <c r="X841" s="2"/>
      <c r="Y841" s="2"/>
      <c r="Z841" s="2"/>
    </row>
    <row r="842" ht="13.5" customHeight="1">
      <c r="A842" s="2"/>
      <c r="B842" s="2"/>
      <c r="C842" s="2"/>
      <c r="D842" s="2"/>
      <c r="E842" s="2"/>
      <c r="F842" s="2"/>
      <c r="G842" s="2"/>
      <c r="H842" s="2"/>
      <c r="I842" s="2"/>
      <c r="J842" s="2"/>
      <c r="K842" s="2"/>
      <c r="L842" s="2"/>
      <c r="M842" s="2"/>
      <c r="N842" s="2"/>
      <c r="O842" s="2"/>
      <c r="P842" s="2"/>
      <c r="Q842" s="144"/>
      <c r="R842" s="144"/>
      <c r="S842" s="144"/>
      <c r="T842" s="214"/>
      <c r="U842" s="2"/>
      <c r="V842" s="2"/>
      <c r="W842" s="2"/>
      <c r="X842" s="2"/>
      <c r="Y842" s="2"/>
      <c r="Z842" s="2"/>
    </row>
    <row r="843" ht="13.5" customHeight="1">
      <c r="A843" s="2"/>
      <c r="B843" s="2"/>
      <c r="C843" s="2"/>
      <c r="D843" s="2"/>
      <c r="E843" s="2"/>
      <c r="F843" s="2"/>
      <c r="G843" s="2"/>
      <c r="H843" s="2"/>
      <c r="I843" s="2"/>
      <c r="J843" s="2"/>
      <c r="K843" s="2"/>
      <c r="L843" s="2"/>
      <c r="M843" s="2"/>
      <c r="N843" s="2"/>
      <c r="O843" s="2"/>
      <c r="P843" s="2"/>
      <c r="Q843" s="144"/>
      <c r="R843" s="144"/>
      <c r="S843" s="144"/>
      <c r="T843" s="214"/>
      <c r="U843" s="2"/>
      <c r="V843" s="2"/>
      <c r="W843" s="2"/>
      <c r="X843" s="2"/>
      <c r="Y843" s="2"/>
      <c r="Z843" s="2"/>
    </row>
    <row r="844" ht="13.5" customHeight="1">
      <c r="A844" s="2"/>
      <c r="B844" s="2"/>
      <c r="C844" s="2"/>
      <c r="D844" s="2"/>
      <c r="E844" s="2"/>
      <c r="F844" s="2"/>
      <c r="G844" s="2"/>
      <c r="H844" s="2"/>
      <c r="I844" s="2"/>
      <c r="J844" s="2"/>
      <c r="K844" s="2"/>
      <c r="L844" s="2"/>
      <c r="M844" s="2"/>
      <c r="N844" s="2"/>
      <c r="O844" s="2"/>
      <c r="P844" s="2"/>
      <c r="Q844" s="144"/>
      <c r="R844" s="144"/>
      <c r="S844" s="144"/>
      <c r="T844" s="214"/>
      <c r="U844" s="2"/>
      <c r="V844" s="2"/>
      <c r="W844" s="2"/>
      <c r="X844" s="2"/>
      <c r="Y844" s="2"/>
      <c r="Z844" s="2"/>
    </row>
    <row r="845" ht="13.5" customHeight="1">
      <c r="A845" s="2"/>
      <c r="B845" s="2"/>
      <c r="C845" s="2"/>
      <c r="D845" s="2"/>
      <c r="E845" s="2"/>
      <c r="F845" s="2"/>
      <c r="G845" s="2"/>
      <c r="H845" s="2"/>
      <c r="I845" s="2"/>
      <c r="J845" s="2"/>
      <c r="K845" s="2"/>
      <c r="L845" s="2"/>
      <c r="M845" s="2"/>
      <c r="N845" s="2"/>
      <c r="O845" s="2"/>
      <c r="P845" s="2"/>
      <c r="Q845" s="144"/>
      <c r="R845" s="144"/>
      <c r="S845" s="144"/>
      <c r="T845" s="214"/>
      <c r="U845" s="2"/>
      <c r="V845" s="2"/>
      <c r="W845" s="2"/>
      <c r="X845" s="2"/>
      <c r="Y845" s="2"/>
      <c r="Z845" s="2"/>
    </row>
    <row r="846" ht="13.5" customHeight="1">
      <c r="A846" s="2"/>
      <c r="B846" s="2"/>
      <c r="C846" s="2"/>
      <c r="D846" s="2"/>
      <c r="E846" s="2"/>
      <c r="F846" s="2"/>
      <c r="G846" s="2"/>
      <c r="H846" s="2"/>
      <c r="I846" s="2"/>
      <c r="J846" s="2"/>
      <c r="K846" s="2"/>
      <c r="L846" s="2"/>
      <c r="M846" s="2"/>
      <c r="N846" s="2"/>
      <c r="O846" s="2"/>
      <c r="P846" s="2"/>
      <c r="Q846" s="144"/>
      <c r="R846" s="144"/>
      <c r="S846" s="144"/>
      <c r="T846" s="214"/>
      <c r="U846" s="2"/>
      <c r="V846" s="2"/>
      <c r="W846" s="2"/>
      <c r="X846" s="2"/>
      <c r="Y846" s="2"/>
      <c r="Z846" s="2"/>
    </row>
    <row r="847" ht="13.5" customHeight="1">
      <c r="A847" s="2"/>
      <c r="B847" s="2"/>
      <c r="C847" s="2"/>
      <c r="D847" s="2"/>
      <c r="E847" s="2"/>
      <c r="F847" s="2"/>
      <c r="G847" s="2"/>
      <c r="H847" s="2"/>
      <c r="I847" s="2"/>
      <c r="J847" s="2"/>
      <c r="K847" s="2"/>
      <c r="L847" s="2"/>
      <c r="M847" s="2"/>
      <c r="N847" s="2"/>
      <c r="O847" s="2"/>
      <c r="P847" s="2"/>
      <c r="Q847" s="144"/>
      <c r="R847" s="144"/>
      <c r="S847" s="144"/>
      <c r="T847" s="214"/>
      <c r="U847" s="2"/>
      <c r="V847" s="2"/>
      <c r="W847" s="2"/>
      <c r="X847" s="2"/>
      <c r="Y847" s="2"/>
      <c r="Z847" s="2"/>
    </row>
    <row r="848" ht="13.5" customHeight="1">
      <c r="A848" s="2"/>
      <c r="B848" s="2"/>
      <c r="C848" s="2"/>
      <c r="D848" s="2"/>
      <c r="E848" s="2"/>
      <c r="F848" s="2"/>
      <c r="G848" s="2"/>
      <c r="H848" s="2"/>
      <c r="I848" s="2"/>
      <c r="J848" s="2"/>
      <c r="K848" s="2"/>
      <c r="L848" s="2"/>
      <c r="M848" s="2"/>
      <c r="N848" s="2"/>
      <c r="O848" s="2"/>
      <c r="P848" s="2"/>
      <c r="Q848" s="144"/>
      <c r="R848" s="144"/>
      <c r="S848" s="144"/>
      <c r="T848" s="214"/>
      <c r="U848" s="2"/>
      <c r="V848" s="2"/>
      <c r="W848" s="2"/>
      <c r="X848" s="2"/>
      <c r="Y848" s="2"/>
      <c r="Z848" s="2"/>
    </row>
    <row r="849" ht="13.5" customHeight="1">
      <c r="A849" s="2"/>
      <c r="B849" s="2"/>
      <c r="C849" s="2"/>
      <c r="D849" s="2"/>
      <c r="E849" s="2"/>
      <c r="F849" s="2"/>
      <c r="G849" s="2"/>
      <c r="H849" s="2"/>
      <c r="I849" s="2"/>
      <c r="J849" s="2"/>
      <c r="K849" s="2"/>
      <c r="L849" s="2"/>
      <c r="M849" s="2"/>
      <c r="N849" s="2"/>
      <c r="O849" s="2"/>
      <c r="P849" s="2"/>
      <c r="Q849" s="144"/>
      <c r="R849" s="144"/>
      <c r="S849" s="144"/>
      <c r="T849" s="214"/>
      <c r="U849" s="2"/>
      <c r="V849" s="2"/>
      <c r="W849" s="2"/>
      <c r="X849" s="2"/>
      <c r="Y849" s="2"/>
      <c r="Z849" s="2"/>
    </row>
    <row r="850" ht="13.5" customHeight="1">
      <c r="A850" s="2"/>
      <c r="B850" s="2"/>
      <c r="C850" s="2"/>
      <c r="D850" s="2"/>
      <c r="E850" s="2"/>
      <c r="F850" s="2"/>
      <c r="G850" s="2"/>
      <c r="H850" s="2"/>
      <c r="I850" s="2"/>
      <c r="J850" s="2"/>
      <c r="K850" s="2"/>
      <c r="L850" s="2"/>
      <c r="M850" s="2"/>
      <c r="N850" s="2"/>
      <c r="O850" s="2"/>
      <c r="P850" s="2"/>
      <c r="Q850" s="144"/>
      <c r="R850" s="144"/>
      <c r="S850" s="144"/>
      <c r="T850" s="214"/>
      <c r="U850" s="2"/>
      <c r="V850" s="2"/>
      <c r="W850" s="2"/>
      <c r="X850" s="2"/>
      <c r="Y850" s="2"/>
      <c r="Z850" s="2"/>
    </row>
    <row r="851" ht="13.5" customHeight="1">
      <c r="A851" s="2"/>
      <c r="B851" s="2"/>
      <c r="C851" s="2"/>
      <c r="D851" s="2"/>
      <c r="E851" s="2"/>
      <c r="F851" s="2"/>
      <c r="G851" s="2"/>
      <c r="H851" s="2"/>
      <c r="I851" s="2"/>
      <c r="J851" s="2"/>
      <c r="K851" s="2"/>
      <c r="L851" s="2"/>
      <c r="M851" s="2"/>
      <c r="N851" s="2"/>
      <c r="O851" s="2"/>
      <c r="P851" s="2"/>
      <c r="Q851" s="144"/>
      <c r="R851" s="144"/>
      <c r="S851" s="144"/>
      <c r="T851" s="214"/>
      <c r="U851" s="2"/>
      <c r="V851" s="2"/>
      <c r="W851" s="2"/>
      <c r="X851" s="2"/>
      <c r="Y851" s="2"/>
      <c r="Z851" s="2"/>
    </row>
    <row r="852" ht="13.5" customHeight="1">
      <c r="A852" s="2"/>
      <c r="B852" s="2"/>
      <c r="C852" s="2"/>
      <c r="D852" s="2"/>
      <c r="E852" s="2"/>
      <c r="F852" s="2"/>
      <c r="G852" s="2"/>
      <c r="H852" s="2"/>
      <c r="I852" s="2"/>
      <c r="J852" s="2"/>
      <c r="K852" s="2"/>
      <c r="L852" s="2"/>
      <c r="M852" s="2"/>
      <c r="N852" s="2"/>
      <c r="O852" s="2"/>
      <c r="P852" s="2"/>
      <c r="Q852" s="144"/>
      <c r="R852" s="144"/>
      <c r="S852" s="144"/>
      <c r="T852" s="214"/>
      <c r="U852" s="2"/>
      <c r="V852" s="2"/>
      <c r="W852" s="2"/>
      <c r="X852" s="2"/>
      <c r="Y852" s="2"/>
      <c r="Z852" s="2"/>
    </row>
    <row r="853" ht="13.5" customHeight="1">
      <c r="A853" s="2"/>
      <c r="B853" s="2"/>
      <c r="C853" s="2"/>
      <c r="D853" s="2"/>
      <c r="E853" s="2"/>
      <c r="F853" s="2"/>
      <c r="G853" s="2"/>
      <c r="H853" s="2"/>
      <c r="I853" s="2"/>
      <c r="J853" s="2"/>
      <c r="K853" s="2"/>
      <c r="L853" s="2"/>
      <c r="M853" s="2"/>
      <c r="N853" s="2"/>
      <c r="O853" s="2"/>
      <c r="P853" s="2"/>
      <c r="Q853" s="144"/>
      <c r="R853" s="144"/>
      <c r="S853" s="144"/>
      <c r="T853" s="214"/>
      <c r="U853" s="2"/>
      <c r="V853" s="2"/>
      <c r="W853" s="2"/>
      <c r="X853" s="2"/>
      <c r="Y853" s="2"/>
      <c r="Z853" s="2"/>
    </row>
    <row r="854" ht="13.5" customHeight="1">
      <c r="A854" s="2"/>
      <c r="B854" s="2"/>
      <c r="C854" s="2"/>
      <c r="D854" s="2"/>
      <c r="E854" s="2"/>
      <c r="F854" s="2"/>
      <c r="G854" s="2"/>
      <c r="H854" s="2"/>
      <c r="I854" s="2"/>
      <c r="J854" s="2"/>
      <c r="K854" s="2"/>
      <c r="L854" s="2"/>
      <c r="M854" s="2"/>
      <c r="N854" s="2"/>
      <c r="O854" s="2"/>
      <c r="P854" s="2"/>
      <c r="Q854" s="144"/>
      <c r="R854" s="144"/>
      <c r="S854" s="144"/>
      <c r="T854" s="214"/>
      <c r="U854" s="2"/>
      <c r="V854" s="2"/>
      <c r="W854" s="2"/>
      <c r="X854" s="2"/>
      <c r="Y854" s="2"/>
      <c r="Z854" s="2"/>
    </row>
    <row r="855" ht="13.5" customHeight="1">
      <c r="A855" s="2"/>
      <c r="B855" s="2"/>
      <c r="C855" s="2"/>
      <c r="D855" s="2"/>
      <c r="E855" s="2"/>
      <c r="F855" s="2"/>
      <c r="G855" s="2"/>
      <c r="H855" s="2"/>
      <c r="I855" s="2"/>
      <c r="J855" s="2"/>
      <c r="K855" s="2"/>
      <c r="L855" s="2"/>
      <c r="M855" s="2"/>
      <c r="N855" s="2"/>
      <c r="O855" s="2"/>
      <c r="P855" s="2"/>
      <c r="Q855" s="144"/>
      <c r="R855" s="144"/>
      <c r="S855" s="144"/>
      <c r="T855" s="214"/>
      <c r="U855" s="2"/>
      <c r="V855" s="2"/>
      <c r="W855" s="2"/>
      <c r="X855" s="2"/>
      <c r="Y855" s="2"/>
      <c r="Z855" s="2"/>
    </row>
    <row r="856" ht="13.5" customHeight="1">
      <c r="A856" s="2"/>
      <c r="B856" s="2"/>
      <c r="C856" s="2"/>
      <c r="D856" s="2"/>
      <c r="E856" s="2"/>
      <c r="F856" s="2"/>
      <c r="G856" s="2"/>
      <c r="H856" s="2"/>
      <c r="I856" s="2"/>
      <c r="J856" s="2"/>
      <c r="K856" s="2"/>
      <c r="L856" s="2"/>
      <c r="M856" s="2"/>
      <c r="N856" s="2"/>
      <c r="O856" s="2"/>
      <c r="P856" s="2"/>
      <c r="Q856" s="144"/>
      <c r="R856" s="144"/>
      <c r="S856" s="144"/>
      <c r="T856" s="214"/>
      <c r="U856" s="2"/>
      <c r="V856" s="2"/>
      <c r="W856" s="2"/>
      <c r="X856" s="2"/>
      <c r="Y856" s="2"/>
      <c r="Z856" s="2"/>
    </row>
    <row r="857" ht="13.5" customHeight="1">
      <c r="A857" s="2"/>
      <c r="B857" s="2"/>
      <c r="C857" s="2"/>
      <c r="D857" s="2"/>
      <c r="E857" s="2"/>
      <c r="F857" s="2"/>
      <c r="G857" s="2"/>
      <c r="H857" s="2"/>
      <c r="I857" s="2"/>
      <c r="J857" s="2"/>
      <c r="K857" s="2"/>
      <c r="L857" s="2"/>
      <c r="M857" s="2"/>
      <c r="N857" s="2"/>
      <c r="O857" s="2"/>
      <c r="P857" s="2"/>
      <c r="Q857" s="144"/>
      <c r="R857" s="144"/>
      <c r="S857" s="144"/>
      <c r="T857" s="214"/>
      <c r="U857" s="2"/>
      <c r="V857" s="2"/>
      <c r="W857" s="2"/>
      <c r="X857" s="2"/>
      <c r="Y857" s="2"/>
      <c r="Z857" s="2"/>
    </row>
    <row r="858" ht="13.5" customHeight="1">
      <c r="A858" s="2"/>
      <c r="B858" s="2"/>
      <c r="C858" s="2"/>
      <c r="D858" s="2"/>
      <c r="E858" s="2"/>
      <c r="F858" s="2"/>
      <c r="G858" s="2"/>
      <c r="H858" s="2"/>
      <c r="I858" s="2"/>
      <c r="J858" s="2"/>
      <c r="K858" s="2"/>
      <c r="L858" s="2"/>
      <c r="M858" s="2"/>
      <c r="N858" s="2"/>
      <c r="O858" s="2"/>
      <c r="P858" s="2"/>
      <c r="Q858" s="144"/>
      <c r="R858" s="144"/>
      <c r="S858" s="144"/>
      <c r="T858" s="214"/>
      <c r="U858" s="2"/>
      <c r="V858" s="2"/>
      <c r="W858" s="2"/>
      <c r="X858" s="2"/>
      <c r="Y858" s="2"/>
      <c r="Z858" s="2"/>
    </row>
    <row r="859" ht="13.5" customHeight="1">
      <c r="A859" s="2"/>
      <c r="B859" s="2"/>
      <c r="C859" s="2"/>
      <c r="D859" s="2"/>
      <c r="E859" s="2"/>
      <c r="F859" s="2"/>
      <c r="G859" s="2"/>
      <c r="H859" s="2"/>
      <c r="I859" s="2"/>
      <c r="J859" s="2"/>
      <c r="K859" s="2"/>
      <c r="L859" s="2"/>
      <c r="M859" s="2"/>
      <c r="N859" s="2"/>
      <c r="O859" s="2"/>
      <c r="P859" s="2"/>
      <c r="Q859" s="144"/>
      <c r="R859" s="144"/>
      <c r="S859" s="144"/>
      <c r="T859" s="214"/>
      <c r="U859" s="2"/>
      <c r="V859" s="2"/>
      <c r="W859" s="2"/>
      <c r="X859" s="2"/>
      <c r="Y859" s="2"/>
      <c r="Z859" s="2"/>
    </row>
    <row r="860" ht="13.5" customHeight="1">
      <c r="A860" s="2"/>
      <c r="B860" s="2"/>
      <c r="C860" s="2"/>
      <c r="D860" s="2"/>
      <c r="E860" s="2"/>
      <c r="F860" s="2"/>
      <c r="G860" s="2"/>
      <c r="H860" s="2"/>
      <c r="I860" s="2"/>
      <c r="J860" s="2"/>
      <c r="K860" s="2"/>
      <c r="L860" s="2"/>
      <c r="M860" s="2"/>
      <c r="N860" s="2"/>
      <c r="O860" s="2"/>
      <c r="P860" s="2"/>
      <c r="Q860" s="144"/>
      <c r="R860" s="144"/>
      <c r="S860" s="144"/>
      <c r="T860" s="214"/>
      <c r="U860" s="2"/>
      <c r="V860" s="2"/>
      <c r="W860" s="2"/>
      <c r="X860" s="2"/>
      <c r="Y860" s="2"/>
      <c r="Z860" s="2"/>
    </row>
    <row r="861" ht="13.5" customHeight="1">
      <c r="A861" s="2"/>
      <c r="B861" s="2"/>
      <c r="C861" s="2"/>
      <c r="D861" s="2"/>
      <c r="E861" s="2"/>
      <c r="F861" s="2"/>
      <c r="G861" s="2"/>
      <c r="H861" s="2"/>
      <c r="I861" s="2"/>
      <c r="J861" s="2"/>
      <c r="K861" s="2"/>
      <c r="L861" s="2"/>
      <c r="M861" s="2"/>
      <c r="N861" s="2"/>
      <c r="O861" s="2"/>
      <c r="P861" s="2"/>
      <c r="Q861" s="144"/>
      <c r="R861" s="144"/>
      <c r="S861" s="144"/>
      <c r="T861" s="214"/>
      <c r="U861" s="2"/>
      <c r="V861" s="2"/>
      <c r="W861" s="2"/>
      <c r="X861" s="2"/>
      <c r="Y861" s="2"/>
      <c r="Z861" s="2"/>
    </row>
    <row r="862" ht="13.5" customHeight="1">
      <c r="A862" s="2"/>
      <c r="B862" s="2"/>
      <c r="C862" s="2"/>
      <c r="D862" s="2"/>
      <c r="E862" s="2"/>
      <c r="F862" s="2"/>
      <c r="G862" s="2"/>
      <c r="H862" s="2"/>
      <c r="I862" s="2"/>
      <c r="J862" s="2"/>
      <c r="K862" s="2"/>
      <c r="L862" s="2"/>
      <c r="M862" s="2"/>
      <c r="N862" s="2"/>
      <c r="O862" s="2"/>
      <c r="P862" s="2"/>
      <c r="Q862" s="144"/>
      <c r="R862" s="144"/>
      <c r="S862" s="144"/>
      <c r="T862" s="214"/>
      <c r="U862" s="2"/>
      <c r="V862" s="2"/>
      <c r="W862" s="2"/>
      <c r="X862" s="2"/>
      <c r="Y862" s="2"/>
      <c r="Z862" s="2"/>
    </row>
    <row r="863" ht="13.5" customHeight="1">
      <c r="A863" s="2"/>
      <c r="B863" s="2"/>
      <c r="C863" s="2"/>
      <c r="D863" s="2"/>
      <c r="E863" s="2"/>
      <c r="F863" s="2"/>
      <c r="G863" s="2"/>
      <c r="H863" s="2"/>
      <c r="I863" s="2"/>
      <c r="J863" s="2"/>
      <c r="K863" s="2"/>
      <c r="L863" s="2"/>
      <c r="M863" s="2"/>
      <c r="N863" s="2"/>
      <c r="O863" s="2"/>
      <c r="P863" s="2"/>
      <c r="Q863" s="144"/>
      <c r="R863" s="144"/>
      <c r="S863" s="144"/>
      <c r="T863" s="214"/>
      <c r="U863" s="2"/>
      <c r="V863" s="2"/>
      <c r="W863" s="2"/>
      <c r="X863" s="2"/>
      <c r="Y863" s="2"/>
      <c r="Z863" s="2"/>
    </row>
    <row r="864" ht="13.5" customHeight="1">
      <c r="A864" s="2"/>
      <c r="B864" s="2"/>
      <c r="C864" s="2"/>
      <c r="D864" s="2"/>
      <c r="E864" s="2"/>
      <c r="F864" s="2"/>
      <c r="G864" s="2"/>
      <c r="H864" s="2"/>
      <c r="I864" s="2"/>
      <c r="J864" s="2"/>
      <c r="K864" s="2"/>
      <c r="L864" s="2"/>
      <c r="M864" s="2"/>
      <c r="N864" s="2"/>
      <c r="O864" s="2"/>
      <c r="P864" s="2"/>
      <c r="Q864" s="144"/>
      <c r="R864" s="144"/>
      <c r="S864" s="144"/>
      <c r="T864" s="214"/>
      <c r="U864" s="2"/>
      <c r="V864" s="2"/>
      <c r="W864" s="2"/>
      <c r="X864" s="2"/>
      <c r="Y864" s="2"/>
      <c r="Z864" s="2"/>
    </row>
    <row r="865" ht="13.5" customHeight="1">
      <c r="A865" s="2"/>
      <c r="B865" s="2"/>
      <c r="C865" s="2"/>
      <c r="D865" s="2"/>
      <c r="E865" s="2"/>
      <c r="F865" s="2"/>
      <c r="G865" s="2"/>
      <c r="H865" s="2"/>
      <c r="I865" s="2"/>
      <c r="J865" s="2"/>
      <c r="K865" s="2"/>
      <c r="L865" s="2"/>
      <c r="M865" s="2"/>
      <c r="N865" s="2"/>
      <c r="O865" s="2"/>
      <c r="P865" s="2"/>
      <c r="Q865" s="144"/>
      <c r="R865" s="144"/>
      <c r="S865" s="144"/>
      <c r="T865" s="214"/>
      <c r="U865" s="2"/>
      <c r="V865" s="2"/>
      <c r="W865" s="2"/>
      <c r="X865" s="2"/>
      <c r="Y865" s="2"/>
      <c r="Z865" s="2"/>
    </row>
    <row r="866" ht="13.5" customHeight="1">
      <c r="A866" s="2"/>
      <c r="B866" s="2"/>
      <c r="C866" s="2"/>
      <c r="D866" s="2"/>
      <c r="E866" s="2"/>
      <c r="F866" s="2"/>
      <c r="G866" s="2"/>
      <c r="H866" s="2"/>
      <c r="I866" s="2"/>
      <c r="J866" s="2"/>
      <c r="K866" s="2"/>
      <c r="L866" s="2"/>
      <c r="M866" s="2"/>
      <c r="N866" s="2"/>
      <c r="O866" s="2"/>
      <c r="P866" s="2"/>
      <c r="Q866" s="144"/>
      <c r="R866" s="144"/>
      <c r="S866" s="144"/>
      <c r="T866" s="214"/>
      <c r="U866" s="2"/>
      <c r="V866" s="2"/>
      <c r="W866" s="2"/>
      <c r="X866" s="2"/>
      <c r="Y866" s="2"/>
      <c r="Z866" s="2"/>
    </row>
    <row r="867" ht="13.5" customHeight="1">
      <c r="A867" s="2"/>
      <c r="B867" s="2"/>
      <c r="C867" s="2"/>
      <c r="D867" s="2"/>
      <c r="E867" s="2"/>
      <c r="F867" s="2"/>
      <c r="G867" s="2"/>
      <c r="H867" s="2"/>
      <c r="I867" s="2"/>
      <c r="J867" s="2"/>
      <c r="K867" s="2"/>
      <c r="L867" s="2"/>
      <c r="M867" s="2"/>
      <c r="N867" s="2"/>
      <c r="O867" s="2"/>
      <c r="P867" s="2"/>
      <c r="Q867" s="144"/>
      <c r="R867" s="144"/>
      <c r="S867" s="144"/>
      <c r="T867" s="214"/>
      <c r="U867" s="2"/>
      <c r="V867" s="2"/>
      <c r="W867" s="2"/>
      <c r="X867" s="2"/>
      <c r="Y867" s="2"/>
      <c r="Z867" s="2"/>
    </row>
    <row r="868" ht="13.5" customHeight="1">
      <c r="A868" s="2"/>
      <c r="B868" s="2"/>
      <c r="C868" s="2"/>
      <c r="D868" s="2"/>
      <c r="E868" s="2"/>
      <c r="F868" s="2"/>
      <c r="G868" s="2"/>
      <c r="H868" s="2"/>
      <c r="I868" s="2"/>
      <c r="J868" s="2"/>
      <c r="K868" s="2"/>
      <c r="L868" s="2"/>
      <c r="M868" s="2"/>
      <c r="N868" s="2"/>
      <c r="O868" s="2"/>
      <c r="P868" s="2"/>
      <c r="Q868" s="144"/>
      <c r="R868" s="144"/>
      <c r="S868" s="144"/>
      <c r="T868" s="214"/>
      <c r="U868" s="2"/>
      <c r="V868" s="2"/>
      <c r="W868" s="2"/>
      <c r="X868" s="2"/>
      <c r="Y868" s="2"/>
      <c r="Z868" s="2"/>
    </row>
    <row r="869" ht="13.5" customHeight="1">
      <c r="A869" s="2"/>
      <c r="B869" s="2"/>
      <c r="C869" s="2"/>
      <c r="D869" s="2"/>
      <c r="E869" s="2"/>
      <c r="F869" s="2"/>
      <c r="G869" s="2"/>
      <c r="H869" s="2"/>
      <c r="I869" s="2"/>
      <c r="J869" s="2"/>
      <c r="K869" s="2"/>
      <c r="L869" s="2"/>
      <c r="M869" s="2"/>
      <c r="N869" s="2"/>
      <c r="O869" s="2"/>
      <c r="P869" s="2"/>
      <c r="Q869" s="144"/>
      <c r="R869" s="144"/>
      <c r="S869" s="144"/>
      <c r="T869" s="214"/>
      <c r="U869" s="2"/>
      <c r="V869" s="2"/>
      <c r="W869" s="2"/>
      <c r="X869" s="2"/>
      <c r="Y869" s="2"/>
      <c r="Z869" s="2"/>
    </row>
    <row r="870" ht="13.5" customHeight="1">
      <c r="A870" s="2"/>
      <c r="B870" s="2"/>
      <c r="C870" s="2"/>
      <c r="D870" s="2"/>
      <c r="E870" s="2"/>
      <c r="F870" s="2"/>
      <c r="G870" s="2"/>
      <c r="H870" s="2"/>
      <c r="I870" s="2"/>
      <c r="J870" s="2"/>
      <c r="K870" s="2"/>
      <c r="L870" s="2"/>
      <c r="M870" s="2"/>
      <c r="N870" s="2"/>
      <c r="O870" s="2"/>
      <c r="P870" s="2"/>
      <c r="Q870" s="144"/>
      <c r="R870" s="144"/>
      <c r="S870" s="144"/>
      <c r="T870" s="214"/>
      <c r="U870" s="2"/>
      <c r="V870" s="2"/>
      <c r="W870" s="2"/>
      <c r="X870" s="2"/>
      <c r="Y870" s="2"/>
      <c r="Z870" s="2"/>
    </row>
    <row r="871" ht="13.5" customHeight="1">
      <c r="A871" s="2"/>
      <c r="B871" s="2"/>
      <c r="C871" s="2"/>
      <c r="D871" s="2"/>
      <c r="E871" s="2"/>
      <c r="F871" s="2"/>
      <c r="G871" s="2"/>
      <c r="H871" s="2"/>
      <c r="I871" s="2"/>
      <c r="J871" s="2"/>
      <c r="K871" s="2"/>
      <c r="L871" s="2"/>
      <c r="M871" s="2"/>
      <c r="N871" s="2"/>
      <c r="O871" s="2"/>
      <c r="P871" s="2"/>
      <c r="Q871" s="144"/>
      <c r="R871" s="144"/>
      <c r="S871" s="144"/>
      <c r="T871" s="214"/>
      <c r="U871" s="2"/>
      <c r="V871" s="2"/>
      <c r="W871" s="2"/>
      <c r="X871" s="2"/>
      <c r="Y871" s="2"/>
      <c r="Z871" s="2"/>
    </row>
    <row r="872" ht="13.5" customHeight="1">
      <c r="A872" s="2"/>
      <c r="B872" s="2"/>
      <c r="C872" s="2"/>
      <c r="D872" s="2"/>
      <c r="E872" s="2"/>
      <c r="F872" s="2"/>
      <c r="G872" s="2"/>
      <c r="H872" s="2"/>
      <c r="I872" s="2"/>
      <c r="J872" s="2"/>
      <c r="K872" s="2"/>
      <c r="L872" s="2"/>
      <c r="M872" s="2"/>
      <c r="N872" s="2"/>
      <c r="O872" s="2"/>
      <c r="P872" s="2"/>
      <c r="Q872" s="144"/>
      <c r="R872" s="144"/>
      <c r="S872" s="144"/>
      <c r="T872" s="214"/>
      <c r="U872" s="2"/>
      <c r="V872" s="2"/>
      <c r="W872" s="2"/>
      <c r="X872" s="2"/>
      <c r="Y872" s="2"/>
      <c r="Z872" s="2"/>
    </row>
    <row r="873" ht="13.5" customHeight="1">
      <c r="A873" s="2"/>
      <c r="B873" s="2"/>
      <c r="C873" s="2"/>
      <c r="D873" s="2"/>
      <c r="E873" s="2"/>
      <c r="F873" s="2"/>
      <c r="G873" s="2"/>
      <c r="H873" s="2"/>
      <c r="I873" s="2"/>
      <c r="J873" s="2"/>
      <c r="K873" s="2"/>
      <c r="L873" s="2"/>
      <c r="M873" s="2"/>
      <c r="N873" s="2"/>
      <c r="O873" s="2"/>
      <c r="P873" s="2"/>
      <c r="Q873" s="144"/>
      <c r="R873" s="144"/>
      <c r="S873" s="144"/>
      <c r="T873" s="214"/>
      <c r="U873" s="2"/>
      <c r="V873" s="2"/>
      <c r="W873" s="2"/>
      <c r="X873" s="2"/>
      <c r="Y873" s="2"/>
      <c r="Z873" s="2"/>
    </row>
    <row r="874" ht="13.5" customHeight="1">
      <c r="A874" s="2"/>
      <c r="B874" s="2"/>
      <c r="C874" s="2"/>
      <c r="D874" s="2"/>
      <c r="E874" s="2"/>
      <c r="F874" s="2"/>
      <c r="G874" s="2"/>
      <c r="H874" s="2"/>
      <c r="I874" s="2"/>
      <c r="J874" s="2"/>
      <c r="K874" s="2"/>
      <c r="L874" s="2"/>
      <c r="M874" s="2"/>
      <c r="N874" s="2"/>
      <c r="O874" s="2"/>
      <c r="P874" s="2"/>
      <c r="Q874" s="144"/>
      <c r="R874" s="144"/>
      <c r="S874" s="144"/>
      <c r="T874" s="214"/>
      <c r="U874" s="2"/>
      <c r="V874" s="2"/>
      <c r="W874" s="2"/>
      <c r="X874" s="2"/>
      <c r="Y874" s="2"/>
      <c r="Z874" s="2"/>
    </row>
    <row r="875" ht="13.5" customHeight="1">
      <c r="A875" s="2"/>
      <c r="B875" s="2"/>
      <c r="C875" s="2"/>
      <c r="D875" s="2"/>
      <c r="E875" s="2"/>
      <c r="F875" s="2"/>
      <c r="G875" s="2"/>
      <c r="H875" s="2"/>
      <c r="I875" s="2"/>
      <c r="J875" s="2"/>
      <c r="K875" s="2"/>
      <c r="L875" s="2"/>
      <c r="M875" s="2"/>
      <c r="N875" s="2"/>
      <c r="O875" s="2"/>
      <c r="P875" s="2"/>
      <c r="Q875" s="144"/>
      <c r="R875" s="144"/>
      <c r="S875" s="144"/>
      <c r="T875" s="214"/>
      <c r="U875" s="2"/>
      <c r="V875" s="2"/>
      <c r="W875" s="2"/>
      <c r="X875" s="2"/>
      <c r="Y875" s="2"/>
      <c r="Z875" s="2"/>
    </row>
    <row r="876" ht="13.5" customHeight="1">
      <c r="A876" s="2"/>
      <c r="B876" s="2"/>
      <c r="C876" s="2"/>
      <c r="D876" s="2"/>
      <c r="E876" s="2"/>
      <c r="F876" s="2"/>
      <c r="G876" s="2"/>
      <c r="H876" s="2"/>
      <c r="I876" s="2"/>
      <c r="J876" s="2"/>
      <c r="K876" s="2"/>
      <c r="L876" s="2"/>
      <c r="M876" s="2"/>
      <c r="N876" s="2"/>
      <c r="O876" s="2"/>
      <c r="P876" s="2"/>
      <c r="Q876" s="144"/>
      <c r="R876" s="144"/>
      <c r="S876" s="144"/>
      <c r="T876" s="214"/>
      <c r="U876" s="2"/>
      <c r="V876" s="2"/>
      <c r="W876" s="2"/>
      <c r="X876" s="2"/>
      <c r="Y876" s="2"/>
      <c r="Z876" s="2"/>
    </row>
    <row r="877" ht="13.5" customHeight="1">
      <c r="A877" s="2"/>
      <c r="B877" s="2"/>
      <c r="C877" s="2"/>
      <c r="D877" s="2"/>
      <c r="E877" s="2"/>
      <c r="F877" s="2"/>
      <c r="G877" s="2"/>
      <c r="H877" s="2"/>
      <c r="I877" s="2"/>
      <c r="J877" s="2"/>
      <c r="K877" s="2"/>
      <c r="L877" s="2"/>
      <c r="M877" s="2"/>
      <c r="N877" s="2"/>
      <c r="O877" s="2"/>
      <c r="P877" s="2"/>
      <c r="Q877" s="144"/>
      <c r="R877" s="144"/>
      <c r="S877" s="144"/>
      <c r="T877" s="214"/>
      <c r="U877" s="2"/>
      <c r="V877" s="2"/>
      <c r="W877" s="2"/>
      <c r="X877" s="2"/>
      <c r="Y877" s="2"/>
      <c r="Z877" s="2"/>
    </row>
    <row r="878" ht="13.5" customHeight="1">
      <c r="A878" s="2"/>
      <c r="B878" s="2"/>
      <c r="C878" s="2"/>
      <c r="D878" s="2"/>
      <c r="E878" s="2"/>
      <c r="F878" s="2"/>
      <c r="G878" s="2"/>
      <c r="H878" s="2"/>
      <c r="I878" s="2"/>
      <c r="J878" s="2"/>
      <c r="K878" s="2"/>
      <c r="L878" s="2"/>
      <c r="M878" s="2"/>
      <c r="N878" s="2"/>
      <c r="O878" s="2"/>
      <c r="P878" s="2"/>
      <c r="Q878" s="144"/>
      <c r="R878" s="144"/>
      <c r="S878" s="144"/>
      <c r="T878" s="214"/>
      <c r="U878" s="2"/>
      <c r="V878" s="2"/>
      <c r="W878" s="2"/>
      <c r="X878" s="2"/>
      <c r="Y878" s="2"/>
      <c r="Z878" s="2"/>
    </row>
    <row r="879" ht="13.5" customHeight="1">
      <c r="A879" s="2"/>
      <c r="B879" s="2"/>
      <c r="C879" s="2"/>
      <c r="D879" s="2"/>
      <c r="E879" s="2"/>
      <c r="F879" s="2"/>
      <c r="G879" s="2"/>
      <c r="H879" s="2"/>
      <c r="I879" s="2"/>
      <c r="J879" s="2"/>
      <c r="K879" s="2"/>
      <c r="L879" s="2"/>
      <c r="M879" s="2"/>
      <c r="N879" s="2"/>
      <c r="O879" s="2"/>
      <c r="P879" s="2"/>
      <c r="Q879" s="144"/>
      <c r="R879" s="144"/>
      <c r="S879" s="144"/>
      <c r="T879" s="214"/>
      <c r="U879" s="2"/>
      <c r="V879" s="2"/>
      <c r="W879" s="2"/>
      <c r="X879" s="2"/>
      <c r="Y879" s="2"/>
      <c r="Z879" s="2"/>
    </row>
    <row r="880" ht="13.5" customHeight="1">
      <c r="A880" s="2"/>
      <c r="B880" s="2"/>
      <c r="C880" s="2"/>
      <c r="D880" s="2"/>
      <c r="E880" s="2"/>
      <c r="F880" s="2"/>
      <c r="G880" s="2"/>
      <c r="H880" s="2"/>
      <c r="I880" s="2"/>
      <c r="J880" s="2"/>
      <c r="K880" s="2"/>
      <c r="L880" s="2"/>
      <c r="M880" s="2"/>
      <c r="N880" s="2"/>
      <c r="O880" s="2"/>
      <c r="P880" s="2"/>
      <c r="Q880" s="144"/>
      <c r="R880" s="144"/>
      <c r="S880" s="144"/>
      <c r="T880" s="214"/>
      <c r="U880" s="2"/>
      <c r="V880" s="2"/>
      <c r="W880" s="2"/>
      <c r="X880" s="2"/>
      <c r="Y880" s="2"/>
      <c r="Z880" s="2"/>
    </row>
    <row r="881" ht="13.5" customHeight="1">
      <c r="A881" s="2"/>
      <c r="B881" s="2"/>
      <c r="C881" s="2"/>
      <c r="D881" s="2"/>
      <c r="E881" s="2"/>
      <c r="F881" s="2"/>
      <c r="G881" s="2"/>
      <c r="H881" s="2"/>
      <c r="I881" s="2"/>
      <c r="J881" s="2"/>
      <c r="K881" s="2"/>
      <c r="L881" s="2"/>
      <c r="M881" s="2"/>
      <c r="N881" s="2"/>
      <c r="O881" s="2"/>
      <c r="P881" s="2"/>
      <c r="Q881" s="144"/>
      <c r="R881" s="144"/>
      <c r="S881" s="144"/>
      <c r="T881" s="214"/>
      <c r="U881" s="2"/>
      <c r="V881" s="2"/>
      <c r="W881" s="2"/>
      <c r="X881" s="2"/>
      <c r="Y881" s="2"/>
      <c r="Z881" s="2"/>
    </row>
    <row r="882" ht="13.5" customHeight="1">
      <c r="A882" s="2"/>
      <c r="B882" s="2"/>
      <c r="C882" s="2"/>
      <c r="D882" s="2"/>
      <c r="E882" s="2"/>
      <c r="F882" s="2"/>
      <c r="G882" s="2"/>
      <c r="H882" s="2"/>
      <c r="I882" s="2"/>
      <c r="J882" s="2"/>
      <c r="K882" s="2"/>
      <c r="L882" s="2"/>
      <c r="M882" s="2"/>
      <c r="N882" s="2"/>
      <c r="O882" s="2"/>
      <c r="P882" s="2"/>
      <c r="Q882" s="144"/>
      <c r="R882" s="144"/>
      <c r="S882" s="144"/>
      <c r="T882" s="214"/>
      <c r="U882" s="2"/>
      <c r="V882" s="2"/>
      <c r="W882" s="2"/>
      <c r="X882" s="2"/>
      <c r="Y882" s="2"/>
      <c r="Z882" s="2"/>
    </row>
    <row r="883" ht="13.5" customHeight="1">
      <c r="A883" s="2"/>
      <c r="B883" s="2"/>
      <c r="C883" s="2"/>
      <c r="D883" s="2"/>
      <c r="E883" s="2"/>
      <c r="F883" s="2"/>
      <c r="G883" s="2"/>
      <c r="H883" s="2"/>
      <c r="I883" s="2"/>
      <c r="J883" s="2"/>
      <c r="K883" s="2"/>
      <c r="L883" s="2"/>
      <c r="M883" s="2"/>
      <c r="N883" s="2"/>
      <c r="O883" s="2"/>
      <c r="P883" s="2"/>
      <c r="Q883" s="144"/>
      <c r="R883" s="144"/>
      <c r="S883" s="144"/>
      <c r="T883" s="214"/>
      <c r="U883" s="2"/>
      <c r="V883" s="2"/>
      <c r="W883" s="2"/>
      <c r="X883" s="2"/>
      <c r="Y883" s="2"/>
      <c r="Z883" s="2"/>
    </row>
    <row r="884" ht="13.5" customHeight="1">
      <c r="A884" s="2"/>
      <c r="B884" s="2"/>
      <c r="C884" s="2"/>
      <c r="D884" s="2"/>
      <c r="E884" s="2"/>
      <c r="F884" s="2"/>
      <c r="G884" s="2"/>
      <c r="H884" s="2"/>
      <c r="I884" s="2"/>
      <c r="J884" s="2"/>
      <c r="K884" s="2"/>
      <c r="L884" s="2"/>
      <c r="M884" s="2"/>
      <c r="N884" s="2"/>
      <c r="O884" s="2"/>
      <c r="P884" s="2"/>
      <c r="Q884" s="144"/>
      <c r="R884" s="144"/>
      <c r="S884" s="144"/>
      <c r="T884" s="214"/>
      <c r="U884" s="2"/>
      <c r="V884" s="2"/>
      <c r="W884" s="2"/>
      <c r="X884" s="2"/>
      <c r="Y884" s="2"/>
      <c r="Z884" s="2"/>
    </row>
    <row r="885" ht="13.5" customHeight="1">
      <c r="A885" s="2"/>
      <c r="B885" s="2"/>
      <c r="C885" s="2"/>
      <c r="D885" s="2"/>
      <c r="E885" s="2"/>
      <c r="F885" s="2"/>
      <c r="G885" s="2"/>
      <c r="H885" s="2"/>
      <c r="I885" s="2"/>
      <c r="J885" s="2"/>
      <c r="K885" s="2"/>
      <c r="L885" s="2"/>
      <c r="M885" s="2"/>
      <c r="N885" s="2"/>
      <c r="O885" s="2"/>
      <c r="P885" s="2"/>
      <c r="Q885" s="144"/>
      <c r="R885" s="144"/>
      <c r="S885" s="144"/>
      <c r="T885" s="214"/>
      <c r="U885" s="2"/>
      <c r="V885" s="2"/>
      <c r="W885" s="2"/>
      <c r="X885" s="2"/>
      <c r="Y885" s="2"/>
      <c r="Z885" s="2"/>
    </row>
    <row r="886" ht="13.5" customHeight="1">
      <c r="A886" s="2"/>
      <c r="B886" s="2"/>
      <c r="C886" s="2"/>
      <c r="D886" s="2"/>
      <c r="E886" s="2"/>
      <c r="F886" s="2"/>
      <c r="G886" s="2"/>
      <c r="H886" s="2"/>
      <c r="I886" s="2"/>
      <c r="J886" s="2"/>
      <c r="K886" s="2"/>
      <c r="L886" s="2"/>
      <c r="M886" s="2"/>
      <c r="N886" s="2"/>
      <c r="O886" s="2"/>
      <c r="P886" s="2"/>
      <c r="Q886" s="144"/>
      <c r="R886" s="144"/>
      <c r="S886" s="144"/>
      <c r="T886" s="214"/>
      <c r="U886" s="2"/>
      <c r="V886" s="2"/>
      <c r="W886" s="2"/>
      <c r="X886" s="2"/>
      <c r="Y886" s="2"/>
      <c r="Z886" s="2"/>
    </row>
    <row r="887" ht="13.5" customHeight="1">
      <c r="A887" s="2"/>
      <c r="B887" s="2"/>
      <c r="C887" s="2"/>
      <c r="D887" s="2"/>
      <c r="E887" s="2"/>
      <c r="F887" s="2"/>
      <c r="G887" s="2"/>
      <c r="H887" s="2"/>
      <c r="I887" s="2"/>
      <c r="J887" s="2"/>
      <c r="K887" s="2"/>
      <c r="L887" s="2"/>
      <c r="M887" s="2"/>
      <c r="N887" s="2"/>
      <c r="O887" s="2"/>
      <c r="P887" s="2"/>
      <c r="Q887" s="144"/>
      <c r="R887" s="144"/>
      <c r="S887" s="144"/>
      <c r="T887" s="214"/>
      <c r="U887" s="2"/>
      <c r="V887" s="2"/>
      <c r="W887" s="2"/>
      <c r="X887" s="2"/>
      <c r="Y887" s="2"/>
      <c r="Z887" s="2"/>
    </row>
    <row r="888" ht="13.5" customHeight="1">
      <c r="A888" s="2"/>
      <c r="B888" s="2"/>
      <c r="C888" s="2"/>
      <c r="D888" s="2"/>
      <c r="E888" s="2"/>
      <c r="F888" s="2"/>
      <c r="G888" s="2"/>
      <c r="H888" s="2"/>
      <c r="I888" s="2"/>
      <c r="J888" s="2"/>
      <c r="K888" s="2"/>
      <c r="L888" s="2"/>
      <c r="M888" s="2"/>
      <c r="N888" s="2"/>
      <c r="O888" s="2"/>
      <c r="P888" s="2"/>
      <c r="Q888" s="144"/>
      <c r="R888" s="144"/>
      <c r="S888" s="144"/>
      <c r="T888" s="214"/>
      <c r="U888" s="2"/>
      <c r="V888" s="2"/>
      <c r="W888" s="2"/>
      <c r="X888" s="2"/>
      <c r="Y888" s="2"/>
      <c r="Z888" s="2"/>
    </row>
    <row r="889" ht="13.5" customHeight="1">
      <c r="A889" s="2"/>
      <c r="B889" s="2"/>
      <c r="C889" s="2"/>
      <c r="D889" s="2"/>
      <c r="E889" s="2"/>
      <c r="F889" s="2"/>
      <c r="G889" s="2"/>
      <c r="H889" s="2"/>
      <c r="I889" s="2"/>
      <c r="J889" s="2"/>
      <c r="K889" s="2"/>
      <c r="L889" s="2"/>
      <c r="M889" s="2"/>
      <c r="N889" s="2"/>
      <c r="O889" s="2"/>
      <c r="P889" s="2"/>
      <c r="Q889" s="144"/>
      <c r="R889" s="144"/>
      <c r="S889" s="144"/>
      <c r="T889" s="214"/>
      <c r="U889" s="2"/>
      <c r="V889" s="2"/>
      <c r="W889" s="2"/>
      <c r="X889" s="2"/>
      <c r="Y889" s="2"/>
      <c r="Z889" s="2"/>
    </row>
    <row r="890" ht="13.5" customHeight="1">
      <c r="A890" s="2"/>
      <c r="B890" s="2"/>
      <c r="C890" s="2"/>
      <c r="D890" s="2"/>
      <c r="E890" s="2"/>
      <c r="F890" s="2"/>
      <c r="G890" s="2"/>
      <c r="H890" s="2"/>
      <c r="I890" s="2"/>
      <c r="J890" s="2"/>
      <c r="K890" s="2"/>
      <c r="L890" s="2"/>
      <c r="M890" s="2"/>
      <c r="N890" s="2"/>
      <c r="O890" s="2"/>
      <c r="P890" s="2"/>
      <c r="Q890" s="144"/>
      <c r="R890" s="144"/>
      <c r="S890" s="144"/>
      <c r="T890" s="214"/>
      <c r="U890" s="2"/>
      <c r="V890" s="2"/>
      <c r="W890" s="2"/>
      <c r="X890" s="2"/>
      <c r="Y890" s="2"/>
      <c r="Z890" s="2"/>
    </row>
    <row r="891" ht="13.5" customHeight="1">
      <c r="A891" s="2"/>
      <c r="B891" s="2"/>
      <c r="C891" s="2"/>
      <c r="D891" s="2"/>
      <c r="E891" s="2"/>
      <c r="F891" s="2"/>
      <c r="G891" s="2"/>
      <c r="H891" s="2"/>
      <c r="I891" s="2"/>
      <c r="J891" s="2"/>
      <c r="K891" s="2"/>
      <c r="L891" s="2"/>
      <c r="M891" s="2"/>
      <c r="N891" s="2"/>
      <c r="O891" s="2"/>
      <c r="P891" s="2"/>
      <c r="Q891" s="144"/>
      <c r="R891" s="144"/>
      <c r="S891" s="144"/>
      <c r="T891" s="214"/>
      <c r="U891" s="2"/>
      <c r="V891" s="2"/>
      <c r="W891" s="2"/>
      <c r="X891" s="2"/>
      <c r="Y891" s="2"/>
      <c r="Z891" s="2"/>
    </row>
    <row r="892" ht="13.5" customHeight="1">
      <c r="A892" s="2"/>
      <c r="B892" s="2"/>
      <c r="C892" s="2"/>
      <c r="D892" s="2"/>
      <c r="E892" s="2"/>
      <c r="F892" s="2"/>
      <c r="G892" s="2"/>
      <c r="H892" s="2"/>
      <c r="I892" s="2"/>
      <c r="J892" s="2"/>
      <c r="K892" s="2"/>
      <c r="L892" s="2"/>
      <c r="M892" s="2"/>
      <c r="N892" s="2"/>
      <c r="O892" s="2"/>
      <c r="P892" s="2"/>
      <c r="Q892" s="144"/>
      <c r="R892" s="144"/>
      <c r="S892" s="144"/>
      <c r="T892" s="214"/>
      <c r="U892" s="2"/>
      <c r="V892" s="2"/>
      <c r="W892" s="2"/>
      <c r="X892" s="2"/>
      <c r="Y892" s="2"/>
      <c r="Z892" s="2"/>
    </row>
    <row r="893" ht="13.5" customHeight="1">
      <c r="A893" s="2"/>
      <c r="B893" s="2"/>
      <c r="C893" s="2"/>
      <c r="D893" s="2"/>
      <c r="E893" s="2"/>
      <c r="F893" s="2"/>
      <c r="G893" s="2"/>
      <c r="H893" s="2"/>
      <c r="I893" s="2"/>
      <c r="J893" s="2"/>
      <c r="K893" s="2"/>
      <c r="L893" s="2"/>
      <c r="M893" s="2"/>
      <c r="N893" s="2"/>
      <c r="O893" s="2"/>
      <c r="P893" s="2"/>
      <c r="Q893" s="144"/>
      <c r="R893" s="144"/>
      <c r="S893" s="144"/>
      <c r="T893" s="214"/>
      <c r="U893" s="2"/>
      <c r="V893" s="2"/>
      <c r="W893" s="2"/>
      <c r="X893" s="2"/>
      <c r="Y893" s="2"/>
      <c r="Z893" s="2"/>
    </row>
    <row r="894" ht="13.5" customHeight="1">
      <c r="A894" s="2"/>
      <c r="B894" s="2"/>
      <c r="C894" s="2"/>
      <c r="D894" s="2"/>
      <c r="E894" s="2"/>
      <c r="F894" s="2"/>
      <c r="G894" s="2"/>
      <c r="H894" s="2"/>
      <c r="I894" s="2"/>
      <c r="J894" s="2"/>
      <c r="K894" s="2"/>
      <c r="L894" s="2"/>
      <c r="M894" s="2"/>
      <c r="N894" s="2"/>
      <c r="O894" s="2"/>
      <c r="P894" s="2"/>
      <c r="Q894" s="144"/>
      <c r="R894" s="144"/>
      <c r="S894" s="144"/>
      <c r="T894" s="214"/>
      <c r="U894" s="2"/>
      <c r="V894" s="2"/>
      <c r="W894" s="2"/>
      <c r="X894" s="2"/>
      <c r="Y894" s="2"/>
      <c r="Z894" s="2"/>
    </row>
    <row r="895" ht="13.5" customHeight="1">
      <c r="A895" s="2"/>
      <c r="B895" s="2"/>
      <c r="C895" s="2"/>
      <c r="D895" s="2"/>
      <c r="E895" s="2"/>
      <c r="F895" s="2"/>
      <c r="G895" s="2"/>
      <c r="H895" s="2"/>
      <c r="I895" s="2"/>
      <c r="J895" s="2"/>
      <c r="K895" s="2"/>
      <c r="L895" s="2"/>
      <c r="M895" s="2"/>
      <c r="N895" s="2"/>
      <c r="O895" s="2"/>
      <c r="P895" s="2"/>
      <c r="Q895" s="144"/>
      <c r="R895" s="144"/>
      <c r="S895" s="144"/>
      <c r="T895" s="214"/>
      <c r="U895" s="2"/>
      <c r="V895" s="2"/>
      <c r="W895" s="2"/>
      <c r="X895" s="2"/>
      <c r="Y895" s="2"/>
      <c r="Z895" s="2"/>
    </row>
    <row r="896" ht="13.5" customHeight="1">
      <c r="A896" s="2"/>
      <c r="B896" s="2"/>
      <c r="C896" s="2"/>
      <c r="D896" s="2"/>
      <c r="E896" s="2"/>
      <c r="F896" s="2"/>
      <c r="G896" s="2"/>
      <c r="H896" s="2"/>
      <c r="I896" s="2"/>
      <c r="J896" s="2"/>
      <c r="K896" s="2"/>
      <c r="L896" s="2"/>
      <c r="M896" s="2"/>
      <c r="N896" s="2"/>
      <c r="O896" s="2"/>
      <c r="P896" s="2"/>
      <c r="Q896" s="144"/>
      <c r="R896" s="144"/>
      <c r="S896" s="144"/>
      <c r="T896" s="214"/>
      <c r="U896" s="2"/>
      <c r="V896" s="2"/>
      <c r="W896" s="2"/>
      <c r="X896" s="2"/>
      <c r="Y896" s="2"/>
      <c r="Z896" s="2"/>
    </row>
    <row r="897" ht="13.5" customHeight="1">
      <c r="A897" s="2"/>
      <c r="B897" s="2"/>
      <c r="C897" s="2"/>
      <c r="D897" s="2"/>
      <c r="E897" s="2"/>
      <c r="F897" s="2"/>
      <c r="G897" s="2"/>
      <c r="H897" s="2"/>
      <c r="I897" s="2"/>
      <c r="J897" s="2"/>
      <c r="K897" s="2"/>
      <c r="L897" s="2"/>
      <c r="M897" s="2"/>
      <c r="N897" s="2"/>
      <c r="O897" s="2"/>
      <c r="P897" s="2"/>
      <c r="Q897" s="144"/>
      <c r="R897" s="144"/>
      <c r="S897" s="144"/>
      <c r="T897" s="214"/>
      <c r="U897" s="2"/>
      <c r="V897" s="2"/>
      <c r="W897" s="2"/>
      <c r="X897" s="2"/>
      <c r="Y897" s="2"/>
      <c r="Z897" s="2"/>
    </row>
    <row r="898" ht="13.5" customHeight="1">
      <c r="A898" s="2"/>
      <c r="B898" s="2"/>
      <c r="C898" s="2"/>
      <c r="D898" s="2"/>
      <c r="E898" s="2"/>
      <c r="F898" s="2"/>
      <c r="G898" s="2"/>
      <c r="H898" s="2"/>
      <c r="I898" s="2"/>
      <c r="J898" s="2"/>
      <c r="K898" s="2"/>
      <c r="L898" s="2"/>
      <c r="M898" s="2"/>
      <c r="N898" s="2"/>
      <c r="O898" s="2"/>
      <c r="P898" s="2"/>
      <c r="Q898" s="144"/>
      <c r="R898" s="144"/>
      <c r="S898" s="144"/>
      <c r="T898" s="214"/>
      <c r="U898" s="2"/>
      <c r="V898" s="2"/>
      <c r="W898" s="2"/>
      <c r="X898" s="2"/>
      <c r="Y898" s="2"/>
      <c r="Z898" s="2"/>
    </row>
    <row r="899" ht="13.5" customHeight="1">
      <c r="A899" s="2"/>
      <c r="B899" s="2"/>
      <c r="C899" s="2"/>
      <c r="D899" s="2"/>
      <c r="E899" s="2"/>
      <c r="F899" s="2"/>
      <c r="G899" s="2"/>
      <c r="H899" s="2"/>
      <c r="I899" s="2"/>
      <c r="J899" s="2"/>
      <c r="K899" s="2"/>
      <c r="L899" s="2"/>
      <c r="M899" s="2"/>
      <c r="N899" s="2"/>
      <c r="O899" s="2"/>
      <c r="P899" s="2"/>
      <c r="Q899" s="144"/>
      <c r="R899" s="144"/>
      <c r="S899" s="144"/>
      <c r="T899" s="214"/>
      <c r="U899" s="2"/>
      <c r="V899" s="2"/>
      <c r="W899" s="2"/>
      <c r="X899" s="2"/>
      <c r="Y899" s="2"/>
      <c r="Z899" s="2"/>
    </row>
    <row r="900" ht="13.5" customHeight="1">
      <c r="A900" s="2"/>
      <c r="B900" s="2"/>
      <c r="C900" s="2"/>
      <c r="D900" s="2"/>
      <c r="E900" s="2"/>
      <c r="F900" s="2"/>
      <c r="G900" s="2"/>
      <c r="H900" s="2"/>
      <c r="I900" s="2"/>
      <c r="J900" s="2"/>
      <c r="K900" s="2"/>
      <c r="L900" s="2"/>
      <c r="M900" s="2"/>
      <c r="N900" s="2"/>
      <c r="O900" s="2"/>
      <c r="P900" s="2"/>
      <c r="Q900" s="144"/>
      <c r="R900" s="144"/>
      <c r="S900" s="144"/>
      <c r="T900" s="214"/>
      <c r="U900" s="2"/>
      <c r="V900" s="2"/>
      <c r="W900" s="2"/>
      <c r="X900" s="2"/>
      <c r="Y900" s="2"/>
      <c r="Z900" s="2"/>
    </row>
    <row r="901" ht="13.5" customHeight="1">
      <c r="A901" s="2"/>
      <c r="B901" s="2"/>
      <c r="C901" s="2"/>
      <c r="D901" s="2"/>
      <c r="E901" s="2"/>
      <c r="F901" s="2"/>
      <c r="G901" s="2"/>
      <c r="H901" s="2"/>
      <c r="I901" s="2"/>
      <c r="J901" s="2"/>
      <c r="K901" s="2"/>
      <c r="L901" s="2"/>
      <c r="M901" s="2"/>
      <c r="N901" s="2"/>
      <c r="O901" s="2"/>
      <c r="P901" s="2"/>
      <c r="Q901" s="144"/>
      <c r="R901" s="144"/>
      <c r="S901" s="144"/>
      <c r="T901" s="214"/>
      <c r="U901" s="2"/>
      <c r="V901" s="2"/>
      <c r="W901" s="2"/>
      <c r="X901" s="2"/>
      <c r="Y901" s="2"/>
      <c r="Z901" s="2"/>
    </row>
    <row r="902" ht="13.5" customHeight="1">
      <c r="A902" s="2"/>
      <c r="B902" s="2"/>
      <c r="C902" s="2"/>
      <c r="D902" s="2"/>
      <c r="E902" s="2"/>
      <c r="F902" s="2"/>
      <c r="G902" s="2"/>
      <c r="H902" s="2"/>
      <c r="I902" s="2"/>
      <c r="J902" s="2"/>
      <c r="K902" s="2"/>
      <c r="L902" s="2"/>
      <c r="M902" s="2"/>
      <c r="N902" s="2"/>
      <c r="O902" s="2"/>
      <c r="P902" s="2"/>
      <c r="Q902" s="144"/>
      <c r="R902" s="144"/>
      <c r="S902" s="144"/>
      <c r="T902" s="214"/>
      <c r="U902" s="2"/>
      <c r="V902" s="2"/>
      <c r="W902" s="2"/>
      <c r="X902" s="2"/>
      <c r="Y902" s="2"/>
      <c r="Z902" s="2"/>
    </row>
    <row r="903" ht="13.5" customHeight="1">
      <c r="A903" s="2"/>
      <c r="B903" s="2"/>
      <c r="C903" s="2"/>
      <c r="D903" s="2"/>
      <c r="E903" s="2"/>
      <c r="F903" s="2"/>
      <c r="G903" s="2"/>
      <c r="H903" s="2"/>
      <c r="I903" s="2"/>
      <c r="J903" s="2"/>
      <c r="K903" s="2"/>
      <c r="L903" s="2"/>
      <c r="M903" s="2"/>
      <c r="N903" s="2"/>
      <c r="O903" s="2"/>
      <c r="P903" s="2"/>
      <c r="Q903" s="144"/>
      <c r="R903" s="144"/>
      <c r="S903" s="144"/>
      <c r="T903" s="214"/>
      <c r="U903" s="2"/>
      <c r="V903" s="2"/>
      <c r="W903" s="2"/>
      <c r="X903" s="2"/>
      <c r="Y903" s="2"/>
      <c r="Z903" s="2"/>
    </row>
    <row r="904" ht="13.5" customHeight="1">
      <c r="A904" s="2"/>
      <c r="B904" s="2"/>
      <c r="C904" s="2"/>
      <c r="D904" s="2"/>
      <c r="E904" s="2"/>
      <c r="F904" s="2"/>
      <c r="G904" s="2"/>
      <c r="H904" s="2"/>
      <c r="I904" s="2"/>
      <c r="J904" s="2"/>
      <c r="K904" s="2"/>
      <c r="L904" s="2"/>
      <c r="M904" s="2"/>
      <c r="N904" s="2"/>
      <c r="O904" s="2"/>
      <c r="P904" s="2"/>
      <c r="Q904" s="144"/>
      <c r="R904" s="144"/>
      <c r="S904" s="144"/>
      <c r="T904" s="214"/>
      <c r="U904" s="2"/>
      <c r="V904" s="2"/>
      <c r="W904" s="2"/>
      <c r="X904" s="2"/>
      <c r="Y904" s="2"/>
      <c r="Z904" s="2"/>
    </row>
    <row r="905" ht="13.5" customHeight="1">
      <c r="A905" s="2"/>
      <c r="B905" s="2"/>
      <c r="C905" s="2"/>
      <c r="D905" s="2"/>
      <c r="E905" s="2"/>
      <c r="F905" s="2"/>
      <c r="G905" s="2"/>
      <c r="H905" s="2"/>
      <c r="I905" s="2"/>
      <c r="J905" s="2"/>
      <c r="K905" s="2"/>
      <c r="L905" s="2"/>
      <c r="M905" s="2"/>
      <c r="N905" s="2"/>
      <c r="O905" s="2"/>
      <c r="P905" s="2"/>
      <c r="Q905" s="144"/>
      <c r="R905" s="144"/>
      <c r="S905" s="144"/>
      <c r="T905" s="214"/>
      <c r="U905" s="2"/>
      <c r="V905" s="2"/>
      <c r="W905" s="2"/>
      <c r="X905" s="2"/>
      <c r="Y905" s="2"/>
      <c r="Z905" s="2"/>
    </row>
    <row r="906" ht="13.5" customHeight="1">
      <c r="A906" s="2"/>
      <c r="B906" s="2"/>
      <c r="C906" s="2"/>
      <c r="D906" s="2"/>
      <c r="E906" s="2"/>
      <c r="F906" s="2"/>
      <c r="G906" s="2"/>
      <c r="H906" s="2"/>
      <c r="I906" s="2"/>
      <c r="J906" s="2"/>
      <c r="K906" s="2"/>
      <c r="L906" s="2"/>
      <c r="M906" s="2"/>
      <c r="N906" s="2"/>
      <c r="O906" s="2"/>
      <c r="P906" s="2"/>
      <c r="Q906" s="144"/>
      <c r="R906" s="144"/>
      <c r="S906" s="144"/>
      <c r="T906" s="214"/>
      <c r="U906" s="2"/>
      <c r="V906" s="2"/>
      <c r="W906" s="2"/>
      <c r="X906" s="2"/>
      <c r="Y906" s="2"/>
      <c r="Z906" s="2"/>
    </row>
    <row r="907" ht="13.5" customHeight="1">
      <c r="A907" s="2"/>
      <c r="B907" s="2"/>
      <c r="C907" s="2"/>
      <c r="D907" s="2"/>
      <c r="E907" s="2"/>
      <c r="F907" s="2"/>
      <c r="G907" s="2"/>
      <c r="H907" s="2"/>
      <c r="I907" s="2"/>
      <c r="J907" s="2"/>
      <c r="K907" s="2"/>
      <c r="L907" s="2"/>
      <c r="M907" s="2"/>
      <c r="N907" s="2"/>
      <c r="O907" s="2"/>
      <c r="P907" s="2"/>
      <c r="Q907" s="144"/>
      <c r="R907" s="144"/>
      <c r="S907" s="144"/>
      <c r="T907" s="214"/>
      <c r="U907" s="2"/>
      <c r="V907" s="2"/>
      <c r="W907" s="2"/>
      <c r="X907" s="2"/>
      <c r="Y907" s="2"/>
      <c r="Z907" s="2"/>
    </row>
    <row r="908" ht="13.5" customHeight="1">
      <c r="A908" s="2"/>
      <c r="B908" s="2"/>
      <c r="C908" s="2"/>
      <c r="D908" s="2"/>
      <c r="E908" s="2"/>
      <c r="F908" s="2"/>
      <c r="G908" s="2"/>
      <c r="H908" s="2"/>
      <c r="I908" s="2"/>
      <c r="J908" s="2"/>
      <c r="K908" s="2"/>
      <c r="L908" s="2"/>
      <c r="M908" s="2"/>
      <c r="N908" s="2"/>
      <c r="O908" s="2"/>
      <c r="P908" s="2"/>
      <c r="Q908" s="144"/>
      <c r="R908" s="144"/>
      <c r="S908" s="144"/>
      <c r="T908" s="214"/>
      <c r="U908" s="2"/>
      <c r="V908" s="2"/>
      <c r="W908" s="2"/>
      <c r="X908" s="2"/>
      <c r="Y908" s="2"/>
      <c r="Z908" s="2"/>
    </row>
    <row r="909" ht="13.5" customHeight="1">
      <c r="A909" s="2"/>
      <c r="B909" s="2"/>
      <c r="C909" s="2"/>
      <c r="D909" s="2"/>
      <c r="E909" s="2"/>
      <c r="F909" s="2"/>
      <c r="G909" s="2"/>
      <c r="H909" s="2"/>
      <c r="I909" s="2"/>
      <c r="J909" s="2"/>
      <c r="K909" s="2"/>
      <c r="L909" s="2"/>
      <c r="M909" s="2"/>
      <c r="N909" s="2"/>
      <c r="O909" s="2"/>
      <c r="P909" s="2"/>
      <c r="Q909" s="144"/>
      <c r="R909" s="144"/>
      <c r="S909" s="144"/>
      <c r="T909" s="214"/>
      <c r="U909" s="2"/>
      <c r="V909" s="2"/>
      <c r="W909" s="2"/>
      <c r="X909" s="2"/>
      <c r="Y909" s="2"/>
      <c r="Z909" s="2"/>
    </row>
    <row r="910" ht="13.5" customHeight="1">
      <c r="A910" s="2"/>
      <c r="B910" s="2"/>
      <c r="C910" s="2"/>
      <c r="D910" s="2"/>
      <c r="E910" s="2"/>
      <c r="F910" s="2"/>
      <c r="G910" s="2"/>
      <c r="H910" s="2"/>
      <c r="I910" s="2"/>
      <c r="J910" s="2"/>
      <c r="K910" s="2"/>
      <c r="L910" s="2"/>
      <c r="M910" s="2"/>
      <c r="N910" s="2"/>
      <c r="O910" s="2"/>
      <c r="P910" s="2"/>
      <c r="Q910" s="144"/>
      <c r="R910" s="144"/>
      <c r="S910" s="144"/>
      <c r="T910" s="214"/>
      <c r="U910" s="2"/>
      <c r="V910" s="2"/>
      <c r="W910" s="2"/>
      <c r="X910" s="2"/>
      <c r="Y910" s="2"/>
      <c r="Z910" s="2"/>
    </row>
    <row r="911" ht="13.5" customHeight="1">
      <c r="A911" s="2"/>
      <c r="B911" s="2"/>
      <c r="C911" s="2"/>
      <c r="D911" s="2"/>
      <c r="E911" s="2"/>
      <c r="F911" s="2"/>
      <c r="G911" s="2"/>
      <c r="H911" s="2"/>
      <c r="I911" s="2"/>
      <c r="J911" s="2"/>
      <c r="K911" s="2"/>
      <c r="L911" s="2"/>
      <c r="M911" s="2"/>
      <c r="N911" s="2"/>
      <c r="O911" s="2"/>
      <c r="P911" s="2"/>
      <c r="Q911" s="144"/>
      <c r="R911" s="144"/>
      <c r="S911" s="144"/>
      <c r="T911" s="214"/>
      <c r="U911" s="2"/>
      <c r="V911" s="2"/>
      <c r="W911" s="2"/>
      <c r="X911" s="2"/>
      <c r="Y911" s="2"/>
      <c r="Z911" s="2"/>
    </row>
    <row r="912" ht="13.5" customHeight="1">
      <c r="A912" s="2"/>
      <c r="B912" s="2"/>
      <c r="C912" s="2"/>
      <c r="D912" s="2"/>
      <c r="E912" s="2"/>
      <c r="F912" s="2"/>
      <c r="G912" s="2"/>
      <c r="H912" s="2"/>
      <c r="I912" s="2"/>
      <c r="J912" s="2"/>
      <c r="K912" s="2"/>
      <c r="L912" s="2"/>
      <c r="M912" s="2"/>
      <c r="N912" s="2"/>
      <c r="O912" s="2"/>
      <c r="P912" s="2"/>
      <c r="Q912" s="144"/>
      <c r="R912" s="144"/>
      <c r="S912" s="144"/>
      <c r="T912" s="214"/>
      <c r="U912" s="2"/>
      <c r="V912" s="2"/>
      <c r="W912" s="2"/>
      <c r="X912" s="2"/>
      <c r="Y912" s="2"/>
      <c r="Z912" s="2"/>
    </row>
    <row r="913" ht="13.5" customHeight="1">
      <c r="A913" s="2"/>
      <c r="B913" s="2"/>
      <c r="C913" s="2"/>
      <c r="D913" s="2"/>
      <c r="E913" s="2"/>
      <c r="F913" s="2"/>
      <c r="G913" s="2"/>
      <c r="H913" s="2"/>
      <c r="I913" s="2"/>
      <c r="J913" s="2"/>
      <c r="K913" s="2"/>
      <c r="L913" s="2"/>
      <c r="M913" s="2"/>
      <c r="N913" s="2"/>
      <c r="O913" s="2"/>
      <c r="P913" s="2"/>
      <c r="Q913" s="144"/>
      <c r="R913" s="144"/>
      <c r="S913" s="144"/>
      <c r="T913" s="214"/>
      <c r="U913" s="2"/>
      <c r="V913" s="2"/>
      <c r="W913" s="2"/>
      <c r="X913" s="2"/>
      <c r="Y913" s="2"/>
      <c r="Z913" s="2"/>
    </row>
    <row r="914" ht="13.5" customHeight="1">
      <c r="A914" s="2"/>
      <c r="B914" s="2"/>
      <c r="C914" s="2"/>
      <c r="D914" s="2"/>
      <c r="E914" s="2"/>
      <c r="F914" s="2"/>
      <c r="G914" s="2"/>
      <c r="H914" s="2"/>
      <c r="I914" s="2"/>
      <c r="J914" s="2"/>
      <c r="K914" s="2"/>
      <c r="L914" s="2"/>
      <c r="M914" s="2"/>
      <c r="N914" s="2"/>
      <c r="O914" s="2"/>
      <c r="P914" s="2"/>
      <c r="Q914" s="144"/>
      <c r="R914" s="144"/>
      <c r="S914" s="144"/>
      <c r="T914" s="214"/>
      <c r="U914" s="2"/>
      <c r="V914" s="2"/>
      <c r="W914" s="2"/>
      <c r="X914" s="2"/>
      <c r="Y914" s="2"/>
      <c r="Z914" s="2"/>
    </row>
    <row r="915" ht="13.5" customHeight="1">
      <c r="A915" s="2"/>
      <c r="B915" s="2"/>
      <c r="C915" s="2"/>
      <c r="D915" s="2"/>
      <c r="E915" s="2"/>
      <c r="F915" s="2"/>
      <c r="G915" s="2"/>
      <c r="H915" s="2"/>
      <c r="I915" s="2"/>
      <c r="J915" s="2"/>
      <c r="K915" s="2"/>
      <c r="L915" s="2"/>
      <c r="M915" s="2"/>
      <c r="N915" s="2"/>
      <c r="O915" s="2"/>
      <c r="P915" s="2"/>
      <c r="Q915" s="144"/>
      <c r="R915" s="144"/>
      <c r="S915" s="144"/>
      <c r="T915" s="214"/>
      <c r="U915" s="2"/>
      <c r="V915" s="2"/>
      <c r="W915" s="2"/>
      <c r="X915" s="2"/>
      <c r="Y915" s="2"/>
      <c r="Z915" s="2"/>
    </row>
    <row r="916" ht="13.5" customHeight="1">
      <c r="A916" s="2"/>
      <c r="B916" s="2"/>
      <c r="C916" s="2"/>
      <c r="D916" s="2"/>
      <c r="E916" s="2"/>
      <c r="F916" s="2"/>
      <c r="G916" s="2"/>
      <c r="H916" s="2"/>
      <c r="I916" s="2"/>
      <c r="J916" s="2"/>
      <c r="K916" s="2"/>
      <c r="L916" s="2"/>
      <c r="M916" s="2"/>
      <c r="N916" s="2"/>
      <c r="O916" s="2"/>
      <c r="P916" s="2"/>
      <c r="Q916" s="144"/>
      <c r="R916" s="144"/>
      <c r="S916" s="144"/>
      <c r="T916" s="214"/>
      <c r="U916" s="2"/>
      <c r="V916" s="2"/>
      <c r="W916" s="2"/>
      <c r="X916" s="2"/>
      <c r="Y916" s="2"/>
      <c r="Z916" s="2"/>
    </row>
    <row r="917" ht="13.5" customHeight="1">
      <c r="A917" s="2"/>
      <c r="B917" s="2"/>
      <c r="C917" s="2"/>
      <c r="D917" s="2"/>
      <c r="E917" s="2"/>
      <c r="F917" s="2"/>
      <c r="G917" s="2"/>
      <c r="H917" s="2"/>
      <c r="I917" s="2"/>
      <c r="J917" s="2"/>
      <c r="K917" s="2"/>
      <c r="L917" s="2"/>
      <c r="M917" s="2"/>
      <c r="N917" s="2"/>
      <c r="O917" s="2"/>
      <c r="P917" s="2"/>
      <c r="Q917" s="144"/>
      <c r="R917" s="144"/>
      <c r="S917" s="144"/>
      <c r="T917" s="214"/>
      <c r="U917" s="2"/>
      <c r="V917" s="2"/>
      <c r="W917" s="2"/>
      <c r="X917" s="2"/>
      <c r="Y917" s="2"/>
      <c r="Z917" s="2"/>
    </row>
    <row r="918" ht="13.5" customHeight="1">
      <c r="A918" s="2"/>
      <c r="B918" s="2"/>
      <c r="C918" s="2"/>
      <c r="D918" s="2"/>
      <c r="E918" s="2"/>
      <c r="F918" s="2"/>
      <c r="G918" s="2"/>
      <c r="H918" s="2"/>
      <c r="I918" s="2"/>
      <c r="J918" s="2"/>
      <c r="K918" s="2"/>
      <c r="L918" s="2"/>
      <c r="M918" s="2"/>
      <c r="N918" s="2"/>
      <c r="O918" s="2"/>
      <c r="P918" s="2"/>
      <c r="Q918" s="144"/>
      <c r="R918" s="144"/>
      <c r="S918" s="144"/>
      <c r="T918" s="214"/>
      <c r="U918" s="2"/>
      <c r="V918" s="2"/>
      <c r="W918" s="2"/>
      <c r="X918" s="2"/>
      <c r="Y918" s="2"/>
      <c r="Z918" s="2"/>
    </row>
    <row r="919" ht="13.5" customHeight="1">
      <c r="A919" s="2"/>
      <c r="B919" s="2"/>
      <c r="C919" s="2"/>
      <c r="D919" s="2"/>
      <c r="E919" s="2"/>
      <c r="F919" s="2"/>
      <c r="G919" s="2"/>
      <c r="H919" s="2"/>
      <c r="I919" s="2"/>
      <c r="J919" s="2"/>
      <c r="K919" s="2"/>
      <c r="L919" s="2"/>
      <c r="M919" s="2"/>
      <c r="N919" s="2"/>
      <c r="O919" s="2"/>
      <c r="P919" s="2"/>
      <c r="Q919" s="144"/>
      <c r="R919" s="144"/>
      <c r="S919" s="144"/>
      <c r="T919" s="214"/>
      <c r="U919" s="2"/>
      <c r="V919" s="2"/>
      <c r="W919" s="2"/>
      <c r="X919" s="2"/>
      <c r="Y919" s="2"/>
      <c r="Z919" s="2"/>
    </row>
    <row r="920" ht="13.5" customHeight="1">
      <c r="A920" s="2"/>
      <c r="B920" s="2"/>
      <c r="C920" s="2"/>
      <c r="D920" s="2"/>
      <c r="E920" s="2"/>
      <c r="F920" s="2"/>
      <c r="G920" s="2"/>
      <c r="H920" s="2"/>
      <c r="I920" s="2"/>
      <c r="J920" s="2"/>
      <c r="K920" s="2"/>
      <c r="L920" s="2"/>
      <c r="M920" s="2"/>
      <c r="N920" s="2"/>
      <c r="O920" s="2"/>
      <c r="P920" s="2"/>
      <c r="Q920" s="144"/>
      <c r="R920" s="144"/>
      <c r="S920" s="144"/>
      <c r="T920" s="214"/>
      <c r="U920" s="2"/>
      <c r="V920" s="2"/>
      <c r="W920" s="2"/>
      <c r="X920" s="2"/>
      <c r="Y920" s="2"/>
      <c r="Z920" s="2"/>
    </row>
    <row r="921" ht="13.5" customHeight="1">
      <c r="A921" s="2"/>
      <c r="B921" s="2"/>
      <c r="C921" s="2"/>
      <c r="D921" s="2"/>
      <c r="E921" s="2"/>
      <c r="F921" s="2"/>
      <c r="G921" s="2"/>
      <c r="H921" s="2"/>
      <c r="I921" s="2"/>
      <c r="J921" s="2"/>
      <c r="K921" s="2"/>
      <c r="L921" s="2"/>
      <c r="M921" s="2"/>
      <c r="N921" s="2"/>
      <c r="O921" s="2"/>
      <c r="P921" s="2"/>
      <c r="Q921" s="144"/>
      <c r="R921" s="144"/>
      <c r="S921" s="144"/>
      <c r="T921" s="214"/>
      <c r="U921" s="2"/>
      <c r="V921" s="2"/>
      <c r="W921" s="2"/>
      <c r="X921" s="2"/>
      <c r="Y921" s="2"/>
      <c r="Z921" s="2"/>
    </row>
    <row r="922" ht="13.5" customHeight="1">
      <c r="A922" s="2"/>
      <c r="B922" s="2"/>
      <c r="C922" s="2"/>
      <c r="D922" s="2"/>
      <c r="E922" s="2"/>
      <c r="F922" s="2"/>
      <c r="G922" s="2"/>
      <c r="H922" s="2"/>
      <c r="I922" s="2"/>
      <c r="J922" s="2"/>
      <c r="K922" s="2"/>
      <c r="L922" s="2"/>
      <c r="M922" s="2"/>
      <c r="N922" s="2"/>
      <c r="O922" s="2"/>
      <c r="P922" s="2"/>
      <c r="Q922" s="144"/>
      <c r="R922" s="144"/>
      <c r="S922" s="144"/>
      <c r="T922" s="214"/>
      <c r="U922" s="2"/>
      <c r="V922" s="2"/>
      <c r="W922" s="2"/>
      <c r="X922" s="2"/>
      <c r="Y922" s="2"/>
      <c r="Z922" s="2"/>
    </row>
    <row r="923" ht="13.5" customHeight="1">
      <c r="A923" s="2"/>
      <c r="B923" s="2"/>
      <c r="C923" s="2"/>
      <c r="D923" s="2"/>
      <c r="E923" s="2"/>
      <c r="F923" s="2"/>
      <c r="G923" s="2"/>
      <c r="H923" s="2"/>
      <c r="I923" s="2"/>
      <c r="J923" s="2"/>
      <c r="K923" s="2"/>
      <c r="L923" s="2"/>
      <c r="M923" s="2"/>
      <c r="N923" s="2"/>
      <c r="O923" s="2"/>
      <c r="P923" s="2"/>
      <c r="Q923" s="144"/>
      <c r="R923" s="144"/>
      <c r="S923" s="144"/>
      <c r="T923" s="214"/>
      <c r="U923" s="2"/>
      <c r="V923" s="2"/>
      <c r="W923" s="2"/>
      <c r="X923" s="2"/>
      <c r="Y923" s="2"/>
      <c r="Z923" s="2"/>
    </row>
    <row r="924" ht="13.5" customHeight="1">
      <c r="A924" s="2"/>
      <c r="B924" s="2"/>
      <c r="C924" s="2"/>
      <c r="D924" s="2"/>
      <c r="E924" s="2"/>
      <c r="F924" s="2"/>
      <c r="G924" s="2"/>
      <c r="H924" s="2"/>
      <c r="I924" s="2"/>
      <c r="J924" s="2"/>
      <c r="K924" s="2"/>
      <c r="L924" s="2"/>
      <c r="M924" s="2"/>
      <c r="N924" s="2"/>
      <c r="O924" s="2"/>
      <c r="P924" s="2"/>
      <c r="Q924" s="144"/>
      <c r="R924" s="144"/>
      <c r="S924" s="144"/>
      <c r="T924" s="214"/>
      <c r="U924" s="2"/>
      <c r="V924" s="2"/>
      <c r="W924" s="2"/>
      <c r="X924" s="2"/>
      <c r="Y924" s="2"/>
      <c r="Z924" s="2"/>
    </row>
    <row r="925" ht="13.5" customHeight="1">
      <c r="A925" s="2"/>
      <c r="B925" s="2"/>
      <c r="C925" s="2"/>
      <c r="D925" s="2"/>
      <c r="E925" s="2"/>
      <c r="F925" s="2"/>
      <c r="G925" s="2"/>
      <c r="H925" s="2"/>
      <c r="I925" s="2"/>
      <c r="J925" s="2"/>
      <c r="K925" s="2"/>
      <c r="L925" s="2"/>
      <c r="M925" s="2"/>
      <c r="N925" s="2"/>
      <c r="O925" s="2"/>
      <c r="P925" s="2"/>
      <c r="Q925" s="144"/>
      <c r="R925" s="144"/>
      <c r="S925" s="144"/>
      <c r="T925" s="214"/>
      <c r="U925" s="2"/>
      <c r="V925" s="2"/>
      <c r="W925" s="2"/>
      <c r="X925" s="2"/>
      <c r="Y925" s="2"/>
      <c r="Z925" s="2"/>
    </row>
    <row r="926" ht="13.5" customHeight="1">
      <c r="A926" s="2"/>
      <c r="B926" s="2"/>
      <c r="C926" s="2"/>
      <c r="D926" s="2"/>
      <c r="E926" s="2"/>
      <c r="F926" s="2"/>
      <c r="G926" s="2"/>
      <c r="H926" s="2"/>
      <c r="I926" s="2"/>
      <c r="J926" s="2"/>
      <c r="K926" s="2"/>
      <c r="L926" s="2"/>
      <c r="M926" s="2"/>
      <c r="N926" s="2"/>
      <c r="O926" s="2"/>
      <c r="P926" s="2"/>
      <c r="Q926" s="144"/>
      <c r="R926" s="144"/>
      <c r="S926" s="144"/>
      <c r="T926" s="214"/>
      <c r="U926" s="2"/>
      <c r="V926" s="2"/>
      <c r="W926" s="2"/>
      <c r="X926" s="2"/>
      <c r="Y926" s="2"/>
      <c r="Z926" s="2"/>
    </row>
    <row r="927" ht="13.5" customHeight="1">
      <c r="A927" s="2"/>
      <c r="B927" s="2"/>
      <c r="C927" s="2"/>
      <c r="D927" s="2"/>
      <c r="E927" s="2"/>
      <c r="F927" s="2"/>
      <c r="G927" s="2"/>
      <c r="H927" s="2"/>
      <c r="I927" s="2"/>
      <c r="J927" s="2"/>
      <c r="K927" s="2"/>
      <c r="L927" s="2"/>
      <c r="M927" s="2"/>
      <c r="N927" s="2"/>
      <c r="O927" s="2"/>
      <c r="P927" s="2"/>
      <c r="Q927" s="144"/>
      <c r="R927" s="144"/>
      <c r="S927" s="144"/>
      <c r="T927" s="214"/>
      <c r="U927" s="2"/>
      <c r="V927" s="2"/>
      <c r="W927" s="2"/>
      <c r="X927" s="2"/>
      <c r="Y927" s="2"/>
      <c r="Z927" s="2"/>
    </row>
    <row r="928" ht="13.5" customHeight="1">
      <c r="A928" s="2"/>
      <c r="B928" s="2"/>
      <c r="C928" s="2"/>
      <c r="D928" s="2"/>
      <c r="E928" s="2"/>
      <c r="F928" s="2"/>
      <c r="G928" s="2"/>
      <c r="H928" s="2"/>
      <c r="I928" s="2"/>
      <c r="J928" s="2"/>
      <c r="K928" s="2"/>
      <c r="L928" s="2"/>
      <c r="M928" s="2"/>
      <c r="N928" s="2"/>
      <c r="O928" s="2"/>
      <c r="P928" s="2"/>
      <c r="Q928" s="144"/>
      <c r="R928" s="144"/>
      <c r="S928" s="144"/>
      <c r="T928" s="214"/>
      <c r="U928" s="2"/>
      <c r="V928" s="2"/>
      <c r="W928" s="2"/>
      <c r="X928" s="2"/>
      <c r="Y928" s="2"/>
      <c r="Z928" s="2"/>
    </row>
    <row r="929" ht="13.5" customHeight="1">
      <c r="A929" s="2"/>
      <c r="B929" s="2"/>
      <c r="C929" s="2"/>
      <c r="D929" s="2"/>
      <c r="E929" s="2"/>
      <c r="F929" s="2"/>
      <c r="G929" s="2"/>
      <c r="H929" s="2"/>
      <c r="I929" s="2"/>
      <c r="J929" s="2"/>
      <c r="K929" s="2"/>
      <c r="L929" s="2"/>
      <c r="M929" s="2"/>
      <c r="N929" s="2"/>
      <c r="O929" s="2"/>
      <c r="P929" s="2"/>
      <c r="Q929" s="144"/>
      <c r="R929" s="144"/>
      <c r="S929" s="144"/>
      <c r="T929" s="214"/>
      <c r="U929" s="2"/>
      <c r="V929" s="2"/>
      <c r="W929" s="2"/>
      <c r="X929" s="2"/>
      <c r="Y929" s="2"/>
      <c r="Z929" s="2"/>
    </row>
    <row r="930" ht="13.5" customHeight="1">
      <c r="A930" s="2"/>
      <c r="B930" s="2"/>
      <c r="C930" s="2"/>
      <c r="D930" s="2"/>
      <c r="E930" s="2"/>
      <c r="F930" s="2"/>
      <c r="G930" s="2"/>
      <c r="H930" s="2"/>
      <c r="I930" s="2"/>
      <c r="J930" s="2"/>
      <c r="K930" s="2"/>
      <c r="L930" s="2"/>
      <c r="M930" s="2"/>
      <c r="N930" s="2"/>
      <c r="O930" s="2"/>
      <c r="P930" s="2"/>
      <c r="Q930" s="144"/>
      <c r="R930" s="144"/>
      <c r="S930" s="144"/>
      <c r="T930" s="214"/>
      <c r="U930" s="2"/>
      <c r="V930" s="2"/>
      <c r="W930" s="2"/>
      <c r="X930" s="2"/>
      <c r="Y930" s="2"/>
      <c r="Z930" s="2"/>
    </row>
    <row r="931" ht="13.5" customHeight="1">
      <c r="A931" s="2"/>
      <c r="B931" s="2"/>
      <c r="C931" s="2"/>
      <c r="D931" s="2"/>
      <c r="E931" s="2"/>
      <c r="F931" s="2"/>
      <c r="G931" s="2"/>
      <c r="H931" s="2"/>
      <c r="I931" s="2"/>
      <c r="J931" s="2"/>
      <c r="K931" s="2"/>
      <c r="L931" s="2"/>
      <c r="M931" s="2"/>
      <c r="N931" s="2"/>
      <c r="O931" s="2"/>
      <c r="P931" s="2"/>
      <c r="Q931" s="144"/>
      <c r="R931" s="144"/>
      <c r="S931" s="144"/>
      <c r="T931" s="214"/>
      <c r="U931" s="2"/>
      <c r="V931" s="2"/>
      <c r="W931" s="2"/>
      <c r="X931" s="2"/>
      <c r="Y931" s="2"/>
      <c r="Z931" s="2"/>
    </row>
    <row r="932" ht="13.5" customHeight="1">
      <c r="A932" s="2"/>
      <c r="B932" s="2"/>
      <c r="C932" s="2"/>
      <c r="D932" s="2"/>
      <c r="E932" s="2"/>
      <c r="F932" s="2"/>
      <c r="G932" s="2"/>
      <c r="H932" s="2"/>
      <c r="I932" s="2"/>
      <c r="J932" s="2"/>
      <c r="K932" s="2"/>
      <c r="L932" s="2"/>
      <c r="M932" s="2"/>
      <c r="N932" s="2"/>
      <c r="O932" s="2"/>
      <c r="P932" s="2"/>
      <c r="Q932" s="144"/>
      <c r="R932" s="144"/>
      <c r="S932" s="144"/>
      <c r="T932" s="214"/>
      <c r="U932" s="2"/>
      <c r="V932" s="2"/>
      <c r="W932" s="2"/>
      <c r="X932" s="2"/>
      <c r="Y932" s="2"/>
      <c r="Z932" s="2"/>
    </row>
    <row r="933" ht="13.5" customHeight="1">
      <c r="A933" s="2"/>
      <c r="B933" s="2"/>
      <c r="C933" s="2"/>
      <c r="D933" s="2"/>
      <c r="E933" s="2"/>
      <c r="F933" s="2"/>
      <c r="G933" s="2"/>
      <c r="H933" s="2"/>
      <c r="I933" s="2"/>
      <c r="J933" s="2"/>
      <c r="K933" s="2"/>
      <c r="L933" s="2"/>
      <c r="M933" s="2"/>
      <c r="N933" s="2"/>
      <c r="O933" s="2"/>
      <c r="P933" s="2"/>
      <c r="Q933" s="144"/>
      <c r="R933" s="144"/>
      <c r="S933" s="144"/>
      <c r="T933" s="214"/>
      <c r="U933" s="2"/>
      <c r="V933" s="2"/>
      <c r="W933" s="2"/>
      <c r="X933" s="2"/>
      <c r="Y933" s="2"/>
      <c r="Z933" s="2"/>
    </row>
    <row r="934" ht="13.5" customHeight="1">
      <c r="A934" s="2"/>
      <c r="B934" s="2"/>
      <c r="C934" s="2"/>
      <c r="D934" s="2"/>
      <c r="E934" s="2"/>
      <c r="F934" s="2"/>
      <c r="G934" s="2"/>
      <c r="H934" s="2"/>
      <c r="I934" s="2"/>
      <c r="J934" s="2"/>
      <c r="K934" s="2"/>
      <c r="L934" s="2"/>
      <c r="M934" s="2"/>
      <c r="N934" s="2"/>
      <c r="O934" s="2"/>
      <c r="P934" s="2"/>
      <c r="Q934" s="144"/>
      <c r="R934" s="144"/>
      <c r="S934" s="144"/>
      <c r="T934" s="214"/>
      <c r="U934" s="2"/>
      <c r="V934" s="2"/>
      <c r="W934" s="2"/>
      <c r="X934" s="2"/>
      <c r="Y934" s="2"/>
      <c r="Z934" s="2"/>
    </row>
    <row r="935" ht="13.5" customHeight="1">
      <c r="A935" s="2"/>
      <c r="B935" s="2"/>
      <c r="C935" s="2"/>
      <c r="D935" s="2"/>
      <c r="E935" s="2"/>
      <c r="F935" s="2"/>
      <c r="G935" s="2"/>
      <c r="H935" s="2"/>
      <c r="I935" s="2"/>
      <c r="J935" s="2"/>
      <c r="K935" s="2"/>
      <c r="L935" s="2"/>
      <c r="M935" s="2"/>
      <c r="N935" s="2"/>
      <c r="O935" s="2"/>
      <c r="P935" s="2"/>
      <c r="Q935" s="144"/>
      <c r="R935" s="144"/>
      <c r="S935" s="144"/>
      <c r="T935" s="214"/>
      <c r="U935" s="2"/>
      <c r="V935" s="2"/>
      <c r="W935" s="2"/>
      <c r="X935" s="2"/>
      <c r="Y935" s="2"/>
      <c r="Z935" s="2"/>
    </row>
    <row r="936" ht="13.5" customHeight="1">
      <c r="A936" s="2"/>
      <c r="B936" s="2"/>
      <c r="C936" s="2"/>
      <c r="D936" s="2"/>
      <c r="E936" s="2"/>
      <c r="F936" s="2"/>
      <c r="G936" s="2"/>
      <c r="H936" s="2"/>
      <c r="I936" s="2"/>
      <c r="J936" s="2"/>
      <c r="K936" s="2"/>
      <c r="L936" s="2"/>
      <c r="M936" s="2"/>
      <c r="N936" s="2"/>
      <c r="O936" s="2"/>
      <c r="P936" s="2"/>
      <c r="Q936" s="144"/>
      <c r="R936" s="144"/>
      <c r="S936" s="144"/>
      <c r="T936" s="214"/>
      <c r="U936" s="2"/>
      <c r="V936" s="2"/>
      <c r="W936" s="2"/>
      <c r="X936" s="2"/>
      <c r="Y936" s="2"/>
      <c r="Z936" s="2"/>
    </row>
    <row r="937" ht="13.5" customHeight="1">
      <c r="A937" s="2"/>
      <c r="B937" s="2"/>
      <c r="C937" s="2"/>
      <c r="D937" s="2"/>
      <c r="E937" s="2"/>
      <c r="F937" s="2"/>
      <c r="G937" s="2"/>
      <c r="H937" s="2"/>
      <c r="I937" s="2"/>
      <c r="J937" s="2"/>
      <c r="K937" s="2"/>
      <c r="L937" s="2"/>
      <c r="M937" s="2"/>
      <c r="N937" s="2"/>
      <c r="O937" s="2"/>
      <c r="P937" s="2"/>
      <c r="Q937" s="144"/>
      <c r="R937" s="144"/>
      <c r="S937" s="144"/>
      <c r="T937" s="214"/>
      <c r="U937" s="2"/>
      <c r="V937" s="2"/>
      <c r="W937" s="2"/>
      <c r="X937" s="2"/>
      <c r="Y937" s="2"/>
      <c r="Z937" s="2"/>
    </row>
    <row r="938" ht="13.5" customHeight="1">
      <c r="A938" s="2"/>
      <c r="B938" s="2"/>
      <c r="C938" s="2"/>
      <c r="D938" s="2"/>
      <c r="E938" s="2"/>
      <c r="F938" s="2"/>
      <c r="G938" s="2"/>
      <c r="H938" s="2"/>
      <c r="I938" s="2"/>
      <c r="J938" s="2"/>
      <c r="K938" s="2"/>
      <c r="L938" s="2"/>
      <c r="M938" s="2"/>
      <c r="N938" s="2"/>
      <c r="O938" s="2"/>
      <c r="P938" s="2"/>
      <c r="Q938" s="144"/>
      <c r="R938" s="144"/>
      <c r="S938" s="144"/>
      <c r="T938" s="214"/>
      <c r="U938" s="2"/>
      <c r="V938" s="2"/>
      <c r="W938" s="2"/>
      <c r="X938" s="2"/>
      <c r="Y938" s="2"/>
      <c r="Z938" s="2"/>
    </row>
    <row r="939" ht="13.5" customHeight="1">
      <c r="A939" s="2"/>
      <c r="B939" s="2"/>
      <c r="C939" s="2"/>
      <c r="D939" s="2"/>
      <c r="E939" s="2"/>
      <c r="F939" s="2"/>
      <c r="G939" s="2"/>
      <c r="H939" s="2"/>
      <c r="I939" s="2"/>
      <c r="J939" s="2"/>
      <c r="K939" s="2"/>
      <c r="L939" s="2"/>
      <c r="M939" s="2"/>
      <c r="N939" s="2"/>
      <c r="O939" s="2"/>
      <c r="P939" s="2"/>
      <c r="Q939" s="144"/>
      <c r="R939" s="144"/>
      <c r="S939" s="144"/>
      <c r="T939" s="214"/>
      <c r="U939" s="2"/>
      <c r="V939" s="2"/>
      <c r="W939" s="2"/>
      <c r="X939" s="2"/>
      <c r="Y939" s="2"/>
      <c r="Z939" s="2"/>
    </row>
    <row r="940" ht="13.5" customHeight="1">
      <c r="A940" s="2"/>
      <c r="B940" s="2"/>
      <c r="C940" s="2"/>
      <c r="D940" s="2"/>
      <c r="E940" s="2"/>
      <c r="F940" s="2"/>
      <c r="G940" s="2"/>
      <c r="H940" s="2"/>
      <c r="I940" s="2"/>
      <c r="J940" s="2"/>
      <c r="K940" s="2"/>
      <c r="L940" s="2"/>
      <c r="M940" s="2"/>
      <c r="N940" s="2"/>
      <c r="O940" s="2"/>
      <c r="P940" s="2"/>
      <c r="Q940" s="144"/>
      <c r="R940" s="144"/>
      <c r="S940" s="144"/>
      <c r="T940" s="214"/>
      <c r="U940" s="2"/>
      <c r="V940" s="2"/>
      <c r="W940" s="2"/>
      <c r="X940" s="2"/>
      <c r="Y940" s="2"/>
      <c r="Z940" s="2"/>
    </row>
    <row r="941" ht="13.5" customHeight="1">
      <c r="A941" s="2"/>
      <c r="B941" s="2"/>
      <c r="C941" s="2"/>
      <c r="D941" s="2"/>
      <c r="E941" s="2"/>
      <c r="F941" s="2"/>
      <c r="G941" s="2"/>
      <c r="H941" s="2"/>
      <c r="I941" s="2"/>
      <c r="J941" s="2"/>
      <c r="K941" s="2"/>
      <c r="L941" s="2"/>
      <c r="M941" s="2"/>
      <c r="N941" s="2"/>
      <c r="O941" s="2"/>
      <c r="P941" s="2"/>
      <c r="Q941" s="144"/>
      <c r="R941" s="144"/>
      <c r="S941" s="144"/>
      <c r="T941" s="214"/>
      <c r="U941" s="2"/>
      <c r="V941" s="2"/>
      <c r="W941" s="2"/>
      <c r="X941" s="2"/>
      <c r="Y941" s="2"/>
      <c r="Z941" s="2"/>
    </row>
    <row r="942" ht="13.5" customHeight="1">
      <c r="A942" s="2"/>
      <c r="B942" s="2"/>
      <c r="C942" s="2"/>
      <c r="D942" s="2"/>
      <c r="E942" s="2"/>
      <c r="F942" s="2"/>
      <c r="G942" s="2"/>
      <c r="H942" s="2"/>
      <c r="I942" s="2"/>
      <c r="J942" s="2"/>
      <c r="K942" s="2"/>
      <c r="L942" s="2"/>
      <c r="M942" s="2"/>
      <c r="N942" s="2"/>
      <c r="O942" s="2"/>
      <c r="P942" s="2"/>
      <c r="Q942" s="144"/>
      <c r="R942" s="144"/>
      <c r="S942" s="144"/>
      <c r="T942" s="214"/>
      <c r="U942" s="2"/>
      <c r="V942" s="2"/>
      <c r="W942" s="2"/>
      <c r="X942" s="2"/>
      <c r="Y942" s="2"/>
      <c r="Z942" s="2"/>
    </row>
    <row r="943" ht="13.5" customHeight="1">
      <c r="A943" s="2"/>
      <c r="B943" s="2"/>
      <c r="C943" s="2"/>
      <c r="D943" s="2"/>
      <c r="E943" s="2"/>
      <c r="F943" s="2"/>
      <c r="G943" s="2"/>
      <c r="H943" s="2"/>
      <c r="I943" s="2"/>
      <c r="J943" s="2"/>
      <c r="K943" s="2"/>
      <c r="L943" s="2"/>
      <c r="M943" s="2"/>
      <c r="N943" s="2"/>
      <c r="O943" s="2"/>
      <c r="P943" s="2"/>
      <c r="Q943" s="144"/>
      <c r="R943" s="144"/>
      <c r="S943" s="144"/>
      <c r="T943" s="214"/>
      <c r="U943" s="2"/>
      <c r="V943" s="2"/>
      <c r="W943" s="2"/>
      <c r="X943" s="2"/>
      <c r="Y943" s="2"/>
      <c r="Z943" s="2"/>
    </row>
    <row r="944" ht="13.5" customHeight="1">
      <c r="A944" s="2"/>
      <c r="B944" s="2"/>
      <c r="C944" s="2"/>
      <c r="D944" s="2"/>
      <c r="E944" s="2"/>
      <c r="F944" s="2"/>
      <c r="G944" s="2"/>
      <c r="H944" s="2"/>
      <c r="I944" s="2"/>
      <c r="J944" s="2"/>
      <c r="K944" s="2"/>
      <c r="L944" s="2"/>
      <c r="M944" s="2"/>
      <c r="N944" s="2"/>
      <c r="O944" s="2"/>
      <c r="P944" s="2"/>
      <c r="Q944" s="144"/>
      <c r="R944" s="144"/>
      <c r="S944" s="144"/>
      <c r="T944" s="214"/>
      <c r="U944" s="2"/>
      <c r="V944" s="2"/>
      <c r="W944" s="2"/>
      <c r="X944" s="2"/>
      <c r="Y944" s="2"/>
      <c r="Z944" s="2"/>
    </row>
    <row r="945" ht="13.5" customHeight="1">
      <c r="A945" s="2"/>
      <c r="B945" s="2"/>
      <c r="C945" s="2"/>
      <c r="D945" s="2"/>
      <c r="E945" s="2"/>
      <c r="F945" s="2"/>
      <c r="G945" s="2"/>
      <c r="H945" s="2"/>
      <c r="I945" s="2"/>
      <c r="J945" s="2"/>
      <c r="K945" s="2"/>
      <c r="L945" s="2"/>
      <c r="M945" s="2"/>
      <c r="N945" s="2"/>
      <c r="O945" s="2"/>
      <c r="P945" s="2"/>
      <c r="Q945" s="144"/>
      <c r="R945" s="144"/>
      <c r="S945" s="144"/>
      <c r="T945" s="214"/>
      <c r="U945" s="2"/>
      <c r="V945" s="2"/>
      <c r="W945" s="2"/>
      <c r="X945" s="2"/>
      <c r="Y945" s="2"/>
      <c r="Z945" s="2"/>
    </row>
    <row r="946" ht="13.5" customHeight="1">
      <c r="A946" s="2"/>
      <c r="B946" s="2"/>
      <c r="C946" s="2"/>
      <c r="D946" s="2"/>
      <c r="E946" s="2"/>
      <c r="F946" s="2"/>
      <c r="G946" s="2"/>
      <c r="H946" s="2"/>
      <c r="I946" s="2"/>
      <c r="J946" s="2"/>
      <c r="K946" s="2"/>
      <c r="L946" s="2"/>
      <c r="M946" s="2"/>
      <c r="N946" s="2"/>
      <c r="O946" s="2"/>
      <c r="P946" s="2"/>
      <c r="Q946" s="144"/>
      <c r="R946" s="144"/>
      <c r="S946" s="144"/>
      <c r="T946" s="214"/>
      <c r="U946" s="2"/>
      <c r="V946" s="2"/>
      <c r="W946" s="2"/>
      <c r="X946" s="2"/>
      <c r="Y946" s="2"/>
      <c r="Z946" s="2"/>
    </row>
    <row r="947" ht="13.5" customHeight="1">
      <c r="A947" s="2"/>
      <c r="B947" s="2"/>
      <c r="C947" s="2"/>
      <c r="D947" s="2"/>
      <c r="E947" s="2"/>
      <c r="F947" s="2"/>
      <c r="G947" s="2"/>
      <c r="H947" s="2"/>
      <c r="I947" s="2"/>
      <c r="J947" s="2"/>
      <c r="K947" s="2"/>
      <c r="L947" s="2"/>
      <c r="M947" s="2"/>
      <c r="N947" s="2"/>
      <c r="O947" s="2"/>
      <c r="P947" s="2"/>
      <c r="Q947" s="144"/>
      <c r="R947" s="144"/>
      <c r="S947" s="144"/>
      <c r="T947" s="214"/>
      <c r="U947" s="2"/>
      <c r="V947" s="2"/>
      <c r="W947" s="2"/>
      <c r="X947" s="2"/>
      <c r="Y947" s="2"/>
      <c r="Z947" s="2"/>
    </row>
    <row r="948" ht="13.5" customHeight="1">
      <c r="A948" s="2"/>
      <c r="B948" s="2"/>
      <c r="C948" s="2"/>
      <c r="D948" s="2"/>
      <c r="E948" s="2"/>
      <c r="F948" s="2"/>
      <c r="G948" s="2"/>
      <c r="H948" s="2"/>
      <c r="I948" s="2"/>
      <c r="J948" s="2"/>
      <c r="K948" s="2"/>
      <c r="L948" s="2"/>
      <c r="M948" s="2"/>
      <c r="N948" s="2"/>
      <c r="O948" s="2"/>
      <c r="P948" s="2"/>
      <c r="Q948" s="144"/>
      <c r="R948" s="144"/>
      <c r="S948" s="144"/>
      <c r="T948" s="214"/>
      <c r="U948" s="2"/>
      <c r="V948" s="2"/>
      <c r="W948" s="2"/>
      <c r="X948" s="2"/>
      <c r="Y948" s="2"/>
      <c r="Z948" s="2"/>
    </row>
    <row r="949" ht="13.5" customHeight="1">
      <c r="A949" s="2"/>
      <c r="B949" s="2"/>
      <c r="C949" s="2"/>
      <c r="D949" s="2"/>
      <c r="E949" s="2"/>
      <c r="F949" s="2"/>
      <c r="G949" s="2"/>
      <c r="H949" s="2"/>
      <c r="I949" s="2"/>
      <c r="J949" s="2"/>
      <c r="K949" s="2"/>
      <c r="L949" s="2"/>
      <c r="M949" s="2"/>
      <c r="N949" s="2"/>
      <c r="O949" s="2"/>
      <c r="P949" s="2"/>
      <c r="Q949" s="144"/>
      <c r="R949" s="144"/>
      <c r="S949" s="144"/>
      <c r="T949" s="214"/>
      <c r="U949" s="2"/>
      <c r="V949" s="2"/>
      <c r="W949" s="2"/>
      <c r="X949" s="2"/>
      <c r="Y949" s="2"/>
      <c r="Z949" s="2"/>
    </row>
    <row r="950" ht="13.5" customHeight="1">
      <c r="A950" s="2"/>
      <c r="B950" s="2"/>
      <c r="C950" s="2"/>
      <c r="D950" s="2"/>
      <c r="E950" s="2"/>
      <c r="F950" s="2"/>
      <c r="G950" s="2"/>
      <c r="H950" s="2"/>
      <c r="I950" s="2"/>
      <c r="J950" s="2"/>
      <c r="K950" s="2"/>
      <c r="L950" s="2"/>
      <c r="M950" s="2"/>
      <c r="N950" s="2"/>
      <c r="O950" s="2"/>
      <c r="P950" s="2"/>
      <c r="Q950" s="144"/>
      <c r="R950" s="144"/>
      <c r="S950" s="144"/>
      <c r="T950" s="214"/>
      <c r="U950" s="2"/>
      <c r="V950" s="2"/>
      <c r="W950" s="2"/>
      <c r="X950" s="2"/>
      <c r="Y950" s="2"/>
      <c r="Z950" s="2"/>
    </row>
    <row r="951" ht="13.5" customHeight="1">
      <c r="A951" s="2"/>
      <c r="B951" s="2"/>
      <c r="C951" s="2"/>
      <c r="D951" s="2"/>
      <c r="E951" s="2"/>
      <c r="F951" s="2"/>
      <c r="G951" s="2"/>
      <c r="H951" s="2"/>
      <c r="I951" s="2"/>
      <c r="J951" s="2"/>
      <c r="K951" s="2"/>
      <c r="L951" s="2"/>
      <c r="M951" s="2"/>
      <c r="N951" s="2"/>
      <c r="O951" s="2"/>
      <c r="P951" s="2"/>
      <c r="Q951" s="144"/>
      <c r="R951" s="144"/>
      <c r="S951" s="144"/>
      <c r="T951" s="214"/>
      <c r="U951" s="2"/>
      <c r="V951" s="2"/>
      <c r="W951" s="2"/>
      <c r="X951" s="2"/>
      <c r="Y951" s="2"/>
      <c r="Z951" s="2"/>
    </row>
    <row r="952" ht="13.5" customHeight="1">
      <c r="A952" s="2"/>
      <c r="B952" s="2"/>
      <c r="C952" s="2"/>
      <c r="D952" s="2"/>
      <c r="E952" s="2"/>
      <c r="F952" s="2"/>
      <c r="G952" s="2"/>
      <c r="H952" s="2"/>
      <c r="I952" s="2"/>
      <c r="J952" s="2"/>
      <c r="K952" s="2"/>
      <c r="L952" s="2"/>
      <c r="M952" s="2"/>
      <c r="N952" s="2"/>
      <c r="O952" s="2"/>
      <c r="P952" s="2"/>
      <c r="Q952" s="144"/>
      <c r="R952" s="144"/>
      <c r="S952" s="144"/>
      <c r="T952" s="214"/>
      <c r="U952" s="2"/>
      <c r="V952" s="2"/>
      <c r="W952" s="2"/>
      <c r="X952" s="2"/>
      <c r="Y952" s="2"/>
      <c r="Z952" s="2"/>
    </row>
    <row r="953" ht="13.5" customHeight="1">
      <c r="A953" s="2"/>
      <c r="B953" s="2"/>
      <c r="C953" s="2"/>
      <c r="D953" s="2"/>
      <c r="E953" s="2"/>
      <c r="F953" s="2"/>
      <c r="G953" s="2"/>
      <c r="H953" s="2"/>
      <c r="I953" s="2"/>
      <c r="J953" s="2"/>
      <c r="K953" s="2"/>
      <c r="L953" s="2"/>
      <c r="M953" s="2"/>
      <c r="N953" s="2"/>
      <c r="O953" s="2"/>
      <c r="P953" s="2"/>
      <c r="Q953" s="144"/>
      <c r="R953" s="144"/>
      <c r="S953" s="144"/>
      <c r="T953" s="214"/>
      <c r="U953" s="2"/>
      <c r="V953" s="2"/>
      <c r="W953" s="2"/>
      <c r="X953" s="2"/>
      <c r="Y953" s="2"/>
      <c r="Z953" s="2"/>
    </row>
    <row r="954" ht="13.5" customHeight="1">
      <c r="A954" s="2"/>
      <c r="B954" s="2"/>
      <c r="C954" s="2"/>
      <c r="D954" s="2"/>
      <c r="E954" s="2"/>
      <c r="F954" s="2"/>
      <c r="G954" s="2"/>
      <c r="H954" s="2"/>
      <c r="I954" s="2"/>
      <c r="J954" s="2"/>
      <c r="K954" s="2"/>
      <c r="L954" s="2"/>
      <c r="M954" s="2"/>
      <c r="N954" s="2"/>
      <c r="O954" s="2"/>
      <c r="P954" s="2"/>
      <c r="Q954" s="144"/>
      <c r="R954" s="144"/>
      <c r="S954" s="144"/>
      <c r="T954" s="214"/>
      <c r="U954" s="2"/>
      <c r="V954" s="2"/>
      <c r="W954" s="2"/>
      <c r="X954" s="2"/>
      <c r="Y954" s="2"/>
      <c r="Z954" s="2"/>
    </row>
    <row r="955" ht="13.5" customHeight="1">
      <c r="A955" s="2"/>
      <c r="B955" s="2"/>
      <c r="C955" s="2"/>
      <c r="D955" s="2"/>
      <c r="E955" s="2"/>
      <c r="F955" s="2"/>
      <c r="G955" s="2"/>
      <c r="H955" s="2"/>
      <c r="I955" s="2"/>
      <c r="J955" s="2"/>
      <c r="K955" s="2"/>
      <c r="L955" s="2"/>
      <c r="M955" s="2"/>
      <c r="N955" s="2"/>
      <c r="O955" s="2"/>
      <c r="P955" s="2"/>
      <c r="Q955" s="144"/>
      <c r="R955" s="144"/>
      <c r="S955" s="144"/>
      <c r="T955" s="214"/>
      <c r="U955" s="2"/>
      <c r="V955" s="2"/>
      <c r="W955" s="2"/>
      <c r="X955" s="2"/>
      <c r="Y955" s="2"/>
      <c r="Z955" s="2"/>
    </row>
    <row r="956" ht="13.5" customHeight="1">
      <c r="A956" s="2"/>
      <c r="B956" s="2"/>
      <c r="C956" s="2"/>
      <c r="D956" s="2"/>
      <c r="E956" s="2"/>
      <c r="F956" s="2"/>
      <c r="G956" s="2"/>
      <c r="H956" s="2"/>
      <c r="I956" s="2"/>
      <c r="J956" s="2"/>
      <c r="K956" s="2"/>
      <c r="L956" s="2"/>
      <c r="M956" s="2"/>
      <c r="N956" s="2"/>
      <c r="O956" s="2"/>
      <c r="P956" s="2"/>
      <c r="Q956" s="144"/>
      <c r="R956" s="144"/>
      <c r="S956" s="144"/>
      <c r="T956" s="214"/>
      <c r="U956" s="2"/>
      <c r="V956" s="2"/>
      <c r="W956" s="2"/>
      <c r="X956" s="2"/>
      <c r="Y956" s="2"/>
      <c r="Z956" s="2"/>
    </row>
    <row r="957" ht="13.5" customHeight="1">
      <c r="A957" s="2"/>
      <c r="B957" s="2"/>
      <c r="C957" s="2"/>
      <c r="D957" s="2"/>
      <c r="E957" s="2"/>
      <c r="F957" s="2"/>
      <c r="G957" s="2"/>
      <c r="H957" s="2"/>
      <c r="I957" s="2"/>
      <c r="J957" s="2"/>
      <c r="K957" s="2"/>
      <c r="L957" s="2"/>
      <c r="M957" s="2"/>
      <c r="N957" s="2"/>
      <c r="O957" s="2"/>
      <c r="P957" s="2"/>
      <c r="Q957" s="144"/>
      <c r="R957" s="144"/>
      <c r="S957" s="144"/>
      <c r="T957" s="214"/>
      <c r="U957" s="2"/>
      <c r="V957" s="2"/>
      <c r="W957" s="2"/>
      <c r="X957" s="2"/>
      <c r="Y957" s="2"/>
      <c r="Z957" s="2"/>
    </row>
    <row r="958" ht="13.5" customHeight="1">
      <c r="A958" s="2"/>
      <c r="B958" s="2"/>
      <c r="C958" s="2"/>
      <c r="D958" s="2"/>
      <c r="E958" s="2"/>
      <c r="F958" s="2"/>
      <c r="G958" s="2"/>
      <c r="H958" s="2"/>
      <c r="I958" s="2"/>
      <c r="J958" s="2"/>
      <c r="K958" s="2"/>
      <c r="L958" s="2"/>
      <c r="M958" s="2"/>
      <c r="N958" s="2"/>
      <c r="O958" s="2"/>
      <c r="P958" s="2"/>
      <c r="Q958" s="144"/>
      <c r="R958" s="144"/>
      <c r="S958" s="144"/>
      <c r="T958" s="214"/>
      <c r="U958" s="2"/>
      <c r="V958" s="2"/>
      <c r="W958" s="2"/>
      <c r="X958" s="2"/>
      <c r="Y958" s="2"/>
      <c r="Z958" s="2"/>
    </row>
    <row r="959" ht="13.5" customHeight="1">
      <c r="A959" s="2"/>
      <c r="B959" s="2"/>
      <c r="C959" s="2"/>
      <c r="D959" s="2"/>
      <c r="E959" s="2"/>
      <c r="F959" s="2"/>
      <c r="G959" s="2"/>
      <c r="H959" s="2"/>
      <c r="I959" s="2"/>
      <c r="J959" s="2"/>
      <c r="K959" s="2"/>
      <c r="L959" s="2"/>
      <c r="M959" s="2"/>
      <c r="N959" s="2"/>
      <c r="O959" s="2"/>
      <c r="P959" s="2"/>
      <c r="Q959" s="144"/>
      <c r="R959" s="144"/>
      <c r="S959" s="144"/>
      <c r="T959" s="214"/>
      <c r="U959" s="2"/>
      <c r="V959" s="2"/>
      <c r="W959" s="2"/>
      <c r="X959" s="2"/>
      <c r="Y959" s="2"/>
      <c r="Z959" s="2"/>
    </row>
    <row r="960" ht="13.5" customHeight="1">
      <c r="A960" s="2"/>
      <c r="B960" s="2"/>
      <c r="C960" s="2"/>
      <c r="D960" s="2"/>
      <c r="E960" s="2"/>
      <c r="F960" s="2"/>
      <c r="G960" s="2"/>
      <c r="H960" s="2"/>
      <c r="I960" s="2"/>
      <c r="J960" s="2"/>
      <c r="K960" s="2"/>
      <c r="L960" s="2"/>
      <c r="M960" s="2"/>
      <c r="N960" s="2"/>
      <c r="O960" s="2"/>
      <c r="P960" s="2"/>
      <c r="Q960" s="144"/>
      <c r="R960" s="144"/>
      <c r="S960" s="144"/>
      <c r="T960" s="214"/>
      <c r="U960" s="2"/>
      <c r="V960" s="2"/>
      <c r="W960" s="2"/>
      <c r="X960" s="2"/>
      <c r="Y960" s="2"/>
      <c r="Z960" s="2"/>
    </row>
    <row r="961" ht="13.5" customHeight="1">
      <c r="A961" s="2"/>
      <c r="B961" s="2"/>
      <c r="C961" s="2"/>
      <c r="D961" s="2"/>
      <c r="E961" s="2"/>
      <c r="F961" s="2"/>
      <c r="G961" s="2"/>
      <c r="H961" s="2"/>
      <c r="I961" s="2"/>
      <c r="J961" s="2"/>
      <c r="K961" s="2"/>
      <c r="L961" s="2"/>
      <c r="M961" s="2"/>
      <c r="N961" s="2"/>
      <c r="O961" s="2"/>
      <c r="P961" s="2"/>
      <c r="Q961" s="144"/>
      <c r="R961" s="144"/>
      <c r="S961" s="144"/>
      <c r="T961" s="214"/>
      <c r="U961" s="2"/>
      <c r="V961" s="2"/>
      <c r="W961" s="2"/>
      <c r="X961" s="2"/>
      <c r="Y961" s="2"/>
      <c r="Z961" s="2"/>
    </row>
    <row r="962" ht="13.5" customHeight="1">
      <c r="A962" s="2"/>
      <c r="B962" s="2"/>
      <c r="C962" s="2"/>
      <c r="D962" s="2"/>
      <c r="E962" s="2"/>
      <c r="F962" s="2"/>
      <c r="G962" s="2"/>
      <c r="H962" s="2"/>
      <c r="I962" s="2"/>
      <c r="J962" s="2"/>
      <c r="K962" s="2"/>
      <c r="L962" s="2"/>
      <c r="M962" s="2"/>
      <c r="N962" s="2"/>
      <c r="O962" s="2"/>
      <c r="P962" s="2"/>
      <c r="Q962" s="144"/>
      <c r="R962" s="144"/>
      <c r="S962" s="144"/>
      <c r="T962" s="214"/>
      <c r="U962" s="2"/>
      <c r="V962" s="2"/>
      <c r="W962" s="2"/>
      <c r="X962" s="2"/>
      <c r="Y962" s="2"/>
      <c r="Z962" s="2"/>
    </row>
    <row r="963" ht="13.5" customHeight="1">
      <c r="A963" s="2"/>
      <c r="B963" s="2"/>
      <c r="C963" s="2"/>
      <c r="D963" s="2"/>
      <c r="E963" s="2"/>
      <c r="F963" s="2"/>
      <c r="G963" s="2"/>
      <c r="H963" s="2"/>
      <c r="I963" s="2"/>
      <c r="J963" s="2"/>
      <c r="K963" s="2"/>
      <c r="L963" s="2"/>
      <c r="M963" s="2"/>
      <c r="N963" s="2"/>
      <c r="O963" s="2"/>
      <c r="P963" s="2"/>
      <c r="Q963" s="144"/>
      <c r="R963" s="144"/>
      <c r="S963" s="144"/>
      <c r="T963" s="214"/>
      <c r="U963" s="2"/>
      <c r="V963" s="2"/>
      <c r="W963" s="2"/>
      <c r="X963" s="2"/>
      <c r="Y963" s="2"/>
      <c r="Z963" s="2"/>
    </row>
    <row r="964" ht="13.5" customHeight="1">
      <c r="A964" s="2"/>
      <c r="B964" s="2"/>
      <c r="C964" s="2"/>
      <c r="D964" s="2"/>
      <c r="E964" s="2"/>
      <c r="F964" s="2"/>
      <c r="G964" s="2"/>
      <c r="H964" s="2"/>
      <c r="I964" s="2"/>
      <c r="J964" s="2"/>
      <c r="K964" s="2"/>
      <c r="L964" s="2"/>
      <c r="M964" s="2"/>
      <c r="N964" s="2"/>
      <c r="O964" s="2"/>
      <c r="P964" s="2"/>
      <c r="Q964" s="144"/>
      <c r="R964" s="144"/>
      <c r="S964" s="144"/>
      <c r="T964" s="214"/>
      <c r="U964" s="2"/>
      <c r="V964" s="2"/>
      <c r="W964" s="2"/>
      <c r="X964" s="2"/>
      <c r="Y964" s="2"/>
      <c r="Z964" s="2"/>
    </row>
    <row r="965" ht="13.5" customHeight="1">
      <c r="A965" s="2"/>
      <c r="B965" s="2"/>
      <c r="C965" s="2"/>
      <c r="D965" s="2"/>
      <c r="E965" s="2"/>
      <c r="F965" s="2"/>
      <c r="G965" s="2"/>
      <c r="H965" s="2"/>
      <c r="I965" s="2"/>
      <c r="J965" s="2"/>
      <c r="K965" s="2"/>
      <c r="L965" s="2"/>
      <c r="M965" s="2"/>
      <c r="N965" s="2"/>
      <c r="O965" s="2"/>
      <c r="P965" s="2"/>
      <c r="Q965" s="144"/>
      <c r="R965" s="144"/>
      <c r="S965" s="144"/>
      <c r="T965" s="214"/>
      <c r="U965" s="2"/>
      <c r="V965" s="2"/>
      <c r="W965" s="2"/>
      <c r="X965" s="2"/>
      <c r="Y965" s="2"/>
      <c r="Z965" s="2"/>
    </row>
    <row r="966" ht="13.5" customHeight="1">
      <c r="A966" s="2"/>
      <c r="B966" s="2"/>
      <c r="C966" s="2"/>
      <c r="D966" s="2"/>
      <c r="E966" s="2"/>
      <c r="F966" s="2"/>
      <c r="G966" s="2"/>
      <c r="H966" s="2"/>
      <c r="I966" s="2"/>
      <c r="J966" s="2"/>
      <c r="K966" s="2"/>
      <c r="L966" s="2"/>
      <c r="M966" s="2"/>
      <c r="N966" s="2"/>
      <c r="O966" s="2"/>
      <c r="P966" s="2"/>
      <c r="Q966" s="144"/>
      <c r="R966" s="144"/>
      <c r="S966" s="144"/>
      <c r="T966" s="214"/>
      <c r="U966" s="2"/>
      <c r="V966" s="2"/>
      <c r="W966" s="2"/>
      <c r="X966" s="2"/>
      <c r="Y966" s="2"/>
      <c r="Z966" s="2"/>
    </row>
    <row r="967" ht="13.5" customHeight="1">
      <c r="A967" s="2"/>
      <c r="B967" s="2"/>
      <c r="C967" s="2"/>
      <c r="D967" s="2"/>
      <c r="E967" s="2"/>
      <c r="F967" s="2"/>
      <c r="G967" s="2"/>
      <c r="H967" s="2"/>
      <c r="I967" s="2"/>
      <c r="J967" s="2"/>
      <c r="K967" s="2"/>
      <c r="L967" s="2"/>
      <c r="M967" s="2"/>
      <c r="N967" s="2"/>
      <c r="O967" s="2"/>
      <c r="P967" s="2"/>
      <c r="Q967" s="144"/>
      <c r="R967" s="144"/>
      <c r="S967" s="144"/>
      <c r="T967" s="214"/>
      <c r="U967" s="2"/>
      <c r="V967" s="2"/>
      <c r="W967" s="2"/>
      <c r="X967" s="2"/>
      <c r="Y967" s="2"/>
      <c r="Z967" s="2"/>
    </row>
    <row r="968" ht="13.5" customHeight="1">
      <c r="A968" s="2"/>
      <c r="B968" s="2"/>
      <c r="C968" s="2"/>
      <c r="D968" s="2"/>
      <c r="E968" s="2"/>
      <c r="F968" s="2"/>
      <c r="G968" s="2"/>
      <c r="H968" s="2"/>
      <c r="I968" s="2"/>
      <c r="J968" s="2"/>
      <c r="K968" s="2"/>
      <c r="L968" s="2"/>
      <c r="M968" s="2"/>
      <c r="N968" s="2"/>
      <c r="O968" s="2"/>
      <c r="P968" s="2"/>
      <c r="Q968" s="144"/>
      <c r="R968" s="144"/>
      <c r="S968" s="144"/>
      <c r="T968" s="214"/>
      <c r="U968" s="2"/>
      <c r="V968" s="2"/>
      <c r="W968" s="2"/>
      <c r="X968" s="2"/>
      <c r="Y968" s="2"/>
      <c r="Z968" s="2"/>
    </row>
    <row r="969" ht="13.5" customHeight="1">
      <c r="A969" s="2"/>
      <c r="B969" s="2"/>
      <c r="C969" s="2"/>
      <c r="D969" s="2"/>
      <c r="E969" s="2"/>
      <c r="F969" s="2"/>
      <c r="G969" s="2"/>
      <c r="H969" s="2"/>
      <c r="I969" s="2"/>
      <c r="J969" s="2"/>
      <c r="K969" s="2"/>
      <c r="L969" s="2"/>
      <c r="M969" s="2"/>
      <c r="N969" s="2"/>
      <c r="O969" s="2"/>
      <c r="P969" s="2"/>
      <c r="Q969" s="144"/>
      <c r="R969" s="144"/>
      <c r="S969" s="144"/>
      <c r="T969" s="214"/>
      <c r="U969" s="2"/>
      <c r="V969" s="2"/>
      <c r="W969" s="2"/>
      <c r="X969" s="2"/>
      <c r="Y969" s="2"/>
      <c r="Z969" s="2"/>
    </row>
    <row r="970" ht="13.5" customHeight="1">
      <c r="A970" s="2"/>
      <c r="B970" s="2"/>
      <c r="C970" s="2"/>
      <c r="D970" s="2"/>
      <c r="E970" s="2"/>
      <c r="F970" s="2"/>
      <c r="G970" s="2"/>
      <c r="H970" s="2"/>
      <c r="I970" s="2"/>
      <c r="J970" s="2"/>
      <c r="K970" s="2"/>
      <c r="L970" s="2"/>
      <c r="M970" s="2"/>
      <c r="N970" s="2"/>
      <c r="O970" s="2"/>
      <c r="P970" s="2"/>
      <c r="Q970" s="144"/>
      <c r="R970" s="144"/>
      <c r="S970" s="144"/>
      <c r="T970" s="214"/>
      <c r="U970" s="2"/>
      <c r="V970" s="2"/>
      <c r="W970" s="2"/>
      <c r="X970" s="2"/>
      <c r="Y970" s="2"/>
      <c r="Z970" s="2"/>
    </row>
    <row r="971" ht="13.5" customHeight="1">
      <c r="A971" s="2"/>
      <c r="B971" s="2"/>
      <c r="C971" s="2"/>
      <c r="D971" s="2"/>
      <c r="E971" s="2"/>
      <c r="F971" s="2"/>
      <c r="G971" s="2"/>
      <c r="H971" s="2"/>
      <c r="I971" s="2"/>
      <c r="J971" s="2"/>
      <c r="K971" s="2"/>
      <c r="L971" s="2"/>
      <c r="M971" s="2"/>
      <c r="N971" s="2"/>
      <c r="O971" s="2"/>
      <c r="P971" s="2"/>
      <c r="Q971" s="144"/>
      <c r="R971" s="144"/>
      <c r="S971" s="144"/>
      <c r="T971" s="214"/>
      <c r="U971" s="2"/>
      <c r="V971" s="2"/>
      <c r="W971" s="2"/>
      <c r="X971" s="2"/>
      <c r="Y971" s="2"/>
      <c r="Z971" s="2"/>
    </row>
    <row r="972" ht="13.5" customHeight="1">
      <c r="A972" s="2"/>
      <c r="B972" s="2"/>
      <c r="C972" s="2"/>
      <c r="D972" s="2"/>
      <c r="E972" s="2"/>
      <c r="F972" s="2"/>
      <c r="G972" s="2"/>
      <c r="H972" s="2"/>
      <c r="I972" s="2"/>
      <c r="J972" s="2"/>
      <c r="K972" s="2"/>
      <c r="L972" s="2"/>
      <c r="M972" s="2"/>
      <c r="N972" s="2"/>
      <c r="O972" s="2"/>
      <c r="P972" s="2"/>
      <c r="Q972" s="144"/>
      <c r="R972" s="144"/>
      <c r="S972" s="144"/>
      <c r="T972" s="214"/>
      <c r="U972" s="2"/>
      <c r="V972" s="2"/>
      <c r="W972" s="2"/>
      <c r="X972" s="2"/>
      <c r="Y972" s="2"/>
      <c r="Z972" s="2"/>
    </row>
    <row r="973" ht="13.5" customHeight="1">
      <c r="A973" s="2"/>
      <c r="B973" s="2"/>
      <c r="C973" s="2"/>
      <c r="D973" s="2"/>
      <c r="E973" s="2"/>
      <c r="F973" s="2"/>
      <c r="G973" s="2"/>
      <c r="H973" s="2"/>
      <c r="I973" s="2"/>
      <c r="J973" s="2"/>
      <c r="K973" s="2"/>
      <c r="L973" s="2"/>
      <c r="M973" s="2"/>
      <c r="N973" s="2"/>
      <c r="O973" s="2"/>
      <c r="P973" s="2"/>
      <c r="Q973" s="144"/>
      <c r="R973" s="144"/>
      <c r="S973" s="144"/>
      <c r="T973" s="214"/>
      <c r="U973" s="2"/>
      <c r="V973" s="2"/>
      <c r="W973" s="2"/>
      <c r="X973" s="2"/>
      <c r="Y973" s="2"/>
      <c r="Z973" s="2"/>
    </row>
    <row r="974" ht="13.5" customHeight="1">
      <c r="A974" s="2"/>
      <c r="B974" s="2"/>
      <c r="C974" s="2"/>
      <c r="D974" s="2"/>
      <c r="E974" s="2"/>
      <c r="F974" s="2"/>
      <c r="G974" s="2"/>
      <c r="H974" s="2"/>
      <c r="I974" s="2"/>
      <c r="J974" s="2"/>
      <c r="K974" s="2"/>
      <c r="L974" s="2"/>
      <c r="M974" s="2"/>
      <c r="N974" s="2"/>
      <c r="O974" s="2"/>
      <c r="P974" s="2"/>
      <c r="Q974" s="144"/>
      <c r="R974" s="144"/>
      <c r="S974" s="144"/>
      <c r="T974" s="214"/>
      <c r="U974" s="2"/>
      <c r="V974" s="2"/>
      <c r="W974" s="2"/>
      <c r="X974" s="2"/>
      <c r="Y974" s="2"/>
      <c r="Z974" s="2"/>
    </row>
    <row r="975" ht="13.5" customHeight="1">
      <c r="A975" s="2"/>
      <c r="B975" s="2"/>
      <c r="C975" s="2"/>
      <c r="D975" s="2"/>
      <c r="E975" s="2"/>
      <c r="F975" s="2"/>
      <c r="G975" s="2"/>
      <c r="H975" s="2"/>
      <c r="I975" s="2"/>
      <c r="J975" s="2"/>
      <c r="K975" s="2"/>
      <c r="L975" s="2"/>
      <c r="M975" s="2"/>
      <c r="N975" s="2"/>
      <c r="O975" s="2"/>
      <c r="P975" s="2"/>
      <c r="Q975" s="144"/>
      <c r="R975" s="144"/>
      <c r="S975" s="144"/>
      <c r="T975" s="214"/>
      <c r="U975" s="2"/>
      <c r="V975" s="2"/>
      <c r="W975" s="2"/>
      <c r="X975" s="2"/>
      <c r="Y975" s="2"/>
      <c r="Z975" s="2"/>
    </row>
    <row r="976" ht="13.5" customHeight="1">
      <c r="A976" s="2"/>
      <c r="B976" s="2"/>
      <c r="C976" s="2"/>
      <c r="D976" s="2"/>
      <c r="E976" s="2"/>
      <c r="F976" s="2"/>
      <c r="G976" s="2"/>
      <c r="H976" s="2"/>
      <c r="I976" s="2"/>
      <c r="J976" s="2"/>
      <c r="K976" s="2"/>
      <c r="L976" s="2"/>
      <c r="M976" s="2"/>
      <c r="N976" s="2"/>
      <c r="O976" s="2"/>
      <c r="P976" s="2"/>
      <c r="Q976" s="144"/>
      <c r="R976" s="144"/>
      <c r="S976" s="144"/>
      <c r="T976" s="214"/>
      <c r="U976" s="2"/>
      <c r="V976" s="2"/>
      <c r="W976" s="2"/>
      <c r="X976" s="2"/>
      <c r="Y976" s="2"/>
      <c r="Z976" s="2"/>
    </row>
    <row r="977" ht="13.5" customHeight="1">
      <c r="A977" s="2"/>
      <c r="B977" s="2"/>
      <c r="C977" s="2"/>
      <c r="D977" s="2"/>
      <c r="E977" s="2"/>
      <c r="F977" s="2"/>
      <c r="G977" s="2"/>
      <c r="H977" s="2"/>
      <c r="I977" s="2"/>
      <c r="J977" s="2"/>
      <c r="K977" s="2"/>
      <c r="L977" s="2"/>
      <c r="M977" s="2"/>
      <c r="N977" s="2"/>
      <c r="O977" s="2"/>
      <c r="P977" s="2"/>
      <c r="Q977" s="144"/>
      <c r="R977" s="144"/>
      <c r="S977" s="144"/>
      <c r="T977" s="214"/>
      <c r="U977" s="2"/>
      <c r="V977" s="2"/>
      <c r="W977" s="2"/>
      <c r="X977" s="2"/>
      <c r="Y977" s="2"/>
      <c r="Z977" s="2"/>
    </row>
    <row r="978" ht="13.5" customHeight="1">
      <c r="A978" s="2"/>
      <c r="B978" s="2"/>
      <c r="C978" s="2"/>
      <c r="D978" s="2"/>
      <c r="E978" s="2"/>
      <c r="F978" s="2"/>
      <c r="G978" s="2"/>
      <c r="H978" s="2"/>
      <c r="I978" s="2"/>
      <c r="J978" s="2"/>
      <c r="K978" s="2"/>
      <c r="L978" s="2"/>
      <c r="M978" s="2"/>
      <c r="N978" s="2"/>
      <c r="O978" s="2"/>
      <c r="P978" s="2"/>
      <c r="Q978" s="144"/>
      <c r="R978" s="144"/>
      <c r="S978" s="144"/>
      <c r="T978" s="214"/>
      <c r="U978" s="2"/>
      <c r="V978" s="2"/>
      <c r="W978" s="2"/>
      <c r="X978" s="2"/>
      <c r="Y978" s="2"/>
      <c r="Z978" s="2"/>
    </row>
    <row r="979" ht="13.5" customHeight="1">
      <c r="A979" s="2"/>
      <c r="B979" s="2"/>
      <c r="C979" s="2"/>
      <c r="D979" s="2"/>
      <c r="E979" s="2"/>
      <c r="F979" s="2"/>
      <c r="G979" s="2"/>
      <c r="H979" s="2"/>
      <c r="I979" s="2"/>
      <c r="J979" s="2"/>
      <c r="K979" s="2"/>
      <c r="L979" s="2"/>
      <c r="M979" s="2"/>
      <c r="N979" s="2"/>
      <c r="O979" s="2"/>
      <c r="P979" s="2"/>
      <c r="Q979" s="144"/>
      <c r="R979" s="144"/>
      <c r="S979" s="144"/>
      <c r="T979" s="214"/>
      <c r="U979" s="2"/>
      <c r="V979" s="2"/>
      <c r="W979" s="2"/>
      <c r="X979" s="2"/>
      <c r="Y979" s="2"/>
      <c r="Z979" s="2"/>
    </row>
    <row r="980" ht="13.5" customHeight="1">
      <c r="A980" s="2"/>
      <c r="B980" s="2"/>
      <c r="C980" s="2"/>
      <c r="D980" s="2"/>
      <c r="E980" s="2"/>
      <c r="F980" s="2"/>
      <c r="G980" s="2"/>
      <c r="H980" s="2"/>
      <c r="I980" s="2"/>
      <c r="J980" s="2"/>
      <c r="K980" s="2"/>
      <c r="L980" s="2"/>
      <c r="M980" s="2"/>
      <c r="N980" s="2"/>
      <c r="O980" s="2"/>
      <c r="P980" s="2"/>
      <c r="Q980" s="144"/>
      <c r="R980" s="144"/>
      <c r="S980" s="144"/>
      <c r="T980" s="214"/>
      <c r="U980" s="2"/>
      <c r="V980" s="2"/>
      <c r="W980" s="2"/>
      <c r="X980" s="2"/>
      <c r="Y980" s="2"/>
      <c r="Z980" s="2"/>
    </row>
    <row r="981" ht="13.5" customHeight="1">
      <c r="A981" s="2"/>
      <c r="B981" s="2"/>
      <c r="C981" s="2"/>
      <c r="D981" s="2"/>
      <c r="E981" s="2"/>
      <c r="F981" s="2"/>
      <c r="G981" s="2"/>
      <c r="H981" s="2"/>
      <c r="I981" s="2"/>
      <c r="J981" s="2"/>
      <c r="K981" s="2"/>
      <c r="L981" s="2"/>
      <c r="M981" s="2"/>
      <c r="N981" s="2"/>
      <c r="O981" s="2"/>
      <c r="P981" s="2"/>
      <c r="Q981" s="144"/>
      <c r="R981" s="144"/>
      <c r="S981" s="144"/>
      <c r="T981" s="214"/>
      <c r="U981" s="2"/>
      <c r="V981" s="2"/>
      <c r="W981" s="2"/>
      <c r="X981" s="2"/>
      <c r="Y981" s="2"/>
      <c r="Z981" s="2"/>
    </row>
    <row r="982" ht="13.5" customHeight="1">
      <c r="A982" s="2"/>
      <c r="B982" s="2"/>
      <c r="C982" s="2"/>
      <c r="D982" s="2"/>
      <c r="E982" s="2"/>
      <c r="F982" s="2"/>
      <c r="G982" s="2"/>
      <c r="H982" s="2"/>
      <c r="I982" s="2"/>
      <c r="J982" s="2"/>
      <c r="K982" s="2"/>
      <c r="L982" s="2"/>
      <c r="M982" s="2"/>
      <c r="N982" s="2"/>
      <c r="O982" s="2"/>
      <c r="P982" s="2"/>
      <c r="Q982" s="144"/>
      <c r="R982" s="144"/>
      <c r="S982" s="144"/>
      <c r="T982" s="214"/>
      <c r="U982" s="2"/>
      <c r="V982" s="2"/>
      <c r="W982" s="2"/>
      <c r="X982" s="2"/>
      <c r="Y982" s="2"/>
      <c r="Z982" s="2"/>
    </row>
    <row r="983" ht="13.5" customHeight="1">
      <c r="A983" s="2"/>
      <c r="B983" s="2"/>
      <c r="C983" s="2"/>
      <c r="D983" s="2"/>
      <c r="E983" s="2"/>
      <c r="F983" s="2"/>
      <c r="G983" s="2"/>
      <c r="H983" s="2"/>
      <c r="I983" s="2"/>
      <c r="J983" s="2"/>
      <c r="K983" s="2"/>
      <c r="L983" s="2"/>
      <c r="M983" s="2"/>
      <c r="N983" s="2"/>
      <c r="O983" s="2"/>
      <c r="P983" s="2"/>
      <c r="Q983" s="144"/>
      <c r="R983" s="144"/>
      <c r="S983" s="144"/>
      <c r="T983" s="214"/>
      <c r="U983" s="2"/>
      <c r="V983" s="2"/>
      <c r="W983" s="2"/>
      <c r="X983" s="2"/>
      <c r="Y983" s="2"/>
      <c r="Z983" s="2"/>
    </row>
    <row r="984" ht="13.5" customHeight="1">
      <c r="A984" s="2"/>
      <c r="B984" s="2"/>
      <c r="C984" s="2"/>
      <c r="D984" s="2"/>
      <c r="E984" s="2"/>
      <c r="F984" s="2"/>
      <c r="G984" s="2"/>
      <c r="H984" s="2"/>
      <c r="I984" s="2"/>
      <c r="J984" s="2"/>
      <c r="K984" s="2"/>
      <c r="L984" s="2"/>
      <c r="M984" s="2"/>
      <c r="N984" s="2"/>
      <c r="O984" s="2"/>
      <c r="P984" s="2"/>
      <c r="Q984" s="144"/>
      <c r="R984" s="144"/>
      <c r="S984" s="144"/>
      <c r="T984" s="214"/>
      <c r="U984" s="2"/>
      <c r="V984" s="2"/>
      <c r="W984" s="2"/>
      <c r="X984" s="2"/>
      <c r="Y984" s="2"/>
      <c r="Z984" s="2"/>
    </row>
    <row r="985" ht="13.5" customHeight="1">
      <c r="A985" s="2"/>
      <c r="B985" s="2"/>
      <c r="C985" s="2"/>
      <c r="D985" s="2"/>
      <c r="E985" s="2"/>
      <c r="F985" s="2"/>
      <c r="G985" s="2"/>
      <c r="H985" s="2"/>
      <c r="I985" s="2"/>
      <c r="J985" s="2"/>
      <c r="K985" s="2"/>
      <c r="L985" s="2"/>
      <c r="M985" s="2"/>
      <c r="N985" s="2"/>
      <c r="O985" s="2"/>
      <c r="P985" s="2"/>
      <c r="Q985" s="144"/>
      <c r="R985" s="144"/>
      <c r="S985" s="144"/>
      <c r="T985" s="214"/>
      <c r="U985" s="2"/>
      <c r="V985" s="2"/>
      <c r="W985" s="2"/>
      <c r="X985" s="2"/>
      <c r="Y985" s="2"/>
      <c r="Z985" s="2"/>
    </row>
    <row r="986" ht="13.5" customHeight="1">
      <c r="A986" s="2"/>
      <c r="B986" s="2"/>
      <c r="C986" s="2"/>
      <c r="D986" s="2"/>
      <c r="E986" s="2"/>
      <c r="F986" s="2"/>
      <c r="G986" s="2"/>
      <c r="H986" s="2"/>
      <c r="I986" s="2"/>
      <c r="J986" s="2"/>
      <c r="K986" s="2"/>
      <c r="L986" s="2"/>
      <c r="M986" s="2"/>
      <c r="N986" s="2"/>
      <c r="O986" s="2"/>
      <c r="P986" s="2"/>
      <c r="Q986" s="144"/>
      <c r="R986" s="144"/>
      <c r="S986" s="144"/>
      <c r="T986" s="214"/>
      <c r="U986" s="2"/>
      <c r="V986" s="2"/>
      <c r="W986" s="2"/>
      <c r="X986" s="2"/>
      <c r="Y986" s="2"/>
      <c r="Z986" s="2"/>
    </row>
    <row r="987" ht="13.5" customHeight="1">
      <c r="A987" s="2"/>
      <c r="B987" s="2"/>
      <c r="C987" s="2"/>
      <c r="D987" s="2"/>
      <c r="E987" s="2"/>
      <c r="F987" s="2"/>
      <c r="G987" s="2"/>
      <c r="H987" s="2"/>
      <c r="I987" s="2"/>
      <c r="J987" s="2"/>
      <c r="K987" s="2"/>
      <c r="L987" s="2"/>
      <c r="M987" s="2"/>
      <c r="N987" s="2"/>
      <c r="O987" s="2"/>
      <c r="P987" s="2"/>
      <c r="Q987" s="144"/>
      <c r="R987" s="144"/>
      <c r="S987" s="144"/>
      <c r="T987" s="214"/>
      <c r="U987" s="2"/>
      <c r="V987" s="2"/>
      <c r="W987" s="2"/>
      <c r="X987" s="2"/>
      <c r="Y987" s="2"/>
      <c r="Z987" s="2"/>
    </row>
    <row r="988" ht="13.5" customHeight="1">
      <c r="A988" s="2"/>
      <c r="B988" s="2"/>
      <c r="C988" s="2"/>
      <c r="D988" s="2"/>
      <c r="E988" s="2"/>
      <c r="F988" s="2"/>
      <c r="G988" s="2"/>
      <c r="H988" s="2"/>
      <c r="I988" s="2"/>
      <c r="J988" s="2"/>
      <c r="K988" s="2"/>
      <c r="L988" s="2"/>
      <c r="M988" s="2"/>
      <c r="N988" s="2"/>
      <c r="O988" s="2"/>
      <c r="P988" s="2"/>
      <c r="Q988" s="144"/>
      <c r="R988" s="144"/>
      <c r="S988" s="144"/>
      <c r="T988" s="214"/>
      <c r="U988" s="2"/>
      <c r="V988" s="2"/>
      <c r="W988" s="2"/>
      <c r="X988" s="2"/>
      <c r="Y988" s="2"/>
      <c r="Z988" s="2"/>
    </row>
    <row r="989" ht="13.5" customHeight="1">
      <c r="A989" s="2"/>
      <c r="B989" s="2"/>
      <c r="C989" s="2"/>
      <c r="D989" s="2"/>
      <c r="E989" s="2"/>
      <c r="F989" s="2"/>
      <c r="G989" s="2"/>
      <c r="H989" s="2"/>
      <c r="I989" s="2"/>
      <c r="J989" s="2"/>
      <c r="K989" s="2"/>
      <c r="L989" s="2"/>
      <c r="M989" s="2"/>
      <c r="N989" s="2"/>
      <c r="O989" s="2"/>
      <c r="P989" s="2"/>
      <c r="Q989" s="144"/>
      <c r="R989" s="144"/>
      <c r="S989" s="144"/>
      <c r="T989" s="214"/>
      <c r="U989" s="2"/>
      <c r="V989" s="2"/>
      <c r="W989" s="2"/>
      <c r="X989" s="2"/>
      <c r="Y989" s="2"/>
      <c r="Z989" s="2"/>
    </row>
    <row r="990" ht="13.5" customHeight="1">
      <c r="A990" s="2"/>
      <c r="B990" s="2"/>
      <c r="C990" s="2"/>
      <c r="D990" s="2"/>
      <c r="E990" s="2"/>
      <c r="F990" s="2"/>
      <c r="G990" s="2"/>
      <c r="H990" s="2"/>
      <c r="I990" s="2"/>
      <c r="J990" s="2"/>
      <c r="K990" s="2"/>
      <c r="L990" s="2"/>
      <c r="M990" s="2"/>
      <c r="N990" s="2"/>
      <c r="O990" s="2"/>
      <c r="P990" s="2"/>
      <c r="Q990" s="144"/>
      <c r="R990" s="144"/>
      <c r="S990" s="144"/>
      <c r="T990" s="214"/>
      <c r="U990" s="2"/>
      <c r="V990" s="2"/>
      <c r="W990" s="2"/>
      <c r="X990" s="2"/>
      <c r="Y990" s="2"/>
      <c r="Z990" s="2"/>
    </row>
    <row r="991" ht="13.5" customHeight="1">
      <c r="A991" s="2"/>
      <c r="B991" s="2"/>
      <c r="C991" s="2"/>
      <c r="D991" s="2"/>
      <c r="E991" s="2"/>
      <c r="F991" s="2"/>
      <c r="G991" s="2"/>
      <c r="H991" s="2"/>
      <c r="I991" s="2"/>
      <c r="J991" s="2"/>
      <c r="K991" s="2"/>
      <c r="L991" s="2"/>
      <c r="M991" s="2"/>
      <c r="N991" s="2"/>
      <c r="O991" s="2"/>
      <c r="P991" s="2"/>
      <c r="Q991" s="144"/>
      <c r="R991" s="144"/>
      <c r="S991" s="144"/>
      <c r="T991" s="214"/>
      <c r="U991" s="2"/>
      <c r="V991" s="2"/>
      <c r="W991" s="2"/>
      <c r="X991" s="2"/>
      <c r="Y991" s="2"/>
      <c r="Z991" s="2"/>
    </row>
    <row r="992" ht="13.5" customHeight="1">
      <c r="A992" s="2"/>
      <c r="B992" s="2"/>
      <c r="C992" s="2"/>
      <c r="D992" s="2"/>
      <c r="E992" s="2"/>
      <c r="F992" s="2"/>
      <c r="G992" s="2"/>
      <c r="H992" s="2"/>
      <c r="I992" s="2"/>
      <c r="J992" s="2"/>
      <c r="K992" s="2"/>
      <c r="L992" s="2"/>
      <c r="M992" s="2"/>
      <c r="N992" s="2"/>
      <c r="O992" s="2"/>
      <c r="P992" s="2"/>
      <c r="Q992" s="144"/>
      <c r="R992" s="144"/>
      <c r="S992" s="144"/>
      <c r="T992" s="214"/>
      <c r="U992" s="2"/>
      <c r="V992" s="2"/>
      <c r="W992" s="2"/>
      <c r="X992" s="2"/>
      <c r="Y992" s="2"/>
      <c r="Z992" s="2"/>
    </row>
    <row r="993" ht="13.5" customHeight="1">
      <c r="A993" s="2"/>
      <c r="B993" s="2"/>
      <c r="C993" s="2"/>
      <c r="D993" s="2"/>
      <c r="E993" s="2"/>
      <c r="F993" s="2"/>
      <c r="G993" s="2"/>
      <c r="H993" s="2"/>
      <c r="I993" s="2"/>
      <c r="J993" s="2"/>
      <c r="K993" s="2"/>
      <c r="L993" s="2"/>
      <c r="M993" s="2"/>
      <c r="N993" s="2"/>
      <c r="O993" s="2"/>
      <c r="P993" s="2"/>
      <c r="Q993" s="144"/>
      <c r="R993" s="144"/>
      <c r="S993" s="144"/>
      <c r="T993" s="214"/>
      <c r="U993" s="2"/>
      <c r="V993" s="2"/>
      <c r="W993" s="2"/>
      <c r="X993" s="2"/>
      <c r="Y993" s="2"/>
      <c r="Z993" s="2"/>
    </row>
    <row r="994" ht="13.5" customHeight="1">
      <c r="A994" s="2"/>
      <c r="B994" s="2"/>
      <c r="C994" s="2"/>
      <c r="D994" s="2"/>
      <c r="E994" s="2"/>
      <c r="F994" s="2"/>
      <c r="G994" s="2"/>
      <c r="H994" s="2"/>
      <c r="I994" s="2"/>
      <c r="J994" s="2"/>
      <c r="K994" s="2"/>
      <c r="L994" s="2"/>
      <c r="M994" s="2"/>
      <c r="N994" s="2"/>
      <c r="O994" s="2"/>
      <c r="P994" s="2"/>
      <c r="Q994" s="144"/>
      <c r="R994" s="144"/>
      <c r="S994" s="144"/>
      <c r="T994" s="214"/>
      <c r="U994" s="2"/>
      <c r="V994" s="2"/>
      <c r="W994" s="2"/>
      <c r="X994" s="2"/>
      <c r="Y994" s="2"/>
      <c r="Z994" s="2"/>
    </row>
    <row r="995" ht="13.5" customHeight="1">
      <c r="A995" s="2"/>
      <c r="B995" s="2"/>
      <c r="C995" s="2"/>
      <c r="D995" s="2"/>
      <c r="E995" s="2"/>
      <c r="F995" s="2"/>
      <c r="G995" s="2"/>
      <c r="H995" s="2"/>
      <c r="I995" s="2"/>
      <c r="J995" s="2"/>
      <c r="K995" s="2"/>
      <c r="L995" s="2"/>
      <c r="M995" s="2"/>
      <c r="N995" s="2"/>
      <c r="O995" s="2"/>
      <c r="P995" s="2"/>
      <c r="Q995" s="144"/>
      <c r="R995" s="144"/>
      <c r="S995" s="144"/>
      <c r="T995" s="214"/>
      <c r="U995" s="2"/>
      <c r="V995" s="2"/>
      <c r="W995" s="2"/>
      <c r="X995" s="2"/>
      <c r="Y995" s="2"/>
      <c r="Z995" s="2"/>
    </row>
    <row r="996" ht="13.5" customHeight="1">
      <c r="A996" s="2"/>
      <c r="B996" s="2"/>
      <c r="C996" s="2"/>
      <c r="D996" s="2"/>
      <c r="E996" s="2"/>
      <c r="F996" s="2"/>
      <c r="G996" s="2"/>
      <c r="H996" s="2"/>
      <c r="I996" s="2"/>
      <c r="J996" s="2"/>
      <c r="K996" s="2"/>
      <c r="L996" s="2"/>
      <c r="M996" s="2"/>
      <c r="N996" s="2"/>
      <c r="O996" s="2"/>
      <c r="P996" s="2"/>
      <c r="Q996" s="144"/>
      <c r="R996" s="144"/>
      <c r="S996" s="144"/>
      <c r="T996" s="214"/>
      <c r="U996" s="2"/>
      <c r="V996" s="2"/>
      <c r="W996" s="2"/>
      <c r="X996" s="2"/>
      <c r="Y996" s="2"/>
      <c r="Z996" s="2"/>
    </row>
    <row r="997" ht="13.5" customHeight="1">
      <c r="A997" s="2"/>
      <c r="B997" s="2"/>
      <c r="C997" s="2"/>
      <c r="D997" s="2"/>
      <c r="E997" s="2"/>
      <c r="F997" s="2"/>
      <c r="G997" s="2"/>
      <c r="H997" s="2"/>
      <c r="I997" s="2"/>
      <c r="J997" s="2"/>
      <c r="K997" s="2"/>
      <c r="L997" s="2"/>
      <c r="M997" s="2"/>
      <c r="N997" s="2"/>
      <c r="O997" s="2"/>
      <c r="P997" s="2"/>
      <c r="Q997" s="144"/>
      <c r="R997" s="144"/>
      <c r="S997" s="144"/>
      <c r="T997" s="214"/>
      <c r="U997" s="2"/>
      <c r="V997" s="2"/>
      <c r="W997" s="2"/>
      <c r="X997" s="2"/>
      <c r="Y997" s="2"/>
      <c r="Z997" s="2"/>
    </row>
    <row r="998" ht="13.5" customHeight="1">
      <c r="A998" s="2"/>
      <c r="B998" s="2"/>
      <c r="C998" s="2"/>
      <c r="D998" s="2"/>
      <c r="E998" s="2"/>
      <c r="F998" s="2"/>
      <c r="G998" s="2"/>
      <c r="H998" s="2"/>
      <c r="I998" s="2"/>
      <c r="J998" s="2"/>
      <c r="K998" s="2"/>
      <c r="L998" s="2"/>
      <c r="M998" s="2"/>
      <c r="N998" s="2"/>
      <c r="O998" s="2"/>
      <c r="P998" s="2"/>
      <c r="Q998" s="144"/>
      <c r="R998" s="144"/>
      <c r="S998" s="144"/>
      <c r="T998" s="214"/>
      <c r="U998" s="2"/>
      <c r="V998" s="2"/>
      <c r="W998" s="2"/>
      <c r="X998" s="2"/>
      <c r="Y998" s="2"/>
      <c r="Z998" s="2"/>
    </row>
    <row r="999" ht="13.5" customHeight="1">
      <c r="A999" s="2"/>
      <c r="B999" s="2"/>
      <c r="C999" s="2"/>
      <c r="D999" s="2"/>
      <c r="E999" s="2"/>
      <c r="F999" s="2"/>
      <c r="G999" s="2"/>
      <c r="H999" s="2"/>
      <c r="I999" s="2"/>
      <c r="J999" s="2"/>
      <c r="K999" s="2"/>
      <c r="L999" s="2"/>
      <c r="M999" s="2"/>
      <c r="N999" s="2"/>
      <c r="O999" s="2"/>
      <c r="P999" s="2"/>
      <c r="Q999" s="144"/>
      <c r="R999" s="144"/>
      <c r="S999" s="144"/>
      <c r="T999" s="214"/>
      <c r="U999" s="2"/>
      <c r="V999" s="2"/>
      <c r="W999" s="2"/>
      <c r="X999" s="2"/>
      <c r="Y999" s="2"/>
      <c r="Z999" s="2"/>
    </row>
    <row r="1000" ht="13.5" customHeight="1">
      <c r="A1000" s="2"/>
      <c r="B1000" s="2"/>
      <c r="C1000" s="2"/>
      <c r="D1000" s="2"/>
      <c r="E1000" s="2"/>
      <c r="F1000" s="2"/>
      <c r="G1000" s="2"/>
      <c r="H1000" s="2"/>
      <c r="I1000" s="2"/>
      <c r="J1000" s="2"/>
      <c r="K1000" s="2"/>
      <c r="L1000" s="2"/>
      <c r="M1000" s="2"/>
      <c r="N1000" s="2"/>
      <c r="O1000" s="2"/>
      <c r="P1000" s="2"/>
      <c r="Q1000" s="144"/>
      <c r="R1000" s="144"/>
      <c r="S1000" s="144"/>
      <c r="T1000" s="214"/>
      <c r="U1000" s="2"/>
      <c r="V1000" s="2"/>
      <c r="W1000" s="2"/>
      <c r="X1000" s="2"/>
      <c r="Y1000" s="2"/>
      <c r="Z1000" s="2"/>
    </row>
  </sheetData>
  <mergeCells count="23">
    <mergeCell ref="A1:T1"/>
    <mergeCell ref="A2:C2"/>
    <mergeCell ref="D2:G2"/>
    <mergeCell ref="H2:J2"/>
    <mergeCell ref="K2:O2"/>
    <mergeCell ref="P2:R2"/>
    <mergeCell ref="S2:T2"/>
    <mergeCell ref="B6:B17"/>
    <mergeCell ref="C6:C17"/>
    <mergeCell ref="A18:A23"/>
    <mergeCell ref="B18:B23"/>
    <mergeCell ref="C18:C23"/>
    <mergeCell ref="D18:D23"/>
    <mergeCell ref="K3:O3"/>
    <mergeCell ref="L6:L17"/>
    <mergeCell ref="L18:L23"/>
    <mergeCell ref="A3:C3"/>
    <mergeCell ref="D3:G3"/>
    <mergeCell ref="H3:J3"/>
    <mergeCell ref="P3:R3"/>
    <mergeCell ref="S3:T3"/>
    <mergeCell ref="A6:A17"/>
    <mergeCell ref="D6:D17"/>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2026-07-21T08:40:41Z</dcterms:created>
  <dc:creator>CCRS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RClass">
    <vt:lpwstr>0</vt:lpwstr>
  </property>
  <property fmtid="{D5CDD505-2E9C-101B-9397-08002B2CF9AE}" pid="3" name="FDRSet">
    <vt:lpwstr>manual</vt:lpwstr>
  </property>
</Properties>
</file>